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1B7F658F-53DC-4837-BA2A-D2194304912F}" xr6:coauthVersionLast="47" xr6:coauthVersionMax="47" xr10:uidLastSave="{00000000-0000-0000-0000-000000000000}"/>
  <bookViews>
    <workbookView xWindow="-120" yWindow="-120" windowWidth="29040" windowHeight="15720" tabRatio="861" firstSheet="6" activeTab="13" xr2:uid="{00000000-000D-0000-FFFF-FFFF00000000}"/>
  </bookViews>
  <sheets>
    <sheet name="ConstDLCIds" sheetId="1" state="hidden" r:id="rId1"/>
    <sheet name="ConstDLCTypes" sheetId="2" state="hidden" r:id="rId2"/>
    <sheet name="ConstSetTypes" sheetId="3" state="hidden" r:id="rId3"/>
    <sheet name="ConstDropMechs" sheetId="4" state="hidden" r:id="rId4"/>
    <sheet name="ConstUndauChest" sheetId="5" state="hidden" r:id="rId5"/>
    <sheet name="ConstSetProcTypes" sheetId="6" state="hidden" r:id="rId6"/>
    <sheet name="Sets (lua data)" sheetId="7" r:id="rId7"/>
    <sheet name="Comments" sheetId="8" r:id="rId8"/>
    <sheet name="ESO Set&amp;DLCs" sheetId="9" r:id="rId9"/>
    <sheet name="ESO Dungeons" sheetId="10" r:id="rId10"/>
    <sheet name="ESO DungeonFinder" sheetId="11" r:id="rId11"/>
    <sheet name="ESO publicDung." sheetId="12" r:id="rId12"/>
    <sheet name="ESO zones" sheetId="13" r:id="rId13"/>
    <sheet name="ESO maps" sheetId="14" r:id="rId14"/>
    <sheet name="ESO wayshrines" sheetId="15" r:id="rId15"/>
    <sheet name="WayshrineNames" sheetId="16" r:id="rId16"/>
    <sheet name="SetColl.MapToZoneId" sheetId="17" r:id="rId17"/>
    <sheet name="TempWorkarea" sheetId="18" r:id="rId18"/>
    <sheet name="Set procs" sheetId="19" state="hidden" r:id="rId19"/>
  </sheets>
  <definedNames>
    <definedName name="_xlnm._FilterDatabase" localSheetId="7" hidden="1">Comments!$A$2:$D$742</definedName>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10" hidden="1">'ESO DungeonFinder'!$A$1:$K$60</definedName>
    <definedName name="_xlnm._FilterDatabase" localSheetId="9" hidden="1">'ESO Dungeons'!$A$2:$S$74</definedName>
    <definedName name="_xlnm._FilterDatabase" localSheetId="13" hidden="1">'ESO maps'!$A$2:$F$48</definedName>
    <definedName name="_xlnm._FilterDatabase" localSheetId="11" hidden="1">'ESO publicDung.'!$A$2:$J$2</definedName>
    <definedName name="_xlnm._FilterDatabase" localSheetId="8" hidden="1">'ESO Set&amp;DLCs'!$A$2:$F$719</definedName>
    <definedName name="_xlnm._FilterDatabase" localSheetId="14" hidden="1">'ESO wayshrines'!$A$2:$N$587</definedName>
    <definedName name="_xlnm._FilterDatabase" localSheetId="12" hidden="1">'ESO zones'!$A$2:$L$1098</definedName>
    <definedName name="_xlnm._FilterDatabase" localSheetId="18" hidden="1">'Set procs'!$A$2:$G$503</definedName>
    <definedName name="_xlnm._FilterDatabase" localSheetId="16" hidden="1">SetColl.MapToZoneId!$A$2:$F$2</definedName>
    <definedName name="_xlnm._FilterDatabase" localSheetId="6" hidden="1">'Sets (lua data)'!$A$2:$BI$727</definedName>
    <definedName name="_xlnm._FilterDatabase" localSheetId="15" hidden="1">WayshrineNames!$A$2:$B$621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smNativeData">
      <pm:revision xmlns:pm="smNativeData" day="1776253831" val="1068" rev="124" rev64="64" revOS="4" revMin="124" revMax="0"/>
      <pm:docPrefs xmlns:pm="smNativeData" id="1776253831" fixedDigits="0" showNotice="1" showFrameBounds="1" autoChart="1" recalcOnPrint="1" recalcOnCopy="1" finalRounding="1" compatTextArt="1" tab="567" useDefinedPrintRange="1" printArea="currentSheet"/>
      <pm:compatibility xmlns:pm="smNativeData" id="1776253831" overlapCells="1"/>
      <pm:defCurrency xmlns:pm="smNativeData" id="1776253831"/>
    </ext>
  </extLst>
</workbook>
</file>

<file path=xl/calcChain.xml><?xml version="1.0" encoding="utf-8"?>
<calcChain xmlns="http://schemas.openxmlformats.org/spreadsheetml/2006/main">
  <c r="E7" i="13" l="1"/>
  <c r="F7" i="13"/>
  <c r="G7" i="13"/>
  <c r="H7" i="13"/>
  <c r="I7" i="13"/>
  <c r="E8" i="13"/>
  <c r="F8" i="13"/>
  <c r="G8" i="13"/>
  <c r="H8" i="13"/>
  <c r="I8" i="13"/>
  <c r="E9" i="13"/>
  <c r="F9" i="13"/>
  <c r="G9" i="13"/>
  <c r="H9" i="13"/>
  <c r="I9" i="13"/>
  <c r="E10" i="13"/>
  <c r="F10" i="13"/>
  <c r="G10" i="13"/>
  <c r="H10" i="13"/>
  <c r="I10" i="13"/>
  <c r="E11" i="13"/>
  <c r="F11" i="13"/>
  <c r="G11" i="13"/>
  <c r="H11" i="13"/>
  <c r="I11" i="13"/>
  <c r="E12" i="13"/>
  <c r="F12" i="13"/>
  <c r="G12" i="13"/>
  <c r="H12" i="13"/>
  <c r="D55" i="17" s="1"/>
  <c r="I12" i="13"/>
  <c r="E13" i="13"/>
  <c r="F13" i="13"/>
  <c r="G13" i="13"/>
  <c r="H13" i="13"/>
  <c r="D47" i="17" s="1"/>
  <c r="J47" i="17" s="1"/>
  <c r="I13" i="13"/>
  <c r="E14" i="13"/>
  <c r="F14" i="13"/>
  <c r="G14" i="13"/>
  <c r="H14" i="13"/>
  <c r="D23" i="17" s="1"/>
  <c r="J23" i="17" s="1"/>
  <c r="I14" i="13"/>
  <c r="E15" i="13"/>
  <c r="F15" i="13"/>
  <c r="G15" i="13"/>
  <c r="H15" i="13"/>
  <c r="D19" i="17" s="1"/>
  <c r="J19" i="17" s="1"/>
  <c r="I15" i="13"/>
  <c r="E16" i="13"/>
  <c r="F16" i="13"/>
  <c r="G16" i="13"/>
  <c r="H16" i="13"/>
  <c r="D10" i="17" s="1"/>
  <c r="I16" i="13"/>
  <c r="E17" i="13"/>
  <c r="F17" i="13"/>
  <c r="G17" i="13"/>
  <c r="H17" i="13"/>
  <c r="I17" i="13"/>
  <c r="E18" i="13"/>
  <c r="F18" i="13"/>
  <c r="G18" i="13"/>
  <c r="H18" i="13"/>
  <c r="D48" i="17" s="1"/>
  <c r="J48" i="17" s="1"/>
  <c r="I18" i="13"/>
  <c r="E19" i="13"/>
  <c r="F19" i="13"/>
  <c r="G19" i="13"/>
  <c r="H19" i="13"/>
  <c r="I19" i="13"/>
  <c r="E20" i="13"/>
  <c r="F20" i="13"/>
  <c r="G20" i="13"/>
  <c r="H20" i="13"/>
  <c r="D20" i="17" s="1"/>
  <c r="I20" i="13"/>
  <c r="E21" i="13"/>
  <c r="F21" i="13"/>
  <c r="G21" i="13"/>
  <c r="H21" i="13"/>
  <c r="I21" i="13"/>
  <c r="E22" i="13"/>
  <c r="F22" i="13"/>
  <c r="G22" i="13"/>
  <c r="H22" i="13"/>
  <c r="I22" i="13"/>
  <c r="E23" i="13"/>
  <c r="F23" i="13"/>
  <c r="G23" i="13"/>
  <c r="H23" i="13"/>
  <c r="D9" i="17" s="1"/>
  <c r="J9" i="17" s="1"/>
  <c r="I23" i="13"/>
  <c r="E24" i="13"/>
  <c r="F24" i="13"/>
  <c r="G24" i="13"/>
  <c r="H24" i="13"/>
  <c r="D22" i="17" s="1"/>
  <c r="J22" i="17" s="1"/>
  <c r="I24" i="13"/>
  <c r="E25" i="13"/>
  <c r="F25" i="13"/>
  <c r="G25" i="13"/>
  <c r="H25" i="13"/>
  <c r="I25" i="13"/>
  <c r="E26" i="13"/>
  <c r="F26" i="13"/>
  <c r="G26" i="13"/>
  <c r="H26" i="13"/>
  <c r="E28" i="10" s="1"/>
  <c r="G28" i="10" s="1"/>
  <c r="H28" i="10" s="1"/>
  <c r="I26" i="13"/>
  <c r="E27" i="13"/>
  <c r="F27" i="13"/>
  <c r="G27" i="13"/>
  <c r="H27" i="13"/>
  <c r="I27" i="13"/>
  <c r="E28" i="13"/>
  <c r="F28" i="13"/>
  <c r="G28" i="13"/>
  <c r="H28" i="13"/>
  <c r="D57" i="17" s="1"/>
  <c r="J57" i="17" s="1"/>
  <c r="I28" i="13"/>
  <c r="E29" i="13"/>
  <c r="F29" i="13"/>
  <c r="G29" i="13"/>
  <c r="H29" i="13"/>
  <c r="I29" i="13"/>
  <c r="E30" i="13"/>
  <c r="F30" i="13"/>
  <c r="G30" i="13"/>
  <c r="H30" i="13"/>
  <c r="AP698" i="7" s="1"/>
  <c r="I30" i="13"/>
  <c r="E31" i="13"/>
  <c r="F31" i="13"/>
  <c r="G31" i="13"/>
  <c r="H31" i="13"/>
  <c r="I31" i="13"/>
  <c r="E32" i="13"/>
  <c r="F32" i="13"/>
  <c r="G32" i="13"/>
  <c r="H32" i="13"/>
  <c r="I32" i="13"/>
  <c r="E33" i="13"/>
  <c r="F33" i="13"/>
  <c r="G33" i="13"/>
  <c r="H33" i="13"/>
  <c r="E61" i="10" s="1"/>
  <c r="I33" i="13"/>
  <c r="E34" i="13"/>
  <c r="F34" i="13"/>
  <c r="G34" i="13"/>
  <c r="H34" i="13"/>
  <c r="E72" i="10" s="1"/>
  <c r="F72" i="10" s="1"/>
  <c r="I34" i="13"/>
  <c r="E35" i="13"/>
  <c r="F35" i="13"/>
  <c r="G35" i="13"/>
  <c r="H35" i="13"/>
  <c r="D45" i="17" s="1"/>
  <c r="J45" i="17" s="1"/>
  <c r="I35" i="13"/>
  <c r="E36" i="13"/>
  <c r="F36" i="13"/>
  <c r="G36" i="13"/>
  <c r="H36" i="13"/>
  <c r="I36" i="13"/>
  <c r="E37" i="13"/>
  <c r="F37" i="13"/>
  <c r="G37" i="13"/>
  <c r="H37" i="13"/>
  <c r="I37" i="13"/>
  <c r="E38" i="13"/>
  <c r="F38" i="13"/>
  <c r="G38" i="13"/>
  <c r="H38" i="13"/>
  <c r="I38" i="13"/>
  <c r="E39" i="13"/>
  <c r="F39" i="13"/>
  <c r="G39" i="13"/>
  <c r="H39" i="13"/>
  <c r="I39" i="13"/>
  <c r="E40" i="13"/>
  <c r="F40" i="13"/>
  <c r="G40" i="13"/>
  <c r="H40" i="13"/>
  <c r="I40" i="13"/>
  <c r="E41" i="13"/>
  <c r="F41" i="13"/>
  <c r="G41" i="13"/>
  <c r="H41" i="13"/>
  <c r="I41" i="13"/>
  <c r="E42" i="13"/>
  <c r="F42" i="13"/>
  <c r="G42" i="13"/>
  <c r="H42" i="13"/>
  <c r="I42" i="13"/>
  <c r="E43" i="13"/>
  <c r="F43" i="13"/>
  <c r="G43" i="13"/>
  <c r="H43" i="13"/>
  <c r="I43" i="13"/>
  <c r="E44" i="13"/>
  <c r="F44" i="13"/>
  <c r="G44" i="13"/>
  <c r="H44" i="13"/>
  <c r="I44" i="13"/>
  <c r="E45" i="13"/>
  <c r="F45" i="13"/>
  <c r="G45" i="13"/>
  <c r="H45" i="13"/>
  <c r="I45" i="13"/>
  <c r="E46" i="13"/>
  <c r="F46" i="13"/>
  <c r="G46" i="13"/>
  <c r="H46" i="13"/>
  <c r="I46" i="13"/>
  <c r="E47" i="13"/>
  <c r="F47" i="13"/>
  <c r="G47" i="13"/>
  <c r="H47" i="13"/>
  <c r="I47" i="13"/>
  <c r="E48" i="13"/>
  <c r="F48" i="13"/>
  <c r="G48" i="13"/>
  <c r="H48" i="13"/>
  <c r="I48" i="13"/>
  <c r="E49" i="13"/>
  <c r="F49" i="13"/>
  <c r="G49" i="13"/>
  <c r="H49" i="13"/>
  <c r="I49" i="13"/>
  <c r="E50" i="13"/>
  <c r="F50" i="13"/>
  <c r="G50" i="13"/>
  <c r="H50" i="13"/>
  <c r="I50" i="13"/>
  <c r="E51" i="13"/>
  <c r="F51" i="13"/>
  <c r="G51" i="13"/>
  <c r="H51" i="13"/>
  <c r="I51" i="13"/>
  <c r="E52" i="13"/>
  <c r="F52" i="13"/>
  <c r="G52" i="13"/>
  <c r="H52" i="13"/>
  <c r="I52" i="13"/>
  <c r="E53" i="13"/>
  <c r="F53" i="13"/>
  <c r="G53" i="13"/>
  <c r="H53" i="13"/>
  <c r="I53" i="13"/>
  <c r="E54" i="13"/>
  <c r="F54" i="13"/>
  <c r="G54" i="13"/>
  <c r="H54" i="13"/>
  <c r="I54" i="13"/>
  <c r="E55" i="13"/>
  <c r="F55" i="13"/>
  <c r="G55" i="13"/>
  <c r="H55" i="13"/>
  <c r="I55" i="13"/>
  <c r="E56" i="13"/>
  <c r="F56" i="13"/>
  <c r="G56" i="13"/>
  <c r="H56" i="13"/>
  <c r="I56" i="13"/>
  <c r="E57" i="13"/>
  <c r="F57" i="13"/>
  <c r="G57" i="13"/>
  <c r="H57" i="13"/>
  <c r="I57" i="13"/>
  <c r="E58" i="13"/>
  <c r="F58" i="13"/>
  <c r="G58" i="13"/>
  <c r="H58" i="13"/>
  <c r="I58" i="13"/>
  <c r="E59" i="13"/>
  <c r="F59" i="13"/>
  <c r="G59" i="13"/>
  <c r="H59" i="13"/>
  <c r="I59" i="13"/>
  <c r="E60" i="13"/>
  <c r="F60" i="13"/>
  <c r="G60" i="13"/>
  <c r="H60" i="13"/>
  <c r="I60" i="13"/>
  <c r="E61" i="13"/>
  <c r="F61" i="13"/>
  <c r="G61" i="13"/>
  <c r="H61" i="13"/>
  <c r="I61" i="13"/>
  <c r="E62" i="13"/>
  <c r="F62" i="13"/>
  <c r="G62" i="13"/>
  <c r="H62" i="13"/>
  <c r="I62" i="13"/>
  <c r="E63" i="13"/>
  <c r="F63" i="13"/>
  <c r="G63" i="13"/>
  <c r="H63" i="13"/>
  <c r="I63" i="13"/>
  <c r="E64" i="13"/>
  <c r="F64" i="13"/>
  <c r="G64" i="13"/>
  <c r="H64" i="13"/>
  <c r="I64" i="13"/>
  <c r="E65" i="13"/>
  <c r="F65" i="13"/>
  <c r="G65" i="13"/>
  <c r="H65" i="13"/>
  <c r="I65" i="13"/>
  <c r="E66" i="13"/>
  <c r="F66" i="13"/>
  <c r="G66" i="13"/>
  <c r="H66" i="13"/>
  <c r="I66" i="13"/>
  <c r="E67" i="13"/>
  <c r="F67" i="13"/>
  <c r="G67" i="13"/>
  <c r="H67" i="13"/>
  <c r="I67" i="13"/>
  <c r="E68" i="13"/>
  <c r="F68" i="13"/>
  <c r="G68" i="13"/>
  <c r="H68" i="13"/>
  <c r="I68" i="13"/>
  <c r="E69" i="13"/>
  <c r="F69" i="13"/>
  <c r="G69" i="13"/>
  <c r="H69" i="13"/>
  <c r="I69" i="13"/>
  <c r="E70" i="13"/>
  <c r="F70" i="13"/>
  <c r="G70" i="13"/>
  <c r="H70" i="13"/>
  <c r="I70" i="13"/>
  <c r="E71" i="13"/>
  <c r="F71" i="13"/>
  <c r="G71" i="13"/>
  <c r="H71" i="13"/>
  <c r="I71" i="13"/>
  <c r="E72" i="13"/>
  <c r="F72" i="13"/>
  <c r="G72" i="13"/>
  <c r="H72" i="13"/>
  <c r="I72" i="13"/>
  <c r="E73" i="13"/>
  <c r="F73" i="13"/>
  <c r="G73" i="13"/>
  <c r="H73" i="13"/>
  <c r="I73" i="13"/>
  <c r="E74" i="13"/>
  <c r="F74" i="13"/>
  <c r="G74" i="13"/>
  <c r="H74" i="13"/>
  <c r="I74" i="13"/>
  <c r="E75" i="13"/>
  <c r="F75" i="13"/>
  <c r="G75" i="13"/>
  <c r="H75" i="13"/>
  <c r="I75" i="13"/>
  <c r="E76" i="13"/>
  <c r="F76" i="13"/>
  <c r="G76" i="13"/>
  <c r="H76" i="13"/>
  <c r="I76" i="13"/>
  <c r="E77" i="13"/>
  <c r="F77" i="13"/>
  <c r="G77" i="13"/>
  <c r="H77" i="13"/>
  <c r="I77" i="13"/>
  <c r="E78" i="13"/>
  <c r="F78" i="13"/>
  <c r="G78" i="13"/>
  <c r="H78" i="13"/>
  <c r="I78" i="13"/>
  <c r="E79" i="13"/>
  <c r="F79" i="13"/>
  <c r="G79" i="13"/>
  <c r="H79" i="13"/>
  <c r="I79" i="13"/>
  <c r="E80" i="13"/>
  <c r="F80" i="13"/>
  <c r="G80" i="13"/>
  <c r="H80" i="13"/>
  <c r="I80" i="13"/>
  <c r="E81" i="13"/>
  <c r="F81" i="13"/>
  <c r="G81" i="13"/>
  <c r="H81" i="13"/>
  <c r="I81" i="13"/>
  <c r="E82" i="13"/>
  <c r="F82" i="13"/>
  <c r="G82" i="13"/>
  <c r="H82" i="13"/>
  <c r="I82" i="13"/>
  <c r="E83" i="13"/>
  <c r="F83" i="13"/>
  <c r="G83" i="13"/>
  <c r="H83" i="13"/>
  <c r="I83" i="13"/>
  <c r="E84" i="13"/>
  <c r="F84" i="13"/>
  <c r="G84" i="13"/>
  <c r="H84" i="13"/>
  <c r="I84" i="13"/>
  <c r="E85" i="13"/>
  <c r="F85" i="13"/>
  <c r="G85" i="13"/>
  <c r="H85" i="13"/>
  <c r="I85" i="13"/>
  <c r="E86" i="13"/>
  <c r="F86" i="13"/>
  <c r="G86" i="13"/>
  <c r="H86" i="13"/>
  <c r="I86" i="13"/>
  <c r="E87" i="13"/>
  <c r="F87" i="13"/>
  <c r="G87" i="13"/>
  <c r="H87" i="13"/>
  <c r="I87" i="13"/>
  <c r="E88" i="13"/>
  <c r="F88" i="13"/>
  <c r="G88" i="13"/>
  <c r="H88" i="13"/>
  <c r="I88" i="13"/>
  <c r="E89" i="13"/>
  <c r="F89" i="13"/>
  <c r="G89" i="13"/>
  <c r="H89" i="13"/>
  <c r="I89" i="13"/>
  <c r="E90" i="13"/>
  <c r="F90" i="13"/>
  <c r="G90" i="13"/>
  <c r="H90" i="13"/>
  <c r="I90" i="13"/>
  <c r="E91" i="13"/>
  <c r="F91" i="13"/>
  <c r="G91" i="13"/>
  <c r="H91" i="13"/>
  <c r="I91" i="13"/>
  <c r="E92" i="13"/>
  <c r="F92" i="13"/>
  <c r="G92" i="13"/>
  <c r="H92" i="13"/>
  <c r="I92" i="13"/>
  <c r="E93" i="13"/>
  <c r="F93" i="13"/>
  <c r="G93" i="13"/>
  <c r="H93" i="13"/>
  <c r="I93" i="13"/>
  <c r="E94" i="13"/>
  <c r="F94" i="13"/>
  <c r="G94" i="13"/>
  <c r="H94" i="13"/>
  <c r="I94" i="13"/>
  <c r="E95" i="13"/>
  <c r="F95" i="13"/>
  <c r="G95" i="13"/>
  <c r="H95" i="13"/>
  <c r="I95" i="13"/>
  <c r="E96" i="13"/>
  <c r="F96" i="13"/>
  <c r="G96" i="13"/>
  <c r="H96" i="13"/>
  <c r="I96" i="13"/>
  <c r="E97" i="13"/>
  <c r="F97" i="13"/>
  <c r="G97" i="13"/>
  <c r="H97" i="13"/>
  <c r="I97" i="13"/>
  <c r="E98" i="13"/>
  <c r="F98" i="13"/>
  <c r="G98" i="13"/>
  <c r="H98" i="13"/>
  <c r="I98" i="13"/>
  <c r="E99" i="13"/>
  <c r="F99" i="13"/>
  <c r="G99" i="13"/>
  <c r="H99" i="13"/>
  <c r="I99" i="13"/>
  <c r="E100" i="13"/>
  <c r="F100" i="13"/>
  <c r="G100" i="13"/>
  <c r="H100" i="13"/>
  <c r="I100" i="13"/>
  <c r="E101" i="13"/>
  <c r="F101" i="13"/>
  <c r="G101" i="13"/>
  <c r="H101" i="13"/>
  <c r="I101" i="13"/>
  <c r="E102" i="13"/>
  <c r="F102" i="13"/>
  <c r="G102" i="13"/>
  <c r="H102" i="13"/>
  <c r="I102" i="13"/>
  <c r="E103" i="13"/>
  <c r="F103" i="13"/>
  <c r="G103" i="13"/>
  <c r="H103" i="13"/>
  <c r="I103" i="13"/>
  <c r="E104" i="13"/>
  <c r="F104" i="13"/>
  <c r="G104" i="13"/>
  <c r="H104" i="13"/>
  <c r="I104" i="13"/>
  <c r="E105" i="13"/>
  <c r="F105" i="13"/>
  <c r="G105" i="13"/>
  <c r="H105" i="13"/>
  <c r="I105" i="13"/>
  <c r="E106" i="13"/>
  <c r="F106" i="13"/>
  <c r="G106" i="13"/>
  <c r="H106" i="13"/>
  <c r="I106" i="13"/>
  <c r="E107" i="13"/>
  <c r="F107" i="13"/>
  <c r="G107" i="13"/>
  <c r="H107" i="13"/>
  <c r="I107" i="13"/>
  <c r="E108" i="13"/>
  <c r="F108" i="13"/>
  <c r="G108" i="13"/>
  <c r="H108" i="13"/>
  <c r="I108" i="13"/>
  <c r="E109" i="13"/>
  <c r="F109" i="13"/>
  <c r="G109" i="13"/>
  <c r="H109" i="13"/>
  <c r="I109" i="13"/>
  <c r="E110" i="13"/>
  <c r="F110" i="13"/>
  <c r="G110" i="13"/>
  <c r="H110" i="13"/>
  <c r="I110" i="13"/>
  <c r="E111" i="13"/>
  <c r="F111" i="13"/>
  <c r="G111" i="13"/>
  <c r="H111" i="13"/>
  <c r="I111" i="13"/>
  <c r="E112" i="13"/>
  <c r="F112" i="13"/>
  <c r="G112" i="13"/>
  <c r="H112" i="13"/>
  <c r="I112" i="13"/>
  <c r="E113" i="13"/>
  <c r="F113" i="13"/>
  <c r="G113" i="13"/>
  <c r="H113" i="13"/>
  <c r="I113" i="13"/>
  <c r="E114" i="13"/>
  <c r="F114" i="13"/>
  <c r="G114" i="13"/>
  <c r="H114" i="13"/>
  <c r="AK237" i="7" s="1"/>
  <c r="I114" i="13"/>
  <c r="E115" i="13"/>
  <c r="F115" i="13"/>
  <c r="G115" i="13"/>
  <c r="H115" i="13"/>
  <c r="I115" i="13"/>
  <c r="E116" i="13"/>
  <c r="F116" i="13"/>
  <c r="G116" i="13"/>
  <c r="H116" i="13"/>
  <c r="I116" i="13"/>
  <c r="E117" i="13"/>
  <c r="F117" i="13"/>
  <c r="G117" i="13"/>
  <c r="H117" i="13"/>
  <c r="I117" i="13"/>
  <c r="E118" i="13"/>
  <c r="F118" i="13"/>
  <c r="G118" i="13"/>
  <c r="H118" i="13"/>
  <c r="I118" i="13"/>
  <c r="E119" i="13"/>
  <c r="F119" i="13"/>
  <c r="G119" i="13"/>
  <c r="H119" i="13"/>
  <c r="I119" i="13"/>
  <c r="E120" i="13"/>
  <c r="F120" i="13"/>
  <c r="G120" i="13"/>
  <c r="H120" i="13"/>
  <c r="I120" i="13"/>
  <c r="E121" i="13"/>
  <c r="F121" i="13"/>
  <c r="G121" i="13"/>
  <c r="H121" i="13"/>
  <c r="I121" i="13"/>
  <c r="E122" i="13"/>
  <c r="F122" i="13"/>
  <c r="G122" i="13"/>
  <c r="H122" i="13"/>
  <c r="I122" i="13"/>
  <c r="E123" i="13"/>
  <c r="F123" i="13"/>
  <c r="G123" i="13"/>
  <c r="H123" i="13"/>
  <c r="I123" i="13"/>
  <c r="E124" i="13"/>
  <c r="F124" i="13"/>
  <c r="G124" i="13"/>
  <c r="H124" i="13"/>
  <c r="I124" i="13"/>
  <c r="E125" i="13"/>
  <c r="F125" i="13"/>
  <c r="G125" i="13"/>
  <c r="H125" i="13"/>
  <c r="I125" i="13"/>
  <c r="E126" i="13"/>
  <c r="F126" i="13"/>
  <c r="G126" i="13"/>
  <c r="H126" i="13"/>
  <c r="I126" i="13"/>
  <c r="E127" i="13"/>
  <c r="F127" i="13"/>
  <c r="G127" i="13"/>
  <c r="H127" i="13"/>
  <c r="I127" i="13"/>
  <c r="E128" i="13"/>
  <c r="F128" i="13"/>
  <c r="G128" i="13"/>
  <c r="H128" i="13"/>
  <c r="I128" i="13"/>
  <c r="E129" i="13"/>
  <c r="F129" i="13"/>
  <c r="G129" i="13"/>
  <c r="H129" i="13"/>
  <c r="I129" i="13"/>
  <c r="E130" i="13"/>
  <c r="F130" i="13"/>
  <c r="G130" i="13"/>
  <c r="H130" i="13"/>
  <c r="I130" i="13"/>
  <c r="E131" i="13"/>
  <c r="F131" i="13"/>
  <c r="G131" i="13"/>
  <c r="H131" i="13"/>
  <c r="I131" i="13"/>
  <c r="E132" i="13"/>
  <c r="F132" i="13"/>
  <c r="G132" i="13"/>
  <c r="H132" i="13"/>
  <c r="I132" i="13"/>
  <c r="E133" i="13"/>
  <c r="F133" i="13"/>
  <c r="G133" i="13"/>
  <c r="H133" i="13"/>
  <c r="I133" i="13"/>
  <c r="E134" i="13"/>
  <c r="F134" i="13"/>
  <c r="G134" i="13"/>
  <c r="H134" i="13"/>
  <c r="I134" i="13"/>
  <c r="E135" i="13"/>
  <c r="F135" i="13"/>
  <c r="G135" i="13"/>
  <c r="H135" i="13"/>
  <c r="I135" i="13"/>
  <c r="E136" i="13"/>
  <c r="F136" i="13"/>
  <c r="G136" i="13"/>
  <c r="H136" i="13"/>
  <c r="I136" i="13"/>
  <c r="E137" i="13"/>
  <c r="F137" i="13"/>
  <c r="G137" i="13"/>
  <c r="H137" i="13"/>
  <c r="I137" i="13"/>
  <c r="E138" i="13"/>
  <c r="F138" i="13"/>
  <c r="G138" i="13"/>
  <c r="H138" i="13"/>
  <c r="I138" i="13"/>
  <c r="E139" i="13"/>
  <c r="F139" i="13"/>
  <c r="G139" i="13"/>
  <c r="H139" i="13"/>
  <c r="I139" i="13"/>
  <c r="E140" i="13"/>
  <c r="F140" i="13"/>
  <c r="G140" i="13"/>
  <c r="H140" i="13"/>
  <c r="I140" i="13"/>
  <c r="E141" i="13"/>
  <c r="F141" i="13"/>
  <c r="G141" i="13"/>
  <c r="H141" i="13"/>
  <c r="I141" i="13"/>
  <c r="E142" i="13"/>
  <c r="F142" i="13"/>
  <c r="G142" i="13"/>
  <c r="H142" i="13"/>
  <c r="I142" i="13"/>
  <c r="E143" i="13"/>
  <c r="F143" i="13"/>
  <c r="G143" i="13"/>
  <c r="H143" i="13"/>
  <c r="I143" i="13"/>
  <c r="E144" i="13"/>
  <c r="F144" i="13"/>
  <c r="G144" i="13"/>
  <c r="H144" i="13"/>
  <c r="I144" i="13"/>
  <c r="E145" i="13"/>
  <c r="F145" i="13"/>
  <c r="G145" i="13"/>
  <c r="H145" i="13"/>
  <c r="I145" i="13"/>
  <c r="E146" i="13"/>
  <c r="F146" i="13"/>
  <c r="G146" i="13"/>
  <c r="H146" i="13"/>
  <c r="I146" i="13"/>
  <c r="E147" i="13"/>
  <c r="F147" i="13"/>
  <c r="G147" i="13"/>
  <c r="H147" i="13"/>
  <c r="I147" i="13"/>
  <c r="E148" i="13"/>
  <c r="F148" i="13"/>
  <c r="G148" i="13"/>
  <c r="H148" i="13"/>
  <c r="I148" i="13"/>
  <c r="E149" i="13"/>
  <c r="F149" i="13"/>
  <c r="G149" i="13"/>
  <c r="H149" i="13"/>
  <c r="I149" i="13"/>
  <c r="E150" i="13"/>
  <c r="F150" i="13"/>
  <c r="G150" i="13"/>
  <c r="H150" i="13"/>
  <c r="I150" i="13"/>
  <c r="E151" i="13"/>
  <c r="F151" i="13"/>
  <c r="G151" i="13"/>
  <c r="H151" i="13"/>
  <c r="I151" i="13"/>
  <c r="E152" i="13"/>
  <c r="F152" i="13"/>
  <c r="G152" i="13"/>
  <c r="H152" i="13"/>
  <c r="I152" i="13"/>
  <c r="E153" i="13"/>
  <c r="F153" i="13"/>
  <c r="G153" i="13"/>
  <c r="H153" i="13"/>
  <c r="I153" i="13"/>
  <c r="E154" i="13"/>
  <c r="F154" i="13"/>
  <c r="G154" i="13"/>
  <c r="H154" i="13"/>
  <c r="I154" i="13"/>
  <c r="E155" i="13"/>
  <c r="F155" i="13"/>
  <c r="G155" i="13"/>
  <c r="H155" i="13"/>
  <c r="I155" i="13"/>
  <c r="E156" i="13"/>
  <c r="F156" i="13"/>
  <c r="G156" i="13"/>
  <c r="H156" i="13"/>
  <c r="I156" i="13"/>
  <c r="E157" i="13"/>
  <c r="F157" i="13"/>
  <c r="G157" i="13"/>
  <c r="H157" i="13"/>
  <c r="I157" i="13"/>
  <c r="E158" i="13"/>
  <c r="F158" i="13"/>
  <c r="G158" i="13"/>
  <c r="H158" i="13"/>
  <c r="I158" i="13"/>
  <c r="E159" i="13"/>
  <c r="F159" i="13"/>
  <c r="G159" i="13"/>
  <c r="H159" i="13"/>
  <c r="D121" i="17" s="1"/>
  <c r="J121" i="17" s="1"/>
  <c r="I159" i="13"/>
  <c r="E160" i="13"/>
  <c r="F160" i="13"/>
  <c r="G160" i="13"/>
  <c r="H160" i="13"/>
  <c r="I160" i="13"/>
  <c r="E161" i="13"/>
  <c r="F161" i="13"/>
  <c r="G161" i="13"/>
  <c r="H161" i="13"/>
  <c r="I161" i="13"/>
  <c r="E162" i="13"/>
  <c r="F162" i="13"/>
  <c r="G162" i="13"/>
  <c r="H162" i="13"/>
  <c r="I162" i="13"/>
  <c r="E163" i="13"/>
  <c r="F163" i="13"/>
  <c r="G163" i="13"/>
  <c r="H163" i="13"/>
  <c r="I163" i="13"/>
  <c r="E164" i="13"/>
  <c r="F164" i="13"/>
  <c r="G164" i="13"/>
  <c r="H164" i="13"/>
  <c r="I164" i="13"/>
  <c r="E165" i="13"/>
  <c r="F165" i="13"/>
  <c r="G165" i="13"/>
  <c r="H165" i="13"/>
  <c r="I165" i="13"/>
  <c r="E166" i="13"/>
  <c r="F166" i="13"/>
  <c r="G166" i="13"/>
  <c r="H166" i="13"/>
  <c r="I166" i="13"/>
  <c r="E167" i="13"/>
  <c r="F167" i="13"/>
  <c r="G167" i="13"/>
  <c r="H167" i="13"/>
  <c r="I167" i="13"/>
  <c r="E168" i="13"/>
  <c r="F168" i="13"/>
  <c r="G168" i="13"/>
  <c r="H168" i="13"/>
  <c r="I168" i="13"/>
  <c r="E169" i="13"/>
  <c r="F169" i="13"/>
  <c r="G169" i="13"/>
  <c r="H169" i="13"/>
  <c r="I169" i="13"/>
  <c r="E170" i="13"/>
  <c r="F170" i="13"/>
  <c r="G170" i="13"/>
  <c r="H170" i="13"/>
  <c r="I170" i="13"/>
  <c r="E171" i="13"/>
  <c r="F171" i="13"/>
  <c r="G171" i="13"/>
  <c r="H171" i="13"/>
  <c r="I171" i="13"/>
  <c r="E172" i="13"/>
  <c r="F172" i="13"/>
  <c r="G172" i="13"/>
  <c r="H172" i="13"/>
  <c r="I172" i="13"/>
  <c r="E173" i="13"/>
  <c r="F173" i="13"/>
  <c r="G173" i="13"/>
  <c r="H173" i="13"/>
  <c r="I173" i="13"/>
  <c r="E174" i="13"/>
  <c r="F174" i="13"/>
  <c r="G174" i="13"/>
  <c r="H174" i="13"/>
  <c r="I174" i="13"/>
  <c r="E175" i="13"/>
  <c r="F175" i="13"/>
  <c r="G175" i="13"/>
  <c r="H175" i="13"/>
  <c r="I175" i="13"/>
  <c r="E176" i="13"/>
  <c r="F176" i="13"/>
  <c r="G176" i="13"/>
  <c r="H176" i="13"/>
  <c r="I176" i="13"/>
  <c r="E177" i="13"/>
  <c r="F177" i="13"/>
  <c r="G177" i="13"/>
  <c r="H177" i="13"/>
  <c r="I177" i="13"/>
  <c r="E178" i="13"/>
  <c r="F178" i="13"/>
  <c r="G178" i="13"/>
  <c r="H178" i="13"/>
  <c r="I178" i="13"/>
  <c r="E179" i="13"/>
  <c r="F179" i="13"/>
  <c r="G179" i="13"/>
  <c r="H179" i="13"/>
  <c r="I179" i="13"/>
  <c r="E180" i="13"/>
  <c r="F180" i="13"/>
  <c r="G180" i="13"/>
  <c r="H180" i="13"/>
  <c r="I180" i="13"/>
  <c r="E181" i="13"/>
  <c r="F181" i="13"/>
  <c r="G181" i="13"/>
  <c r="H181" i="13"/>
  <c r="I181" i="13"/>
  <c r="E182" i="13"/>
  <c r="F182" i="13"/>
  <c r="G182" i="13"/>
  <c r="H182" i="13"/>
  <c r="I182" i="13"/>
  <c r="E183" i="13"/>
  <c r="F183" i="13"/>
  <c r="G183" i="13"/>
  <c r="H183" i="13"/>
  <c r="I183" i="13"/>
  <c r="E184" i="13"/>
  <c r="F184" i="13"/>
  <c r="G184" i="13"/>
  <c r="H184" i="13"/>
  <c r="I184" i="13"/>
  <c r="E185" i="13"/>
  <c r="F185" i="13"/>
  <c r="G185" i="13"/>
  <c r="H185" i="13"/>
  <c r="I185" i="13"/>
  <c r="E186" i="13"/>
  <c r="F186" i="13"/>
  <c r="G186" i="13"/>
  <c r="H186" i="13"/>
  <c r="I186" i="13"/>
  <c r="E187" i="13"/>
  <c r="F187" i="13"/>
  <c r="G187" i="13"/>
  <c r="H187" i="13"/>
  <c r="I187" i="13"/>
  <c r="E188" i="13"/>
  <c r="F188" i="13"/>
  <c r="G188" i="13"/>
  <c r="H188" i="13"/>
  <c r="I188" i="13"/>
  <c r="E189" i="13"/>
  <c r="F189" i="13"/>
  <c r="G189" i="13"/>
  <c r="H189" i="13"/>
  <c r="I189" i="13"/>
  <c r="E190" i="13"/>
  <c r="F190" i="13"/>
  <c r="G190" i="13"/>
  <c r="H190" i="13"/>
  <c r="I190" i="13"/>
  <c r="E191" i="13"/>
  <c r="F191" i="13"/>
  <c r="G191" i="13"/>
  <c r="H191" i="13"/>
  <c r="I191" i="13"/>
  <c r="E192" i="13"/>
  <c r="F192" i="13"/>
  <c r="G192" i="13"/>
  <c r="H192" i="13"/>
  <c r="I192" i="13"/>
  <c r="E193" i="13"/>
  <c r="F193" i="13"/>
  <c r="G193" i="13"/>
  <c r="H193" i="13"/>
  <c r="I193" i="13"/>
  <c r="E194" i="13"/>
  <c r="F194" i="13"/>
  <c r="G194" i="13"/>
  <c r="H194" i="13"/>
  <c r="I194" i="13"/>
  <c r="E195" i="13"/>
  <c r="F195" i="13"/>
  <c r="G195" i="13"/>
  <c r="H195" i="13"/>
  <c r="I195" i="13"/>
  <c r="E196" i="13"/>
  <c r="F196" i="13"/>
  <c r="G196" i="13"/>
  <c r="H196" i="13"/>
  <c r="I196" i="13"/>
  <c r="E197" i="13"/>
  <c r="F197" i="13"/>
  <c r="G197" i="13"/>
  <c r="H197" i="13"/>
  <c r="I197" i="13"/>
  <c r="E198" i="13"/>
  <c r="F198" i="13"/>
  <c r="G198" i="13"/>
  <c r="H198" i="13"/>
  <c r="I198" i="13"/>
  <c r="E199" i="13"/>
  <c r="F199" i="13"/>
  <c r="G199" i="13"/>
  <c r="H199" i="13"/>
  <c r="I199" i="13"/>
  <c r="E200" i="13"/>
  <c r="F200" i="13"/>
  <c r="G200" i="13"/>
  <c r="H200" i="13"/>
  <c r="I200" i="13"/>
  <c r="E201" i="13"/>
  <c r="F201" i="13"/>
  <c r="G201" i="13"/>
  <c r="H201" i="13"/>
  <c r="I201" i="13"/>
  <c r="E202" i="13"/>
  <c r="F202" i="13"/>
  <c r="G202" i="13"/>
  <c r="H202" i="13"/>
  <c r="I202" i="13"/>
  <c r="E203" i="13"/>
  <c r="F203" i="13"/>
  <c r="G203" i="13"/>
  <c r="H203" i="13"/>
  <c r="I203" i="13"/>
  <c r="E204" i="13"/>
  <c r="F204" i="13"/>
  <c r="G204" i="13"/>
  <c r="H204" i="13"/>
  <c r="I204" i="13"/>
  <c r="E205" i="13"/>
  <c r="F205" i="13"/>
  <c r="G205" i="13"/>
  <c r="H205" i="13"/>
  <c r="I205" i="13"/>
  <c r="E206" i="13"/>
  <c r="F206" i="13"/>
  <c r="G206" i="13"/>
  <c r="H206" i="13"/>
  <c r="I206" i="13"/>
  <c r="E207" i="13"/>
  <c r="F207" i="13"/>
  <c r="G207" i="13"/>
  <c r="H207" i="13"/>
  <c r="I207" i="13"/>
  <c r="E208" i="13"/>
  <c r="F208" i="13"/>
  <c r="G208" i="13"/>
  <c r="H208" i="13"/>
  <c r="I208" i="13"/>
  <c r="E209" i="13"/>
  <c r="F209" i="13"/>
  <c r="G209" i="13"/>
  <c r="H209" i="13"/>
  <c r="I209" i="13"/>
  <c r="E210" i="13"/>
  <c r="F210" i="13"/>
  <c r="G210" i="13"/>
  <c r="H210" i="13"/>
  <c r="I210" i="13"/>
  <c r="E211" i="13"/>
  <c r="F211" i="13"/>
  <c r="G211" i="13"/>
  <c r="H211" i="13"/>
  <c r="I211" i="13"/>
  <c r="E212" i="13"/>
  <c r="F212" i="13"/>
  <c r="G212" i="13"/>
  <c r="H212" i="13"/>
  <c r="I212" i="13"/>
  <c r="E213" i="13"/>
  <c r="F213" i="13"/>
  <c r="G213" i="13"/>
  <c r="H213" i="13"/>
  <c r="I213" i="13"/>
  <c r="E214" i="13"/>
  <c r="F214" i="13"/>
  <c r="G214" i="13"/>
  <c r="H214" i="13"/>
  <c r="I214" i="13"/>
  <c r="E215" i="13"/>
  <c r="F215" i="13"/>
  <c r="G215" i="13"/>
  <c r="H215" i="13"/>
  <c r="I215" i="13"/>
  <c r="E216" i="13"/>
  <c r="F216" i="13"/>
  <c r="G216" i="13"/>
  <c r="H216" i="13"/>
  <c r="I216" i="13"/>
  <c r="E217" i="13"/>
  <c r="F217" i="13"/>
  <c r="G217" i="13"/>
  <c r="H217" i="13"/>
  <c r="I217" i="13"/>
  <c r="E218" i="13"/>
  <c r="F218" i="13"/>
  <c r="G218" i="13"/>
  <c r="H218" i="13"/>
  <c r="I218" i="13"/>
  <c r="E219" i="13"/>
  <c r="F219" i="13"/>
  <c r="G219" i="13"/>
  <c r="H219" i="13"/>
  <c r="I219" i="13"/>
  <c r="E220" i="13"/>
  <c r="F220" i="13"/>
  <c r="G220" i="13"/>
  <c r="H220" i="13"/>
  <c r="I220" i="13"/>
  <c r="E221" i="13"/>
  <c r="F221" i="13"/>
  <c r="G221" i="13"/>
  <c r="H221" i="13"/>
  <c r="I221" i="13"/>
  <c r="E222" i="13"/>
  <c r="F222" i="13"/>
  <c r="G222" i="13"/>
  <c r="H222" i="13"/>
  <c r="I222" i="13"/>
  <c r="E223" i="13"/>
  <c r="F223" i="13"/>
  <c r="G223" i="13"/>
  <c r="H223" i="13"/>
  <c r="I223" i="13"/>
  <c r="E224" i="13"/>
  <c r="F224" i="13"/>
  <c r="G224" i="13"/>
  <c r="H224" i="13"/>
  <c r="I224" i="13"/>
  <c r="E225" i="13"/>
  <c r="F225" i="13"/>
  <c r="G225" i="13"/>
  <c r="H225" i="13"/>
  <c r="I225" i="13"/>
  <c r="E226" i="13"/>
  <c r="F226" i="13"/>
  <c r="G226" i="13"/>
  <c r="H226" i="13"/>
  <c r="I226" i="13"/>
  <c r="E227" i="13"/>
  <c r="F227" i="13"/>
  <c r="G227" i="13"/>
  <c r="H227" i="13"/>
  <c r="I227" i="13"/>
  <c r="E228" i="13"/>
  <c r="F228" i="13"/>
  <c r="G228" i="13"/>
  <c r="H228" i="13"/>
  <c r="I228" i="13"/>
  <c r="E229" i="13"/>
  <c r="F229" i="13"/>
  <c r="G229" i="13"/>
  <c r="H229" i="13"/>
  <c r="I229" i="13"/>
  <c r="E230" i="13"/>
  <c r="F230" i="13"/>
  <c r="G230" i="13"/>
  <c r="H230" i="13"/>
  <c r="I230" i="13"/>
  <c r="E231" i="13"/>
  <c r="F231" i="13"/>
  <c r="G231" i="13"/>
  <c r="H231" i="13"/>
  <c r="I231" i="13"/>
  <c r="E232" i="13"/>
  <c r="F232" i="13"/>
  <c r="G232" i="13"/>
  <c r="H232" i="13"/>
  <c r="I232" i="13"/>
  <c r="E233" i="13"/>
  <c r="F233" i="13"/>
  <c r="G233" i="13"/>
  <c r="H233" i="13"/>
  <c r="I233" i="13"/>
  <c r="E234" i="13"/>
  <c r="F234" i="13"/>
  <c r="G234" i="13"/>
  <c r="H234" i="13"/>
  <c r="I234" i="13"/>
  <c r="E235" i="13"/>
  <c r="F235" i="13"/>
  <c r="G235" i="13"/>
  <c r="H235" i="13"/>
  <c r="I235" i="13"/>
  <c r="E236" i="13"/>
  <c r="F236" i="13"/>
  <c r="G236" i="13"/>
  <c r="H236" i="13"/>
  <c r="I236" i="13"/>
  <c r="E237" i="13"/>
  <c r="F237" i="13"/>
  <c r="G237" i="13"/>
  <c r="H237" i="13"/>
  <c r="I237" i="13"/>
  <c r="E238" i="13"/>
  <c r="F238" i="13"/>
  <c r="G238" i="13"/>
  <c r="H238" i="13"/>
  <c r="I238" i="13"/>
  <c r="E239" i="13"/>
  <c r="F239" i="13"/>
  <c r="G239" i="13"/>
  <c r="H239" i="13"/>
  <c r="I239" i="13"/>
  <c r="E240" i="13"/>
  <c r="F240" i="13"/>
  <c r="G240" i="13"/>
  <c r="H240" i="13"/>
  <c r="I240" i="13"/>
  <c r="E241" i="13"/>
  <c r="F241" i="13"/>
  <c r="G241" i="13"/>
  <c r="H241" i="13"/>
  <c r="I241" i="13"/>
  <c r="E242" i="13"/>
  <c r="F242" i="13"/>
  <c r="G242" i="13"/>
  <c r="H242" i="13"/>
  <c r="I242" i="13"/>
  <c r="E243" i="13"/>
  <c r="F243" i="13"/>
  <c r="G243" i="13"/>
  <c r="H243" i="13"/>
  <c r="I243" i="13"/>
  <c r="E244" i="13"/>
  <c r="F244" i="13"/>
  <c r="G244" i="13"/>
  <c r="H244" i="13"/>
  <c r="I244" i="13"/>
  <c r="E245" i="13"/>
  <c r="F245" i="13"/>
  <c r="G245" i="13"/>
  <c r="H245" i="13"/>
  <c r="I245" i="13"/>
  <c r="E246" i="13"/>
  <c r="F246" i="13"/>
  <c r="G246" i="13"/>
  <c r="H246" i="13"/>
  <c r="I246" i="13"/>
  <c r="E247" i="13"/>
  <c r="F247" i="13"/>
  <c r="G247" i="13"/>
  <c r="H247" i="13"/>
  <c r="I247" i="13"/>
  <c r="E248" i="13"/>
  <c r="F248" i="13"/>
  <c r="G248" i="13"/>
  <c r="H248" i="13"/>
  <c r="I248" i="13"/>
  <c r="E249" i="13"/>
  <c r="F249" i="13"/>
  <c r="G249" i="13"/>
  <c r="H249" i="13"/>
  <c r="I249" i="13"/>
  <c r="E250" i="13"/>
  <c r="F250" i="13"/>
  <c r="G250" i="13"/>
  <c r="H250" i="13"/>
  <c r="I250" i="13"/>
  <c r="E251" i="13"/>
  <c r="F251" i="13"/>
  <c r="G251" i="13"/>
  <c r="H251" i="13"/>
  <c r="I251" i="13"/>
  <c r="E252" i="13"/>
  <c r="F252" i="13"/>
  <c r="G252" i="13"/>
  <c r="H252" i="13"/>
  <c r="I252" i="13"/>
  <c r="E253" i="13"/>
  <c r="F253" i="13"/>
  <c r="G253" i="13"/>
  <c r="H253" i="13"/>
  <c r="I253" i="13"/>
  <c r="E254" i="13"/>
  <c r="F254" i="13"/>
  <c r="G254" i="13"/>
  <c r="H254" i="13"/>
  <c r="I254" i="13"/>
  <c r="E255" i="13"/>
  <c r="F255" i="13"/>
  <c r="G255" i="13"/>
  <c r="H255" i="13"/>
  <c r="I255" i="13"/>
  <c r="E256" i="13"/>
  <c r="F256" i="13"/>
  <c r="G256" i="13"/>
  <c r="H256" i="13"/>
  <c r="I256" i="13"/>
  <c r="E257" i="13"/>
  <c r="F257" i="13"/>
  <c r="G257" i="13"/>
  <c r="H257" i="13"/>
  <c r="I257" i="13"/>
  <c r="E258" i="13"/>
  <c r="F258" i="13"/>
  <c r="G258" i="13"/>
  <c r="H258" i="13"/>
  <c r="I258" i="13"/>
  <c r="E259" i="13"/>
  <c r="F259" i="13"/>
  <c r="G259" i="13"/>
  <c r="H259" i="13"/>
  <c r="I259" i="13"/>
  <c r="E260" i="13"/>
  <c r="F260" i="13"/>
  <c r="G260" i="13"/>
  <c r="H260" i="13"/>
  <c r="I260" i="13"/>
  <c r="E261" i="13"/>
  <c r="F261" i="13"/>
  <c r="G261" i="13"/>
  <c r="H261" i="13"/>
  <c r="I261" i="13"/>
  <c r="E262" i="13"/>
  <c r="F262" i="13"/>
  <c r="G262" i="13"/>
  <c r="H262" i="13"/>
  <c r="I262" i="13"/>
  <c r="E263" i="13"/>
  <c r="F263" i="13"/>
  <c r="G263" i="13"/>
  <c r="H263" i="13"/>
  <c r="I263" i="13"/>
  <c r="E264" i="13"/>
  <c r="F264" i="13"/>
  <c r="G264" i="13"/>
  <c r="H264" i="13"/>
  <c r="I264" i="13"/>
  <c r="E265" i="13"/>
  <c r="F265" i="13"/>
  <c r="G265" i="13"/>
  <c r="H265" i="13"/>
  <c r="I265" i="13"/>
  <c r="E266" i="13"/>
  <c r="F266" i="13"/>
  <c r="G266" i="13"/>
  <c r="H266" i="13"/>
  <c r="I266" i="13"/>
  <c r="E267" i="13"/>
  <c r="F267" i="13"/>
  <c r="G267" i="13"/>
  <c r="H267" i="13"/>
  <c r="I267" i="13"/>
  <c r="E268" i="13"/>
  <c r="F268" i="13"/>
  <c r="G268" i="13"/>
  <c r="H268" i="13"/>
  <c r="I268" i="13"/>
  <c r="E269" i="13"/>
  <c r="F269" i="13"/>
  <c r="G269" i="13"/>
  <c r="H269" i="13"/>
  <c r="I269" i="13"/>
  <c r="E270" i="13"/>
  <c r="F270" i="13"/>
  <c r="G270" i="13"/>
  <c r="H270" i="13"/>
  <c r="I270" i="13"/>
  <c r="E271" i="13"/>
  <c r="F271" i="13"/>
  <c r="G271" i="13"/>
  <c r="H271" i="13"/>
  <c r="I271" i="13"/>
  <c r="E272" i="13"/>
  <c r="F272" i="13"/>
  <c r="G272" i="13"/>
  <c r="H272" i="13"/>
  <c r="I272" i="13"/>
  <c r="E273" i="13"/>
  <c r="F273" i="13"/>
  <c r="G273" i="13"/>
  <c r="H273" i="13"/>
  <c r="I273" i="13"/>
  <c r="E274" i="13"/>
  <c r="F274" i="13"/>
  <c r="G274" i="13"/>
  <c r="H274" i="13"/>
  <c r="I274" i="13"/>
  <c r="E275" i="13"/>
  <c r="F275" i="13"/>
  <c r="G275" i="13"/>
  <c r="H275" i="13"/>
  <c r="I275" i="13"/>
  <c r="E276" i="13"/>
  <c r="F276" i="13"/>
  <c r="G276" i="13"/>
  <c r="H276" i="13"/>
  <c r="I276" i="13"/>
  <c r="E277" i="13"/>
  <c r="F277" i="13"/>
  <c r="G277" i="13"/>
  <c r="H277" i="13"/>
  <c r="I277" i="13"/>
  <c r="E278" i="13"/>
  <c r="F278" i="13"/>
  <c r="G278" i="13"/>
  <c r="H278" i="13"/>
  <c r="I278" i="13"/>
  <c r="E279" i="13"/>
  <c r="F279" i="13"/>
  <c r="G279" i="13"/>
  <c r="H279" i="13"/>
  <c r="I279" i="13"/>
  <c r="E280" i="13"/>
  <c r="F280" i="13"/>
  <c r="G280" i="13"/>
  <c r="H280" i="13"/>
  <c r="I280" i="13"/>
  <c r="E281" i="13"/>
  <c r="F281" i="13"/>
  <c r="G281" i="13"/>
  <c r="H281" i="13"/>
  <c r="I281" i="13"/>
  <c r="E282" i="13"/>
  <c r="F282" i="13"/>
  <c r="G282" i="13"/>
  <c r="H282" i="13"/>
  <c r="I282" i="13"/>
  <c r="E283" i="13"/>
  <c r="F283" i="13"/>
  <c r="G283" i="13"/>
  <c r="H283" i="13"/>
  <c r="I283" i="13"/>
  <c r="E284" i="13"/>
  <c r="F284" i="13"/>
  <c r="G284" i="13"/>
  <c r="H284" i="13"/>
  <c r="I284" i="13"/>
  <c r="E285" i="13"/>
  <c r="F285" i="13"/>
  <c r="G285" i="13"/>
  <c r="H285" i="13"/>
  <c r="I285" i="13"/>
  <c r="E286" i="13"/>
  <c r="F286" i="13"/>
  <c r="G286" i="13"/>
  <c r="H286" i="13"/>
  <c r="I286" i="13"/>
  <c r="E287" i="13"/>
  <c r="F287" i="13"/>
  <c r="G287" i="13"/>
  <c r="H287" i="13"/>
  <c r="I287" i="13"/>
  <c r="E288" i="13"/>
  <c r="F288" i="13"/>
  <c r="G288" i="13"/>
  <c r="H288" i="13"/>
  <c r="I288" i="13"/>
  <c r="E289" i="13"/>
  <c r="F289" i="13"/>
  <c r="G289" i="13"/>
  <c r="H289" i="13"/>
  <c r="I289" i="13"/>
  <c r="E290" i="13"/>
  <c r="F290" i="13"/>
  <c r="G290" i="13"/>
  <c r="H290" i="13"/>
  <c r="I290" i="13"/>
  <c r="E291" i="13"/>
  <c r="F291" i="13"/>
  <c r="G291" i="13"/>
  <c r="H291" i="13"/>
  <c r="I291" i="13"/>
  <c r="E292" i="13"/>
  <c r="F292" i="13"/>
  <c r="G292" i="13"/>
  <c r="H292" i="13"/>
  <c r="I292" i="13"/>
  <c r="E293" i="13"/>
  <c r="F293" i="13"/>
  <c r="G293" i="13"/>
  <c r="H293" i="13"/>
  <c r="I293" i="13"/>
  <c r="E294" i="13"/>
  <c r="F294" i="13"/>
  <c r="G294" i="13"/>
  <c r="H294" i="13"/>
  <c r="I294" i="13"/>
  <c r="E295" i="13"/>
  <c r="F295" i="13"/>
  <c r="G295" i="13"/>
  <c r="H295" i="13"/>
  <c r="I295" i="13"/>
  <c r="E296" i="13"/>
  <c r="F296" i="13"/>
  <c r="G296" i="13"/>
  <c r="H296" i="13"/>
  <c r="I296" i="13"/>
  <c r="E297" i="13"/>
  <c r="F297" i="13"/>
  <c r="G297" i="13"/>
  <c r="H297" i="13"/>
  <c r="I297" i="13"/>
  <c r="E298" i="13"/>
  <c r="F298" i="13"/>
  <c r="G298" i="13"/>
  <c r="H298" i="13"/>
  <c r="I298" i="13"/>
  <c r="E299" i="13"/>
  <c r="F299" i="13"/>
  <c r="G299" i="13"/>
  <c r="H299" i="13"/>
  <c r="I299" i="13"/>
  <c r="E300" i="13"/>
  <c r="F300" i="13"/>
  <c r="G300" i="13"/>
  <c r="H300" i="13"/>
  <c r="I300" i="13"/>
  <c r="E301" i="13"/>
  <c r="F301" i="13"/>
  <c r="G301" i="13"/>
  <c r="H301" i="13"/>
  <c r="I301" i="13"/>
  <c r="E302" i="13"/>
  <c r="F302" i="13"/>
  <c r="G302" i="13"/>
  <c r="H302" i="13"/>
  <c r="I302" i="13"/>
  <c r="E303" i="13"/>
  <c r="F303" i="13"/>
  <c r="G303" i="13"/>
  <c r="H303" i="13"/>
  <c r="I303" i="13"/>
  <c r="E304" i="13"/>
  <c r="F304" i="13"/>
  <c r="G304" i="13"/>
  <c r="H304" i="13"/>
  <c r="I304" i="13"/>
  <c r="E305" i="13"/>
  <c r="F305" i="13"/>
  <c r="G305" i="13"/>
  <c r="H305" i="13"/>
  <c r="I305" i="13"/>
  <c r="E306" i="13"/>
  <c r="F306" i="13"/>
  <c r="G306" i="13"/>
  <c r="H306" i="13"/>
  <c r="I306" i="13"/>
  <c r="E307" i="13"/>
  <c r="F307" i="13"/>
  <c r="G307" i="13"/>
  <c r="H307" i="13"/>
  <c r="I307" i="13"/>
  <c r="E308" i="13"/>
  <c r="F308" i="13"/>
  <c r="G308" i="13"/>
  <c r="H308" i="13"/>
  <c r="I308" i="13"/>
  <c r="E309" i="13"/>
  <c r="F309" i="13"/>
  <c r="G309" i="13"/>
  <c r="H309" i="13"/>
  <c r="I309" i="13"/>
  <c r="E310" i="13"/>
  <c r="F310" i="13"/>
  <c r="G310" i="13"/>
  <c r="H310" i="13"/>
  <c r="I310" i="13"/>
  <c r="E311" i="13"/>
  <c r="F311" i="13"/>
  <c r="G311" i="13"/>
  <c r="H311" i="13"/>
  <c r="I311" i="13"/>
  <c r="E312" i="13"/>
  <c r="F312" i="13"/>
  <c r="G312" i="13"/>
  <c r="H312" i="13"/>
  <c r="I312" i="13"/>
  <c r="E313" i="13"/>
  <c r="F313" i="13"/>
  <c r="G313" i="13"/>
  <c r="H313" i="13"/>
  <c r="I313" i="13"/>
  <c r="E314" i="13"/>
  <c r="F314" i="13"/>
  <c r="G314" i="13"/>
  <c r="H314" i="13"/>
  <c r="I314" i="13"/>
  <c r="E315" i="13"/>
  <c r="F315" i="13"/>
  <c r="G315" i="13"/>
  <c r="H315" i="13"/>
  <c r="I315" i="13"/>
  <c r="E316" i="13"/>
  <c r="F316" i="13"/>
  <c r="G316" i="13"/>
  <c r="H316" i="13"/>
  <c r="I316" i="13"/>
  <c r="E317" i="13"/>
  <c r="F317" i="13"/>
  <c r="G317" i="13"/>
  <c r="H317" i="13"/>
  <c r="I317" i="13"/>
  <c r="E318" i="13"/>
  <c r="F318" i="13"/>
  <c r="G318" i="13"/>
  <c r="H318" i="13"/>
  <c r="I318" i="13"/>
  <c r="E319" i="13"/>
  <c r="F319" i="13"/>
  <c r="G319" i="13"/>
  <c r="H319" i="13"/>
  <c r="I319" i="13"/>
  <c r="E320" i="13"/>
  <c r="F320" i="13"/>
  <c r="G320" i="13"/>
  <c r="H320" i="13"/>
  <c r="I320" i="13"/>
  <c r="E321" i="13"/>
  <c r="F321" i="13"/>
  <c r="G321" i="13"/>
  <c r="H321" i="13"/>
  <c r="I321" i="13"/>
  <c r="E322" i="13"/>
  <c r="F322" i="13"/>
  <c r="G322" i="13"/>
  <c r="H322" i="13"/>
  <c r="I322" i="13"/>
  <c r="E323" i="13"/>
  <c r="F323" i="13"/>
  <c r="G323" i="13"/>
  <c r="H323" i="13"/>
  <c r="I323" i="13"/>
  <c r="E324" i="13"/>
  <c r="F324" i="13"/>
  <c r="G324" i="13"/>
  <c r="H324" i="13"/>
  <c r="I324" i="13"/>
  <c r="E325" i="13"/>
  <c r="F325" i="13"/>
  <c r="G325" i="13"/>
  <c r="H325" i="13"/>
  <c r="I325" i="13"/>
  <c r="E326" i="13"/>
  <c r="F326" i="13"/>
  <c r="G326" i="13"/>
  <c r="H326" i="13"/>
  <c r="I326" i="13"/>
  <c r="E327" i="13"/>
  <c r="F327" i="13"/>
  <c r="G327" i="13"/>
  <c r="H327" i="13"/>
  <c r="I327" i="13"/>
  <c r="E328" i="13"/>
  <c r="F328" i="13"/>
  <c r="G328" i="13"/>
  <c r="H328" i="13"/>
  <c r="I328" i="13"/>
  <c r="E329" i="13"/>
  <c r="F329" i="13"/>
  <c r="G329" i="13"/>
  <c r="H329" i="13"/>
  <c r="I329" i="13"/>
  <c r="E330" i="13"/>
  <c r="F330" i="13"/>
  <c r="G330" i="13"/>
  <c r="H330" i="13"/>
  <c r="I330" i="13"/>
  <c r="E331" i="13"/>
  <c r="F331" i="13"/>
  <c r="G331" i="13"/>
  <c r="H331" i="13"/>
  <c r="I331" i="13"/>
  <c r="E332" i="13"/>
  <c r="F332" i="13"/>
  <c r="G332" i="13"/>
  <c r="H332" i="13"/>
  <c r="I332" i="13"/>
  <c r="E333" i="13"/>
  <c r="F333" i="13"/>
  <c r="G333" i="13"/>
  <c r="H333" i="13"/>
  <c r="I333" i="13"/>
  <c r="E334" i="13"/>
  <c r="F334" i="13"/>
  <c r="G334" i="13"/>
  <c r="H334" i="13"/>
  <c r="I334" i="13"/>
  <c r="E335" i="13"/>
  <c r="F335" i="13"/>
  <c r="G335" i="13"/>
  <c r="H335" i="13"/>
  <c r="I335" i="13"/>
  <c r="E336" i="13"/>
  <c r="F336" i="13"/>
  <c r="G336" i="13"/>
  <c r="H336" i="13"/>
  <c r="I336" i="13"/>
  <c r="E337" i="13"/>
  <c r="F337" i="13"/>
  <c r="G337" i="13"/>
  <c r="H337" i="13"/>
  <c r="I337" i="13"/>
  <c r="E338" i="13"/>
  <c r="F338" i="13"/>
  <c r="G338" i="13"/>
  <c r="H338" i="13"/>
  <c r="I338" i="13"/>
  <c r="E339" i="13"/>
  <c r="F339" i="13"/>
  <c r="G339" i="13"/>
  <c r="H339" i="13"/>
  <c r="I339" i="13"/>
  <c r="E340" i="13"/>
  <c r="F340" i="13"/>
  <c r="G340" i="13"/>
  <c r="H340" i="13"/>
  <c r="I340" i="13"/>
  <c r="E341" i="13"/>
  <c r="F341" i="13"/>
  <c r="G341" i="13"/>
  <c r="H341" i="13"/>
  <c r="I341" i="13"/>
  <c r="E342" i="13"/>
  <c r="F342" i="13"/>
  <c r="G342" i="13"/>
  <c r="H342" i="13"/>
  <c r="I342" i="13"/>
  <c r="E343" i="13"/>
  <c r="F343" i="13"/>
  <c r="G343" i="13"/>
  <c r="H343" i="13"/>
  <c r="I343" i="13"/>
  <c r="E344" i="13"/>
  <c r="F344" i="13"/>
  <c r="G344" i="13"/>
  <c r="H344" i="13"/>
  <c r="I344" i="13"/>
  <c r="E345" i="13"/>
  <c r="F345" i="13"/>
  <c r="G345" i="13"/>
  <c r="H345" i="13"/>
  <c r="I345" i="13"/>
  <c r="E346" i="13"/>
  <c r="F346" i="13"/>
  <c r="G346" i="13"/>
  <c r="H346" i="13"/>
  <c r="I346" i="13"/>
  <c r="E347" i="13"/>
  <c r="F347" i="13"/>
  <c r="G347" i="13"/>
  <c r="H347" i="13"/>
  <c r="I347" i="13"/>
  <c r="E348" i="13"/>
  <c r="F348" i="13"/>
  <c r="G348" i="13"/>
  <c r="H348" i="13"/>
  <c r="I348" i="13"/>
  <c r="E349" i="13"/>
  <c r="F349" i="13"/>
  <c r="G349" i="13"/>
  <c r="H349" i="13"/>
  <c r="I349" i="13"/>
  <c r="E350" i="13"/>
  <c r="F350" i="13"/>
  <c r="G350" i="13"/>
  <c r="H350" i="13"/>
  <c r="I350" i="13"/>
  <c r="E351" i="13"/>
  <c r="F351" i="13"/>
  <c r="G351" i="13"/>
  <c r="H351" i="13"/>
  <c r="I351" i="13"/>
  <c r="E352" i="13"/>
  <c r="F352" i="13"/>
  <c r="G352" i="13"/>
  <c r="H352" i="13"/>
  <c r="I352" i="13"/>
  <c r="E353" i="13"/>
  <c r="F353" i="13"/>
  <c r="G353" i="13"/>
  <c r="H353" i="13"/>
  <c r="I353" i="13"/>
  <c r="E354" i="13"/>
  <c r="F354" i="13"/>
  <c r="G354" i="13"/>
  <c r="H354" i="13"/>
  <c r="I354" i="13"/>
  <c r="E355" i="13"/>
  <c r="F355" i="13"/>
  <c r="G355" i="13"/>
  <c r="H355" i="13"/>
  <c r="I355" i="13"/>
  <c r="E356" i="13"/>
  <c r="F356" i="13"/>
  <c r="G356" i="13"/>
  <c r="H356" i="13"/>
  <c r="I356" i="13"/>
  <c r="E357" i="13"/>
  <c r="F357" i="13"/>
  <c r="G357" i="13"/>
  <c r="H357" i="13"/>
  <c r="I357" i="13"/>
  <c r="E358" i="13"/>
  <c r="F358" i="13"/>
  <c r="G358" i="13"/>
  <c r="H358" i="13"/>
  <c r="I358" i="13"/>
  <c r="E359" i="13"/>
  <c r="F359" i="13"/>
  <c r="G359" i="13"/>
  <c r="H359" i="13"/>
  <c r="I359" i="13"/>
  <c r="E360" i="13"/>
  <c r="F360" i="13"/>
  <c r="G360" i="13"/>
  <c r="H360" i="13"/>
  <c r="I360" i="13"/>
  <c r="E361" i="13"/>
  <c r="F361" i="13"/>
  <c r="G361" i="13"/>
  <c r="H361" i="13"/>
  <c r="I361" i="13"/>
  <c r="E362" i="13"/>
  <c r="F362" i="13"/>
  <c r="G362" i="13"/>
  <c r="H362" i="13"/>
  <c r="I362" i="13"/>
  <c r="E363" i="13"/>
  <c r="F363" i="13"/>
  <c r="G363" i="13"/>
  <c r="H363" i="13"/>
  <c r="I363" i="13"/>
  <c r="E364" i="13"/>
  <c r="F364" i="13"/>
  <c r="G364" i="13"/>
  <c r="H364" i="13"/>
  <c r="I364" i="13"/>
  <c r="E365" i="13"/>
  <c r="F365" i="13"/>
  <c r="G365" i="13"/>
  <c r="H365" i="13"/>
  <c r="I365" i="13"/>
  <c r="E366" i="13"/>
  <c r="F366" i="13"/>
  <c r="G366" i="13"/>
  <c r="H366" i="13"/>
  <c r="I366" i="13"/>
  <c r="E367" i="13"/>
  <c r="F367" i="13"/>
  <c r="G367" i="13"/>
  <c r="H367" i="13"/>
  <c r="I367" i="13"/>
  <c r="E368" i="13"/>
  <c r="F368" i="13"/>
  <c r="G368" i="13"/>
  <c r="H368" i="13"/>
  <c r="I368" i="13"/>
  <c r="E369" i="13"/>
  <c r="F369" i="13"/>
  <c r="G369" i="13"/>
  <c r="H369" i="13"/>
  <c r="I369" i="13"/>
  <c r="E370" i="13"/>
  <c r="F370" i="13"/>
  <c r="G370" i="13"/>
  <c r="H370" i="13"/>
  <c r="I370" i="13"/>
  <c r="E371" i="13"/>
  <c r="F371" i="13"/>
  <c r="G371" i="13"/>
  <c r="H371" i="13"/>
  <c r="I371" i="13"/>
  <c r="E372" i="13"/>
  <c r="F372" i="13"/>
  <c r="G372" i="13"/>
  <c r="H372" i="13"/>
  <c r="I372" i="13"/>
  <c r="E373" i="13"/>
  <c r="F373" i="13"/>
  <c r="G373" i="13"/>
  <c r="H373" i="13"/>
  <c r="I373" i="13"/>
  <c r="E374" i="13"/>
  <c r="F374" i="13"/>
  <c r="G374" i="13"/>
  <c r="H374" i="13"/>
  <c r="I374" i="13"/>
  <c r="E375" i="13"/>
  <c r="F375" i="13"/>
  <c r="G375" i="13"/>
  <c r="H375" i="13"/>
  <c r="I375" i="13"/>
  <c r="E376" i="13"/>
  <c r="F376" i="13"/>
  <c r="G376" i="13"/>
  <c r="H376" i="13"/>
  <c r="I376" i="13"/>
  <c r="E377" i="13"/>
  <c r="F377" i="13"/>
  <c r="G377" i="13"/>
  <c r="H377" i="13"/>
  <c r="I377" i="13"/>
  <c r="E378" i="13"/>
  <c r="F378" i="13"/>
  <c r="G378" i="13"/>
  <c r="H378" i="13"/>
  <c r="I378" i="13"/>
  <c r="E379" i="13"/>
  <c r="F379" i="13"/>
  <c r="G379" i="13"/>
  <c r="H379" i="13"/>
  <c r="I379" i="13"/>
  <c r="E380" i="13"/>
  <c r="F380" i="13"/>
  <c r="G380" i="13"/>
  <c r="H380" i="13"/>
  <c r="I380" i="13"/>
  <c r="E381" i="13"/>
  <c r="F381" i="13"/>
  <c r="G381" i="13"/>
  <c r="H381" i="13"/>
  <c r="I381" i="13"/>
  <c r="E382" i="13"/>
  <c r="F382" i="13"/>
  <c r="G382" i="13"/>
  <c r="H382" i="13"/>
  <c r="I382" i="13"/>
  <c r="E383" i="13"/>
  <c r="F383" i="13"/>
  <c r="G383" i="13"/>
  <c r="H383" i="13"/>
  <c r="I383" i="13"/>
  <c r="E384" i="13"/>
  <c r="F384" i="13"/>
  <c r="G384" i="13"/>
  <c r="H384" i="13"/>
  <c r="I384" i="13"/>
  <c r="E385" i="13"/>
  <c r="F385" i="13"/>
  <c r="G385" i="13"/>
  <c r="H385" i="13"/>
  <c r="I385" i="13"/>
  <c r="E386" i="13"/>
  <c r="F386" i="13"/>
  <c r="G386" i="13"/>
  <c r="H386" i="13"/>
  <c r="I386" i="13"/>
  <c r="E387" i="13"/>
  <c r="F387" i="13"/>
  <c r="G387" i="13"/>
  <c r="H387" i="13"/>
  <c r="I387" i="13"/>
  <c r="E388" i="13"/>
  <c r="F388" i="13"/>
  <c r="G388" i="13"/>
  <c r="H388" i="13"/>
  <c r="I388" i="13"/>
  <c r="E389" i="13"/>
  <c r="F389" i="13"/>
  <c r="G389" i="13"/>
  <c r="H389" i="13"/>
  <c r="I389" i="13"/>
  <c r="E390" i="13"/>
  <c r="F390" i="13"/>
  <c r="G390" i="13"/>
  <c r="H390" i="13"/>
  <c r="I390" i="13"/>
  <c r="E391" i="13"/>
  <c r="F391" i="13"/>
  <c r="G391" i="13"/>
  <c r="H391" i="13"/>
  <c r="I391" i="13"/>
  <c r="E392" i="13"/>
  <c r="F392" i="13"/>
  <c r="G392" i="13"/>
  <c r="H392" i="13"/>
  <c r="I392" i="13"/>
  <c r="E393" i="13"/>
  <c r="F393" i="13"/>
  <c r="G393" i="13"/>
  <c r="H393" i="13"/>
  <c r="I393" i="13"/>
  <c r="E394" i="13"/>
  <c r="F394" i="13"/>
  <c r="G394" i="13"/>
  <c r="H394" i="13"/>
  <c r="I394" i="13"/>
  <c r="E395" i="13"/>
  <c r="F395" i="13"/>
  <c r="G395" i="13"/>
  <c r="H395" i="13"/>
  <c r="I395" i="13"/>
  <c r="E396" i="13"/>
  <c r="F396" i="13"/>
  <c r="G396" i="13"/>
  <c r="H396" i="13"/>
  <c r="I396" i="13"/>
  <c r="E397" i="13"/>
  <c r="F397" i="13"/>
  <c r="G397" i="13"/>
  <c r="H397" i="13"/>
  <c r="I397" i="13"/>
  <c r="E398" i="13"/>
  <c r="F398" i="13"/>
  <c r="G398" i="13"/>
  <c r="H398" i="13"/>
  <c r="I398" i="13"/>
  <c r="E399" i="13"/>
  <c r="F399" i="13"/>
  <c r="G399" i="13"/>
  <c r="H399" i="13"/>
  <c r="I399" i="13"/>
  <c r="E400" i="13"/>
  <c r="F400" i="13"/>
  <c r="G400" i="13"/>
  <c r="H400" i="13"/>
  <c r="I400" i="13"/>
  <c r="E401" i="13"/>
  <c r="F401" i="13"/>
  <c r="G401" i="13"/>
  <c r="H401" i="13"/>
  <c r="I401" i="13"/>
  <c r="E402" i="13"/>
  <c r="F402" i="13"/>
  <c r="G402" i="13"/>
  <c r="H402" i="13"/>
  <c r="I402" i="13"/>
  <c r="E403" i="13"/>
  <c r="F403" i="13"/>
  <c r="G403" i="13"/>
  <c r="H403" i="13"/>
  <c r="I403" i="13"/>
  <c r="E404" i="13"/>
  <c r="F404" i="13"/>
  <c r="G404" i="13"/>
  <c r="H404" i="13"/>
  <c r="I404" i="13"/>
  <c r="E405" i="13"/>
  <c r="F405" i="13"/>
  <c r="G405" i="13"/>
  <c r="H405" i="13"/>
  <c r="I405" i="13"/>
  <c r="E406" i="13"/>
  <c r="F406" i="13"/>
  <c r="G406" i="13"/>
  <c r="H406" i="13"/>
  <c r="I406" i="13"/>
  <c r="E407" i="13"/>
  <c r="F407" i="13"/>
  <c r="G407" i="13"/>
  <c r="H407" i="13"/>
  <c r="I407" i="13"/>
  <c r="E408" i="13"/>
  <c r="F408" i="13"/>
  <c r="G408" i="13"/>
  <c r="H408" i="13"/>
  <c r="I408" i="13"/>
  <c r="E409" i="13"/>
  <c r="F409" i="13"/>
  <c r="G409" i="13"/>
  <c r="H409" i="13"/>
  <c r="I409" i="13"/>
  <c r="E410" i="13"/>
  <c r="F410" i="13"/>
  <c r="G410" i="13"/>
  <c r="H410" i="13"/>
  <c r="I410" i="13"/>
  <c r="E411" i="13"/>
  <c r="F411" i="13"/>
  <c r="G411" i="13"/>
  <c r="H411" i="13"/>
  <c r="I411" i="13"/>
  <c r="E412" i="13"/>
  <c r="F412" i="13"/>
  <c r="G412" i="13"/>
  <c r="H412" i="13"/>
  <c r="I412" i="13"/>
  <c r="E413" i="13"/>
  <c r="F413" i="13"/>
  <c r="G413" i="13"/>
  <c r="H413" i="13"/>
  <c r="AK352" i="7" s="1"/>
  <c r="I413" i="13"/>
  <c r="E414" i="13"/>
  <c r="F414" i="13"/>
  <c r="G414" i="13"/>
  <c r="H414" i="13"/>
  <c r="I414" i="13"/>
  <c r="E415" i="13"/>
  <c r="F415" i="13"/>
  <c r="G415" i="13"/>
  <c r="H415" i="13"/>
  <c r="I415" i="13"/>
  <c r="E416" i="13"/>
  <c r="F416" i="13"/>
  <c r="G416" i="13"/>
  <c r="H416" i="13"/>
  <c r="I416" i="13"/>
  <c r="E417" i="13"/>
  <c r="F417" i="13"/>
  <c r="G417" i="13"/>
  <c r="H417" i="13"/>
  <c r="I417" i="13"/>
  <c r="E418" i="13"/>
  <c r="F418" i="13"/>
  <c r="G418" i="13"/>
  <c r="H418" i="13"/>
  <c r="I418" i="13"/>
  <c r="E419" i="13"/>
  <c r="F419" i="13"/>
  <c r="G419" i="13"/>
  <c r="H419" i="13"/>
  <c r="I419" i="13"/>
  <c r="E420" i="13"/>
  <c r="F420" i="13"/>
  <c r="G420" i="13"/>
  <c r="H420" i="13"/>
  <c r="I420" i="13"/>
  <c r="E421" i="13"/>
  <c r="F421" i="13"/>
  <c r="G421" i="13"/>
  <c r="H421" i="13"/>
  <c r="I421" i="13"/>
  <c r="E422" i="13"/>
  <c r="F422" i="13"/>
  <c r="G422" i="13"/>
  <c r="H422" i="13"/>
  <c r="I422" i="13"/>
  <c r="E423" i="13"/>
  <c r="F423" i="13"/>
  <c r="G423" i="13"/>
  <c r="H423" i="13"/>
  <c r="I423" i="13"/>
  <c r="E424" i="13"/>
  <c r="F424" i="13"/>
  <c r="G424" i="13"/>
  <c r="H424" i="13"/>
  <c r="I424" i="13"/>
  <c r="E425" i="13"/>
  <c r="F425" i="13"/>
  <c r="G425" i="13"/>
  <c r="H425" i="13"/>
  <c r="I425" i="13"/>
  <c r="E426" i="13"/>
  <c r="F426" i="13"/>
  <c r="G426" i="13"/>
  <c r="H426" i="13"/>
  <c r="I426" i="13"/>
  <c r="E427" i="13"/>
  <c r="F427" i="13"/>
  <c r="G427" i="13"/>
  <c r="H427" i="13"/>
  <c r="I427" i="13"/>
  <c r="E428" i="13"/>
  <c r="F428" i="13"/>
  <c r="G428" i="13"/>
  <c r="H428" i="13"/>
  <c r="I428" i="13"/>
  <c r="E429" i="13"/>
  <c r="F429" i="13"/>
  <c r="G429" i="13"/>
  <c r="H429" i="13"/>
  <c r="I429" i="13"/>
  <c r="E430" i="13"/>
  <c r="F430" i="13"/>
  <c r="G430" i="13"/>
  <c r="H430" i="13"/>
  <c r="I430" i="13"/>
  <c r="E431" i="13"/>
  <c r="F431" i="13"/>
  <c r="G431" i="13"/>
  <c r="H431" i="13"/>
  <c r="I431" i="13"/>
  <c r="E432" i="13"/>
  <c r="F432" i="13"/>
  <c r="G432" i="13"/>
  <c r="H432" i="13"/>
  <c r="I432" i="13"/>
  <c r="E433" i="13"/>
  <c r="F433" i="13"/>
  <c r="G433" i="13"/>
  <c r="H433" i="13"/>
  <c r="I433" i="13"/>
  <c r="E434" i="13"/>
  <c r="F434" i="13"/>
  <c r="G434" i="13"/>
  <c r="H434" i="13"/>
  <c r="I434" i="13"/>
  <c r="E435" i="13"/>
  <c r="F435" i="13"/>
  <c r="G435" i="13"/>
  <c r="H435" i="13"/>
  <c r="I435" i="13"/>
  <c r="E436" i="13"/>
  <c r="F436" i="13"/>
  <c r="G436" i="13"/>
  <c r="H436" i="13"/>
  <c r="I436" i="13"/>
  <c r="E437" i="13"/>
  <c r="F437" i="13"/>
  <c r="G437" i="13"/>
  <c r="H437" i="13"/>
  <c r="I437" i="13"/>
  <c r="E438" i="13"/>
  <c r="F438" i="13"/>
  <c r="G438" i="13"/>
  <c r="H438" i="13"/>
  <c r="I438" i="13"/>
  <c r="E439" i="13"/>
  <c r="F439" i="13"/>
  <c r="G439" i="13"/>
  <c r="H439" i="13"/>
  <c r="I439" i="13"/>
  <c r="E440" i="13"/>
  <c r="F440" i="13"/>
  <c r="G440" i="13"/>
  <c r="H440" i="13"/>
  <c r="I440" i="13"/>
  <c r="E441" i="13"/>
  <c r="F441" i="13"/>
  <c r="G441" i="13"/>
  <c r="H441" i="13"/>
  <c r="I441" i="13"/>
  <c r="E442" i="13"/>
  <c r="F442" i="13"/>
  <c r="G442" i="13"/>
  <c r="H442" i="13"/>
  <c r="I442" i="13"/>
  <c r="E443" i="13"/>
  <c r="F443" i="13"/>
  <c r="G443" i="13"/>
  <c r="H443" i="13"/>
  <c r="I443" i="13"/>
  <c r="E444" i="13"/>
  <c r="F444" i="13"/>
  <c r="G444" i="13"/>
  <c r="H444" i="13"/>
  <c r="I444" i="13"/>
  <c r="E445" i="13"/>
  <c r="F445" i="13"/>
  <c r="G445" i="13"/>
  <c r="H445" i="13"/>
  <c r="I445" i="13"/>
  <c r="E446" i="13"/>
  <c r="F446" i="13"/>
  <c r="G446" i="13"/>
  <c r="H446" i="13"/>
  <c r="I446" i="13"/>
  <c r="E447" i="13"/>
  <c r="F447" i="13"/>
  <c r="G447" i="13"/>
  <c r="H447" i="13"/>
  <c r="I447" i="13"/>
  <c r="E448" i="13"/>
  <c r="F448" i="13"/>
  <c r="G448" i="13"/>
  <c r="H448" i="13"/>
  <c r="I448" i="13"/>
  <c r="E449" i="13"/>
  <c r="F449" i="13"/>
  <c r="G449" i="13"/>
  <c r="H449" i="13"/>
  <c r="I449" i="13"/>
  <c r="E450" i="13"/>
  <c r="F450" i="13"/>
  <c r="G450" i="13"/>
  <c r="H450" i="13"/>
  <c r="I450" i="13"/>
  <c r="E451" i="13"/>
  <c r="F451" i="13"/>
  <c r="G451" i="13"/>
  <c r="H451" i="13"/>
  <c r="I451" i="13"/>
  <c r="E452" i="13"/>
  <c r="F452" i="13"/>
  <c r="G452" i="13"/>
  <c r="H452" i="13"/>
  <c r="I452" i="13"/>
  <c r="E453" i="13"/>
  <c r="F453" i="13"/>
  <c r="G453" i="13"/>
  <c r="H453" i="13"/>
  <c r="I453" i="13"/>
  <c r="E454" i="13"/>
  <c r="F454" i="13"/>
  <c r="G454" i="13"/>
  <c r="H454" i="13"/>
  <c r="I454" i="13"/>
  <c r="E455" i="13"/>
  <c r="F455" i="13"/>
  <c r="G455" i="13"/>
  <c r="H455" i="13"/>
  <c r="I455" i="13"/>
  <c r="E456" i="13"/>
  <c r="F456" i="13"/>
  <c r="G456" i="13"/>
  <c r="H456" i="13"/>
  <c r="I456" i="13"/>
  <c r="E457" i="13"/>
  <c r="F457" i="13"/>
  <c r="G457" i="13"/>
  <c r="H457" i="13"/>
  <c r="I457" i="13"/>
  <c r="E458" i="13"/>
  <c r="F458" i="13"/>
  <c r="G458" i="13"/>
  <c r="H458" i="13"/>
  <c r="I458" i="13"/>
  <c r="E459" i="13"/>
  <c r="F459" i="13"/>
  <c r="G459" i="13"/>
  <c r="H459" i="13"/>
  <c r="I459" i="13"/>
  <c r="E460" i="13"/>
  <c r="F460" i="13"/>
  <c r="G460" i="13"/>
  <c r="H460" i="13"/>
  <c r="I460" i="13"/>
  <c r="E461" i="13"/>
  <c r="F461" i="13"/>
  <c r="G461" i="13"/>
  <c r="H461" i="13"/>
  <c r="I461" i="13"/>
  <c r="E462" i="13"/>
  <c r="F462" i="13"/>
  <c r="G462" i="13"/>
  <c r="H462" i="13"/>
  <c r="I462" i="13"/>
  <c r="E463" i="13"/>
  <c r="F463" i="13"/>
  <c r="G463" i="13"/>
  <c r="H463" i="13"/>
  <c r="I463" i="13"/>
  <c r="E464" i="13"/>
  <c r="F464" i="13"/>
  <c r="G464" i="13"/>
  <c r="H464" i="13"/>
  <c r="I464" i="13"/>
  <c r="E465" i="13"/>
  <c r="F465" i="13"/>
  <c r="G465" i="13"/>
  <c r="H465" i="13"/>
  <c r="I465" i="13"/>
  <c r="E466" i="13"/>
  <c r="F466" i="13"/>
  <c r="G466" i="13"/>
  <c r="H466" i="13"/>
  <c r="I466" i="13"/>
  <c r="E467" i="13"/>
  <c r="F467" i="13"/>
  <c r="G467" i="13"/>
  <c r="H467" i="13"/>
  <c r="I467" i="13"/>
  <c r="E468" i="13"/>
  <c r="F468" i="13"/>
  <c r="G468" i="13"/>
  <c r="H468" i="13"/>
  <c r="I468" i="13"/>
  <c r="E469" i="13"/>
  <c r="F469" i="13"/>
  <c r="G469" i="13"/>
  <c r="H469" i="13"/>
  <c r="I469" i="13"/>
  <c r="E470" i="13"/>
  <c r="F470" i="13"/>
  <c r="G470" i="13"/>
  <c r="H470" i="13"/>
  <c r="I470" i="13"/>
  <c r="E471" i="13"/>
  <c r="F471" i="13"/>
  <c r="G471" i="13"/>
  <c r="H471" i="13"/>
  <c r="I471" i="13"/>
  <c r="E472" i="13"/>
  <c r="F472" i="13"/>
  <c r="G472" i="13"/>
  <c r="H472" i="13"/>
  <c r="I472" i="13"/>
  <c r="E473" i="13"/>
  <c r="F473" i="13"/>
  <c r="G473" i="13"/>
  <c r="H473" i="13"/>
  <c r="I473" i="13"/>
  <c r="E474" i="13"/>
  <c r="F474" i="13"/>
  <c r="G474" i="13"/>
  <c r="H474" i="13"/>
  <c r="I474" i="13"/>
  <c r="E475" i="13"/>
  <c r="F475" i="13"/>
  <c r="G475" i="13"/>
  <c r="H475" i="13"/>
  <c r="I475" i="13"/>
  <c r="E476" i="13"/>
  <c r="F476" i="13"/>
  <c r="G476" i="13"/>
  <c r="H476" i="13"/>
  <c r="I476" i="13"/>
  <c r="E477" i="13"/>
  <c r="F477" i="13"/>
  <c r="G477" i="13"/>
  <c r="H477" i="13"/>
  <c r="I477" i="13"/>
  <c r="E478" i="13"/>
  <c r="F478" i="13"/>
  <c r="G478" i="13"/>
  <c r="H478" i="13"/>
  <c r="I478" i="13"/>
  <c r="E479" i="13"/>
  <c r="F479" i="13"/>
  <c r="G479" i="13"/>
  <c r="H479" i="13"/>
  <c r="I479" i="13"/>
  <c r="E480" i="13"/>
  <c r="F480" i="13"/>
  <c r="G480" i="13"/>
  <c r="H480" i="13"/>
  <c r="I480" i="13"/>
  <c r="E481" i="13"/>
  <c r="F481" i="13"/>
  <c r="G481" i="13"/>
  <c r="H481" i="13"/>
  <c r="I481" i="13"/>
  <c r="E482" i="13"/>
  <c r="F482" i="13"/>
  <c r="G482" i="13"/>
  <c r="H482" i="13"/>
  <c r="I482" i="13"/>
  <c r="E483" i="13"/>
  <c r="F483" i="13"/>
  <c r="G483" i="13"/>
  <c r="H483" i="13"/>
  <c r="I483" i="13"/>
  <c r="E484" i="13"/>
  <c r="F484" i="13"/>
  <c r="G484" i="13"/>
  <c r="H484" i="13"/>
  <c r="I484" i="13"/>
  <c r="E485" i="13"/>
  <c r="F485" i="13"/>
  <c r="G485" i="13"/>
  <c r="H485" i="13"/>
  <c r="I485" i="13"/>
  <c r="E486" i="13"/>
  <c r="F486" i="13"/>
  <c r="G486" i="13"/>
  <c r="H486" i="13"/>
  <c r="I486" i="13"/>
  <c r="E487" i="13"/>
  <c r="F487" i="13"/>
  <c r="G487" i="13"/>
  <c r="H487" i="13"/>
  <c r="I487" i="13"/>
  <c r="E488" i="13"/>
  <c r="F488" i="13"/>
  <c r="G488" i="13"/>
  <c r="H488" i="13"/>
  <c r="I488" i="13"/>
  <c r="E489" i="13"/>
  <c r="F489" i="13"/>
  <c r="G489" i="13"/>
  <c r="H489" i="13"/>
  <c r="I489" i="13"/>
  <c r="E490" i="13"/>
  <c r="F490" i="13"/>
  <c r="G490" i="13"/>
  <c r="H490" i="13"/>
  <c r="I490" i="13"/>
  <c r="E491" i="13"/>
  <c r="F491" i="13"/>
  <c r="G491" i="13"/>
  <c r="H491" i="13"/>
  <c r="I491" i="13"/>
  <c r="E492" i="13"/>
  <c r="F492" i="13"/>
  <c r="G492" i="13"/>
  <c r="H492" i="13"/>
  <c r="I492" i="13"/>
  <c r="E493" i="13"/>
  <c r="F493" i="13"/>
  <c r="G493" i="13"/>
  <c r="H493" i="13"/>
  <c r="I493" i="13"/>
  <c r="E494" i="13"/>
  <c r="F494" i="13"/>
  <c r="G494" i="13"/>
  <c r="H494" i="13"/>
  <c r="I494" i="13"/>
  <c r="E495" i="13"/>
  <c r="F495" i="13"/>
  <c r="G495" i="13"/>
  <c r="H495" i="13"/>
  <c r="I495" i="13"/>
  <c r="E496" i="13"/>
  <c r="F496" i="13"/>
  <c r="G496" i="13"/>
  <c r="H496" i="13"/>
  <c r="I496" i="13"/>
  <c r="E497" i="13"/>
  <c r="F497" i="13"/>
  <c r="G497" i="13"/>
  <c r="H497" i="13"/>
  <c r="I497" i="13"/>
  <c r="E498" i="13"/>
  <c r="F498" i="13"/>
  <c r="G498" i="13"/>
  <c r="H498" i="13"/>
  <c r="I498" i="13"/>
  <c r="E499" i="13"/>
  <c r="F499" i="13"/>
  <c r="G499" i="13"/>
  <c r="H499" i="13"/>
  <c r="I499" i="13"/>
  <c r="E500" i="13"/>
  <c r="F500" i="13"/>
  <c r="G500" i="13"/>
  <c r="H500" i="13"/>
  <c r="I500" i="13"/>
  <c r="E501" i="13"/>
  <c r="F501" i="13"/>
  <c r="G501" i="13"/>
  <c r="H501" i="13"/>
  <c r="I501" i="13"/>
  <c r="E502" i="13"/>
  <c r="F502" i="13"/>
  <c r="G502" i="13"/>
  <c r="H502" i="13"/>
  <c r="I502" i="13"/>
  <c r="E503" i="13"/>
  <c r="F503" i="13"/>
  <c r="G503" i="13"/>
  <c r="H503" i="13"/>
  <c r="I503" i="13"/>
  <c r="E504" i="13"/>
  <c r="F504" i="13"/>
  <c r="G504" i="13"/>
  <c r="H504" i="13"/>
  <c r="I504" i="13"/>
  <c r="E505" i="13"/>
  <c r="F505" i="13"/>
  <c r="G505" i="13"/>
  <c r="H505" i="13"/>
  <c r="I505" i="13"/>
  <c r="E506" i="13"/>
  <c r="F506" i="13"/>
  <c r="G506" i="13"/>
  <c r="H506" i="13"/>
  <c r="I506" i="13"/>
  <c r="E507" i="13"/>
  <c r="F507" i="13"/>
  <c r="G507" i="13"/>
  <c r="H507" i="13"/>
  <c r="I507" i="13"/>
  <c r="E508" i="13"/>
  <c r="F508" i="13"/>
  <c r="G508" i="13"/>
  <c r="H508" i="13"/>
  <c r="I508" i="13"/>
  <c r="E509" i="13"/>
  <c r="F509" i="13"/>
  <c r="G509" i="13"/>
  <c r="H509" i="13"/>
  <c r="I509" i="13"/>
  <c r="E510" i="13"/>
  <c r="F510" i="13"/>
  <c r="G510" i="13"/>
  <c r="H510" i="13"/>
  <c r="I510" i="13"/>
  <c r="E511" i="13"/>
  <c r="F511" i="13"/>
  <c r="G511" i="13"/>
  <c r="H511" i="13"/>
  <c r="I511" i="13"/>
  <c r="E512" i="13"/>
  <c r="F512" i="13"/>
  <c r="G512" i="13"/>
  <c r="H512" i="13"/>
  <c r="I512" i="13"/>
  <c r="E513" i="13"/>
  <c r="F513" i="13"/>
  <c r="G513" i="13"/>
  <c r="H513" i="13"/>
  <c r="I513" i="13"/>
  <c r="E514" i="13"/>
  <c r="F514" i="13"/>
  <c r="G514" i="13"/>
  <c r="H514" i="13"/>
  <c r="I514" i="13"/>
  <c r="E515" i="13"/>
  <c r="F515" i="13"/>
  <c r="G515" i="13"/>
  <c r="H515" i="13"/>
  <c r="I515" i="13"/>
  <c r="E516" i="13"/>
  <c r="F516" i="13"/>
  <c r="G516" i="13"/>
  <c r="H516" i="13"/>
  <c r="I516" i="13"/>
  <c r="E517" i="13"/>
  <c r="F517" i="13"/>
  <c r="G517" i="13"/>
  <c r="H517" i="13"/>
  <c r="I517" i="13"/>
  <c r="E518" i="13"/>
  <c r="F518" i="13"/>
  <c r="G518" i="13"/>
  <c r="H518" i="13"/>
  <c r="I518" i="13"/>
  <c r="E519" i="13"/>
  <c r="F519" i="13"/>
  <c r="G519" i="13"/>
  <c r="H519" i="13"/>
  <c r="I519" i="13"/>
  <c r="E520" i="13"/>
  <c r="F520" i="13"/>
  <c r="G520" i="13"/>
  <c r="H520" i="13"/>
  <c r="I520" i="13"/>
  <c r="E521" i="13"/>
  <c r="F521" i="13"/>
  <c r="G521" i="13"/>
  <c r="H521" i="13"/>
  <c r="I521" i="13"/>
  <c r="E522" i="13"/>
  <c r="F522" i="13"/>
  <c r="G522" i="13"/>
  <c r="H522" i="13"/>
  <c r="I522" i="13"/>
  <c r="E523" i="13"/>
  <c r="F523" i="13"/>
  <c r="G523" i="13"/>
  <c r="H523" i="13"/>
  <c r="I523" i="13"/>
  <c r="E524" i="13"/>
  <c r="F524" i="13"/>
  <c r="G524" i="13"/>
  <c r="H524" i="13"/>
  <c r="I524" i="13"/>
  <c r="E525" i="13"/>
  <c r="F525" i="13"/>
  <c r="G525" i="13"/>
  <c r="H525" i="13"/>
  <c r="I525" i="13"/>
  <c r="E526" i="13"/>
  <c r="F526" i="13"/>
  <c r="G526" i="13"/>
  <c r="H526" i="13"/>
  <c r="I526" i="13"/>
  <c r="E527" i="13"/>
  <c r="F527" i="13"/>
  <c r="G527" i="13"/>
  <c r="H527" i="13"/>
  <c r="I527" i="13"/>
  <c r="E528" i="13"/>
  <c r="F528" i="13"/>
  <c r="G528" i="13"/>
  <c r="H528" i="13"/>
  <c r="I528" i="13"/>
  <c r="E529" i="13"/>
  <c r="F529" i="13"/>
  <c r="G529" i="13"/>
  <c r="H529" i="13"/>
  <c r="I529" i="13"/>
  <c r="E530" i="13"/>
  <c r="F530" i="13"/>
  <c r="G530" i="13"/>
  <c r="H530" i="13"/>
  <c r="I530" i="13"/>
  <c r="E531" i="13"/>
  <c r="F531" i="13"/>
  <c r="G531" i="13"/>
  <c r="H531" i="13"/>
  <c r="I531" i="13"/>
  <c r="E532" i="13"/>
  <c r="F532" i="13"/>
  <c r="G532" i="13"/>
  <c r="H532" i="13"/>
  <c r="I532" i="13"/>
  <c r="E533" i="13"/>
  <c r="F533" i="13"/>
  <c r="G533" i="13"/>
  <c r="H533" i="13"/>
  <c r="I533" i="13"/>
  <c r="E534" i="13"/>
  <c r="F534" i="13"/>
  <c r="G534" i="13"/>
  <c r="H534" i="13"/>
  <c r="I534" i="13"/>
  <c r="E535" i="13"/>
  <c r="F535" i="13"/>
  <c r="G535" i="13"/>
  <c r="H535" i="13"/>
  <c r="I535" i="13"/>
  <c r="E536" i="13"/>
  <c r="F536" i="13"/>
  <c r="G536" i="13"/>
  <c r="H536" i="13"/>
  <c r="I536" i="13"/>
  <c r="E537" i="13"/>
  <c r="F537" i="13"/>
  <c r="G537" i="13"/>
  <c r="H537" i="13"/>
  <c r="I537" i="13"/>
  <c r="E538" i="13"/>
  <c r="F538" i="13"/>
  <c r="G538" i="13"/>
  <c r="H538" i="13"/>
  <c r="I538" i="13"/>
  <c r="E539" i="13"/>
  <c r="F539" i="13"/>
  <c r="G539" i="13"/>
  <c r="H539" i="13"/>
  <c r="I539" i="13"/>
  <c r="E540" i="13"/>
  <c r="F540" i="13"/>
  <c r="G540" i="13"/>
  <c r="H540" i="13"/>
  <c r="I540" i="13"/>
  <c r="E541" i="13"/>
  <c r="F541" i="13"/>
  <c r="G541" i="13"/>
  <c r="H541" i="13"/>
  <c r="I541" i="13"/>
  <c r="E542" i="13"/>
  <c r="F542" i="13"/>
  <c r="G542" i="13"/>
  <c r="H542" i="13"/>
  <c r="I542" i="13"/>
  <c r="E543" i="13"/>
  <c r="F543" i="13"/>
  <c r="G543" i="13"/>
  <c r="H543" i="13"/>
  <c r="I543" i="13"/>
  <c r="E544" i="13"/>
  <c r="F544" i="13"/>
  <c r="G544" i="13"/>
  <c r="H544" i="13"/>
  <c r="I544" i="13"/>
  <c r="E545" i="13"/>
  <c r="F545" i="13"/>
  <c r="G545" i="13"/>
  <c r="H545" i="13"/>
  <c r="I545" i="13"/>
  <c r="E546" i="13"/>
  <c r="F546" i="13"/>
  <c r="G546" i="13"/>
  <c r="H546" i="13"/>
  <c r="I546" i="13"/>
  <c r="E547" i="13"/>
  <c r="F547" i="13"/>
  <c r="G547" i="13"/>
  <c r="H547" i="13"/>
  <c r="I547" i="13"/>
  <c r="E548" i="13"/>
  <c r="F548" i="13"/>
  <c r="G548" i="13"/>
  <c r="H548" i="13"/>
  <c r="I548" i="13"/>
  <c r="E549" i="13"/>
  <c r="F549" i="13"/>
  <c r="G549" i="13"/>
  <c r="H549" i="13"/>
  <c r="I549" i="13"/>
  <c r="E550" i="13"/>
  <c r="F550" i="13"/>
  <c r="G550" i="13"/>
  <c r="H550" i="13"/>
  <c r="I550" i="13"/>
  <c r="E551" i="13"/>
  <c r="F551" i="13"/>
  <c r="G551" i="13"/>
  <c r="H551" i="13"/>
  <c r="I551" i="13"/>
  <c r="E552" i="13"/>
  <c r="F552" i="13"/>
  <c r="G552" i="13"/>
  <c r="H552" i="13"/>
  <c r="I552" i="13"/>
  <c r="E553" i="13"/>
  <c r="F553" i="13"/>
  <c r="G553" i="13"/>
  <c r="H553" i="13"/>
  <c r="I553" i="13"/>
  <c r="E554" i="13"/>
  <c r="F554" i="13"/>
  <c r="G554" i="13"/>
  <c r="H554" i="13"/>
  <c r="I554" i="13"/>
  <c r="E555" i="13"/>
  <c r="F555" i="13"/>
  <c r="G555" i="13"/>
  <c r="H555" i="13"/>
  <c r="I555" i="13"/>
  <c r="E556" i="13"/>
  <c r="F556" i="13"/>
  <c r="G556" i="13"/>
  <c r="H556" i="13"/>
  <c r="I556" i="13"/>
  <c r="E557" i="13"/>
  <c r="F557" i="13"/>
  <c r="G557" i="13"/>
  <c r="H557" i="13"/>
  <c r="I557" i="13"/>
  <c r="E558" i="13"/>
  <c r="F558" i="13"/>
  <c r="G558" i="13"/>
  <c r="H558" i="13"/>
  <c r="I558" i="13"/>
  <c r="E559" i="13"/>
  <c r="F559" i="13"/>
  <c r="G559" i="13"/>
  <c r="H559" i="13"/>
  <c r="I559" i="13"/>
  <c r="E560" i="13"/>
  <c r="F560" i="13"/>
  <c r="G560" i="13"/>
  <c r="H560" i="13"/>
  <c r="I560" i="13"/>
  <c r="E561" i="13"/>
  <c r="F561" i="13"/>
  <c r="G561" i="13"/>
  <c r="H561" i="13"/>
  <c r="I561" i="13"/>
  <c r="E562" i="13"/>
  <c r="F562" i="13"/>
  <c r="G562" i="13"/>
  <c r="H562" i="13"/>
  <c r="I562" i="13"/>
  <c r="E563" i="13"/>
  <c r="F563" i="13"/>
  <c r="G563" i="13"/>
  <c r="H563" i="13"/>
  <c r="I563" i="13"/>
  <c r="E564" i="13"/>
  <c r="F564" i="13"/>
  <c r="G564" i="13"/>
  <c r="H564" i="13"/>
  <c r="I564" i="13"/>
  <c r="E565" i="13"/>
  <c r="F565" i="13"/>
  <c r="G565" i="13"/>
  <c r="H565" i="13"/>
  <c r="I565" i="13"/>
  <c r="E566" i="13"/>
  <c r="F566" i="13"/>
  <c r="G566" i="13"/>
  <c r="H566" i="13"/>
  <c r="I566" i="13"/>
  <c r="E567" i="13"/>
  <c r="F567" i="13"/>
  <c r="G567" i="13"/>
  <c r="H567" i="13"/>
  <c r="I567" i="13"/>
  <c r="E568" i="13"/>
  <c r="F568" i="13"/>
  <c r="G568" i="13"/>
  <c r="H568" i="13"/>
  <c r="I568" i="13"/>
  <c r="E569" i="13"/>
  <c r="F569" i="13"/>
  <c r="G569" i="13"/>
  <c r="H569" i="13"/>
  <c r="I569" i="13"/>
  <c r="E570" i="13"/>
  <c r="F570" i="13"/>
  <c r="G570" i="13"/>
  <c r="H570" i="13"/>
  <c r="I570" i="13"/>
  <c r="E571" i="13"/>
  <c r="F571" i="13"/>
  <c r="G571" i="13"/>
  <c r="H571" i="13"/>
  <c r="I571" i="13"/>
  <c r="E572" i="13"/>
  <c r="F572" i="13"/>
  <c r="G572" i="13"/>
  <c r="H572" i="13"/>
  <c r="I572" i="13"/>
  <c r="E573" i="13"/>
  <c r="F573" i="13"/>
  <c r="G573" i="13"/>
  <c r="H573" i="13"/>
  <c r="I573" i="13"/>
  <c r="E574" i="13"/>
  <c r="F574" i="13"/>
  <c r="G574" i="13"/>
  <c r="H574" i="13"/>
  <c r="I574" i="13"/>
  <c r="E575" i="13"/>
  <c r="F575" i="13"/>
  <c r="G575" i="13"/>
  <c r="H575" i="13"/>
  <c r="I575" i="13"/>
  <c r="E576" i="13"/>
  <c r="F576" i="13"/>
  <c r="G576" i="13"/>
  <c r="H576" i="13"/>
  <c r="I576" i="13"/>
  <c r="E577" i="13"/>
  <c r="F577" i="13"/>
  <c r="G577" i="13"/>
  <c r="H577" i="13"/>
  <c r="I577" i="13"/>
  <c r="E578" i="13"/>
  <c r="F578" i="13"/>
  <c r="G578" i="13"/>
  <c r="H578" i="13"/>
  <c r="I578" i="13"/>
  <c r="E579" i="13"/>
  <c r="F579" i="13"/>
  <c r="G579" i="13"/>
  <c r="H579" i="13"/>
  <c r="I579" i="13"/>
  <c r="E580" i="13"/>
  <c r="F580" i="13"/>
  <c r="G580" i="13"/>
  <c r="H580" i="13"/>
  <c r="I580" i="13"/>
  <c r="E581" i="13"/>
  <c r="F581" i="13"/>
  <c r="G581" i="13"/>
  <c r="H581" i="13"/>
  <c r="I581" i="13"/>
  <c r="E582" i="13"/>
  <c r="F582" i="13"/>
  <c r="G582" i="13"/>
  <c r="H582" i="13"/>
  <c r="I582" i="13"/>
  <c r="E583" i="13"/>
  <c r="F583" i="13"/>
  <c r="G583" i="13"/>
  <c r="H583" i="13"/>
  <c r="I583" i="13"/>
  <c r="E584" i="13"/>
  <c r="F584" i="13"/>
  <c r="G584" i="13"/>
  <c r="H584" i="13"/>
  <c r="I584" i="13"/>
  <c r="E585" i="13"/>
  <c r="F585" i="13"/>
  <c r="G585" i="13"/>
  <c r="H585" i="13"/>
  <c r="I585" i="13"/>
  <c r="E586" i="13"/>
  <c r="F586" i="13"/>
  <c r="G586" i="13"/>
  <c r="H586" i="13"/>
  <c r="I586" i="13"/>
  <c r="E587" i="13"/>
  <c r="F587" i="13"/>
  <c r="G587" i="13"/>
  <c r="H587" i="13"/>
  <c r="I587" i="13"/>
  <c r="E588" i="13"/>
  <c r="F588" i="13"/>
  <c r="G588" i="13"/>
  <c r="H588" i="13"/>
  <c r="I588" i="13"/>
  <c r="E589" i="13"/>
  <c r="F589" i="13"/>
  <c r="G589" i="13"/>
  <c r="H589" i="13"/>
  <c r="I589" i="13"/>
  <c r="E590" i="13"/>
  <c r="F590" i="13"/>
  <c r="G590" i="13"/>
  <c r="H590" i="13"/>
  <c r="I590" i="13"/>
  <c r="E591" i="13"/>
  <c r="F591" i="13"/>
  <c r="G591" i="13"/>
  <c r="H591" i="13"/>
  <c r="I591" i="13"/>
  <c r="E592" i="13"/>
  <c r="F592" i="13"/>
  <c r="G592" i="13"/>
  <c r="H592" i="13"/>
  <c r="I592" i="13"/>
  <c r="E593" i="13"/>
  <c r="F593" i="13"/>
  <c r="G593" i="13"/>
  <c r="H593" i="13"/>
  <c r="I593" i="13"/>
  <c r="E594" i="13"/>
  <c r="F594" i="13"/>
  <c r="G594" i="13"/>
  <c r="H594" i="13"/>
  <c r="I594" i="13"/>
  <c r="E595" i="13"/>
  <c r="F595" i="13"/>
  <c r="G595" i="13"/>
  <c r="H595" i="13"/>
  <c r="I595" i="13"/>
  <c r="E596" i="13"/>
  <c r="F596" i="13"/>
  <c r="G596" i="13"/>
  <c r="H596" i="13"/>
  <c r="I596" i="13"/>
  <c r="E597" i="13"/>
  <c r="F597" i="13"/>
  <c r="G597" i="13"/>
  <c r="H597" i="13"/>
  <c r="I597" i="13"/>
  <c r="E598" i="13"/>
  <c r="F598" i="13"/>
  <c r="G598" i="13"/>
  <c r="H598" i="13"/>
  <c r="I598" i="13"/>
  <c r="E599" i="13"/>
  <c r="F599" i="13"/>
  <c r="G599" i="13"/>
  <c r="H599" i="13"/>
  <c r="I599" i="13"/>
  <c r="E600" i="13"/>
  <c r="F600" i="13"/>
  <c r="G600" i="13"/>
  <c r="H600" i="13"/>
  <c r="I600" i="13"/>
  <c r="E601" i="13"/>
  <c r="F601" i="13"/>
  <c r="G601" i="13"/>
  <c r="H601" i="13"/>
  <c r="I601" i="13"/>
  <c r="E602" i="13"/>
  <c r="F602" i="13"/>
  <c r="G602" i="13"/>
  <c r="H602" i="13"/>
  <c r="I602" i="13"/>
  <c r="E603" i="13"/>
  <c r="F603" i="13"/>
  <c r="G603" i="13"/>
  <c r="H603" i="13"/>
  <c r="I603" i="13"/>
  <c r="E604" i="13"/>
  <c r="F604" i="13"/>
  <c r="G604" i="13"/>
  <c r="H604" i="13"/>
  <c r="I604" i="13"/>
  <c r="E605" i="13"/>
  <c r="F605" i="13"/>
  <c r="G605" i="13"/>
  <c r="H605" i="13"/>
  <c r="I605" i="13"/>
  <c r="E606" i="13"/>
  <c r="F606" i="13"/>
  <c r="G606" i="13"/>
  <c r="H606" i="13"/>
  <c r="I606" i="13"/>
  <c r="E607" i="13"/>
  <c r="F607" i="13"/>
  <c r="G607" i="13"/>
  <c r="H607" i="13"/>
  <c r="I607" i="13"/>
  <c r="E608" i="13"/>
  <c r="F608" i="13"/>
  <c r="G608" i="13"/>
  <c r="H608" i="13"/>
  <c r="I608" i="13"/>
  <c r="E609" i="13"/>
  <c r="F609" i="13"/>
  <c r="G609" i="13"/>
  <c r="H609" i="13"/>
  <c r="I609" i="13"/>
  <c r="E610" i="13"/>
  <c r="F610" i="13"/>
  <c r="G610" i="13"/>
  <c r="H610" i="13"/>
  <c r="I610" i="13"/>
  <c r="E611" i="13"/>
  <c r="F611" i="13"/>
  <c r="G611" i="13"/>
  <c r="H611" i="13"/>
  <c r="I611" i="13"/>
  <c r="E612" i="13"/>
  <c r="F612" i="13"/>
  <c r="G612" i="13"/>
  <c r="H612" i="13"/>
  <c r="I612" i="13"/>
  <c r="E613" i="13"/>
  <c r="F613" i="13"/>
  <c r="G613" i="13"/>
  <c r="H613" i="13"/>
  <c r="I613" i="13"/>
  <c r="E614" i="13"/>
  <c r="F614" i="13"/>
  <c r="G614" i="13"/>
  <c r="H614" i="13"/>
  <c r="I614" i="13"/>
  <c r="E615" i="13"/>
  <c r="F615" i="13"/>
  <c r="G615" i="13"/>
  <c r="H615" i="13"/>
  <c r="I615" i="13"/>
  <c r="E616" i="13"/>
  <c r="F616" i="13"/>
  <c r="G616" i="13"/>
  <c r="H616" i="13"/>
  <c r="I616" i="13"/>
  <c r="E617" i="13"/>
  <c r="F617" i="13"/>
  <c r="G617" i="13"/>
  <c r="H617" i="13"/>
  <c r="I617" i="13"/>
  <c r="E618" i="13"/>
  <c r="F618" i="13"/>
  <c r="G618" i="13"/>
  <c r="H618" i="13"/>
  <c r="I618" i="13"/>
  <c r="E619" i="13"/>
  <c r="F619" i="13"/>
  <c r="G619" i="13"/>
  <c r="H619" i="13"/>
  <c r="I619" i="13"/>
  <c r="E620" i="13"/>
  <c r="F620" i="13"/>
  <c r="G620" i="13"/>
  <c r="H620" i="13"/>
  <c r="I620" i="13"/>
  <c r="E621" i="13"/>
  <c r="F621" i="13"/>
  <c r="G621" i="13"/>
  <c r="H621" i="13"/>
  <c r="D69" i="17" s="1"/>
  <c r="J69" i="17" s="1"/>
  <c r="I621" i="13"/>
  <c r="E622" i="13"/>
  <c r="F622" i="13"/>
  <c r="G622" i="13"/>
  <c r="H622" i="13"/>
  <c r="I622" i="13"/>
  <c r="E623" i="13"/>
  <c r="F623" i="13"/>
  <c r="G623" i="13"/>
  <c r="H623" i="13"/>
  <c r="I623" i="13"/>
  <c r="E624" i="13"/>
  <c r="F624" i="13"/>
  <c r="G624" i="13"/>
  <c r="H624" i="13"/>
  <c r="I624" i="13"/>
  <c r="E625" i="13"/>
  <c r="F625" i="13"/>
  <c r="G625" i="13"/>
  <c r="H625" i="13"/>
  <c r="I625" i="13"/>
  <c r="E626" i="13"/>
  <c r="F626" i="13"/>
  <c r="G626" i="13"/>
  <c r="H626" i="13"/>
  <c r="I626" i="13"/>
  <c r="E627" i="13"/>
  <c r="F627" i="13"/>
  <c r="G627" i="13"/>
  <c r="H627" i="13"/>
  <c r="I627" i="13"/>
  <c r="E628" i="13"/>
  <c r="F628" i="13"/>
  <c r="G628" i="13"/>
  <c r="H628" i="13"/>
  <c r="I628" i="13"/>
  <c r="E629" i="13"/>
  <c r="F629" i="13"/>
  <c r="G629" i="13"/>
  <c r="H629" i="13"/>
  <c r="I629" i="13"/>
  <c r="E630" i="13"/>
  <c r="F630" i="13"/>
  <c r="G630" i="13"/>
  <c r="H630" i="13"/>
  <c r="I630" i="13"/>
  <c r="E631" i="13"/>
  <c r="F631" i="13"/>
  <c r="G631" i="13"/>
  <c r="H631" i="13"/>
  <c r="I631" i="13"/>
  <c r="E632" i="13"/>
  <c r="F632" i="13"/>
  <c r="G632" i="13"/>
  <c r="H632" i="13"/>
  <c r="I632" i="13"/>
  <c r="E633" i="13"/>
  <c r="F633" i="13"/>
  <c r="G633" i="13"/>
  <c r="H633" i="13"/>
  <c r="I633" i="13"/>
  <c r="E634" i="13"/>
  <c r="F634" i="13"/>
  <c r="G634" i="13"/>
  <c r="H634" i="13"/>
  <c r="I634" i="13"/>
  <c r="E635" i="13"/>
  <c r="F635" i="13"/>
  <c r="G635" i="13"/>
  <c r="H635" i="13"/>
  <c r="I635" i="13"/>
  <c r="E636" i="13"/>
  <c r="F636" i="13"/>
  <c r="G636" i="13"/>
  <c r="H636" i="13"/>
  <c r="I636" i="13"/>
  <c r="E637" i="13"/>
  <c r="F637" i="13"/>
  <c r="G637" i="13"/>
  <c r="H637" i="13"/>
  <c r="I637" i="13"/>
  <c r="E638" i="13"/>
  <c r="F638" i="13"/>
  <c r="G638" i="13"/>
  <c r="H638" i="13"/>
  <c r="I638" i="13"/>
  <c r="E639" i="13"/>
  <c r="F639" i="13"/>
  <c r="G639" i="13"/>
  <c r="H639" i="13"/>
  <c r="I639" i="13"/>
  <c r="E640" i="13"/>
  <c r="F640" i="13"/>
  <c r="G640" i="13"/>
  <c r="H640" i="13"/>
  <c r="I640" i="13"/>
  <c r="E641" i="13"/>
  <c r="F641" i="13"/>
  <c r="G641" i="13"/>
  <c r="H641" i="13"/>
  <c r="I641" i="13"/>
  <c r="E642" i="13"/>
  <c r="F642" i="13"/>
  <c r="G642" i="13"/>
  <c r="H642" i="13"/>
  <c r="I642" i="13"/>
  <c r="E643" i="13"/>
  <c r="F643" i="13"/>
  <c r="G643" i="13"/>
  <c r="H643" i="13"/>
  <c r="I643" i="13"/>
  <c r="E644" i="13"/>
  <c r="F644" i="13"/>
  <c r="G644" i="13"/>
  <c r="H644" i="13"/>
  <c r="I644" i="13"/>
  <c r="E645" i="13"/>
  <c r="F645" i="13"/>
  <c r="G645" i="13"/>
  <c r="H645" i="13"/>
  <c r="I645" i="13"/>
  <c r="E646" i="13"/>
  <c r="F646" i="13"/>
  <c r="G646" i="13"/>
  <c r="H646" i="13"/>
  <c r="I646" i="13"/>
  <c r="E647" i="13"/>
  <c r="F647" i="13"/>
  <c r="G647" i="13"/>
  <c r="H647" i="13"/>
  <c r="I647" i="13"/>
  <c r="E648" i="13"/>
  <c r="F648" i="13"/>
  <c r="G648" i="13"/>
  <c r="H648" i="13"/>
  <c r="I648" i="13"/>
  <c r="E649" i="13"/>
  <c r="F649" i="13"/>
  <c r="G649" i="13"/>
  <c r="H649" i="13"/>
  <c r="I649" i="13"/>
  <c r="E650" i="13"/>
  <c r="F650" i="13"/>
  <c r="G650" i="13"/>
  <c r="H650" i="13"/>
  <c r="I650" i="13"/>
  <c r="E651" i="13"/>
  <c r="F651" i="13"/>
  <c r="G651" i="13"/>
  <c r="H651" i="13"/>
  <c r="I651" i="13"/>
  <c r="E652" i="13"/>
  <c r="F652" i="13"/>
  <c r="G652" i="13"/>
  <c r="H652" i="13"/>
  <c r="I652" i="13"/>
  <c r="E653" i="13"/>
  <c r="F653" i="13"/>
  <c r="G653" i="13"/>
  <c r="H653" i="13"/>
  <c r="I653" i="13"/>
  <c r="E654" i="13"/>
  <c r="F654" i="13"/>
  <c r="G654" i="13"/>
  <c r="H654" i="13"/>
  <c r="I654" i="13"/>
  <c r="E655" i="13"/>
  <c r="F655" i="13"/>
  <c r="G655" i="13"/>
  <c r="H655" i="13"/>
  <c r="I655" i="13"/>
  <c r="E656" i="13"/>
  <c r="F656" i="13"/>
  <c r="G656" i="13"/>
  <c r="H656" i="13"/>
  <c r="I656" i="13"/>
  <c r="E657" i="13"/>
  <c r="F657" i="13"/>
  <c r="G657" i="13"/>
  <c r="H657" i="13"/>
  <c r="I657" i="13"/>
  <c r="E658" i="13"/>
  <c r="F658" i="13"/>
  <c r="G658" i="13"/>
  <c r="H658" i="13"/>
  <c r="I658" i="13"/>
  <c r="E659" i="13"/>
  <c r="F659" i="13"/>
  <c r="G659" i="13"/>
  <c r="H659" i="13"/>
  <c r="I659" i="13"/>
  <c r="E660" i="13"/>
  <c r="F660" i="13"/>
  <c r="G660" i="13"/>
  <c r="H660" i="13"/>
  <c r="I660" i="13"/>
  <c r="E661" i="13"/>
  <c r="F661" i="13"/>
  <c r="G661" i="13"/>
  <c r="H661" i="13"/>
  <c r="I661" i="13"/>
  <c r="E662" i="13"/>
  <c r="F662" i="13"/>
  <c r="G662" i="13"/>
  <c r="H662" i="13"/>
  <c r="I662" i="13"/>
  <c r="E663" i="13"/>
  <c r="F663" i="13"/>
  <c r="G663" i="13"/>
  <c r="H663" i="13"/>
  <c r="I663" i="13"/>
  <c r="E664" i="13"/>
  <c r="F664" i="13"/>
  <c r="G664" i="13"/>
  <c r="H664" i="13"/>
  <c r="I664" i="13"/>
  <c r="E665" i="13"/>
  <c r="F665" i="13"/>
  <c r="G665" i="13"/>
  <c r="H665" i="13"/>
  <c r="I665" i="13"/>
  <c r="E666" i="13"/>
  <c r="F666" i="13"/>
  <c r="G666" i="13"/>
  <c r="H666" i="13"/>
  <c r="I666" i="13"/>
  <c r="E667" i="13"/>
  <c r="F667" i="13"/>
  <c r="G667" i="13"/>
  <c r="H667" i="13"/>
  <c r="I667" i="13"/>
  <c r="E668" i="13"/>
  <c r="F668" i="13"/>
  <c r="G668" i="13"/>
  <c r="H668" i="13"/>
  <c r="I668" i="13"/>
  <c r="E669" i="13"/>
  <c r="F669" i="13"/>
  <c r="G669" i="13"/>
  <c r="H669" i="13"/>
  <c r="I669" i="13"/>
  <c r="E670" i="13"/>
  <c r="F670" i="13"/>
  <c r="G670" i="13"/>
  <c r="H670" i="13"/>
  <c r="I670" i="13"/>
  <c r="E671" i="13"/>
  <c r="F671" i="13"/>
  <c r="G671" i="13"/>
  <c r="H671" i="13"/>
  <c r="I671" i="13"/>
  <c r="E672" i="13"/>
  <c r="F672" i="13"/>
  <c r="G672" i="13"/>
  <c r="H672" i="13"/>
  <c r="I672" i="13"/>
  <c r="E673" i="13"/>
  <c r="F673" i="13"/>
  <c r="G673" i="13"/>
  <c r="H673" i="13"/>
  <c r="I673" i="13"/>
  <c r="E674" i="13"/>
  <c r="F674" i="13"/>
  <c r="G674" i="13"/>
  <c r="H674" i="13"/>
  <c r="I674" i="13"/>
  <c r="E675" i="13"/>
  <c r="F675" i="13"/>
  <c r="G675" i="13"/>
  <c r="H675" i="13"/>
  <c r="I675" i="13"/>
  <c r="E676" i="13"/>
  <c r="F676" i="13"/>
  <c r="G676" i="13"/>
  <c r="H676" i="13"/>
  <c r="I676" i="13"/>
  <c r="E677" i="13"/>
  <c r="F677" i="13"/>
  <c r="G677" i="13"/>
  <c r="H677" i="13"/>
  <c r="I677" i="13"/>
  <c r="E678" i="13"/>
  <c r="F678" i="13"/>
  <c r="G678" i="13"/>
  <c r="H678" i="13"/>
  <c r="I678" i="13"/>
  <c r="E679" i="13"/>
  <c r="F679" i="13"/>
  <c r="G679" i="13"/>
  <c r="H679" i="13"/>
  <c r="I679" i="13"/>
  <c r="E680" i="13"/>
  <c r="F680" i="13"/>
  <c r="G680" i="13"/>
  <c r="H680" i="13"/>
  <c r="I680" i="13"/>
  <c r="E681" i="13"/>
  <c r="F681" i="13"/>
  <c r="G681" i="13"/>
  <c r="H681" i="13"/>
  <c r="I681" i="13"/>
  <c r="E682" i="13"/>
  <c r="F682" i="13"/>
  <c r="G682" i="13"/>
  <c r="H682" i="13"/>
  <c r="I682" i="13"/>
  <c r="E683" i="13"/>
  <c r="F683" i="13"/>
  <c r="G683" i="13"/>
  <c r="H683" i="13"/>
  <c r="I683" i="13"/>
  <c r="E684" i="13"/>
  <c r="F684" i="13"/>
  <c r="G684" i="13"/>
  <c r="H684" i="13"/>
  <c r="I684" i="13"/>
  <c r="E685" i="13"/>
  <c r="F685" i="13"/>
  <c r="G685" i="13"/>
  <c r="H685" i="13"/>
  <c r="I685" i="13"/>
  <c r="E686" i="13"/>
  <c r="F686" i="13"/>
  <c r="G686" i="13"/>
  <c r="H686" i="13"/>
  <c r="I686" i="13"/>
  <c r="E687" i="13"/>
  <c r="F687" i="13"/>
  <c r="G687" i="13"/>
  <c r="H687" i="13"/>
  <c r="I687" i="13"/>
  <c r="E688" i="13"/>
  <c r="F688" i="13"/>
  <c r="G688" i="13"/>
  <c r="H688" i="13"/>
  <c r="I688" i="13"/>
  <c r="E689" i="13"/>
  <c r="F689" i="13"/>
  <c r="G689" i="13"/>
  <c r="H689" i="13"/>
  <c r="I689" i="13"/>
  <c r="E690" i="13"/>
  <c r="F690" i="13"/>
  <c r="G690" i="13"/>
  <c r="H690" i="13"/>
  <c r="I690" i="13"/>
  <c r="E691" i="13"/>
  <c r="F691" i="13"/>
  <c r="G691" i="13"/>
  <c r="H691" i="13"/>
  <c r="I691" i="13"/>
  <c r="E692" i="13"/>
  <c r="F692" i="13"/>
  <c r="G692" i="13"/>
  <c r="H692" i="13"/>
  <c r="I692" i="13"/>
  <c r="E693" i="13"/>
  <c r="F693" i="13"/>
  <c r="G693" i="13"/>
  <c r="H693" i="13"/>
  <c r="I693" i="13"/>
  <c r="E694" i="13"/>
  <c r="F694" i="13"/>
  <c r="G694" i="13"/>
  <c r="H694" i="13"/>
  <c r="I694" i="13"/>
  <c r="E695" i="13"/>
  <c r="F695" i="13"/>
  <c r="G695" i="13"/>
  <c r="H695" i="13"/>
  <c r="I695" i="13"/>
  <c r="E696" i="13"/>
  <c r="F696" i="13"/>
  <c r="G696" i="13"/>
  <c r="H696" i="13"/>
  <c r="I696" i="13"/>
  <c r="E697" i="13"/>
  <c r="F697" i="13"/>
  <c r="G697" i="13"/>
  <c r="H697" i="13"/>
  <c r="I697" i="13"/>
  <c r="E698" i="13"/>
  <c r="F698" i="13"/>
  <c r="G698" i="13"/>
  <c r="H698" i="13"/>
  <c r="I698" i="13"/>
  <c r="E699" i="13"/>
  <c r="F699" i="13"/>
  <c r="G699" i="13"/>
  <c r="H699" i="13"/>
  <c r="I699" i="13"/>
  <c r="E700" i="13"/>
  <c r="F700" i="13"/>
  <c r="G700" i="13"/>
  <c r="H700" i="13"/>
  <c r="I700" i="13"/>
  <c r="E701" i="13"/>
  <c r="F701" i="13"/>
  <c r="G701" i="13"/>
  <c r="H701" i="13"/>
  <c r="I701" i="13"/>
  <c r="E702" i="13"/>
  <c r="F702" i="13"/>
  <c r="G702" i="13"/>
  <c r="H702" i="13"/>
  <c r="I702" i="13"/>
  <c r="E703" i="13"/>
  <c r="F703" i="13"/>
  <c r="G703" i="13"/>
  <c r="H703" i="13"/>
  <c r="I703" i="13"/>
  <c r="E704" i="13"/>
  <c r="F704" i="13"/>
  <c r="G704" i="13"/>
  <c r="H704" i="13"/>
  <c r="I704" i="13"/>
  <c r="E705" i="13"/>
  <c r="F705" i="13"/>
  <c r="G705" i="13"/>
  <c r="H705" i="13"/>
  <c r="I705" i="13"/>
  <c r="E706" i="13"/>
  <c r="F706" i="13"/>
  <c r="G706" i="13"/>
  <c r="H706" i="13"/>
  <c r="I706" i="13"/>
  <c r="E707" i="13"/>
  <c r="F707" i="13"/>
  <c r="G707" i="13"/>
  <c r="H707" i="13"/>
  <c r="I707" i="13"/>
  <c r="E708" i="13"/>
  <c r="F708" i="13"/>
  <c r="G708" i="13"/>
  <c r="H708" i="13"/>
  <c r="I708" i="13"/>
  <c r="E709" i="13"/>
  <c r="F709" i="13"/>
  <c r="G709" i="13"/>
  <c r="H709" i="13"/>
  <c r="I709" i="13"/>
  <c r="E710" i="13"/>
  <c r="F710" i="13"/>
  <c r="G710" i="13"/>
  <c r="H710" i="13"/>
  <c r="I710" i="13"/>
  <c r="E711" i="13"/>
  <c r="F711" i="13"/>
  <c r="G711" i="13"/>
  <c r="H711" i="13"/>
  <c r="I711" i="13"/>
  <c r="E712" i="13"/>
  <c r="F712" i="13"/>
  <c r="G712" i="13"/>
  <c r="H712" i="13"/>
  <c r="I712" i="13"/>
  <c r="E713" i="13"/>
  <c r="F713" i="13"/>
  <c r="G713" i="13"/>
  <c r="H713" i="13"/>
  <c r="I713" i="13"/>
  <c r="E714" i="13"/>
  <c r="F714" i="13"/>
  <c r="G714" i="13"/>
  <c r="H714" i="13"/>
  <c r="I714" i="13"/>
  <c r="E715" i="13"/>
  <c r="F715" i="13"/>
  <c r="G715" i="13"/>
  <c r="H715" i="13"/>
  <c r="I715" i="13"/>
  <c r="E716" i="13"/>
  <c r="F716" i="13"/>
  <c r="G716" i="13"/>
  <c r="H716" i="13"/>
  <c r="I716" i="13"/>
  <c r="E717" i="13"/>
  <c r="F717" i="13"/>
  <c r="G717" i="13"/>
  <c r="H717" i="13"/>
  <c r="I717" i="13"/>
  <c r="E718" i="13"/>
  <c r="F718" i="13"/>
  <c r="G718" i="13"/>
  <c r="H718" i="13"/>
  <c r="I718" i="13"/>
  <c r="E719" i="13"/>
  <c r="F719" i="13"/>
  <c r="G719" i="13"/>
  <c r="H719" i="13"/>
  <c r="I719" i="13"/>
  <c r="E720" i="13"/>
  <c r="F720" i="13"/>
  <c r="G720" i="13"/>
  <c r="H720" i="13"/>
  <c r="I720" i="13"/>
  <c r="E721" i="13"/>
  <c r="F721" i="13"/>
  <c r="G721" i="13"/>
  <c r="H721" i="13"/>
  <c r="I721" i="13"/>
  <c r="E722" i="13"/>
  <c r="F722" i="13"/>
  <c r="G722" i="13"/>
  <c r="H722" i="13"/>
  <c r="I722" i="13"/>
  <c r="E723" i="13"/>
  <c r="F723" i="13"/>
  <c r="G723" i="13"/>
  <c r="H723" i="13"/>
  <c r="I723" i="13"/>
  <c r="E724" i="13"/>
  <c r="F724" i="13"/>
  <c r="G724" i="13"/>
  <c r="H724" i="13"/>
  <c r="I724" i="13"/>
  <c r="E725" i="13"/>
  <c r="F725" i="13"/>
  <c r="G725" i="13"/>
  <c r="H725" i="13"/>
  <c r="I725" i="13"/>
  <c r="E726" i="13"/>
  <c r="F726" i="13"/>
  <c r="G726" i="13"/>
  <c r="H726" i="13"/>
  <c r="I726" i="13"/>
  <c r="E727" i="13"/>
  <c r="F727" i="13"/>
  <c r="G727" i="13"/>
  <c r="H727" i="13"/>
  <c r="I727" i="13"/>
  <c r="E728" i="13"/>
  <c r="F728" i="13"/>
  <c r="G728" i="13"/>
  <c r="H728" i="13"/>
  <c r="I728" i="13"/>
  <c r="E729" i="13"/>
  <c r="F729" i="13"/>
  <c r="G729" i="13"/>
  <c r="H729" i="13"/>
  <c r="I729" i="13"/>
  <c r="E730" i="13"/>
  <c r="F730" i="13"/>
  <c r="G730" i="13"/>
  <c r="H730" i="13"/>
  <c r="I730" i="13"/>
  <c r="E731" i="13"/>
  <c r="F731" i="13"/>
  <c r="G731" i="13"/>
  <c r="H731" i="13"/>
  <c r="I731" i="13"/>
  <c r="E732" i="13"/>
  <c r="F732" i="13"/>
  <c r="G732" i="13"/>
  <c r="H732" i="13"/>
  <c r="I732" i="13"/>
  <c r="E733" i="13"/>
  <c r="F733" i="13"/>
  <c r="G733" i="13"/>
  <c r="H733" i="13"/>
  <c r="I733" i="13"/>
  <c r="E734" i="13"/>
  <c r="F734" i="13"/>
  <c r="G734" i="13"/>
  <c r="H734" i="13"/>
  <c r="I734" i="13"/>
  <c r="E735" i="13"/>
  <c r="F735" i="13"/>
  <c r="G735" i="13"/>
  <c r="H735" i="13"/>
  <c r="I735" i="13"/>
  <c r="E736" i="13"/>
  <c r="F736" i="13"/>
  <c r="G736" i="13"/>
  <c r="H736" i="13"/>
  <c r="I736" i="13"/>
  <c r="E737" i="13"/>
  <c r="F737" i="13"/>
  <c r="G737" i="13"/>
  <c r="H737" i="13"/>
  <c r="I737" i="13"/>
  <c r="E738" i="13"/>
  <c r="F738" i="13"/>
  <c r="G738" i="13"/>
  <c r="H738" i="13"/>
  <c r="I738" i="13"/>
  <c r="E739" i="13"/>
  <c r="F739" i="13"/>
  <c r="G739" i="13"/>
  <c r="H739" i="13"/>
  <c r="I739" i="13"/>
  <c r="E740" i="13"/>
  <c r="F740" i="13"/>
  <c r="G740" i="13"/>
  <c r="H740" i="13"/>
  <c r="I740" i="13"/>
  <c r="E741" i="13"/>
  <c r="F741" i="13"/>
  <c r="G741" i="13"/>
  <c r="H741" i="13"/>
  <c r="I741" i="13"/>
  <c r="E742" i="13"/>
  <c r="F742" i="13"/>
  <c r="G742" i="13"/>
  <c r="H742" i="13"/>
  <c r="I742" i="13"/>
  <c r="E743" i="13"/>
  <c r="F743" i="13"/>
  <c r="G743" i="13"/>
  <c r="H743" i="13"/>
  <c r="I743" i="13"/>
  <c r="E744" i="13"/>
  <c r="F744" i="13"/>
  <c r="G744" i="13"/>
  <c r="H744" i="13"/>
  <c r="I744" i="13"/>
  <c r="E745" i="13"/>
  <c r="F745" i="13"/>
  <c r="G745" i="13"/>
  <c r="H745" i="13"/>
  <c r="I745" i="13"/>
  <c r="E746" i="13"/>
  <c r="F746" i="13"/>
  <c r="G746" i="13"/>
  <c r="H746" i="13"/>
  <c r="I746" i="13"/>
  <c r="E747" i="13"/>
  <c r="F747" i="13"/>
  <c r="G747" i="13"/>
  <c r="H747" i="13"/>
  <c r="I747" i="13"/>
  <c r="E748" i="13"/>
  <c r="F748" i="13"/>
  <c r="G748" i="13"/>
  <c r="H748" i="13"/>
  <c r="I748" i="13"/>
  <c r="E749" i="13"/>
  <c r="F749" i="13"/>
  <c r="G749" i="13"/>
  <c r="H749" i="13"/>
  <c r="I749" i="13"/>
  <c r="E750" i="13"/>
  <c r="F750" i="13"/>
  <c r="G750" i="13"/>
  <c r="H750" i="13"/>
  <c r="I750" i="13"/>
  <c r="E751" i="13"/>
  <c r="F751" i="13"/>
  <c r="G751" i="13"/>
  <c r="H751" i="13"/>
  <c r="I751" i="13"/>
  <c r="E752" i="13"/>
  <c r="F752" i="13"/>
  <c r="G752" i="13"/>
  <c r="H752" i="13"/>
  <c r="I752" i="13"/>
  <c r="E753" i="13"/>
  <c r="F753" i="13"/>
  <c r="G753" i="13"/>
  <c r="H753" i="13"/>
  <c r="I753" i="13"/>
  <c r="E754" i="13"/>
  <c r="F754" i="13"/>
  <c r="G754" i="13"/>
  <c r="H754" i="13"/>
  <c r="I754" i="13"/>
  <c r="E755" i="13"/>
  <c r="F755" i="13"/>
  <c r="G755" i="13"/>
  <c r="H755" i="13"/>
  <c r="I755" i="13"/>
  <c r="E756" i="13"/>
  <c r="F756" i="13"/>
  <c r="G756" i="13"/>
  <c r="H756" i="13"/>
  <c r="I756" i="13"/>
  <c r="E757" i="13"/>
  <c r="F757" i="13"/>
  <c r="G757" i="13"/>
  <c r="H757" i="13"/>
  <c r="I757" i="13"/>
  <c r="E758" i="13"/>
  <c r="F758" i="13"/>
  <c r="G758" i="13"/>
  <c r="H758" i="13"/>
  <c r="I758" i="13"/>
  <c r="E759" i="13"/>
  <c r="F759" i="13"/>
  <c r="G759" i="13"/>
  <c r="H759" i="13"/>
  <c r="I759" i="13"/>
  <c r="E760" i="13"/>
  <c r="F760" i="13"/>
  <c r="G760" i="13"/>
  <c r="H760" i="13"/>
  <c r="I760" i="13"/>
  <c r="E761" i="13"/>
  <c r="F761" i="13"/>
  <c r="G761" i="13"/>
  <c r="H761" i="13"/>
  <c r="I761" i="13"/>
  <c r="E762" i="13"/>
  <c r="F762" i="13"/>
  <c r="G762" i="13"/>
  <c r="H762" i="13"/>
  <c r="I762" i="13"/>
  <c r="E763" i="13"/>
  <c r="F763" i="13"/>
  <c r="G763" i="13"/>
  <c r="H763" i="13"/>
  <c r="I763" i="13"/>
  <c r="E764" i="13"/>
  <c r="F764" i="13"/>
  <c r="G764" i="13"/>
  <c r="H764" i="13"/>
  <c r="I764" i="13"/>
  <c r="E765" i="13"/>
  <c r="F765" i="13"/>
  <c r="G765" i="13"/>
  <c r="H765" i="13"/>
  <c r="I765" i="13"/>
  <c r="E766" i="13"/>
  <c r="F766" i="13"/>
  <c r="G766" i="13"/>
  <c r="H766" i="13"/>
  <c r="I766" i="13"/>
  <c r="E767" i="13"/>
  <c r="F767" i="13"/>
  <c r="G767" i="13"/>
  <c r="H767" i="13"/>
  <c r="I767" i="13"/>
  <c r="E768" i="13"/>
  <c r="F768" i="13"/>
  <c r="G768" i="13"/>
  <c r="H768" i="13"/>
  <c r="I768" i="13"/>
  <c r="E769" i="13"/>
  <c r="F769" i="13"/>
  <c r="G769" i="13"/>
  <c r="H769" i="13"/>
  <c r="I769" i="13"/>
  <c r="E770" i="13"/>
  <c r="F770" i="13"/>
  <c r="G770" i="13"/>
  <c r="H770" i="13"/>
  <c r="I770" i="13"/>
  <c r="E771" i="13"/>
  <c r="F771" i="13"/>
  <c r="G771" i="13"/>
  <c r="H771" i="13"/>
  <c r="I771" i="13"/>
  <c r="E772" i="13"/>
  <c r="F772" i="13"/>
  <c r="G772" i="13"/>
  <c r="H772" i="13"/>
  <c r="I772" i="13"/>
  <c r="E773" i="13"/>
  <c r="F773" i="13"/>
  <c r="G773" i="13"/>
  <c r="H773" i="13"/>
  <c r="I773" i="13"/>
  <c r="E774" i="13"/>
  <c r="F774" i="13"/>
  <c r="G774" i="13"/>
  <c r="H774" i="13"/>
  <c r="I774" i="13"/>
  <c r="E775" i="13"/>
  <c r="F775" i="13"/>
  <c r="G775" i="13"/>
  <c r="H775" i="13"/>
  <c r="I775" i="13"/>
  <c r="E776" i="13"/>
  <c r="F776" i="13"/>
  <c r="G776" i="13"/>
  <c r="H776" i="13"/>
  <c r="I776" i="13"/>
  <c r="E777" i="13"/>
  <c r="F777" i="13"/>
  <c r="G777" i="13"/>
  <c r="H777" i="13"/>
  <c r="I777" i="13"/>
  <c r="E778" i="13"/>
  <c r="F778" i="13"/>
  <c r="G778" i="13"/>
  <c r="H778" i="13"/>
  <c r="I778" i="13"/>
  <c r="E779" i="13"/>
  <c r="F779" i="13"/>
  <c r="G779" i="13"/>
  <c r="H779" i="13"/>
  <c r="I779" i="13"/>
  <c r="E780" i="13"/>
  <c r="F780" i="13"/>
  <c r="G780" i="13"/>
  <c r="H780" i="13"/>
  <c r="I780" i="13"/>
  <c r="E781" i="13"/>
  <c r="F781" i="13"/>
  <c r="G781" i="13"/>
  <c r="H781" i="13"/>
  <c r="I781" i="13"/>
  <c r="E782" i="13"/>
  <c r="F782" i="13"/>
  <c r="G782" i="13"/>
  <c r="H782" i="13"/>
  <c r="I782" i="13"/>
  <c r="E783" i="13"/>
  <c r="F783" i="13"/>
  <c r="G783" i="13"/>
  <c r="H783" i="13"/>
  <c r="I783" i="13"/>
  <c r="E784" i="13"/>
  <c r="F784" i="13"/>
  <c r="G784" i="13"/>
  <c r="H784" i="13"/>
  <c r="I784" i="13"/>
  <c r="E785" i="13"/>
  <c r="F785" i="13"/>
  <c r="G785" i="13"/>
  <c r="H785" i="13"/>
  <c r="I785" i="13"/>
  <c r="E786" i="13"/>
  <c r="F786" i="13"/>
  <c r="G786" i="13"/>
  <c r="H786" i="13"/>
  <c r="I786" i="13"/>
  <c r="E787" i="13"/>
  <c r="F787" i="13"/>
  <c r="G787" i="13"/>
  <c r="H787" i="13"/>
  <c r="I787" i="13"/>
  <c r="E788" i="13"/>
  <c r="F788" i="13"/>
  <c r="G788" i="13"/>
  <c r="H788" i="13"/>
  <c r="I788" i="13"/>
  <c r="E789" i="13"/>
  <c r="F789" i="13"/>
  <c r="G789" i="13"/>
  <c r="H789" i="13"/>
  <c r="I789" i="13"/>
  <c r="E790" i="13"/>
  <c r="F790" i="13"/>
  <c r="G790" i="13"/>
  <c r="H790" i="13"/>
  <c r="I790" i="13"/>
  <c r="E791" i="13"/>
  <c r="F791" i="13"/>
  <c r="G791" i="13"/>
  <c r="H791" i="13"/>
  <c r="I791" i="13"/>
  <c r="E792" i="13"/>
  <c r="F792" i="13"/>
  <c r="G792" i="13"/>
  <c r="H792" i="13"/>
  <c r="I792" i="13"/>
  <c r="E793" i="13"/>
  <c r="F793" i="13"/>
  <c r="G793" i="13"/>
  <c r="H793" i="13"/>
  <c r="I793" i="13"/>
  <c r="E794" i="13"/>
  <c r="F794" i="13"/>
  <c r="G794" i="13"/>
  <c r="H794" i="13"/>
  <c r="I794" i="13"/>
  <c r="E795" i="13"/>
  <c r="F795" i="13"/>
  <c r="G795" i="13"/>
  <c r="H795" i="13"/>
  <c r="I795" i="13"/>
  <c r="E796" i="13"/>
  <c r="F796" i="13"/>
  <c r="G796" i="13"/>
  <c r="H796" i="13"/>
  <c r="I796" i="13"/>
  <c r="E797" i="13"/>
  <c r="F797" i="13"/>
  <c r="G797" i="13"/>
  <c r="H797" i="13"/>
  <c r="I797" i="13"/>
  <c r="E798" i="13"/>
  <c r="F798" i="13"/>
  <c r="G798" i="13"/>
  <c r="H798" i="13"/>
  <c r="I798" i="13"/>
  <c r="E799" i="13"/>
  <c r="F799" i="13"/>
  <c r="G799" i="13"/>
  <c r="H799" i="13"/>
  <c r="I799" i="13"/>
  <c r="E800" i="13"/>
  <c r="F800" i="13"/>
  <c r="G800" i="13"/>
  <c r="H800" i="13"/>
  <c r="I800" i="13"/>
  <c r="E801" i="13"/>
  <c r="F801" i="13"/>
  <c r="G801" i="13"/>
  <c r="H801" i="13"/>
  <c r="I801" i="13"/>
  <c r="E802" i="13"/>
  <c r="F802" i="13"/>
  <c r="G802" i="13"/>
  <c r="H802" i="13"/>
  <c r="I802" i="13"/>
  <c r="E803" i="13"/>
  <c r="F803" i="13"/>
  <c r="G803" i="13"/>
  <c r="H803" i="13"/>
  <c r="I803" i="13"/>
  <c r="E804" i="13"/>
  <c r="F804" i="13"/>
  <c r="G804" i="13"/>
  <c r="H804" i="13"/>
  <c r="I804" i="13"/>
  <c r="E805" i="13"/>
  <c r="F805" i="13"/>
  <c r="G805" i="13"/>
  <c r="H805" i="13"/>
  <c r="I805" i="13"/>
  <c r="E806" i="13"/>
  <c r="F806" i="13"/>
  <c r="G806" i="13"/>
  <c r="H806" i="13"/>
  <c r="I806" i="13"/>
  <c r="E807" i="13"/>
  <c r="F807" i="13"/>
  <c r="G807" i="13"/>
  <c r="H807" i="13"/>
  <c r="I807" i="13"/>
  <c r="E808" i="13"/>
  <c r="F808" i="13"/>
  <c r="G808" i="13"/>
  <c r="H808" i="13"/>
  <c r="I808" i="13"/>
  <c r="E809" i="13"/>
  <c r="F809" i="13"/>
  <c r="G809" i="13"/>
  <c r="H809" i="13"/>
  <c r="I809" i="13"/>
  <c r="E810" i="13"/>
  <c r="F810" i="13"/>
  <c r="G810" i="13"/>
  <c r="H810" i="13"/>
  <c r="I810" i="13"/>
  <c r="E811" i="13"/>
  <c r="F811" i="13"/>
  <c r="G811" i="13"/>
  <c r="H811" i="13"/>
  <c r="I811" i="13"/>
  <c r="E812" i="13"/>
  <c r="F812" i="13"/>
  <c r="G812" i="13"/>
  <c r="H812" i="13"/>
  <c r="I812" i="13"/>
  <c r="E813" i="13"/>
  <c r="F813" i="13"/>
  <c r="G813" i="13"/>
  <c r="H813" i="13"/>
  <c r="I813" i="13"/>
  <c r="E814" i="13"/>
  <c r="F814" i="13"/>
  <c r="G814" i="13"/>
  <c r="H814" i="13"/>
  <c r="I814" i="13"/>
  <c r="E815" i="13"/>
  <c r="F815" i="13"/>
  <c r="G815" i="13"/>
  <c r="H815" i="13"/>
  <c r="I815" i="13"/>
  <c r="E816" i="13"/>
  <c r="F816" i="13"/>
  <c r="G816" i="13"/>
  <c r="H816" i="13"/>
  <c r="I816" i="13"/>
  <c r="E817" i="13"/>
  <c r="F817" i="13"/>
  <c r="G817" i="13"/>
  <c r="H817" i="13"/>
  <c r="I817" i="13"/>
  <c r="E818" i="13"/>
  <c r="F818" i="13"/>
  <c r="G818" i="13"/>
  <c r="H818" i="13"/>
  <c r="I818" i="13"/>
  <c r="E819" i="13"/>
  <c r="F819" i="13"/>
  <c r="G819" i="13"/>
  <c r="H819" i="13"/>
  <c r="I819" i="13"/>
  <c r="E820" i="13"/>
  <c r="F820" i="13"/>
  <c r="G820" i="13"/>
  <c r="H820" i="13"/>
  <c r="I820" i="13"/>
  <c r="E821" i="13"/>
  <c r="F821" i="13"/>
  <c r="G821" i="13"/>
  <c r="H821" i="13"/>
  <c r="I821" i="13"/>
  <c r="E822" i="13"/>
  <c r="F822" i="13"/>
  <c r="G822" i="13"/>
  <c r="H822" i="13"/>
  <c r="I822" i="13"/>
  <c r="E823" i="13"/>
  <c r="F823" i="13"/>
  <c r="G823" i="13"/>
  <c r="H823" i="13"/>
  <c r="I823" i="13"/>
  <c r="E824" i="13"/>
  <c r="F824" i="13"/>
  <c r="G824" i="13"/>
  <c r="H824" i="13"/>
  <c r="I824" i="13"/>
  <c r="E825" i="13"/>
  <c r="F825" i="13"/>
  <c r="G825" i="13"/>
  <c r="H825" i="13"/>
  <c r="I825" i="13"/>
  <c r="E826" i="13"/>
  <c r="F826" i="13"/>
  <c r="G826" i="13"/>
  <c r="H826" i="13"/>
  <c r="I826" i="13"/>
  <c r="E827" i="13"/>
  <c r="F827" i="13"/>
  <c r="G827" i="13"/>
  <c r="H827" i="13"/>
  <c r="I827" i="13"/>
  <c r="E828" i="13"/>
  <c r="F828" i="13"/>
  <c r="G828" i="13"/>
  <c r="H828" i="13"/>
  <c r="I828" i="13"/>
  <c r="E829" i="13"/>
  <c r="F829" i="13"/>
  <c r="G829" i="13"/>
  <c r="H829" i="13"/>
  <c r="I829" i="13"/>
  <c r="E830" i="13"/>
  <c r="F830" i="13"/>
  <c r="G830" i="13"/>
  <c r="H830" i="13"/>
  <c r="I830" i="13"/>
  <c r="E831" i="13"/>
  <c r="F831" i="13"/>
  <c r="G831" i="13"/>
  <c r="H831" i="13"/>
  <c r="I831" i="13"/>
  <c r="E832" i="13"/>
  <c r="F832" i="13"/>
  <c r="G832" i="13"/>
  <c r="H832" i="13"/>
  <c r="I832" i="13"/>
  <c r="E833" i="13"/>
  <c r="F833" i="13"/>
  <c r="G833" i="13"/>
  <c r="H833" i="13"/>
  <c r="I833" i="13"/>
  <c r="E834" i="13"/>
  <c r="F834" i="13"/>
  <c r="G834" i="13"/>
  <c r="H834" i="13"/>
  <c r="I834" i="13"/>
  <c r="E835" i="13"/>
  <c r="F835" i="13"/>
  <c r="G835" i="13"/>
  <c r="H835" i="13"/>
  <c r="I835" i="13"/>
  <c r="E836" i="13"/>
  <c r="F836" i="13"/>
  <c r="G836" i="13"/>
  <c r="H836" i="13"/>
  <c r="I836" i="13"/>
  <c r="E837" i="13"/>
  <c r="F837" i="13"/>
  <c r="G837" i="13"/>
  <c r="H837" i="13"/>
  <c r="I837" i="13"/>
  <c r="E838" i="13"/>
  <c r="F838" i="13"/>
  <c r="G838" i="13"/>
  <c r="H838" i="13"/>
  <c r="I838" i="13"/>
  <c r="E839" i="13"/>
  <c r="F839" i="13"/>
  <c r="G839" i="13"/>
  <c r="H839" i="13"/>
  <c r="I839" i="13"/>
  <c r="E840" i="13"/>
  <c r="F840" i="13"/>
  <c r="G840" i="13"/>
  <c r="H840" i="13"/>
  <c r="I840" i="13"/>
  <c r="E841" i="13"/>
  <c r="F841" i="13"/>
  <c r="G841" i="13"/>
  <c r="H841" i="13"/>
  <c r="I841" i="13"/>
  <c r="E842" i="13"/>
  <c r="F842" i="13"/>
  <c r="G842" i="13"/>
  <c r="H842" i="13"/>
  <c r="I842" i="13"/>
  <c r="E843" i="13"/>
  <c r="F843" i="13"/>
  <c r="G843" i="13"/>
  <c r="H843" i="13"/>
  <c r="I843" i="13"/>
  <c r="E844" i="13"/>
  <c r="F844" i="13"/>
  <c r="G844" i="13"/>
  <c r="H844" i="13"/>
  <c r="I844" i="13"/>
  <c r="E845" i="13"/>
  <c r="F845" i="13"/>
  <c r="G845" i="13"/>
  <c r="H845" i="13"/>
  <c r="I845" i="13"/>
  <c r="E846" i="13"/>
  <c r="F846" i="13"/>
  <c r="G846" i="13"/>
  <c r="H846" i="13"/>
  <c r="I846" i="13"/>
  <c r="E847" i="13"/>
  <c r="F847" i="13"/>
  <c r="G847" i="13"/>
  <c r="H847" i="13"/>
  <c r="I847" i="13"/>
  <c r="E848" i="13"/>
  <c r="F848" i="13"/>
  <c r="G848" i="13"/>
  <c r="H848" i="13"/>
  <c r="I848" i="13"/>
  <c r="E849" i="13"/>
  <c r="F849" i="13"/>
  <c r="G849" i="13"/>
  <c r="H849" i="13"/>
  <c r="I849" i="13"/>
  <c r="E850" i="13"/>
  <c r="F850" i="13"/>
  <c r="G850" i="13"/>
  <c r="H850" i="13"/>
  <c r="I850" i="13"/>
  <c r="E851" i="13"/>
  <c r="F851" i="13"/>
  <c r="G851" i="13"/>
  <c r="H851" i="13"/>
  <c r="I851" i="13"/>
  <c r="E852" i="13"/>
  <c r="F852" i="13"/>
  <c r="G852" i="13"/>
  <c r="H852" i="13"/>
  <c r="I852" i="13"/>
  <c r="E853" i="13"/>
  <c r="F853" i="13"/>
  <c r="G853" i="13"/>
  <c r="H853" i="13"/>
  <c r="I853" i="13"/>
  <c r="E854" i="13"/>
  <c r="F854" i="13"/>
  <c r="G854" i="13"/>
  <c r="H854" i="13"/>
  <c r="I854" i="13"/>
  <c r="E855" i="13"/>
  <c r="F855" i="13"/>
  <c r="G855" i="13"/>
  <c r="H855" i="13"/>
  <c r="I855" i="13"/>
  <c r="E856" i="13"/>
  <c r="F856" i="13"/>
  <c r="G856" i="13"/>
  <c r="H856" i="13"/>
  <c r="I856" i="13"/>
  <c r="E857" i="13"/>
  <c r="F857" i="13"/>
  <c r="G857" i="13"/>
  <c r="H857" i="13"/>
  <c r="I857" i="13"/>
  <c r="E858" i="13"/>
  <c r="F858" i="13"/>
  <c r="G858" i="13"/>
  <c r="H858" i="13"/>
  <c r="I858" i="13"/>
  <c r="E859" i="13"/>
  <c r="F859" i="13"/>
  <c r="G859" i="13"/>
  <c r="H859" i="13"/>
  <c r="I859" i="13"/>
  <c r="E860" i="13"/>
  <c r="F860" i="13"/>
  <c r="G860" i="13"/>
  <c r="H860" i="13"/>
  <c r="I860" i="13"/>
  <c r="E861" i="13"/>
  <c r="F861" i="13"/>
  <c r="G861" i="13"/>
  <c r="H861" i="13"/>
  <c r="I861" i="13"/>
  <c r="E862" i="13"/>
  <c r="F862" i="13"/>
  <c r="G862" i="13"/>
  <c r="H862" i="13"/>
  <c r="I862" i="13"/>
  <c r="E863" i="13"/>
  <c r="F863" i="13"/>
  <c r="G863" i="13"/>
  <c r="H863" i="13"/>
  <c r="I863" i="13"/>
  <c r="E864" i="13"/>
  <c r="F864" i="13"/>
  <c r="G864" i="13"/>
  <c r="H864" i="13"/>
  <c r="I864" i="13"/>
  <c r="E865" i="13"/>
  <c r="F865" i="13"/>
  <c r="G865" i="13"/>
  <c r="H865" i="13"/>
  <c r="I865" i="13"/>
  <c r="E866" i="13"/>
  <c r="F866" i="13"/>
  <c r="G866" i="13"/>
  <c r="H866" i="13"/>
  <c r="I866" i="13"/>
  <c r="E867" i="13"/>
  <c r="F867" i="13"/>
  <c r="G867" i="13"/>
  <c r="H867" i="13"/>
  <c r="I867" i="13"/>
  <c r="E868" i="13"/>
  <c r="F868" i="13"/>
  <c r="G868" i="13"/>
  <c r="H868" i="13"/>
  <c r="I868" i="13"/>
  <c r="E869" i="13"/>
  <c r="F869" i="13"/>
  <c r="G869" i="13"/>
  <c r="H869" i="13"/>
  <c r="I869" i="13"/>
  <c r="E870" i="13"/>
  <c r="F870" i="13"/>
  <c r="G870" i="13"/>
  <c r="H870" i="13"/>
  <c r="I870" i="13"/>
  <c r="E871" i="13"/>
  <c r="F871" i="13"/>
  <c r="G871" i="13"/>
  <c r="H871" i="13"/>
  <c r="I871" i="13"/>
  <c r="E872" i="13"/>
  <c r="F872" i="13"/>
  <c r="G872" i="13"/>
  <c r="H872" i="13"/>
  <c r="I872" i="13"/>
  <c r="E873" i="13"/>
  <c r="F873" i="13"/>
  <c r="G873" i="13"/>
  <c r="H873" i="13"/>
  <c r="I873" i="13"/>
  <c r="E874" i="13"/>
  <c r="F874" i="13"/>
  <c r="G874" i="13"/>
  <c r="H874" i="13"/>
  <c r="I874" i="13"/>
  <c r="E875" i="13"/>
  <c r="F875" i="13"/>
  <c r="G875" i="13"/>
  <c r="H875" i="13"/>
  <c r="I875" i="13"/>
  <c r="E876" i="13"/>
  <c r="F876" i="13"/>
  <c r="G876" i="13"/>
  <c r="H876" i="13"/>
  <c r="I876" i="13"/>
  <c r="E877" i="13"/>
  <c r="F877" i="13"/>
  <c r="G877" i="13"/>
  <c r="H877" i="13"/>
  <c r="I877" i="13"/>
  <c r="E878" i="13"/>
  <c r="F878" i="13"/>
  <c r="G878" i="13"/>
  <c r="H878" i="13"/>
  <c r="I878" i="13"/>
  <c r="E879" i="13"/>
  <c r="F879" i="13"/>
  <c r="G879" i="13"/>
  <c r="H879" i="13"/>
  <c r="I879" i="13"/>
  <c r="E880" i="13"/>
  <c r="F880" i="13"/>
  <c r="G880" i="13"/>
  <c r="H880" i="13"/>
  <c r="I880" i="13"/>
  <c r="E881" i="13"/>
  <c r="F881" i="13"/>
  <c r="G881" i="13"/>
  <c r="H881" i="13"/>
  <c r="I881" i="13"/>
  <c r="E882" i="13"/>
  <c r="F882" i="13"/>
  <c r="G882" i="13"/>
  <c r="H882" i="13"/>
  <c r="I882" i="13"/>
  <c r="E883" i="13"/>
  <c r="F883" i="13"/>
  <c r="G883" i="13"/>
  <c r="H883" i="13"/>
  <c r="I883" i="13"/>
  <c r="E884" i="13"/>
  <c r="F884" i="13"/>
  <c r="G884" i="13"/>
  <c r="H884" i="13"/>
  <c r="I884" i="13"/>
  <c r="E885" i="13"/>
  <c r="F885" i="13"/>
  <c r="G885" i="13"/>
  <c r="H885" i="13"/>
  <c r="I885" i="13"/>
  <c r="E886" i="13"/>
  <c r="F886" i="13"/>
  <c r="G886" i="13"/>
  <c r="H886" i="13"/>
  <c r="I886" i="13"/>
  <c r="E887" i="13"/>
  <c r="F887" i="13"/>
  <c r="G887" i="13"/>
  <c r="H887" i="13"/>
  <c r="I887" i="13"/>
  <c r="E888" i="13"/>
  <c r="F888" i="13"/>
  <c r="G888" i="13"/>
  <c r="H888" i="13"/>
  <c r="I888" i="13"/>
  <c r="E889" i="13"/>
  <c r="F889" i="13"/>
  <c r="G889" i="13"/>
  <c r="H889" i="13"/>
  <c r="AK593" i="7" s="1"/>
  <c r="I889" i="13"/>
  <c r="E890" i="13"/>
  <c r="F890" i="13"/>
  <c r="G890" i="13"/>
  <c r="H890" i="13"/>
  <c r="I890" i="13"/>
  <c r="E891" i="13"/>
  <c r="F891" i="13"/>
  <c r="G891" i="13"/>
  <c r="H891" i="13"/>
  <c r="I891" i="13"/>
  <c r="E892" i="13"/>
  <c r="F892" i="13"/>
  <c r="G892" i="13"/>
  <c r="H892" i="13"/>
  <c r="I892" i="13"/>
  <c r="E893" i="13"/>
  <c r="F893" i="13"/>
  <c r="G893" i="13"/>
  <c r="H893" i="13"/>
  <c r="I893" i="13"/>
  <c r="E894" i="13"/>
  <c r="F894" i="13"/>
  <c r="G894" i="13"/>
  <c r="H894" i="13"/>
  <c r="I894" i="13"/>
  <c r="E895" i="13"/>
  <c r="F895" i="13"/>
  <c r="G895" i="13"/>
  <c r="H895" i="13"/>
  <c r="I895" i="13"/>
  <c r="E896" i="13"/>
  <c r="F896" i="13"/>
  <c r="G896" i="13"/>
  <c r="H896" i="13"/>
  <c r="I896" i="13"/>
  <c r="E897" i="13"/>
  <c r="F897" i="13"/>
  <c r="G897" i="13"/>
  <c r="H897" i="13"/>
  <c r="I897" i="13"/>
  <c r="E898" i="13"/>
  <c r="F898" i="13"/>
  <c r="G898" i="13"/>
  <c r="H898" i="13"/>
  <c r="I898" i="13"/>
  <c r="E899" i="13"/>
  <c r="F899" i="13"/>
  <c r="G899" i="13"/>
  <c r="H899" i="13"/>
  <c r="I899" i="13"/>
  <c r="E900" i="13"/>
  <c r="F900" i="13"/>
  <c r="G900" i="13"/>
  <c r="H900" i="13"/>
  <c r="I900" i="13"/>
  <c r="E901" i="13"/>
  <c r="F901" i="13"/>
  <c r="G901" i="13"/>
  <c r="H901" i="13"/>
  <c r="I901" i="13"/>
  <c r="E902" i="13"/>
  <c r="F902" i="13"/>
  <c r="G902" i="13"/>
  <c r="H902" i="13"/>
  <c r="I902" i="13"/>
  <c r="E903" i="13"/>
  <c r="F903" i="13"/>
  <c r="G903" i="13"/>
  <c r="H903" i="13"/>
  <c r="I903" i="13"/>
  <c r="E904" i="13"/>
  <c r="F904" i="13"/>
  <c r="G904" i="13"/>
  <c r="H904" i="13"/>
  <c r="AP593" i="7" s="1"/>
  <c r="I904" i="13"/>
  <c r="E905" i="13"/>
  <c r="F905" i="13"/>
  <c r="G905" i="13"/>
  <c r="H905" i="13"/>
  <c r="I905" i="13"/>
  <c r="E906" i="13"/>
  <c r="F906" i="13"/>
  <c r="G906" i="13"/>
  <c r="H906" i="13"/>
  <c r="I906" i="13"/>
  <c r="E907" i="13"/>
  <c r="F907" i="13"/>
  <c r="G907" i="13"/>
  <c r="H907" i="13"/>
  <c r="AP565" i="7" s="1"/>
  <c r="I907" i="13"/>
  <c r="E908" i="13"/>
  <c r="F908" i="13"/>
  <c r="G908" i="13"/>
  <c r="H908" i="13"/>
  <c r="I908" i="13"/>
  <c r="E909" i="13"/>
  <c r="F909" i="13"/>
  <c r="G909" i="13"/>
  <c r="H909" i="13"/>
  <c r="I909" i="13"/>
  <c r="E910" i="13"/>
  <c r="F910" i="13"/>
  <c r="G910" i="13"/>
  <c r="H910" i="13"/>
  <c r="I910" i="13"/>
  <c r="E911" i="13"/>
  <c r="F911" i="13"/>
  <c r="G911" i="13"/>
  <c r="H911" i="13"/>
  <c r="D106" i="17" s="1"/>
  <c r="I911" i="13"/>
  <c r="E912" i="13"/>
  <c r="F912" i="13"/>
  <c r="G912" i="13"/>
  <c r="H912" i="13"/>
  <c r="I912" i="13"/>
  <c r="E913" i="13"/>
  <c r="F913" i="13"/>
  <c r="G913" i="13"/>
  <c r="H913" i="13"/>
  <c r="I913" i="13"/>
  <c r="E914" i="13"/>
  <c r="F914" i="13"/>
  <c r="G914" i="13"/>
  <c r="H914" i="13"/>
  <c r="D86" i="17" s="1"/>
  <c r="J86" i="17" s="1"/>
  <c r="I914" i="13"/>
  <c r="E915" i="13"/>
  <c r="F915" i="13"/>
  <c r="G915" i="13"/>
  <c r="H915" i="13"/>
  <c r="D87" i="17" s="1"/>
  <c r="J87" i="17" s="1"/>
  <c r="I915" i="13"/>
  <c r="E916" i="13"/>
  <c r="F916" i="13"/>
  <c r="G916" i="13"/>
  <c r="H916" i="13"/>
  <c r="I916" i="13"/>
  <c r="E917" i="13"/>
  <c r="F917" i="13"/>
  <c r="G917" i="13"/>
  <c r="H917" i="13"/>
  <c r="I917" i="13"/>
  <c r="E918" i="13"/>
  <c r="F918" i="13"/>
  <c r="G918" i="13"/>
  <c r="H918" i="13"/>
  <c r="I918" i="13"/>
  <c r="E919" i="13"/>
  <c r="F919" i="13"/>
  <c r="G919" i="13"/>
  <c r="H919" i="13"/>
  <c r="I919" i="13"/>
  <c r="E920" i="13"/>
  <c r="F920" i="13"/>
  <c r="G920" i="13"/>
  <c r="H920" i="13"/>
  <c r="I920" i="13"/>
  <c r="E921" i="13"/>
  <c r="F921" i="13"/>
  <c r="G921" i="13"/>
  <c r="H921" i="13"/>
  <c r="I921" i="13"/>
  <c r="E922" i="13"/>
  <c r="F922" i="13"/>
  <c r="G922" i="13"/>
  <c r="H922" i="13"/>
  <c r="I922" i="13"/>
  <c r="E923" i="13"/>
  <c r="F923" i="13"/>
  <c r="G923" i="13"/>
  <c r="H923" i="13"/>
  <c r="I923" i="13"/>
  <c r="E924" i="13"/>
  <c r="F924" i="13"/>
  <c r="G924" i="13"/>
  <c r="H924" i="13"/>
  <c r="I924" i="13"/>
  <c r="E925" i="13"/>
  <c r="F925" i="13"/>
  <c r="G925" i="13"/>
  <c r="H925" i="13"/>
  <c r="I925" i="13"/>
  <c r="E926" i="13"/>
  <c r="F926" i="13"/>
  <c r="G926" i="13"/>
  <c r="H926" i="13"/>
  <c r="I926" i="13"/>
  <c r="E927" i="13"/>
  <c r="F927" i="13"/>
  <c r="G927" i="13"/>
  <c r="H927" i="13"/>
  <c r="I927" i="13"/>
  <c r="E928" i="13"/>
  <c r="F928" i="13"/>
  <c r="G928" i="13"/>
  <c r="H928" i="13"/>
  <c r="I928" i="13"/>
  <c r="E929" i="13"/>
  <c r="F929" i="13"/>
  <c r="G929" i="13"/>
  <c r="H929" i="13"/>
  <c r="I929" i="13"/>
  <c r="E930" i="13"/>
  <c r="F930" i="13"/>
  <c r="G930" i="13"/>
  <c r="H930" i="13"/>
  <c r="I930" i="13"/>
  <c r="E931" i="13"/>
  <c r="F931" i="13"/>
  <c r="G931" i="13"/>
  <c r="H931" i="13"/>
  <c r="I931" i="13"/>
  <c r="E932" i="13"/>
  <c r="F932" i="13"/>
  <c r="G932" i="13"/>
  <c r="H932" i="13"/>
  <c r="I932" i="13"/>
  <c r="E933" i="13"/>
  <c r="F933" i="13"/>
  <c r="G933" i="13"/>
  <c r="H933" i="13"/>
  <c r="I933" i="13"/>
  <c r="E934" i="13"/>
  <c r="F934" i="13"/>
  <c r="G934" i="13"/>
  <c r="H934" i="13"/>
  <c r="I934" i="13"/>
  <c r="E935" i="13"/>
  <c r="F935" i="13"/>
  <c r="G935" i="13"/>
  <c r="H935" i="13"/>
  <c r="I935" i="13"/>
  <c r="E936" i="13"/>
  <c r="F936" i="13"/>
  <c r="G936" i="13"/>
  <c r="H936" i="13"/>
  <c r="I936" i="13"/>
  <c r="E937" i="13"/>
  <c r="F937" i="13"/>
  <c r="G937" i="13"/>
  <c r="H937" i="13"/>
  <c r="I937" i="13"/>
  <c r="E938" i="13"/>
  <c r="F938" i="13"/>
  <c r="G938" i="13"/>
  <c r="H938" i="13"/>
  <c r="I938" i="13"/>
  <c r="E939" i="13"/>
  <c r="F939" i="13"/>
  <c r="G939" i="13"/>
  <c r="H939" i="13"/>
  <c r="I939" i="13"/>
  <c r="E940" i="13"/>
  <c r="F940" i="13"/>
  <c r="G940" i="13"/>
  <c r="H940" i="13"/>
  <c r="I940" i="13"/>
  <c r="E941" i="13"/>
  <c r="F941" i="13"/>
  <c r="G941" i="13"/>
  <c r="H941" i="13"/>
  <c r="D89" i="17" s="1"/>
  <c r="J89" i="17" s="1"/>
  <c r="I941" i="13"/>
  <c r="E942" i="13"/>
  <c r="F942" i="13"/>
  <c r="G942" i="13"/>
  <c r="H942" i="13"/>
  <c r="I942" i="13"/>
  <c r="E943" i="13"/>
  <c r="F943" i="13"/>
  <c r="G943" i="13"/>
  <c r="H943" i="13"/>
  <c r="I943" i="13"/>
  <c r="E944" i="13"/>
  <c r="F944" i="13"/>
  <c r="G944" i="13"/>
  <c r="H944" i="13"/>
  <c r="I944" i="13"/>
  <c r="E945" i="13"/>
  <c r="F945" i="13"/>
  <c r="G945" i="13"/>
  <c r="H945" i="13"/>
  <c r="I945" i="13"/>
  <c r="E946" i="13"/>
  <c r="F946" i="13"/>
  <c r="G946" i="13"/>
  <c r="H946" i="13"/>
  <c r="I946" i="13"/>
  <c r="E947" i="13"/>
  <c r="F947" i="13"/>
  <c r="G947" i="13"/>
  <c r="H947" i="13"/>
  <c r="I947" i="13"/>
  <c r="E948" i="13"/>
  <c r="F948" i="13"/>
  <c r="G948" i="13"/>
  <c r="H948" i="13"/>
  <c r="I948" i="13"/>
  <c r="E949" i="13"/>
  <c r="F949" i="13"/>
  <c r="G949" i="13"/>
  <c r="H949" i="13"/>
  <c r="I949" i="13"/>
  <c r="E950" i="13"/>
  <c r="F950" i="13"/>
  <c r="G950" i="13"/>
  <c r="H950" i="13"/>
  <c r="I950" i="13"/>
  <c r="E951" i="13"/>
  <c r="F951" i="13"/>
  <c r="G951" i="13"/>
  <c r="H951" i="13"/>
  <c r="I951" i="13"/>
  <c r="E952" i="13"/>
  <c r="F952" i="13"/>
  <c r="G952" i="13"/>
  <c r="H952" i="13"/>
  <c r="I952" i="13"/>
  <c r="E953" i="13"/>
  <c r="F953" i="13"/>
  <c r="G953" i="13"/>
  <c r="H953" i="13"/>
  <c r="I953" i="13"/>
  <c r="E954" i="13"/>
  <c r="F954" i="13"/>
  <c r="G954" i="13"/>
  <c r="H954" i="13"/>
  <c r="I954" i="13"/>
  <c r="E955" i="13"/>
  <c r="F955" i="13"/>
  <c r="G955" i="13"/>
  <c r="H955" i="13"/>
  <c r="I955" i="13"/>
  <c r="E956" i="13"/>
  <c r="F956" i="13"/>
  <c r="G956" i="13"/>
  <c r="H956" i="13"/>
  <c r="I956" i="13"/>
  <c r="E957" i="13"/>
  <c r="F957" i="13"/>
  <c r="G957" i="13"/>
  <c r="H957" i="13"/>
  <c r="I957" i="13"/>
  <c r="E958" i="13"/>
  <c r="F958" i="13"/>
  <c r="G958" i="13"/>
  <c r="H958" i="13"/>
  <c r="I958" i="13"/>
  <c r="E959" i="13"/>
  <c r="F959" i="13"/>
  <c r="G959" i="13"/>
  <c r="H959" i="13"/>
  <c r="I959" i="13"/>
  <c r="E960" i="13"/>
  <c r="F960" i="13"/>
  <c r="G960" i="13"/>
  <c r="H960" i="13"/>
  <c r="I960" i="13"/>
  <c r="E961" i="13"/>
  <c r="F961" i="13"/>
  <c r="G961" i="13"/>
  <c r="H961" i="13"/>
  <c r="I961" i="13"/>
  <c r="E962" i="13"/>
  <c r="F962" i="13"/>
  <c r="G962" i="13"/>
  <c r="H962" i="13"/>
  <c r="I962" i="13"/>
  <c r="E963" i="13"/>
  <c r="F963" i="13"/>
  <c r="G963" i="13"/>
  <c r="H963" i="13"/>
  <c r="I963" i="13"/>
  <c r="E964" i="13"/>
  <c r="F964" i="13"/>
  <c r="G964" i="13"/>
  <c r="H964" i="13"/>
  <c r="AU617" i="7" s="1"/>
  <c r="I964" i="13"/>
  <c r="E965" i="13"/>
  <c r="F965" i="13"/>
  <c r="G965" i="13"/>
  <c r="H965" i="13"/>
  <c r="AK610" i="7" s="1"/>
  <c r="I965" i="13"/>
  <c r="E966" i="13"/>
  <c r="F966" i="13"/>
  <c r="G966" i="13"/>
  <c r="H966" i="13"/>
  <c r="I966" i="13"/>
  <c r="E967" i="13"/>
  <c r="F967" i="13"/>
  <c r="G967" i="13"/>
  <c r="H967" i="13"/>
  <c r="I967" i="13"/>
  <c r="E968" i="13"/>
  <c r="F968" i="13"/>
  <c r="G968" i="13"/>
  <c r="H968" i="13"/>
  <c r="I968" i="13"/>
  <c r="E969" i="13"/>
  <c r="F969" i="13"/>
  <c r="G969" i="13"/>
  <c r="H969" i="13"/>
  <c r="I969" i="13"/>
  <c r="E970" i="13"/>
  <c r="F970" i="13"/>
  <c r="G970" i="13"/>
  <c r="H970" i="13"/>
  <c r="I970" i="13"/>
  <c r="E971" i="13"/>
  <c r="F971" i="13"/>
  <c r="G971" i="13"/>
  <c r="H971" i="13"/>
  <c r="I971" i="13"/>
  <c r="E972" i="13"/>
  <c r="F972" i="13"/>
  <c r="G972" i="13"/>
  <c r="H972" i="13"/>
  <c r="I972" i="13"/>
  <c r="E973" i="13"/>
  <c r="F973" i="13"/>
  <c r="G973" i="13"/>
  <c r="H973" i="13"/>
  <c r="I973" i="13"/>
  <c r="E974" i="13"/>
  <c r="F974" i="13"/>
  <c r="G974" i="13"/>
  <c r="H974" i="13"/>
  <c r="I974" i="13"/>
  <c r="E975" i="13"/>
  <c r="F975" i="13"/>
  <c r="G975" i="13"/>
  <c r="H975" i="13"/>
  <c r="D107" i="17" s="1"/>
  <c r="J107" i="17" s="1"/>
  <c r="I975" i="13"/>
  <c r="E976" i="13"/>
  <c r="F976" i="13"/>
  <c r="G976" i="13"/>
  <c r="H976" i="13"/>
  <c r="I976" i="13"/>
  <c r="E977" i="13"/>
  <c r="F977" i="13"/>
  <c r="G977" i="13"/>
  <c r="H977" i="13"/>
  <c r="I977" i="13"/>
  <c r="E978" i="13"/>
  <c r="F978" i="13"/>
  <c r="G978" i="13"/>
  <c r="H978" i="13"/>
  <c r="I978" i="13"/>
  <c r="E979" i="13"/>
  <c r="F979" i="13"/>
  <c r="G979" i="13"/>
  <c r="H979" i="13"/>
  <c r="I979" i="13"/>
  <c r="E980" i="13"/>
  <c r="F980" i="13"/>
  <c r="G980" i="13"/>
  <c r="H980" i="13"/>
  <c r="I980" i="13"/>
  <c r="E981" i="13"/>
  <c r="F981" i="13"/>
  <c r="G981" i="13"/>
  <c r="H981" i="13"/>
  <c r="D24" i="17" s="1"/>
  <c r="I981" i="13"/>
  <c r="E982" i="13"/>
  <c r="F982" i="13"/>
  <c r="G982" i="13"/>
  <c r="H982" i="13"/>
  <c r="I982" i="13"/>
  <c r="E983" i="13"/>
  <c r="F983" i="13"/>
  <c r="G983" i="13"/>
  <c r="H983" i="13"/>
  <c r="I983" i="13"/>
  <c r="E984" i="13"/>
  <c r="F984" i="13"/>
  <c r="G984" i="13"/>
  <c r="H984" i="13"/>
  <c r="I984" i="13"/>
  <c r="E985" i="13"/>
  <c r="F985" i="13"/>
  <c r="G985" i="13"/>
  <c r="H985" i="13"/>
  <c r="I985" i="13"/>
  <c r="E986" i="13"/>
  <c r="F986" i="13"/>
  <c r="G986" i="13"/>
  <c r="H986" i="13"/>
  <c r="I986" i="13"/>
  <c r="E987" i="13"/>
  <c r="F987" i="13"/>
  <c r="G987" i="13"/>
  <c r="H987" i="13"/>
  <c r="I987" i="13"/>
  <c r="E988" i="13"/>
  <c r="F988" i="13"/>
  <c r="G988" i="13"/>
  <c r="H988" i="13"/>
  <c r="I988" i="13"/>
  <c r="E989" i="13"/>
  <c r="F989" i="13"/>
  <c r="G989" i="13"/>
  <c r="H989" i="13"/>
  <c r="I989" i="13"/>
  <c r="E990" i="13"/>
  <c r="F990" i="13"/>
  <c r="G990" i="13"/>
  <c r="H990" i="13"/>
  <c r="I990" i="13"/>
  <c r="E991" i="13"/>
  <c r="F991" i="13"/>
  <c r="G991" i="13"/>
  <c r="H991" i="13"/>
  <c r="I991" i="13"/>
  <c r="E992" i="13"/>
  <c r="F992" i="13"/>
  <c r="G992" i="13"/>
  <c r="H992" i="13"/>
  <c r="I992" i="13"/>
  <c r="E993" i="13"/>
  <c r="F993" i="13"/>
  <c r="G993" i="13"/>
  <c r="H993" i="13"/>
  <c r="I993" i="13"/>
  <c r="E994" i="13"/>
  <c r="F994" i="13"/>
  <c r="G994" i="13"/>
  <c r="H994" i="13"/>
  <c r="I994" i="13"/>
  <c r="E995" i="13"/>
  <c r="F995" i="13"/>
  <c r="G995" i="13"/>
  <c r="H995" i="13"/>
  <c r="I995" i="13"/>
  <c r="E996" i="13"/>
  <c r="F996" i="13"/>
  <c r="G996" i="13"/>
  <c r="H996" i="13"/>
  <c r="I996" i="13"/>
  <c r="E997" i="13"/>
  <c r="F997" i="13"/>
  <c r="G997" i="13"/>
  <c r="H997" i="13"/>
  <c r="I997" i="13"/>
  <c r="E998" i="13"/>
  <c r="F998" i="13"/>
  <c r="G998" i="13"/>
  <c r="H998" i="13"/>
  <c r="I998" i="13"/>
  <c r="E999" i="13"/>
  <c r="F999" i="13"/>
  <c r="G999" i="13"/>
  <c r="H999" i="13"/>
  <c r="I999" i="13"/>
  <c r="E1000" i="13"/>
  <c r="F1000" i="13"/>
  <c r="G1000" i="13"/>
  <c r="H1000" i="13"/>
  <c r="I1000" i="13"/>
  <c r="E1001" i="13"/>
  <c r="F1001" i="13"/>
  <c r="G1001" i="13"/>
  <c r="H1001" i="13"/>
  <c r="I1001" i="13"/>
  <c r="E1002" i="13"/>
  <c r="F1002" i="13"/>
  <c r="G1002" i="13"/>
  <c r="H1002" i="13"/>
  <c r="I1002" i="13"/>
  <c r="E1003" i="13"/>
  <c r="F1003" i="13"/>
  <c r="G1003" i="13"/>
  <c r="H1003" i="13"/>
  <c r="I1003" i="13"/>
  <c r="E1004" i="13"/>
  <c r="F1004" i="13"/>
  <c r="G1004" i="13"/>
  <c r="H1004" i="13"/>
  <c r="I1004" i="13"/>
  <c r="E1005" i="13"/>
  <c r="F1005" i="13"/>
  <c r="G1005" i="13"/>
  <c r="H1005" i="13"/>
  <c r="I1005" i="13"/>
  <c r="E1006" i="13"/>
  <c r="F1006" i="13"/>
  <c r="G1006" i="13"/>
  <c r="H1006" i="13"/>
  <c r="I1006" i="13"/>
  <c r="E1007" i="13"/>
  <c r="F1007" i="13"/>
  <c r="G1007" i="13"/>
  <c r="H1007" i="13"/>
  <c r="I1007" i="13"/>
  <c r="E1008" i="13"/>
  <c r="F1008" i="13"/>
  <c r="G1008" i="13"/>
  <c r="H1008" i="13"/>
  <c r="I1008" i="13"/>
  <c r="E1009" i="13"/>
  <c r="F1009" i="13"/>
  <c r="G1009" i="13"/>
  <c r="H1009" i="13"/>
  <c r="I1009" i="13"/>
  <c r="E1010" i="13"/>
  <c r="F1010" i="13"/>
  <c r="G1010" i="13"/>
  <c r="H1010" i="13"/>
  <c r="I1010" i="13"/>
  <c r="E1011" i="13"/>
  <c r="F1011" i="13"/>
  <c r="G1011" i="13"/>
  <c r="H1011" i="13"/>
  <c r="I1011" i="13"/>
  <c r="E1012" i="13"/>
  <c r="F1012" i="13"/>
  <c r="G1012" i="13"/>
  <c r="H1012" i="13"/>
  <c r="I1012" i="13"/>
  <c r="E1013" i="13"/>
  <c r="F1013" i="13"/>
  <c r="G1013" i="13"/>
  <c r="H1013" i="13"/>
  <c r="I1013" i="13"/>
  <c r="E1014" i="13"/>
  <c r="F1014" i="13"/>
  <c r="G1014" i="13"/>
  <c r="H1014" i="13"/>
  <c r="I1014" i="13"/>
  <c r="E1015" i="13"/>
  <c r="F1015" i="13"/>
  <c r="G1015" i="13"/>
  <c r="H1015" i="13"/>
  <c r="I1015" i="13"/>
  <c r="E1016" i="13"/>
  <c r="F1016" i="13"/>
  <c r="G1016" i="13"/>
  <c r="H1016" i="13"/>
  <c r="I1016" i="13"/>
  <c r="E1017" i="13"/>
  <c r="F1017" i="13"/>
  <c r="G1017" i="13"/>
  <c r="H1017" i="13"/>
  <c r="I1017" i="13"/>
  <c r="E1018" i="13"/>
  <c r="F1018" i="13"/>
  <c r="G1018" i="13"/>
  <c r="H1018" i="13"/>
  <c r="I1018" i="13"/>
  <c r="E1019" i="13"/>
  <c r="F1019" i="13"/>
  <c r="G1019" i="13"/>
  <c r="H1019" i="13"/>
  <c r="I1019" i="13"/>
  <c r="E1020" i="13"/>
  <c r="F1020" i="13"/>
  <c r="G1020" i="13"/>
  <c r="H1020" i="13"/>
  <c r="I1020" i="13"/>
  <c r="E1021" i="13"/>
  <c r="F1021" i="13"/>
  <c r="G1021" i="13"/>
  <c r="H1021" i="13"/>
  <c r="I1021" i="13"/>
  <c r="E1022" i="13"/>
  <c r="F1022" i="13"/>
  <c r="G1022" i="13"/>
  <c r="H1022" i="13"/>
  <c r="I1022" i="13"/>
  <c r="E1023" i="13"/>
  <c r="F1023" i="13"/>
  <c r="G1023" i="13"/>
  <c r="H1023" i="13"/>
  <c r="I1023" i="13"/>
  <c r="E1024" i="13"/>
  <c r="F1024" i="13"/>
  <c r="G1024" i="13"/>
  <c r="H1024" i="13"/>
  <c r="I1024" i="13"/>
  <c r="E1025" i="13"/>
  <c r="F1025" i="13"/>
  <c r="G1025" i="13"/>
  <c r="H1025" i="13"/>
  <c r="I1025" i="13"/>
  <c r="E1026" i="13"/>
  <c r="F1026" i="13"/>
  <c r="G1026" i="13"/>
  <c r="H1026" i="13"/>
  <c r="I1026" i="13"/>
  <c r="E1027" i="13"/>
  <c r="F1027" i="13"/>
  <c r="G1027" i="13"/>
  <c r="H1027" i="13"/>
  <c r="I1027" i="13"/>
  <c r="E1028" i="13"/>
  <c r="F1028" i="13"/>
  <c r="G1028" i="13"/>
  <c r="H1028" i="13"/>
  <c r="I1028" i="13"/>
  <c r="E1029" i="13"/>
  <c r="F1029" i="13"/>
  <c r="G1029" i="13"/>
  <c r="H1029" i="13"/>
  <c r="I1029" i="13"/>
  <c r="E1030" i="13"/>
  <c r="F1030" i="13"/>
  <c r="G1030" i="13"/>
  <c r="H1030" i="13"/>
  <c r="I1030" i="13"/>
  <c r="E1031" i="13"/>
  <c r="F1031" i="13"/>
  <c r="G1031" i="13"/>
  <c r="H1031" i="13"/>
  <c r="I1031" i="13"/>
  <c r="E1032" i="13"/>
  <c r="F1032" i="13"/>
  <c r="G1032" i="13"/>
  <c r="H1032" i="13"/>
  <c r="I1032" i="13"/>
  <c r="E1033" i="13"/>
  <c r="F1033" i="13"/>
  <c r="G1033" i="13"/>
  <c r="H1033" i="13"/>
  <c r="D92" i="17" s="1"/>
  <c r="I1033" i="13"/>
  <c r="E1034" i="13"/>
  <c r="F1034" i="13"/>
  <c r="G1034" i="13"/>
  <c r="H1034" i="13"/>
  <c r="D93" i="17" s="1"/>
  <c r="J93" i="17" s="1"/>
  <c r="I1034" i="13"/>
  <c r="E1035" i="13"/>
  <c r="F1035" i="13"/>
  <c r="G1035" i="13"/>
  <c r="H1035" i="13"/>
  <c r="I1035" i="13"/>
  <c r="E1036" i="13"/>
  <c r="F1036" i="13"/>
  <c r="G1036" i="13"/>
  <c r="H1036" i="13"/>
  <c r="I1036" i="13"/>
  <c r="E1037" i="13"/>
  <c r="F1037" i="13"/>
  <c r="G1037" i="13"/>
  <c r="H1037" i="13"/>
  <c r="I1037" i="13"/>
  <c r="E1038" i="13"/>
  <c r="F1038" i="13"/>
  <c r="G1038" i="13"/>
  <c r="H1038" i="13"/>
  <c r="I1038" i="13"/>
  <c r="E1039" i="13"/>
  <c r="F1039" i="13"/>
  <c r="G1039" i="13"/>
  <c r="H1039" i="13"/>
  <c r="I1039" i="13"/>
  <c r="E1040" i="13"/>
  <c r="F1040" i="13"/>
  <c r="G1040" i="13"/>
  <c r="H1040" i="13"/>
  <c r="I1040" i="13"/>
  <c r="E1041" i="13"/>
  <c r="F1041" i="13"/>
  <c r="G1041" i="13"/>
  <c r="H1041" i="13"/>
  <c r="I1041" i="13"/>
  <c r="E1042" i="13"/>
  <c r="F1042" i="13"/>
  <c r="G1042" i="13"/>
  <c r="H1042" i="13"/>
  <c r="I1042" i="13"/>
  <c r="E1043" i="13"/>
  <c r="F1043" i="13"/>
  <c r="G1043" i="13"/>
  <c r="H1043" i="13"/>
  <c r="I1043" i="13"/>
  <c r="E1044" i="13"/>
  <c r="F1044" i="13"/>
  <c r="G1044" i="13"/>
  <c r="H1044" i="13"/>
  <c r="I1044" i="13"/>
  <c r="E1045" i="13"/>
  <c r="F1045" i="13"/>
  <c r="G1045" i="13"/>
  <c r="H1045" i="13"/>
  <c r="I1045" i="13"/>
  <c r="E1046" i="13"/>
  <c r="F1046" i="13"/>
  <c r="G1046" i="13"/>
  <c r="H1046" i="13"/>
  <c r="I1046" i="13"/>
  <c r="E1047" i="13"/>
  <c r="F1047" i="13"/>
  <c r="G1047" i="13"/>
  <c r="H1047" i="13"/>
  <c r="I1047" i="13"/>
  <c r="E1048" i="13"/>
  <c r="F1048" i="13"/>
  <c r="G1048" i="13"/>
  <c r="H1048" i="13"/>
  <c r="I1048" i="13"/>
  <c r="E1049" i="13"/>
  <c r="F1049" i="13"/>
  <c r="G1049" i="13"/>
  <c r="H1049" i="13"/>
  <c r="AK698" i="7" s="1"/>
  <c r="I1049" i="13"/>
  <c r="E1050" i="13"/>
  <c r="F1050" i="13"/>
  <c r="G1050" i="13"/>
  <c r="H1050" i="13"/>
  <c r="I1050" i="13"/>
  <c r="E1051" i="13"/>
  <c r="F1051" i="13"/>
  <c r="G1051" i="13"/>
  <c r="H1051" i="13"/>
  <c r="I1051" i="13"/>
  <c r="E1052" i="13"/>
  <c r="F1052" i="13"/>
  <c r="G1052" i="13"/>
  <c r="H1052" i="13"/>
  <c r="I1052" i="13"/>
  <c r="E1053" i="13"/>
  <c r="F1053" i="13"/>
  <c r="G1053" i="13"/>
  <c r="H1053" i="13"/>
  <c r="I1053" i="13"/>
  <c r="E1054" i="13"/>
  <c r="F1054" i="13"/>
  <c r="G1054" i="13"/>
  <c r="H1054" i="13"/>
  <c r="I1054" i="13"/>
  <c r="E1055" i="13"/>
  <c r="F1055" i="13"/>
  <c r="G1055" i="13"/>
  <c r="H1055" i="13"/>
  <c r="I1055" i="13"/>
  <c r="E1056" i="13"/>
  <c r="F1056" i="13"/>
  <c r="G1056" i="13"/>
  <c r="H1056" i="13"/>
  <c r="I1056" i="13"/>
  <c r="E1057" i="13"/>
  <c r="F1057" i="13"/>
  <c r="G1057" i="13"/>
  <c r="H1057" i="13"/>
  <c r="I1057" i="13"/>
  <c r="E1058" i="13"/>
  <c r="F1058" i="13"/>
  <c r="G1058" i="13"/>
  <c r="H1058" i="13"/>
  <c r="I1058" i="13"/>
  <c r="E1059" i="13"/>
  <c r="F1059" i="13"/>
  <c r="G1059" i="13"/>
  <c r="H1059" i="13"/>
  <c r="I1059" i="13"/>
  <c r="E1060" i="13"/>
  <c r="F1060" i="13"/>
  <c r="G1060" i="13"/>
  <c r="H1060" i="13"/>
  <c r="I1060" i="13"/>
  <c r="E1061" i="13"/>
  <c r="F1061" i="13"/>
  <c r="G1061" i="13"/>
  <c r="H1061" i="13"/>
  <c r="I1061" i="13"/>
  <c r="E1062" i="13"/>
  <c r="F1062" i="13"/>
  <c r="G1062" i="13"/>
  <c r="H1062" i="13"/>
  <c r="I1062" i="13"/>
  <c r="E1063" i="13"/>
  <c r="F1063" i="13"/>
  <c r="G1063" i="13"/>
  <c r="H1063" i="13"/>
  <c r="I1063" i="13"/>
  <c r="E1064" i="13"/>
  <c r="F1064" i="13"/>
  <c r="G1064" i="13"/>
  <c r="H1064" i="13"/>
  <c r="I1064" i="13"/>
  <c r="E1065" i="13"/>
  <c r="F1065" i="13"/>
  <c r="G1065" i="13"/>
  <c r="H1065" i="13"/>
  <c r="I1065" i="13"/>
  <c r="E1066" i="13"/>
  <c r="F1066" i="13"/>
  <c r="G1066" i="13"/>
  <c r="H1066" i="13"/>
  <c r="I1066" i="13"/>
  <c r="E1067" i="13"/>
  <c r="F1067" i="13"/>
  <c r="G1067" i="13"/>
  <c r="H1067" i="13"/>
  <c r="I1067" i="13"/>
  <c r="E1068" i="13"/>
  <c r="F1068" i="13"/>
  <c r="G1068" i="13"/>
  <c r="H1068" i="13"/>
  <c r="I1068" i="13"/>
  <c r="E1069" i="13"/>
  <c r="F1069" i="13"/>
  <c r="G1069" i="13"/>
  <c r="H1069" i="13"/>
  <c r="I1069" i="13"/>
  <c r="E1070" i="13"/>
  <c r="F1070" i="13"/>
  <c r="G1070" i="13"/>
  <c r="H1070" i="13"/>
  <c r="I1070" i="13"/>
  <c r="E1071" i="13"/>
  <c r="F1071" i="13"/>
  <c r="G1071" i="13"/>
  <c r="H1071" i="13"/>
  <c r="I1071" i="13"/>
  <c r="E1072" i="13"/>
  <c r="F1072" i="13"/>
  <c r="G1072" i="13"/>
  <c r="H1072" i="13"/>
  <c r="I1072" i="13"/>
  <c r="E1073" i="13"/>
  <c r="F1073" i="13"/>
  <c r="G1073" i="13"/>
  <c r="H1073" i="13"/>
  <c r="I1073" i="13"/>
  <c r="E1074" i="13"/>
  <c r="F1074" i="13"/>
  <c r="G1074" i="13"/>
  <c r="H1074" i="13"/>
  <c r="I1074" i="13"/>
  <c r="E1075" i="13"/>
  <c r="F1075" i="13"/>
  <c r="G1075" i="13"/>
  <c r="H1075" i="13"/>
  <c r="D109" i="17" s="1"/>
  <c r="I1075" i="13"/>
  <c r="E1076" i="13"/>
  <c r="F1076" i="13"/>
  <c r="G1076" i="13"/>
  <c r="H1076" i="13"/>
  <c r="D94" i="17" s="1"/>
  <c r="J94" i="17" s="1"/>
  <c r="I1076" i="13"/>
  <c r="E1077" i="13"/>
  <c r="F1077" i="13"/>
  <c r="G1077" i="13"/>
  <c r="H1077" i="13"/>
  <c r="D95" i="17" s="1"/>
  <c r="J95" i="17" s="1"/>
  <c r="I1077" i="13"/>
  <c r="E1078" i="13"/>
  <c r="F1078" i="13"/>
  <c r="G1078" i="13"/>
  <c r="H1078" i="13"/>
  <c r="I1078" i="13"/>
  <c r="E1079" i="13"/>
  <c r="F1079" i="13"/>
  <c r="G1079" i="13"/>
  <c r="H1079" i="13"/>
  <c r="I1079" i="13"/>
  <c r="E1080" i="13"/>
  <c r="F1080" i="13"/>
  <c r="G1080" i="13"/>
  <c r="H1080" i="13"/>
  <c r="I1080" i="13"/>
  <c r="E1081" i="13"/>
  <c r="F1081" i="13"/>
  <c r="G1081" i="13"/>
  <c r="H1081" i="13"/>
  <c r="I1081" i="13"/>
  <c r="E1082" i="13"/>
  <c r="F1082" i="13"/>
  <c r="G1082" i="13"/>
  <c r="H1082" i="13"/>
  <c r="I1082" i="13"/>
  <c r="E1083" i="13"/>
  <c r="F1083" i="13"/>
  <c r="G1083" i="13"/>
  <c r="H1083" i="13"/>
  <c r="I1083" i="13"/>
  <c r="E1084" i="13"/>
  <c r="F1084" i="13"/>
  <c r="G1084" i="13"/>
  <c r="H1084" i="13"/>
  <c r="I1084" i="13"/>
  <c r="E1085" i="13"/>
  <c r="F1085" i="13"/>
  <c r="G1085" i="13"/>
  <c r="H1085" i="13"/>
  <c r="I1085" i="13"/>
  <c r="E1086" i="13"/>
  <c r="F1086" i="13"/>
  <c r="G1086" i="13"/>
  <c r="H1086" i="13"/>
  <c r="I1086" i="13"/>
  <c r="E1087" i="13"/>
  <c r="F1087" i="13"/>
  <c r="G1087" i="13"/>
  <c r="H1087" i="13"/>
  <c r="I1087" i="13"/>
  <c r="E1088" i="13"/>
  <c r="F1088" i="13"/>
  <c r="G1088" i="13"/>
  <c r="H1088" i="13"/>
  <c r="I1088" i="13"/>
  <c r="E1089" i="13"/>
  <c r="F1089" i="13"/>
  <c r="G1089" i="13"/>
  <c r="H1089" i="13"/>
  <c r="I1089" i="13"/>
  <c r="E1090" i="13"/>
  <c r="F1090" i="13"/>
  <c r="G1090" i="13"/>
  <c r="H1090" i="13"/>
  <c r="I1090" i="13"/>
  <c r="E1091" i="13"/>
  <c r="F1091" i="13"/>
  <c r="G1091" i="13"/>
  <c r="H1091" i="13"/>
  <c r="I1091" i="13"/>
  <c r="E1092" i="13"/>
  <c r="F1092" i="13"/>
  <c r="G1092" i="13"/>
  <c r="H1092" i="13"/>
  <c r="I1092" i="13"/>
  <c r="E1093" i="13"/>
  <c r="F1093" i="13"/>
  <c r="G1093" i="13"/>
  <c r="H1093" i="13"/>
  <c r="I1093" i="13"/>
  <c r="E1094" i="13"/>
  <c r="F1094" i="13"/>
  <c r="G1094" i="13"/>
  <c r="H1094" i="13"/>
  <c r="I1094" i="13"/>
  <c r="E1095" i="13"/>
  <c r="F1095" i="13"/>
  <c r="G1095" i="13"/>
  <c r="H1095" i="13"/>
  <c r="I1095" i="13"/>
  <c r="E1096" i="13"/>
  <c r="F1096" i="13"/>
  <c r="G1096" i="13"/>
  <c r="H1096" i="13"/>
  <c r="I1096" i="13"/>
  <c r="E1097" i="13"/>
  <c r="F1097" i="13"/>
  <c r="G1097" i="13"/>
  <c r="H1097" i="13"/>
  <c r="I1097" i="13"/>
  <c r="E1098" i="13"/>
  <c r="F1098" i="13"/>
  <c r="G1098" i="13"/>
  <c r="H1098" i="13"/>
  <c r="I1098" i="13"/>
  <c r="E1099" i="13"/>
  <c r="F1099" i="13"/>
  <c r="G1099" i="13"/>
  <c r="H1099" i="13"/>
  <c r="I1099" i="13"/>
  <c r="E1100" i="13"/>
  <c r="F1100" i="13"/>
  <c r="G1100" i="13"/>
  <c r="H1100" i="13"/>
  <c r="I1100" i="13"/>
  <c r="E1101" i="13"/>
  <c r="F1101" i="13"/>
  <c r="G1101" i="13"/>
  <c r="H1101" i="13"/>
  <c r="I1101" i="13"/>
  <c r="E1102" i="13"/>
  <c r="F1102" i="13"/>
  <c r="G1102" i="13"/>
  <c r="H1102" i="13"/>
  <c r="I1102" i="13"/>
  <c r="E1103" i="13"/>
  <c r="F1103" i="13"/>
  <c r="G1103" i="13"/>
  <c r="H1103" i="13"/>
  <c r="I1103" i="13"/>
  <c r="E1104" i="13"/>
  <c r="F1104" i="13"/>
  <c r="G1104" i="13"/>
  <c r="H1104" i="13"/>
  <c r="I1104" i="13"/>
  <c r="E1105" i="13"/>
  <c r="F1105" i="13"/>
  <c r="G1105" i="13"/>
  <c r="H1105" i="13"/>
  <c r="I1105" i="13"/>
  <c r="E1106" i="13"/>
  <c r="F1106" i="13"/>
  <c r="G1106" i="13"/>
  <c r="H1106" i="13"/>
  <c r="I1106" i="13"/>
  <c r="E1107" i="13"/>
  <c r="F1107" i="13"/>
  <c r="G1107" i="13"/>
  <c r="H1107" i="13"/>
  <c r="I1107" i="13"/>
  <c r="BE726" i="7"/>
  <c r="BG726" i="7"/>
  <c r="BH726" i="7"/>
  <c r="BE727" i="7"/>
  <c r="BG727" i="7"/>
  <c r="BH727" i="7"/>
  <c r="T726" i="7"/>
  <c r="T727" i="7"/>
  <c r="B726" i="9"/>
  <c r="C726" i="9"/>
  <c r="B727" i="9"/>
  <c r="C727" i="9"/>
  <c r="E726" i="9"/>
  <c r="E727" i="9"/>
  <c r="U726" i="7"/>
  <c r="Z726" i="7"/>
  <c r="AA726" i="7" s="1"/>
  <c r="BI726" i="7" s="1"/>
  <c r="AF726" i="7"/>
  <c r="AG726" i="7" s="1"/>
  <c r="AK726" i="7"/>
  <c r="AP726" i="7"/>
  <c r="AU726" i="7"/>
  <c r="Z727" i="7"/>
  <c r="AA727" i="7" s="1"/>
  <c r="BI727" i="7" s="1"/>
  <c r="AF727" i="7"/>
  <c r="AG727" i="7" s="1"/>
  <c r="AK727" i="7"/>
  <c r="AP727" i="7"/>
  <c r="AU727" i="7"/>
  <c r="D727" i="7"/>
  <c r="D726" i="7"/>
  <c r="C511" i="19"/>
  <c r="B511" i="19"/>
  <c r="C510" i="19"/>
  <c r="B510" i="19"/>
  <c r="C509" i="19"/>
  <c r="B509" i="19"/>
  <c r="C508" i="19"/>
  <c r="B508" i="19"/>
  <c r="C507" i="19"/>
  <c r="B507" i="19"/>
  <c r="C506" i="19"/>
  <c r="B506" i="19"/>
  <c r="C505" i="19"/>
  <c r="B505" i="19"/>
  <c r="C504" i="19"/>
  <c r="B504" i="19"/>
  <c r="C503" i="19"/>
  <c r="B503" i="19"/>
  <c r="C502" i="19"/>
  <c r="B502" i="19"/>
  <c r="C501" i="19"/>
  <c r="B501" i="19"/>
  <c r="G501" i="19" s="1"/>
  <c r="C500" i="19"/>
  <c r="B500" i="19"/>
  <c r="G500" i="19" s="1"/>
  <c r="C499" i="19"/>
  <c r="B499" i="19"/>
  <c r="C498" i="19"/>
  <c r="B498" i="19"/>
  <c r="C497" i="19"/>
  <c r="B497" i="19"/>
  <c r="G497" i="19" s="1"/>
  <c r="C496" i="19"/>
  <c r="B496" i="19"/>
  <c r="C495" i="19"/>
  <c r="B495" i="19"/>
  <c r="G495" i="19" s="1"/>
  <c r="C494" i="19"/>
  <c r="B494" i="19"/>
  <c r="G494" i="19" s="1"/>
  <c r="C493" i="19"/>
  <c r="B493" i="19"/>
  <c r="C492" i="19"/>
  <c r="B492" i="19"/>
  <c r="C491" i="19"/>
  <c r="B491" i="19"/>
  <c r="G491" i="19" s="1"/>
  <c r="C490" i="19"/>
  <c r="B490" i="19"/>
  <c r="C489" i="19"/>
  <c r="B489" i="19"/>
  <c r="C488" i="19"/>
  <c r="B488" i="19"/>
  <c r="C487" i="19"/>
  <c r="B487" i="19"/>
  <c r="C486" i="19"/>
  <c r="B486" i="19"/>
  <c r="C485" i="19"/>
  <c r="B485" i="19"/>
  <c r="C484" i="19"/>
  <c r="B484" i="19"/>
  <c r="C483" i="19"/>
  <c r="B483" i="19"/>
  <c r="C482" i="19"/>
  <c r="B482" i="19"/>
  <c r="C481" i="19"/>
  <c r="B481" i="19"/>
  <c r="C480" i="19"/>
  <c r="B480" i="19"/>
  <c r="G480" i="19" s="1"/>
  <c r="G479" i="19"/>
  <c r="C479" i="19"/>
  <c r="B479" i="19"/>
  <c r="G478" i="19"/>
  <c r="C478" i="19"/>
  <c r="B478" i="19"/>
  <c r="G477" i="19"/>
  <c r="C477" i="19"/>
  <c r="B477" i="19"/>
  <c r="G476" i="19"/>
  <c r="C476" i="19"/>
  <c r="B476" i="19"/>
  <c r="G475" i="19"/>
  <c r="C475" i="19"/>
  <c r="B475" i="19"/>
  <c r="G474" i="19"/>
  <c r="C474" i="19"/>
  <c r="B474" i="19"/>
  <c r="G473" i="19"/>
  <c r="C473" i="19"/>
  <c r="B473" i="19"/>
  <c r="G472" i="19"/>
  <c r="C472" i="19"/>
  <c r="B472" i="19"/>
  <c r="G471" i="19"/>
  <c r="C471" i="19"/>
  <c r="B471" i="19"/>
  <c r="G470" i="19"/>
  <c r="C470" i="19"/>
  <c r="B470" i="19"/>
  <c r="G469" i="19"/>
  <c r="C469" i="19"/>
  <c r="B469" i="19"/>
  <c r="G468" i="19"/>
  <c r="C468" i="19"/>
  <c r="B468" i="19"/>
  <c r="G467" i="19"/>
  <c r="C467" i="19"/>
  <c r="B467" i="19"/>
  <c r="G466" i="19"/>
  <c r="C466" i="19"/>
  <c r="B466" i="19"/>
  <c r="G465" i="19"/>
  <c r="C465" i="19"/>
  <c r="B465" i="19"/>
  <c r="G464" i="19"/>
  <c r="C464" i="19"/>
  <c r="B464" i="19"/>
  <c r="G463" i="19"/>
  <c r="C463" i="19"/>
  <c r="B463" i="19"/>
  <c r="G462" i="19"/>
  <c r="C462" i="19"/>
  <c r="B462" i="19"/>
  <c r="G461" i="19"/>
  <c r="C461" i="19"/>
  <c r="B461" i="19"/>
  <c r="G460" i="19"/>
  <c r="C460" i="19"/>
  <c r="B460" i="19"/>
  <c r="G459" i="19"/>
  <c r="C459" i="19"/>
  <c r="B459" i="19"/>
  <c r="G458" i="19"/>
  <c r="C458" i="19"/>
  <c r="B458" i="19"/>
  <c r="G457" i="19"/>
  <c r="C457" i="19"/>
  <c r="B457" i="19"/>
  <c r="G456" i="19"/>
  <c r="C456" i="19"/>
  <c r="B456" i="19"/>
  <c r="G455" i="19"/>
  <c r="C455" i="19"/>
  <c r="B455" i="19"/>
  <c r="G454" i="19"/>
  <c r="C454" i="19"/>
  <c r="B454" i="19"/>
  <c r="G453" i="19"/>
  <c r="C453" i="19"/>
  <c r="B453" i="19"/>
  <c r="G452" i="19"/>
  <c r="C452" i="19"/>
  <c r="B452" i="19"/>
  <c r="G451" i="19"/>
  <c r="C451" i="19"/>
  <c r="B451" i="19"/>
  <c r="G450" i="19"/>
  <c r="C450" i="19"/>
  <c r="B450" i="19"/>
  <c r="G449" i="19"/>
  <c r="C449" i="19"/>
  <c r="B449" i="19"/>
  <c r="G448" i="19"/>
  <c r="C448" i="19"/>
  <c r="B448" i="19"/>
  <c r="G447" i="19"/>
  <c r="C447" i="19"/>
  <c r="B447" i="19"/>
  <c r="G446" i="19"/>
  <c r="C446" i="19"/>
  <c r="B446" i="19"/>
  <c r="G445" i="19"/>
  <c r="C445" i="19"/>
  <c r="B445" i="19"/>
  <c r="G444" i="19"/>
  <c r="C444" i="19"/>
  <c r="B444" i="19"/>
  <c r="G443" i="19"/>
  <c r="C443" i="19"/>
  <c r="B443" i="19"/>
  <c r="G442" i="19"/>
  <c r="C442" i="19"/>
  <c r="B442" i="19"/>
  <c r="G441" i="19"/>
  <c r="C441" i="19"/>
  <c r="B441" i="19"/>
  <c r="G440" i="19"/>
  <c r="C440" i="19"/>
  <c r="B440" i="19"/>
  <c r="G439" i="19"/>
  <c r="C439" i="19"/>
  <c r="B439" i="19"/>
  <c r="G438" i="19"/>
  <c r="C438" i="19"/>
  <c r="B438" i="19"/>
  <c r="C437" i="19"/>
  <c r="B437" i="19"/>
  <c r="G437" i="19" s="1"/>
  <c r="C436" i="19"/>
  <c r="B436" i="19"/>
  <c r="G436" i="19" s="1"/>
  <c r="G435" i="19"/>
  <c r="C435" i="19"/>
  <c r="B435" i="19"/>
  <c r="G434" i="19"/>
  <c r="C434" i="19"/>
  <c r="B434" i="19"/>
  <c r="C433" i="19"/>
  <c r="B433" i="19"/>
  <c r="G433" i="19" s="1"/>
  <c r="C432" i="19"/>
  <c r="B432" i="19"/>
  <c r="G432" i="19" s="1"/>
  <c r="G431" i="19"/>
  <c r="C431" i="19"/>
  <c r="B431" i="19"/>
  <c r="G430" i="19"/>
  <c r="C430" i="19"/>
  <c r="B430" i="19"/>
  <c r="G429" i="19"/>
  <c r="C429" i="19"/>
  <c r="B429" i="19"/>
  <c r="C428" i="19"/>
  <c r="B428" i="19"/>
  <c r="G428" i="19" s="1"/>
  <c r="C427" i="19"/>
  <c r="B427" i="19"/>
  <c r="G427" i="19" s="1"/>
  <c r="G426" i="19"/>
  <c r="C426" i="19"/>
  <c r="B426" i="19"/>
  <c r="G425" i="19"/>
  <c r="C425" i="19"/>
  <c r="B425" i="19"/>
  <c r="G424" i="19"/>
  <c r="C424" i="19"/>
  <c r="B424" i="19"/>
  <c r="G423" i="19"/>
  <c r="C423" i="19"/>
  <c r="B423" i="19"/>
  <c r="G422" i="19"/>
  <c r="C422" i="19"/>
  <c r="B422" i="19"/>
  <c r="G421" i="19"/>
  <c r="C421" i="19"/>
  <c r="B421" i="19"/>
  <c r="G420" i="19"/>
  <c r="C420" i="19"/>
  <c r="B420" i="19"/>
  <c r="G419" i="19"/>
  <c r="C419" i="19"/>
  <c r="B419" i="19"/>
  <c r="G418" i="19"/>
  <c r="C418" i="19"/>
  <c r="B418" i="19"/>
  <c r="G417" i="19"/>
  <c r="C417" i="19"/>
  <c r="B417" i="19"/>
  <c r="G416" i="19"/>
  <c r="C416" i="19"/>
  <c r="B416" i="19"/>
  <c r="G415" i="19"/>
  <c r="C415" i="19"/>
  <c r="B415" i="19"/>
  <c r="G414" i="19"/>
  <c r="C414" i="19"/>
  <c r="B414" i="19"/>
  <c r="G413" i="19"/>
  <c r="C413" i="19"/>
  <c r="B413" i="19"/>
  <c r="C412" i="19"/>
  <c r="B412" i="19"/>
  <c r="G412" i="19" s="1"/>
  <c r="G411" i="19"/>
  <c r="C411" i="19"/>
  <c r="B411" i="19"/>
  <c r="G410" i="19"/>
  <c r="C410" i="19"/>
  <c r="B410" i="19"/>
  <c r="G409" i="19"/>
  <c r="C409" i="19"/>
  <c r="B409" i="19"/>
  <c r="G408" i="19"/>
  <c r="C408" i="19"/>
  <c r="B408" i="19"/>
  <c r="G407" i="19"/>
  <c r="C407" i="19"/>
  <c r="B407" i="19"/>
  <c r="G406" i="19"/>
  <c r="C406" i="19"/>
  <c r="B406" i="19"/>
  <c r="G405" i="19"/>
  <c r="C405" i="19"/>
  <c r="B405" i="19"/>
  <c r="G404" i="19"/>
  <c r="C404" i="19"/>
  <c r="B404" i="19"/>
  <c r="G403" i="19"/>
  <c r="C403" i="19"/>
  <c r="B403" i="19"/>
  <c r="G402" i="19"/>
  <c r="C402" i="19"/>
  <c r="B402" i="19"/>
  <c r="C401" i="19"/>
  <c r="B401" i="19"/>
  <c r="G401" i="19" s="1"/>
  <c r="G400" i="19"/>
  <c r="C400" i="19"/>
  <c r="B400" i="19"/>
  <c r="G399" i="19"/>
  <c r="C399" i="19"/>
  <c r="B399" i="19"/>
  <c r="C398" i="19"/>
  <c r="B398" i="19"/>
  <c r="G398" i="19" s="1"/>
  <c r="C397" i="19"/>
  <c r="B397" i="19"/>
  <c r="G397" i="19" s="1"/>
  <c r="G396" i="19"/>
  <c r="C396" i="19"/>
  <c r="B396" i="19"/>
  <c r="G395" i="19"/>
  <c r="C395" i="19"/>
  <c r="B395" i="19"/>
  <c r="G394" i="19"/>
  <c r="C394" i="19"/>
  <c r="B394" i="19"/>
  <c r="C393" i="19"/>
  <c r="B393" i="19"/>
  <c r="G393" i="19" s="1"/>
  <c r="G392" i="19"/>
  <c r="C392" i="19"/>
  <c r="B392" i="19"/>
  <c r="G391" i="19"/>
  <c r="C391" i="19"/>
  <c r="B391" i="19"/>
  <c r="G390" i="19"/>
  <c r="C390" i="19"/>
  <c r="B390" i="19"/>
  <c r="G389" i="19"/>
  <c r="C389" i="19"/>
  <c r="B389" i="19"/>
  <c r="G388" i="19"/>
  <c r="C388" i="19"/>
  <c r="B388" i="19"/>
  <c r="G387" i="19"/>
  <c r="C387" i="19"/>
  <c r="B387" i="19"/>
  <c r="G386" i="19"/>
  <c r="C386" i="19"/>
  <c r="B386" i="19"/>
  <c r="G385" i="19"/>
  <c r="C385" i="19"/>
  <c r="B385" i="19"/>
  <c r="G384" i="19"/>
  <c r="C384" i="19"/>
  <c r="B384" i="19"/>
  <c r="G383" i="19"/>
  <c r="C383" i="19"/>
  <c r="B383" i="19"/>
  <c r="G382" i="19"/>
  <c r="C382" i="19"/>
  <c r="B382" i="19"/>
  <c r="G381" i="19"/>
  <c r="C381" i="19"/>
  <c r="B381" i="19"/>
  <c r="G380" i="19"/>
  <c r="C380" i="19"/>
  <c r="B380" i="19"/>
  <c r="G379" i="19"/>
  <c r="C379" i="19"/>
  <c r="B379" i="19"/>
  <c r="G378" i="19"/>
  <c r="C378" i="19"/>
  <c r="B378" i="19"/>
  <c r="G377" i="19"/>
  <c r="C377" i="19"/>
  <c r="B377" i="19"/>
  <c r="G376" i="19"/>
  <c r="C376" i="19"/>
  <c r="B376" i="19"/>
  <c r="G375" i="19"/>
  <c r="C375" i="19"/>
  <c r="B375" i="19"/>
  <c r="G374" i="19"/>
  <c r="C374" i="19"/>
  <c r="B374" i="19"/>
  <c r="G373" i="19"/>
  <c r="C373" i="19"/>
  <c r="B373" i="19"/>
  <c r="G372" i="19"/>
  <c r="C372" i="19"/>
  <c r="B372" i="19"/>
  <c r="G371" i="19"/>
  <c r="C371" i="19"/>
  <c r="B371" i="19"/>
  <c r="G370" i="19"/>
  <c r="C370" i="19"/>
  <c r="B370" i="19"/>
  <c r="G369" i="19"/>
  <c r="C369" i="19"/>
  <c r="B369" i="19"/>
  <c r="G368" i="19"/>
  <c r="C368" i="19"/>
  <c r="B368" i="19"/>
  <c r="G367" i="19"/>
  <c r="C367" i="19"/>
  <c r="B367" i="19"/>
  <c r="G366" i="19"/>
  <c r="C366" i="19"/>
  <c r="B366" i="19"/>
  <c r="G365" i="19"/>
  <c r="C365" i="19"/>
  <c r="B365" i="19"/>
  <c r="G364" i="19"/>
  <c r="C364" i="19"/>
  <c r="B364" i="19"/>
  <c r="G363" i="19"/>
  <c r="C363" i="19"/>
  <c r="B363" i="19"/>
  <c r="G362" i="19"/>
  <c r="C362" i="19"/>
  <c r="B362" i="19"/>
  <c r="G361" i="19"/>
  <c r="C361" i="19"/>
  <c r="B361" i="19"/>
  <c r="G360" i="19"/>
  <c r="C360" i="19"/>
  <c r="B360" i="19"/>
  <c r="G359" i="19"/>
  <c r="C359" i="19"/>
  <c r="B359" i="19"/>
  <c r="G358" i="19"/>
  <c r="C358" i="19"/>
  <c r="B358" i="19"/>
  <c r="G357" i="19"/>
  <c r="C357" i="19"/>
  <c r="B357" i="19"/>
  <c r="G356" i="19"/>
  <c r="C356" i="19"/>
  <c r="B356" i="19"/>
  <c r="G355" i="19"/>
  <c r="C355" i="19"/>
  <c r="B355" i="19"/>
  <c r="G354" i="19"/>
  <c r="C354" i="19"/>
  <c r="B354" i="19"/>
  <c r="G353" i="19"/>
  <c r="C353" i="19"/>
  <c r="B353" i="19"/>
  <c r="G352" i="19"/>
  <c r="C352" i="19"/>
  <c r="B352" i="19"/>
  <c r="G351" i="19"/>
  <c r="C351" i="19"/>
  <c r="B351" i="19"/>
  <c r="G350" i="19"/>
  <c r="C350" i="19"/>
  <c r="B350" i="19"/>
  <c r="G349" i="19"/>
  <c r="C349" i="19"/>
  <c r="B349" i="19"/>
  <c r="G348" i="19"/>
  <c r="C348" i="19"/>
  <c r="B348" i="19"/>
  <c r="G347" i="19"/>
  <c r="C347" i="19"/>
  <c r="B347" i="19"/>
  <c r="G346" i="19"/>
  <c r="C346" i="19"/>
  <c r="B346" i="19"/>
  <c r="G345" i="19"/>
  <c r="C345" i="19"/>
  <c r="B345" i="19"/>
  <c r="G344" i="19"/>
  <c r="C344" i="19"/>
  <c r="B344" i="19"/>
  <c r="C343" i="19"/>
  <c r="B343" i="19"/>
  <c r="G343" i="19" s="1"/>
  <c r="G342" i="19"/>
  <c r="C342" i="19"/>
  <c r="B342" i="19"/>
  <c r="G341" i="19"/>
  <c r="C341" i="19"/>
  <c r="B341" i="19"/>
  <c r="G340" i="19"/>
  <c r="C340" i="19"/>
  <c r="B340" i="19"/>
  <c r="C339" i="19"/>
  <c r="B339" i="19"/>
  <c r="G339" i="19" s="1"/>
  <c r="G338" i="19"/>
  <c r="C338" i="19"/>
  <c r="B338" i="19"/>
  <c r="G337" i="19"/>
  <c r="C337" i="19"/>
  <c r="B337" i="19"/>
  <c r="G336" i="19"/>
  <c r="C336" i="19"/>
  <c r="B336" i="19"/>
  <c r="G335" i="19"/>
  <c r="C335" i="19"/>
  <c r="B335" i="19"/>
  <c r="G334" i="19"/>
  <c r="C334" i="19"/>
  <c r="B334" i="19"/>
  <c r="G333" i="19"/>
  <c r="C333" i="19"/>
  <c r="B333" i="19"/>
  <c r="G332" i="19"/>
  <c r="C332" i="19"/>
  <c r="B332" i="19"/>
  <c r="G331" i="19"/>
  <c r="C331" i="19"/>
  <c r="B331" i="19"/>
  <c r="G330" i="19"/>
  <c r="C330" i="19"/>
  <c r="B330" i="19"/>
  <c r="G329" i="19"/>
  <c r="C329" i="19"/>
  <c r="B329" i="19"/>
  <c r="G328" i="19"/>
  <c r="C328" i="19"/>
  <c r="B328" i="19"/>
  <c r="G327" i="19"/>
  <c r="C327" i="19"/>
  <c r="B327" i="19"/>
  <c r="G326" i="19"/>
  <c r="C326" i="19"/>
  <c r="B326" i="19"/>
  <c r="G325" i="19"/>
  <c r="C325" i="19"/>
  <c r="B325" i="19"/>
  <c r="G324" i="19"/>
  <c r="C324" i="19"/>
  <c r="B324" i="19"/>
  <c r="G323" i="19"/>
  <c r="C323" i="19"/>
  <c r="B323" i="19"/>
  <c r="G322" i="19"/>
  <c r="C322" i="19"/>
  <c r="B322" i="19"/>
  <c r="G321" i="19"/>
  <c r="C321" i="19"/>
  <c r="B321" i="19"/>
  <c r="G320" i="19"/>
  <c r="C320" i="19"/>
  <c r="B320" i="19"/>
  <c r="G319" i="19"/>
  <c r="C319" i="19"/>
  <c r="B319" i="19"/>
  <c r="G318" i="19"/>
  <c r="C318" i="19"/>
  <c r="B318" i="19"/>
  <c r="G317" i="19"/>
  <c r="C317" i="19"/>
  <c r="B317" i="19"/>
  <c r="G316" i="19"/>
  <c r="C316" i="19"/>
  <c r="B316" i="19"/>
  <c r="G315" i="19"/>
  <c r="C315" i="19"/>
  <c r="B315" i="19"/>
  <c r="G314" i="19"/>
  <c r="C314" i="19"/>
  <c r="B314" i="19"/>
  <c r="G313" i="19"/>
  <c r="C313" i="19"/>
  <c r="B313" i="19"/>
  <c r="G312" i="19"/>
  <c r="C312" i="19"/>
  <c r="B312" i="19"/>
  <c r="G311" i="19"/>
  <c r="C311" i="19"/>
  <c r="B311" i="19"/>
  <c r="G310" i="19"/>
  <c r="C310" i="19"/>
  <c r="B310" i="19"/>
  <c r="G309" i="19"/>
  <c r="C309" i="19"/>
  <c r="B309" i="19"/>
  <c r="G308" i="19"/>
  <c r="C308" i="19"/>
  <c r="B308" i="19"/>
  <c r="G307" i="19"/>
  <c r="C307" i="19"/>
  <c r="B307" i="19"/>
  <c r="C306" i="19"/>
  <c r="B306" i="19"/>
  <c r="G306" i="19" s="1"/>
  <c r="G305" i="19"/>
  <c r="C305" i="19"/>
  <c r="B305" i="19"/>
  <c r="G304" i="19"/>
  <c r="C304" i="19"/>
  <c r="B304" i="19"/>
  <c r="G303" i="19"/>
  <c r="C303" i="19"/>
  <c r="B303" i="19"/>
  <c r="G302" i="19"/>
  <c r="C302" i="19"/>
  <c r="B302" i="19"/>
  <c r="G301" i="19"/>
  <c r="C301" i="19"/>
  <c r="B301" i="19"/>
  <c r="G300" i="19"/>
  <c r="C300" i="19"/>
  <c r="B300" i="19"/>
  <c r="G299" i="19"/>
  <c r="C299" i="19"/>
  <c r="B299" i="19"/>
  <c r="G298" i="19"/>
  <c r="C298" i="19"/>
  <c r="B298" i="19"/>
  <c r="G297" i="19"/>
  <c r="C297" i="19"/>
  <c r="B297" i="19"/>
  <c r="G296" i="19"/>
  <c r="C296" i="19"/>
  <c r="B296" i="19"/>
  <c r="G295" i="19"/>
  <c r="C295" i="19"/>
  <c r="B295" i="19"/>
  <c r="C294" i="19"/>
  <c r="B294" i="19"/>
  <c r="G294" i="19" s="1"/>
  <c r="G293" i="19"/>
  <c r="C293" i="19"/>
  <c r="B293" i="19"/>
  <c r="G292" i="19"/>
  <c r="C292" i="19"/>
  <c r="B292" i="19"/>
  <c r="G291" i="19"/>
  <c r="C291" i="19"/>
  <c r="B291" i="19"/>
  <c r="G290" i="19"/>
  <c r="C290" i="19"/>
  <c r="B290" i="19"/>
  <c r="G289" i="19"/>
  <c r="C289" i="19"/>
  <c r="B289" i="19"/>
  <c r="G288" i="19"/>
  <c r="C288" i="19"/>
  <c r="B288" i="19"/>
  <c r="G287" i="19"/>
  <c r="C287" i="19"/>
  <c r="B287" i="19"/>
  <c r="G286" i="19"/>
  <c r="C286" i="19"/>
  <c r="B286" i="19"/>
  <c r="G285" i="19"/>
  <c r="C285" i="19"/>
  <c r="B285" i="19"/>
  <c r="G284" i="19"/>
  <c r="C284" i="19"/>
  <c r="B284" i="19"/>
  <c r="G283" i="19"/>
  <c r="C283" i="19"/>
  <c r="B283" i="19"/>
  <c r="G282" i="19"/>
  <c r="C282" i="19"/>
  <c r="B282" i="19"/>
  <c r="G281" i="19"/>
  <c r="C281" i="19"/>
  <c r="B281" i="19"/>
  <c r="G280" i="19"/>
  <c r="C280" i="19"/>
  <c r="B280" i="19"/>
  <c r="G279" i="19"/>
  <c r="C279" i="19"/>
  <c r="B279" i="19"/>
  <c r="G278" i="19"/>
  <c r="C278" i="19"/>
  <c r="B278" i="19"/>
  <c r="G277" i="19"/>
  <c r="C277" i="19"/>
  <c r="B277" i="19"/>
  <c r="G276" i="19"/>
  <c r="C276" i="19"/>
  <c r="B276" i="19"/>
  <c r="G275" i="19"/>
  <c r="C275" i="19"/>
  <c r="B275" i="19"/>
  <c r="G274" i="19"/>
  <c r="C274" i="19"/>
  <c r="B274" i="19"/>
  <c r="G273" i="19"/>
  <c r="C273" i="19"/>
  <c r="B273" i="19"/>
  <c r="G272" i="19"/>
  <c r="C272" i="19"/>
  <c r="B272" i="19"/>
  <c r="G271" i="19"/>
  <c r="C271" i="19"/>
  <c r="B271" i="19"/>
  <c r="G270" i="19"/>
  <c r="C270" i="19"/>
  <c r="B270" i="19"/>
  <c r="G269" i="19"/>
  <c r="C269" i="19"/>
  <c r="B269" i="19"/>
  <c r="G268" i="19"/>
  <c r="C268" i="19"/>
  <c r="B268" i="19"/>
  <c r="G267" i="19"/>
  <c r="C267" i="19"/>
  <c r="B267" i="19"/>
  <c r="G266" i="19"/>
  <c r="C266" i="19"/>
  <c r="B266" i="19"/>
  <c r="G265" i="19"/>
  <c r="C265" i="19"/>
  <c r="B265" i="19"/>
  <c r="G264" i="19"/>
  <c r="C264" i="19"/>
  <c r="B264" i="19"/>
  <c r="G263" i="19"/>
  <c r="C263" i="19"/>
  <c r="B263" i="19"/>
  <c r="G262" i="19"/>
  <c r="C262" i="19"/>
  <c r="B262" i="19"/>
  <c r="G261" i="19"/>
  <c r="C261" i="19"/>
  <c r="B261" i="19"/>
  <c r="G260" i="19"/>
  <c r="C260" i="19"/>
  <c r="B260" i="19"/>
  <c r="G259" i="19"/>
  <c r="C259" i="19"/>
  <c r="B259" i="19"/>
  <c r="G258" i="19"/>
  <c r="C258" i="19"/>
  <c r="B258" i="19"/>
  <c r="G257" i="19"/>
  <c r="C257" i="19"/>
  <c r="B257" i="19"/>
  <c r="G256" i="19"/>
  <c r="C256" i="19"/>
  <c r="B256" i="19"/>
  <c r="G255" i="19"/>
  <c r="C255" i="19"/>
  <c r="B255" i="19"/>
  <c r="G254" i="19"/>
  <c r="C254" i="19"/>
  <c r="B254" i="19"/>
  <c r="G253" i="19"/>
  <c r="C253" i="19"/>
  <c r="B253" i="19"/>
  <c r="G252" i="19"/>
  <c r="C252" i="19"/>
  <c r="B252" i="19"/>
  <c r="G251" i="19"/>
  <c r="C251" i="19"/>
  <c r="B251" i="19"/>
  <c r="G250" i="19"/>
  <c r="C250" i="19"/>
  <c r="B250" i="19"/>
  <c r="G249" i="19"/>
  <c r="C249" i="19"/>
  <c r="B249" i="19"/>
  <c r="G248" i="19"/>
  <c r="C248" i="19"/>
  <c r="B248" i="19"/>
  <c r="G247" i="19"/>
  <c r="C247" i="19"/>
  <c r="B247" i="19"/>
  <c r="G246" i="19"/>
  <c r="C246" i="19"/>
  <c r="B246" i="19"/>
  <c r="G245" i="19"/>
  <c r="C245" i="19"/>
  <c r="B245" i="19"/>
  <c r="G244" i="19"/>
  <c r="C244" i="19"/>
  <c r="B244" i="19"/>
  <c r="G243" i="19"/>
  <c r="C243" i="19"/>
  <c r="B243" i="19"/>
  <c r="G242" i="19"/>
  <c r="C242" i="19"/>
  <c r="B242" i="19"/>
  <c r="G241" i="19"/>
  <c r="C241" i="19"/>
  <c r="B241" i="19"/>
  <c r="G240" i="19"/>
  <c r="C240" i="19"/>
  <c r="B240" i="19"/>
  <c r="G239" i="19"/>
  <c r="C239" i="19"/>
  <c r="B239" i="19"/>
  <c r="G238" i="19"/>
  <c r="C238" i="19"/>
  <c r="B238" i="19"/>
  <c r="G237" i="19"/>
  <c r="C237" i="19"/>
  <c r="B237" i="19"/>
  <c r="C236" i="19"/>
  <c r="B236" i="19"/>
  <c r="G236" i="19" s="1"/>
  <c r="G235" i="19"/>
  <c r="C235" i="19"/>
  <c r="B235" i="19"/>
  <c r="G234" i="19"/>
  <c r="C234" i="19"/>
  <c r="B234" i="19"/>
  <c r="G233" i="19"/>
  <c r="C233" i="19"/>
  <c r="B233" i="19"/>
  <c r="C232" i="19"/>
  <c r="B232" i="19"/>
  <c r="G232" i="19" s="1"/>
  <c r="G231" i="19"/>
  <c r="C231" i="19"/>
  <c r="B231" i="19"/>
  <c r="G230" i="19"/>
  <c r="C230" i="19"/>
  <c r="B230" i="19"/>
  <c r="G229" i="19"/>
  <c r="C229" i="19"/>
  <c r="B229" i="19"/>
  <c r="G228" i="19"/>
  <c r="C228" i="19"/>
  <c r="B228" i="19"/>
  <c r="C227" i="19"/>
  <c r="B227" i="19"/>
  <c r="G227" i="19" s="1"/>
  <c r="G226" i="19"/>
  <c r="C226" i="19"/>
  <c r="B226" i="19"/>
  <c r="G225" i="19"/>
  <c r="C225" i="19"/>
  <c r="B225" i="19"/>
  <c r="C224" i="19"/>
  <c r="B224" i="19"/>
  <c r="G224" i="19" s="1"/>
  <c r="G223" i="19"/>
  <c r="C223" i="19"/>
  <c r="B223" i="19"/>
  <c r="G222" i="19"/>
  <c r="C222" i="19"/>
  <c r="B222" i="19"/>
  <c r="G221" i="19"/>
  <c r="C221" i="19"/>
  <c r="B221" i="19"/>
  <c r="G220" i="19"/>
  <c r="C220" i="19"/>
  <c r="B220" i="19"/>
  <c r="G219" i="19"/>
  <c r="C219" i="19"/>
  <c r="B219" i="19"/>
  <c r="G218" i="19"/>
  <c r="C218" i="19"/>
  <c r="B218" i="19"/>
  <c r="G217" i="19"/>
  <c r="C217" i="19"/>
  <c r="B217" i="19"/>
  <c r="G216" i="19"/>
  <c r="C216" i="19"/>
  <c r="B216" i="19"/>
  <c r="G215" i="19"/>
  <c r="C215" i="19"/>
  <c r="B215" i="19"/>
  <c r="G214" i="19"/>
  <c r="C214" i="19"/>
  <c r="B214" i="19"/>
  <c r="G213" i="19"/>
  <c r="C213" i="19"/>
  <c r="B213" i="19"/>
  <c r="G212" i="19"/>
  <c r="C212" i="19"/>
  <c r="B212" i="19"/>
  <c r="G211" i="19"/>
  <c r="C211" i="19"/>
  <c r="B211" i="19"/>
  <c r="G210" i="19"/>
  <c r="C210" i="19"/>
  <c r="B210" i="19"/>
  <c r="G209" i="19"/>
  <c r="C209" i="19"/>
  <c r="B209" i="19"/>
  <c r="G208" i="19"/>
  <c r="C208" i="19"/>
  <c r="B208" i="19"/>
  <c r="G207" i="19"/>
  <c r="C207" i="19"/>
  <c r="B207" i="19"/>
  <c r="G206" i="19"/>
  <c r="C206" i="19"/>
  <c r="B206" i="19"/>
  <c r="G205" i="19"/>
  <c r="C205" i="19"/>
  <c r="B205" i="19"/>
  <c r="G204" i="19"/>
  <c r="C204" i="19"/>
  <c r="B204" i="19"/>
  <c r="G203" i="19"/>
  <c r="C203" i="19"/>
  <c r="B203" i="19"/>
  <c r="G202" i="19"/>
  <c r="C202" i="19"/>
  <c r="B202" i="19"/>
  <c r="G201" i="19"/>
  <c r="C201" i="19"/>
  <c r="B201" i="19"/>
  <c r="G200" i="19"/>
  <c r="C200" i="19"/>
  <c r="B200" i="19"/>
  <c r="G199" i="19"/>
  <c r="C199" i="19"/>
  <c r="B199" i="19"/>
  <c r="G198" i="19"/>
  <c r="C198" i="19"/>
  <c r="B198" i="19"/>
  <c r="G197" i="19"/>
  <c r="C197" i="19"/>
  <c r="B197" i="19"/>
  <c r="G196" i="19"/>
  <c r="C196" i="19"/>
  <c r="B196" i="19"/>
  <c r="G195" i="19"/>
  <c r="C195" i="19"/>
  <c r="B195" i="19"/>
  <c r="G194" i="19"/>
  <c r="C194" i="19"/>
  <c r="B194" i="19"/>
  <c r="C193" i="19"/>
  <c r="B193" i="19"/>
  <c r="G193" i="19" s="1"/>
  <c r="G192" i="19"/>
  <c r="C192" i="19"/>
  <c r="B192" i="19"/>
  <c r="G191" i="19"/>
  <c r="C191" i="19"/>
  <c r="B191" i="19"/>
  <c r="G190" i="19"/>
  <c r="C190" i="19"/>
  <c r="B190" i="19"/>
  <c r="G189" i="19"/>
  <c r="C189" i="19"/>
  <c r="B189" i="19"/>
  <c r="C188" i="19"/>
  <c r="B188" i="19"/>
  <c r="G188" i="19" s="1"/>
  <c r="G187" i="19"/>
  <c r="C187" i="19"/>
  <c r="B187" i="19"/>
  <c r="G186" i="19"/>
  <c r="C186" i="19"/>
  <c r="B186" i="19"/>
  <c r="G185" i="19"/>
  <c r="C185" i="19"/>
  <c r="B185" i="19"/>
  <c r="G184" i="19"/>
  <c r="C184" i="19"/>
  <c r="B184" i="19"/>
  <c r="G183" i="19"/>
  <c r="C183" i="19"/>
  <c r="B183" i="19"/>
  <c r="G182" i="19"/>
  <c r="C182" i="19"/>
  <c r="B182" i="19"/>
  <c r="G181" i="19"/>
  <c r="C181" i="19"/>
  <c r="B181" i="19"/>
  <c r="G180" i="19"/>
  <c r="C180" i="19"/>
  <c r="B180" i="19"/>
  <c r="G179" i="19"/>
  <c r="C179" i="19"/>
  <c r="B179" i="19"/>
  <c r="C178" i="19"/>
  <c r="B178" i="19"/>
  <c r="G178" i="19" s="1"/>
  <c r="G177" i="19"/>
  <c r="C177" i="19"/>
  <c r="B177" i="19"/>
  <c r="G176" i="19"/>
  <c r="C176" i="19"/>
  <c r="B176" i="19"/>
  <c r="G175" i="19"/>
  <c r="C175" i="19"/>
  <c r="B175" i="19"/>
  <c r="G174" i="19"/>
  <c r="C174" i="19"/>
  <c r="B174" i="19"/>
  <c r="G173" i="19"/>
  <c r="C173" i="19"/>
  <c r="B173" i="19"/>
  <c r="G172" i="19"/>
  <c r="C172" i="19"/>
  <c r="B172" i="19"/>
  <c r="G171" i="19"/>
  <c r="C171" i="19"/>
  <c r="B171" i="19"/>
  <c r="G170" i="19"/>
  <c r="C170" i="19"/>
  <c r="B170" i="19"/>
  <c r="G169" i="19"/>
  <c r="C169" i="19"/>
  <c r="B169" i="19"/>
  <c r="G168" i="19"/>
  <c r="C168" i="19"/>
  <c r="B168" i="19"/>
  <c r="G167" i="19"/>
  <c r="C167" i="19"/>
  <c r="B167" i="19"/>
  <c r="G166" i="19"/>
  <c r="C166" i="19"/>
  <c r="B166" i="19"/>
  <c r="G165" i="19"/>
  <c r="C165" i="19"/>
  <c r="B165" i="19"/>
  <c r="G164" i="19"/>
  <c r="C164" i="19"/>
  <c r="B164" i="19"/>
  <c r="G163" i="19"/>
  <c r="C163" i="19"/>
  <c r="B163" i="19"/>
  <c r="G162" i="19"/>
  <c r="C162" i="19"/>
  <c r="B162" i="19"/>
  <c r="G161" i="19"/>
  <c r="C161" i="19"/>
  <c r="B161" i="19"/>
  <c r="G160" i="19"/>
  <c r="C160" i="19"/>
  <c r="B160" i="19"/>
  <c r="G159" i="19"/>
  <c r="C159" i="19"/>
  <c r="B159" i="19"/>
  <c r="G158" i="19"/>
  <c r="C158" i="19"/>
  <c r="B158" i="19"/>
  <c r="C157" i="19"/>
  <c r="B157" i="19"/>
  <c r="G157" i="19" s="1"/>
  <c r="G156" i="19"/>
  <c r="C156" i="19"/>
  <c r="B156" i="19"/>
  <c r="G155" i="19"/>
  <c r="C155" i="19"/>
  <c r="B155" i="19"/>
  <c r="C154" i="19"/>
  <c r="B154" i="19"/>
  <c r="G154" i="19" s="1"/>
  <c r="C153" i="19"/>
  <c r="B153" i="19"/>
  <c r="G153" i="19" s="1"/>
  <c r="G152" i="19"/>
  <c r="C152" i="19"/>
  <c r="B152" i="19"/>
  <c r="G151" i="19"/>
  <c r="C151" i="19"/>
  <c r="B151" i="19"/>
  <c r="G150" i="19"/>
  <c r="C150" i="19"/>
  <c r="B150" i="19"/>
  <c r="G149" i="19"/>
  <c r="C149" i="19"/>
  <c r="B149" i="19"/>
  <c r="G148" i="19"/>
  <c r="C148" i="19"/>
  <c r="B148" i="19"/>
  <c r="G147" i="19"/>
  <c r="C147" i="19"/>
  <c r="B147" i="19"/>
  <c r="G146" i="19"/>
  <c r="C146" i="19"/>
  <c r="B146" i="19"/>
  <c r="G145" i="19"/>
  <c r="C145" i="19"/>
  <c r="B145" i="19"/>
  <c r="G144" i="19"/>
  <c r="C144" i="19"/>
  <c r="B144" i="19"/>
  <c r="G143" i="19"/>
  <c r="C143" i="19"/>
  <c r="B143" i="19"/>
  <c r="C142" i="19"/>
  <c r="B142" i="19"/>
  <c r="G142" i="19" s="1"/>
  <c r="G141" i="19"/>
  <c r="C141" i="19"/>
  <c r="B141" i="19"/>
  <c r="G140" i="19"/>
  <c r="C140" i="19"/>
  <c r="B140" i="19"/>
  <c r="G139" i="19"/>
  <c r="C139" i="19"/>
  <c r="B139" i="19"/>
  <c r="G138" i="19"/>
  <c r="C138" i="19"/>
  <c r="B138" i="19"/>
  <c r="G137" i="19"/>
  <c r="C137" i="19"/>
  <c r="B137" i="19"/>
  <c r="G136" i="19"/>
  <c r="C136" i="19"/>
  <c r="B136" i="19"/>
  <c r="C135" i="19"/>
  <c r="B135" i="19"/>
  <c r="G135" i="19" s="1"/>
  <c r="G134" i="19"/>
  <c r="C134" i="19"/>
  <c r="B134" i="19"/>
  <c r="G133" i="19"/>
  <c r="C133" i="19"/>
  <c r="B133" i="19"/>
  <c r="G132" i="19"/>
  <c r="C132" i="19"/>
  <c r="B132" i="19"/>
  <c r="G131" i="19"/>
  <c r="C131" i="19"/>
  <c r="B131" i="19"/>
  <c r="G130" i="19"/>
  <c r="C130" i="19"/>
  <c r="B130" i="19"/>
  <c r="G129" i="19"/>
  <c r="C129" i="19"/>
  <c r="B129" i="19"/>
  <c r="C128" i="19"/>
  <c r="B128" i="19"/>
  <c r="G128" i="19" s="1"/>
  <c r="G127" i="19"/>
  <c r="C127" i="19"/>
  <c r="B127" i="19"/>
  <c r="G126" i="19"/>
  <c r="C126" i="19"/>
  <c r="B126" i="19"/>
  <c r="G125" i="19"/>
  <c r="C125" i="19"/>
  <c r="B125" i="19"/>
  <c r="G124" i="19"/>
  <c r="C124" i="19"/>
  <c r="B124" i="19"/>
  <c r="G123" i="19"/>
  <c r="C123" i="19"/>
  <c r="B123" i="19"/>
  <c r="G122" i="19"/>
  <c r="C122" i="19"/>
  <c r="B122" i="19"/>
  <c r="G121" i="19"/>
  <c r="C121" i="19"/>
  <c r="B121" i="19"/>
  <c r="G120" i="19"/>
  <c r="C120" i="19"/>
  <c r="B120" i="19"/>
  <c r="G119" i="19"/>
  <c r="C119" i="19"/>
  <c r="B119" i="19"/>
  <c r="G118" i="19"/>
  <c r="C118" i="19"/>
  <c r="B118" i="19"/>
  <c r="G117" i="19"/>
  <c r="C117" i="19"/>
  <c r="B117" i="19"/>
  <c r="G116" i="19"/>
  <c r="C116" i="19"/>
  <c r="B116" i="19"/>
  <c r="G115" i="19"/>
  <c r="C115" i="19"/>
  <c r="B115" i="19"/>
  <c r="G114" i="19"/>
  <c r="C114" i="19"/>
  <c r="B114" i="19"/>
  <c r="G113" i="19"/>
  <c r="C113" i="19"/>
  <c r="B113" i="19"/>
  <c r="G112" i="19"/>
  <c r="C112" i="19"/>
  <c r="B112" i="19"/>
  <c r="G111" i="19"/>
  <c r="C111" i="19"/>
  <c r="B111" i="19"/>
  <c r="G110" i="19"/>
  <c r="C110" i="19"/>
  <c r="B110" i="19"/>
  <c r="G109" i="19"/>
  <c r="C109" i="19"/>
  <c r="B109" i="19"/>
  <c r="G108" i="19"/>
  <c r="C108" i="19"/>
  <c r="B108" i="19"/>
  <c r="G107" i="19"/>
  <c r="C107" i="19"/>
  <c r="B107" i="19"/>
  <c r="G106" i="19"/>
  <c r="C106" i="19"/>
  <c r="B106" i="19"/>
  <c r="G105" i="19"/>
  <c r="C105" i="19"/>
  <c r="B105" i="19"/>
  <c r="G104" i="19"/>
  <c r="C104" i="19"/>
  <c r="B104" i="19"/>
  <c r="G103" i="19"/>
  <c r="C103" i="19"/>
  <c r="B103" i="19"/>
  <c r="G102" i="19"/>
  <c r="C102" i="19"/>
  <c r="B102" i="19"/>
  <c r="G101" i="19"/>
  <c r="C101" i="19"/>
  <c r="B101" i="19"/>
  <c r="G100" i="19"/>
  <c r="C100" i="19"/>
  <c r="B100" i="19"/>
  <c r="G99" i="19"/>
  <c r="C99" i="19"/>
  <c r="B99" i="19"/>
  <c r="G98" i="19"/>
  <c r="C98" i="19"/>
  <c r="B98" i="19"/>
  <c r="G97" i="19"/>
  <c r="C97" i="19"/>
  <c r="B97" i="19"/>
  <c r="G96" i="19"/>
  <c r="C96" i="19"/>
  <c r="B96" i="19"/>
  <c r="G95" i="19"/>
  <c r="C95" i="19"/>
  <c r="B95" i="19"/>
  <c r="G94" i="19"/>
  <c r="C94" i="19"/>
  <c r="B94" i="19"/>
  <c r="G93" i="19"/>
  <c r="C93" i="19"/>
  <c r="B93" i="19"/>
  <c r="G92" i="19"/>
  <c r="C92" i="19"/>
  <c r="B92" i="19"/>
  <c r="G91" i="19"/>
  <c r="C91" i="19"/>
  <c r="B91" i="19"/>
  <c r="G90" i="19"/>
  <c r="C90" i="19"/>
  <c r="B90" i="19"/>
  <c r="G89" i="19"/>
  <c r="C89" i="19"/>
  <c r="B89" i="19"/>
  <c r="G88" i="19"/>
  <c r="C88" i="19"/>
  <c r="B88" i="19"/>
  <c r="G87" i="19"/>
  <c r="C87" i="19"/>
  <c r="B87" i="19"/>
  <c r="G86" i="19"/>
  <c r="C86" i="19"/>
  <c r="B86" i="19"/>
  <c r="G85" i="19"/>
  <c r="C85" i="19"/>
  <c r="B85" i="19"/>
  <c r="G84" i="19"/>
  <c r="C84" i="19"/>
  <c r="B84" i="19"/>
  <c r="G83" i="19"/>
  <c r="C83" i="19"/>
  <c r="B83" i="19"/>
  <c r="G82" i="19"/>
  <c r="C82" i="19"/>
  <c r="B82" i="19"/>
  <c r="G81" i="19"/>
  <c r="C81" i="19"/>
  <c r="B81" i="19"/>
  <c r="G80" i="19"/>
  <c r="C80" i="19"/>
  <c r="B80" i="19"/>
  <c r="G79" i="19"/>
  <c r="C79" i="19"/>
  <c r="B79" i="19"/>
  <c r="G78" i="19"/>
  <c r="C78" i="19"/>
  <c r="B78" i="19"/>
  <c r="G77" i="19"/>
  <c r="C77" i="19"/>
  <c r="B77" i="19"/>
  <c r="G76" i="19"/>
  <c r="C76" i="19"/>
  <c r="B76" i="19"/>
  <c r="G75" i="19"/>
  <c r="C75" i="19"/>
  <c r="B75" i="19"/>
  <c r="G74" i="19"/>
  <c r="C74" i="19"/>
  <c r="B74" i="19"/>
  <c r="G73" i="19"/>
  <c r="C73" i="19"/>
  <c r="B73" i="19"/>
  <c r="G72" i="19"/>
  <c r="C72" i="19"/>
  <c r="B72" i="19"/>
  <c r="G71" i="19"/>
  <c r="C71" i="19"/>
  <c r="B71" i="19"/>
  <c r="G70" i="19"/>
  <c r="C70" i="19"/>
  <c r="B70" i="19"/>
  <c r="G69" i="19"/>
  <c r="C69" i="19"/>
  <c r="B69" i="19"/>
  <c r="G68" i="19"/>
  <c r="C68" i="19"/>
  <c r="B68" i="19"/>
  <c r="G67" i="19"/>
  <c r="C67" i="19"/>
  <c r="B67" i="19"/>
  <c r="G66" i="19"/>
  <c r="C66" i="19"/>
  <c r="B66" i="19"/>
  <c r="G65" i="19"/>
  <c r="C65" i="19"/>
  <c r="B65" i="19"/>
  <c r="G64" i="19"/>
  <c r="C64" i="19"/>
  <c r="B64" i="19"/>
  <c r="G63" i="19"/>
  <c r="C63" i="19"/>
  <c r="B63" i="19"/>
  <c r="G62" i="19"/>
  <c r="C62" i="19"/>
  <c r="B62" i="19"/>
  <c r="G61" i="19"/>
  <c r="C61" i="19"/>
  <c r="B61" i="19"/>
  <c r="G60" i="19"/>
  <c r="C60" i="19"/>
  <c r="B60" i="19"/>
  <c r="G59" i="19"/>
  <c r="C59" i="19"/>
  <c r="B59" i="19"/>
  <c r="G58" i="19"/>
  <c r="C58" i="19"/>
  <c r="B58" i="19"/>
  <c r="G57" i="19"/>
  <c r="C57" i="19"/>
  <c r="B57" i="19"/>
  <c r="G56" i="19"/>
  <c r="C56" i="19"/>
  <c r="B56" i="19"/>
  <c r="G55" i="19"/>
  <c r="C55" i="19"/>
  <c r="B55" i="19"/>
  <c r="G54" i="19"/>
  <c r="C54" i="19"/>
  <c r="B54" i="19"/>
  <c r="G53" i="19"/>
  <c r="C53" i="19"/>
  <c r="B53" i="19"/>
  <c r="G52" i="19"/>
  <c r="C52" i="19"/>
  <c r="B52" i="19"/>
  <c r="G51" i="19"/>
  <c r="C51" i="19"/>
  <c r="B51" i="19"/>
  <c r="G50" i="19"/>
  <c r="C50" i="19"/>
  <c r="B50" i="19"/>
  <c r="G49" i="19"/>
  <c r="C49" i="19"/>
  <c r="B49" i="19"/>
  <c r="G48" i="19"/>
  <c r="C48" i="19"/>
  <c r="B48" i="19"/>
  <c r="G47" i="19"/>
  <c r="C47" i="19"/>
  <c r="B47" i="19"/>
  <c r="G46" i="19"/>
  <c r="C46" i="19"/>
  <c r="B46" i="19"/>
  <c r="G45" i="19"/>
  <c r="C45" i="19"/>
  <c r="B45" i="19"/>
  <c r="G44" i="19"/>
  <c r="C44" i="19"/>
  <c r="B44" i="19"/>
  <c r="G43" i="19"/>
  <c r="C43" i="19"/>
  <c r="B43" i="19"/>
  <c r="G42" i="19"/>
  <c r="C42" i="19"/>
  <c r="B42" i="19"/>
  <c r="G41" i="19"/>
  <c r="C41" i="19"/>
  <c r="B41" i="19"/>
  <c r="G40" i="19"/>
  <c r="C40" i="19"/>
  <c r="B40" i="19"/>
  <c r="G39" i="19"/>
  <c r="C39" i="19"/>
  <c r="B39" i="19"/>
  <c r="G38" i="19"/>
  <c r="C38" i="19"/>
  <c r="B38" i="19"/>
  <c r="G37" i="19"/>
  <c r="C37" i="19"/>
  <c r="B37" i="19"/>
  <c r="G36" i="19"/>
  <c r="C36" i="19"/>
  <c r="B36" i="19"/>
  <c r="G35" i="19"/>
  <c r="C35" i="19"/>
  <c r="B35" i="19"/>
  <c r="G34" i="19"/>
  <c r="C34" i="19"/>
  <c r="B34" i="19"/>
  <c r="G33" i="19"/>
  <c r="C33" i="19"/>
  <c r="B33" i="19"/>
  <c r="G32" i="19"/>
  <c r="C32" i="19"/>
  <c r="B32" i="19"/>
  <c r="G31" i="19"/>
  <c r="C31" i="19"/>
  <c r="B31" i="19"/>
  <c r="G30" i="19"/>
  <c r="C30" i="19"/>
  <c r="B30" i="19"/>
  <c r="G29" i="19"/>
  <c r="C29" i="19"/>
  <c r="B29" i="19"/>
  <c r="G28" i="19"/>
  <c r="C28" i="19"/>
  <c r="B28" i="19"/>
  <c r="G27" i="19"/>
  <c r="C27" i="19"/>
  <c r="B27" i="19"/>
  <c r="G26" i="19"/>
  <c r="C26" i="19"/>
  <c r="B26" i="19"/>
  <c r="G25" i="19"/>
  <c r="C25" i="19"/>
  <c r="B25" i="19"/>
  <c r="G24" i="19"/>
  <c r="C24" i="19"/>
  <c r="B24" i="19"/>
  <c r="G23" i="19"/>
  <c r="C23" i="19"/>
  <c r="B23" i="19"/>
  <c r="G22" i="19"/>
  <c r="C22" i="19"/>
  <c r="B22" i="19"/>
  <c r="G21" i="19"/>
  <c r="C21" i="19"/>
  <c r="B21" i="19"/>
  <c r="G20" i="19"/>
  <c r="C20" i="19"/>
  <c r="B20" i="19"/>
  <c r="G19" i="19"/>
  <c r="C19" i="19"/>
  <c r="B19" i="19"/>
  <c r="G18" i="19"/>
  <c r="C18" i="19"/>
  <c r="B18" i="19"/>
  <c r="G17" i="19"/>
  <c r="C17" i="19"/>
  <c r="B17" i="19"/>
  <c r="G16" i="19"/>
  <c r="C16" i="19"/>
  <c r="B16" i="19"/>
  <c r="G15" i="19"/>
  <c r="C15" i="19"/>
  <c r="B15" i="19"/>
  <c r="G14" i="19"/>
  <c r="C14" i="19"/>
  <c r="B14" i="19"/>
  <c r="G13" i="19"/>
  <c r="C13" i="19"/>
  <c r="B13" i="19"/>
  <c r="G12" i="19"/>
  <c r="C12" i="19"/>
  <c r="B12" i="19"/>
  <c r="G11" i="19"/>
  <c r="C11" i="19"/>
  <c r="B11" i="19"/>
  <c r="G10" i="19"/>
  <c r="C10" i="19"/>
  <c r="B10" i="19"/>
  <c r="G9" i="19"/>
  <c r="C9" i="19"/>
  <c r="B9" i="19"/>
  <c r="G8" i="19"/>
  <c r="C8" i="19"/>
  <c r="B8" i="19"/>
  <c r="G7" i="19"/>
  <c r="C7" i="19"/>
  <c r="B7" i="19"/>
  <c r="G6" i="19"/>
  <c r="C6" i="19"/>
  <c r="B6" i="19"/>
  <c r="G5" i="19"/>
  <c r="C5" i="19"/>
  <c r="B5" i="19"/>
  <c r="G4" i="19"/>
  <c r="C4" i="19"/>
  <c r="B4" i="19"/>
  <c r="G3" i="19"/>
  <c r="C3" i="19"/>
  <c r="B3" i="19"/>
  <c r="I123" i="17"/>
  <c r="H123" i="17"/>
  <c r="J123" i="17" s="1"/>
  <c r="G123" i="17"/>
  <c r="C123" i="17"/>
  <c r="I122" i="17"/>
  <c r="H122" i="17"/>
  <c r="G122" i="17"/>
  <c r="C122" i="17"/>
  <c r="I121" i="17"/>
  <c r="H121" i="17"/>
  <c r="G121" i="17"/>
  <c r="C121" i="17"/>
  <c r="I120" i="17"/>
  <c r="H120" i="17"/>
  <c r="G120" i="17"/>
  <c r="C120" i="17"/>
  <c r="J120" i="17" s="1"/>
  <c r="I119" i="17"/>
  <c r="H119" i="17"/>
  <c r="G119" i="17"/>
  <c r="D119" i="17"/>
  <c r="C119" i="17"/>
  <c r="J119" i="17" s="1"/>
  <c r="I118" i="17"/>
  <c r="H118" i="17"/>
  <c r="G118" i="17"/>
  <c r="C118" i="17"/>
  <c r="J118" i="17" s="1"/>
  <c r="I117" i="17"/>
  <c r="H117" i="17"/>
  <c r="G117" i="17"/>
  <c r="C117" i="17"/>
  <c r="I116" i="17"/>
  <c r="H116" i="17"/>
  <c r="G116" i="17"/>
  <c r="C116" i="17"/>
  <c r="I115" i="17"/>
  <c r="H115" i="17"/>
  <c r="G115" i="17"/>
  <c r="D115" i="17"/>
  <c r="C115" i="17"/>
  <c r="J115" i="17" s="1"/>
  <c r="I114" i="17"/>
  <c r="H114" i="17"/>
  <c r="G114" i="17"/>
  <c r="C114" i="17"/>
  <c r="I113" i="17"/>
  <c r="H113" i="17"/>
  <c r="G113" i="17"/>
  <c r="C113" i="17"/>
  <c r="I112" i="17"/>
  <c r="H112" i="17"/>
  <c r="G112" i="17"/>
  <c r="C112" i="17"/>
  <c r="I111" i="17"/>
  <c r="H111" i="17"/>
  <c r="G111" i="17"/>
  <c r="C111" i="17"/>
  <c r="J110" i="17"/>
  <c r="I110" i="17"/>
  <c r="H110" i="17"/>
  <c r="G110" i="17"/>
  <c r="D110" i="17"/>
  <c r="C110" i="17"/>
  <c r="H109" i="17"/>
  <c r="C109" i="17"/>
  <c r="H108" i="17"/>
  <c r="C108" i="17"/>
  <c r="H107" i="17"/>
  <c r="C107" i="17"/>
  <c r="H106" i="17"/>
  <c r="C106" i="17"/>
  <c r="I105" i="17"/>
  <c r="H105" i="17"/>
  <c r="G105" i="17"/>
  <c r="C105" i="17"/>
  <c r="I104" i="17"/>
  <c r="H104" i="17"/>
  <c r="G104" i="17"/>
  <c r="C104" i="17"/>
  <c r="I103" i="17"/>
  <c r="H103" i="17"/>
  <c r="G103" i="17"/>
  <c r="C103" i="17"/>
  <c r="I102" i="17"/>
  <c r="H102" i="17"/>
  <c r="G102" i="17"/>
  <c r="C102" i="17"/>
  <c r="I101" i="17"/>
  <c r="H101" i="17"/>
  <c r="G101" i="17"/>
  <c r="C101" i="17"/>
  <c r="I100" i="17"/>
  <c r="H100" i="17"/>
  <c r="G100" i="17"/>
  <c r="C100" i="17"/>
  <c r="I99" i="17"/>
  <c r="H99" i="17"/>
  <c r="G99" i="17"/>
  <c r="C99" i="17"/>
  <c r="I98" i="17"/>
  <c r="H98" i="17"/>
  <c r="G98" i="17"/>
  <c r="C98" i="17"/>
  <c r="I97" i="17"/>
  <c r="H97" i="17"/>
  <c r="G97" i="17"/>
  <c r="C97" i="17"/>
  <c r="J96" i="17"/>
  <c r="I96" i="17"/>
  <c r="H96" i="17"/>
  <c r="G96" i="17"/>
  <c r="D96" i="17"/>
  <c r="C96" i="17"/>
  <c r="G95" i="17"/>
  <c r="C95" i="17"/>
  <c r="I94" i="17"/>
  <c r="H94" i="17"/>
  <c r="G94" i="17"/>
  <c r="C94" i="17"/>
  <c r="I93" i="17"/>
  <c r="H93" i="17"/>
  <c r="G93" i="17"/>
  <c r="C93" i="17"/>
  <c r="I92" i="17"/>
  <c r="H92" i="17"/>
  <c r="G92" i="17"/>
  <c r="C92" i="17"/>
  <c r="I91" i="17"/>
  <c r="H91" i="17"/>
  <c r="G91" i="17"/>
  <c r="C91" i="17"/>
  <c r="I90" i="17"/>
  <c r="H90" i="17"/>
  <c r="G90" i="17"/>
  <c r="C90" i="17"/>
  <c r="I89" i="17"/>
  <c r="H89" i="17"/>
  <c r="G89" i="17"/>
  <c r="C89" i="17"/>
  <c r="I88" i="17"/>
  <c r="H88" i="17"/>
  <c r="G88" i="17"/>
  <c r="C88" i="17"/>
  <c r="I87" i="17"/>
  <c r="H87" i="17"/>
  <c r="G87" i="17"/>
  <c r="C87" i="17"/>
  <c r="I86" i="17"/>
  <c r="H86" i="17"/>
  <c r="G86" i="17"/>
  <c r="C86" i="17"/>
  <c r="I85" i="17"/>
  <c r="H85" i="17"/>
  <c r="G85" i="17"/>
  <c r="C85" i="17"/>
  <c r="I84" i="17"/>
  <c r="H84" i="17"/>
  <c r="G84" i="17"/>
  <c r="C84" i="17"/>
  <c r="I83" i="17"/>
  <c r="H83" i="17"/>
  <c r="G83" i="17"/>
  <c r="C83" i="17"/>
  <c r="J83" i="17" s="1"/>
  <c r="I82" i="17"/>
  <c r="H82" i="17"/>
  <c r="G82" i="17"/>
  <c r="J82" i="17" s="1"/>
  <c r="C82" i="17"/>
  <c r="I81" i="17"/>
  <c r="H81" i="17"/>
  <c r="G81" i="17"/>
  <c r="C81" i="17"/>
  <c r="I80" i="17"/>
  <c r="H80" i="17"/>
  <c r="G80" i="17"/>
  <c r="C80" i="17"/>
  <c r="I79" i="17"/>
  <c r="H79" i="17"/>
  <c r="G79" i="17"/>
  <c r="C79" i="17"/>
  <c r="I78" i="17"/>
  <c r="H78" i="17"/>
  <c r="G78" i="17"/>
  <c r="C78" i="17"/>
  <c r="I77" i="17"/>
  <c r="H77" i="17"/>
  <c r="G77" i="17"/>
  <c r="C77" i="17"/>
  <c r="I76" i="17"/>
  <c r="H76" i="17"/>
  <c r="G76" i="17"/>
  <c r="C76" i="17"/>
  <c r="I75" i="17"/>
  <c r="H75" i="17"/>
  <c r="G75" i="17"/>
  <c r="C75" i="17"/>
  <c r="I74" i="17"/>
  <c r="H74" i="17"/>
  <c r="G74" i="17"/>
  <c r="C74" i="17"/>
  <c r="I73" i="17"/>
  <c r="H73" i="17"/>
  <c r="G73" i="17"/>
  <c r="C73" i="17"/>
  <c r="I72" i="17"/>
  <c r="H72" i="17"/>
  <c r="G72" i="17"/>
  <c r="C72" i="17"/>
  <c r="I71" i="17"/>
  <c r="H71" i="17"/>
  <c r="G71" i="17"/>
  <c r="C71" i="17"/>
  <c r="I70" i="17"/>
  <c r="H70" i="17"/>
  <c r="G70" i="17"/>
  <c r="C70" i="17"/>
  <c r="I69" i="17"/>
  <c r="H69" i="17"/>
  <c r="G69" i="17"/>
  <c r="C69" i="17"/>
  <c r="I68" i="17"/>
  <c r="H68" i="17"/>
  <c r="G68" i="17"/>
  <c r="C68" i="17"/>
  <c r="I67" i="17"/>
  <c r="H67" i="17"/>
  <c r="G67" i="17"/>
  <c r="C67" i="17"/>
  <c r="I66" i="17"/>
  <c r="H66" i="17"/>
  <c r="G66" i="17"/>
  <c r="C66" i="17"/>
  <c r="I65" i="17"/>
  <c r="H65" i="17"/>
  <c r="G65" i="17"/>
  <c r="C65" i="17"/>
  <c r="I64" i="17"/>
  <c r="H64" i="17"/>
  <c r="G64" i="17"/>
  <c r="C64" i="17"/>
  <c r="I63" i="17"/>
  <c r="H63" i="17"/>
  <c r="G63" i="17"/>
  <c r="C63" i="17"/>
  <c r="I62" i="17"/>
  <c r="H62" i="17"/>
  <c r="G62" i="17"/>
  <c r="C62" i="17"/>
  <c r="J61" i="17"/>
  <c r="I61" i="17"/>
  <c r="H61" i="17"/>
  <c r="G61" i="17"/>
  <c r="D61" i="17"/>
  <c r="C61" i="17"/>
  <c r="J60" i="17"/>
  <c r="I60" i="17"/>
  <c r="H60" i="17"/>
  <c r="G60" i="17"/>
  <c r="C60" i="17"/>
  <c r="I59" i="17"/>
  <c r="H59" i="17"/>
  <c r="G59" i="17"/>
  <c r="I58" i="17"/>
  <c r="H58" i="17"/>
  <c r="G58" i="17"/>
  <c r="C58" i="17"/>
  <c r="I57" i="17"/>
  <c r="H57" i="17"/>
  <c r="G57" i="17"/>
  <c r="C57" i="17"/>
  <c r="I56" i="17"/>
  <c r="J56" i="17" s="1"/>
  <c r="H56" i="17"/>
  <c r="G56" i="17"/>
  <c r="C56" i="17"/>
  <c r="I55" i="17"/>
  <c r="H55" i="17"/>
  <c r="G55" i="17"/>
  <c r="C55" i="17"/>
  <c r="I54" i="17"/>
  <c r="H54" i="17"/>
  <c r="G54" i="17"/>
  <c r="C54" i="17"/>
  <c r="J54" i="17" s="1"/>
  <c r="I53" i="17"/>
  <c r="J53" i="17" s="1"/>
  <c r="H53" i="17"/>
  <c r="G53" i="17"/>
  <c r="C53" i="17"/>
  <c r="I52" i="17"/>
  <c r="H52" i="17"/>
  <c r="G52" i="17"/>
  <c r="C52" i="17"/>
  <c r="I51" i="17"/>
  <c r="H51" i="17"/>
  <c r="G51" i="17"/>
  <c r="C51" i="17"/>
  <c r="J51" i="17" s="1"/>
  <c r="I50" i="17"/>
  <c r="J50" i="17" s="1"/>
  <c r="H50" i="17"/>
  <c r="G50" i="17"/>
  <c r="C50" i="17"/>
  <c r="I49" i="17"/>
  <c r="H49" i="17"/>
  <c r="G49" i="17"/>
  <c r="C49" i="17"/>
  <c r="J49" i="17" s="1"/>
  <c r="I48" i="17"/>
  <c r="H48" i="17"/>
  <c r="G48" i="17"/>
  <c r="C48" i="17"/>
  <c r="I47" i="17"/>
  <c r="H47" i="17"/>
  <c r="G47" i="17"/>
  <c r="C47" i="17"/>
  <c r="J46" i="17"/>
  <c r="I46" i="17"/>
  <c r="H46" i="17"/>
  <c r="G46" i="17"/>
  <c r="I45" i="17"/>
  <c r="H45" i="17"/>
  <c r="G45" i="17"/>
  <c r="C45" i="17"/>
  <c r="J44" i="17"/>
  <c r="I44" i="17"/>
  <c r="H44" i="17"/>
  <c r="G44" i="17"/>
  <c r="D44" i="17"/>
  <c r="C44" i="17"/>
  <c r="I43" i="17"/>
  <c r="H43" i="17"/>
  <c r="G43" i="17"/>
  <c r="C43" i="17"/>
  <c r="J43" i="17" s="1"/>
  <c r="I42" i="17"/>
  <c r="H42" i="17"/>
  <c r="G42" i="17"/>
  <c r="C42" i="17"/>
  <c r="J42" i="17" s="1"/>
  <c r="I41" i="17"/>
  <c r="J41" i="17" s="1"/>
  <c r="H41" i="17"/>
  <c r="G41" i="17"/>
  <c r="C41" i="17"/>
  <c r="I40" i="17"/>
  <c r="H40" i="17"/>
  <c r="G40" i="17"/>
  <c r="C40" i="17"/>
  <c r="J40" i="17" s="1"/>
  <c r="J39" i="17"/>
  <c r="I39" i="17"/>
  <c r="H39" i="17"/>
  <c r="G39" i="17"/>
  <c r="C39" i="17"/>
  <c r="I38" i="17"/>
  <c r="H38" i="17"/>
  <c r="G38" i="17"/>
  <c r="C38" i="17"/>
  <c r="I37" i="17"/>
  <c r="H37" i="17"/>
  <c r="G37" i="17"/>
  <c r="C37" i="17"/>
  <c r="J37" i="17" s="1"/>
  <c r="J36" i="17"/>
  <c r="I36" i="17"/>
  <c r="H36" i="17"/>
  <c r="G36" i="17"/>
  <c r="C36" i="17"/>
  <c r="I35" i="17"/>
  <c r="H35" i="17"/>
  <c r="G35" i="17"/>
  <c r="C35" i="17"/>
  <c r="I34" i="17"/>
  <c r="H34" i="17"/>
  <c r="G34" i="17"/>
  <c r="C34" i="17"/>
  <c r="I33" i="17"/>
  <c r="H33" i="17"/>
  <c r="G33" i="17"/>
  <c r="C33" i="17"/>
  <c r="J32" i="17"/>
  <c r="I32" i="17"/>
  <c r="H32" i="17"/>
  <c r="G32" i="17"/>
  <c r="C32" i="17"/>
  <c r="I31" i="17"/>
  <c r="H31" i="17"/>
  <c r="G31" i="17"/>
  <c r="C31" i="17"/>
  <c r="J31" i="17" s="1"/>
  <c r="I30" i="17"/>
  <c r="H30" i="17"/>
  <c r="G30" i="17"/>
  <c r="C30" i="17"/>
  <c r="I29" i="17"/>
  <c r="H29" i="17"/>
  <c r="G29" i="17"/>
  <c r="C29" i="17"/>
  <c r="I28" i="17"/>
  <c r="H28" i="17"/>
  <c r="G28" i="17"/>
  <c r="C28" i="17"/>
  <c r="I27" i="17"/>
  <c r="H27" i="17"/>
  <c r="G27" i="17"/>
  <c r="J26" i="17"/>
  <c r="I26" i="17"/>
  <c r="H26" i="17"/>
  <c r="G26" i="17"/>
  <c r="D26" i="17"/>
  <c r="C26" i="17"/>
  <c r="J25" i="17"/>
  <c r="J24" i="17"/>
  <c r="I24" i="17"/>
  <c r="H24" i="17"/>
  <c r="G24" i="17"/>
  <c r="I23" i="17"/>
  <c r="H23" i="17"/>
  <c r="G23" i="17"/>
  <c r="C23" i="17"/>
  <c r="I22" i="17"/>
  <c r="H22" i="17"/>
  <c r="G22" i="17"/>
  <c r="C22" i="17"/>
  <c r="I21" i="17"/>
  <c r="H21" i="17"/>
  <c r="G21" i="17"/>
  <c r="C21" i="17"/>
  <c r="I20" i="17"/>
  <c r="H20" i="17"/>
  <c r="G20" i="17"/>
  <c r="C20" i="17"/>
  <c r="I19" i="17"/>
  <c r="H19" i="17"/>
  <c r="G19" i="17"/>
  <c r="C19" i="17"/>
  <c r="I18" i="17"/>
  <c r="H18" i="17"/>
  <c r="G18" i="17"/>
  <c r="D18" i="17"/>
  <c r="C18" i="17"/>
  <c r="J18" i="17" s="1"/>
  <c r="I17" i="17"/>
  <c r="H17" i="17"/>
  <c r="G17" i="17"/>
  <c r="C17" i="17"/>
  <c r="I16" i="17"/>
  <c r="H16" i="17"/>
  <c r="G16" i="17"/>
  <c r="C16" i="17"/>
  <c r="I15" i="17"/>
  <c r="H15" i="17"/>
  <c r="G15" i="17"/>
  <c r="C15" i="17"/>
  <c r="I14" i="17"/>
  <c r="H14" i="17"/>
  <c r="G14" i="17"/>
  <c r="C14" i="17"/>
  <c r="I13" i="17"/>
  <c r="H13" i="17"/>
  <c r="G13" i="17"/>
  <c r="C13" i="17"/>
  <c r="J12" i="17"/>
  <c r="I12" i="17"/>
  <c r="H12" i="17"/>
  <c r="G12" i="17"/>
  <c r="D12" i="17"/>
  <c r="C12" i="17"/>
  <c r="I11" i="17"/>
  <c r="H11" i="17"/>
  <c r="G11" i="17"/>
  <c r="C11" i="17"/>
  <c r="I10" i="17"/>
  <c r="H10" i="17"/>
  <c r="G10" i="17"/>
  <c r="C10" i="17"/>
  <c r="I9" i="17"/>
  <c r="H9" i="17"/>
  <c r="G9" i="17"/>
  <c r="C9" i="17"/>
  <c r="I8" i="17"/>
  <c r="H8" i="17"/>
  <c r="G8" i="17"/>
  <c r="C8" i="17"/>
  <c r="I7" i="17"/>
  <c r="H7" i="17"/>
  <c r="G7" i="17"/>
  <c r="C7" i="17"/>
  <c r="J6" i="17"/>
  <c r="I6" i="17"/>
  <c r="H6" i="17"/>
  <c r="G6" i="17"/>
  <c r="C6" i="17"/>
  <c r="I5" i="17"/>
  <c r="J5" i="17" s="1"/>
  <c r="H5" i="17"/>
  <c r="G5" i="17"/>
  <c r="C5" i="17"/>
  <c r="I4" i="17"/>
  <c r="H4" i="17"/>
  <c r="G4" i="17"/>
  <c r="J4" i="17" s="1"/>
  <c r="C4" i="17"/>
  <c r="D3" i="17"/>
  <c r="C3" i="17"/>
  <c r="J3" i="17" s="1"/>
  <c r="N587" i="15"/>
  <c r="M587" i="15"/>
  <c r="L587" i="15"/>
  <c r="K587" i="15"/>
  <c r="J587" i="15"/>
  <c r="N586" i="15"/>
  <c r="M586" i="15"/>
  <c r="L586" i="15"/>
  <c r="K586" i="15"/>
  <c r="J586" i="15"/>
  <c r="N585" i="15"/>
  <c r="M585" i="15"/>
  <c r="L585" i="15"/>
  <c r="K585" i="15"/>
  <c r="J585" i="15"/>
  <c r="N584" i="15"/>
  <c r="M584" i="15"/>
  <c r="L584" i="15"/>
  <c r="K584" i="15"/>
  <c r="J584" i="15"/>
  <c r="N583" i="15"/>
  <c r="M583" i="15"/>
  <c r="L583" i="15"/>
  <c r="K583" i="15"/>
  <c r="J583" i="15"/>
  <c r="N582" i="15"/>
  <c r="M582" i="15"/>
  <c r="L582" i="15"/>
  <c r="K582" i="15"/>
  <c r="J582" i="15"/>
  <c r="N581" i="15"/>
  <c r="M581" i="15"/>
  <c r="L581" i="15"/>
  <c r="K581" i="15"/>
  <c r="J581" i="15"/>
  <c r="N580" i="15"/>
  <c r="M580" i="15"/>
  <c r="L580" i="15"/>
  <c r="K580" i="15"/>
  <c r="J580" i="15"/>
  <c r="N579" i="15"/>
  <c r="M579" i="15"/>
  <c r="L579" i="15"/>
  <c r="K579" i="15"/>
  <c r="J579" i="15"/>
  <c r="N578" i="15"/>
  <c r="M578" i="15"/>
  <c r="L578" i="15"/>
  <c r="K578" i="15"/>
  <c r="J578" i="15"/>
  <c r="N577" i="15"/>
  <c r="M577" i="15"/>
  <c r="L577" i="15"/>
  <c r="K577" i="15"/>
  <c r="J577" i="15"/>
  <c r="N576" i="15"/>
  <c r="M576" i="15"/>
  <c r="L576" i="15"/>
  <c r="K576" i="15"/>
  <c r="J576" i="15"/>
  <c r="N575" i="15"/>
  <c r="M575" i="15"/>
  <c r="L575" i="15"/>
  <c r="K575" i="15"/>
  <c r="J575" i="15"/>
  <c r="N574" i="15"/>
  <c r="M574" i="15"/>
  <c r="L574" i="15"/>
  <c r="K574" i="15"/>
  <c r="J574" i="15"/>
  <c r="N573" i="15"/>
  <c r="M573" i="15"/>
  <c r="L573" i="15"/>
  <c r="K573" i="15"/>
  <c r="J573" i="15"/>
  <c r="N572" i="15"/>
  <c r="M572" i="15"/>
  <c r="L572" i="15"/>
  <c r="K572" i="15"/>
  <c r="J572" i="15"/>
  <c r="N571" i="15"/>
  <c r="M571" i="15"/>
  <c r="L571" i="15"/>
  <c r="K571" i="15"/>
  <c r="J571" i="15"/>
  <c r="N570" i="15"/>
  <c r="M570" i="15"/>
  <c r="L570" i="15"/>
  <c r="K570" i="15"/>
  <c r="J570" i="15"/>
  <c r="N569" i="15"/>
  <c r="M569" i="15"/>
  <c r="L569" i="15"/>
  <c r="K569" i="15"/>
  <c r="J569" i="15"/>
  <c r="N568" i="15"/>
  <c r="M568" i="15"/>
  <c r="L568" i="15"/>
  <c r="K568" i="15"/>
  <c r="J568" i="15"/>
  <c r="N567" i="15"/>
  <c r="M567" i="15"/>
  <c r="L567" i="15"/>
  <c r="K567" i="15"/>
  <c r="J567" i="15"/>
  <c r="N566" i="15"/>
  <c r="R694" i="7" s="1"/>
  <c r="M566" i="15"/>
  <c r="L566" i="15"/>
  <c r="K566" i="15"/>
  <c r="J566" i="15"/>
  <c r="N565" i="15"/>
  <c r="M565" i="15"/>
  <c r="L565" i="15"/>
  <c r="K565" i="15"/>
  <c r="J565" i="15"/>
  <c r="N564" i="15"/>
  <c r="M564" i="15"/>
  <c r="L564" i="15"/>
  <c r="K564" i="15"/>
  <c r="J564" i="15"/>
  <c r="N563" i="15"/>
  <c r="M563" i="15"/>
  <c r="L563" i="15"/>
  <c r="K563" i="15"/>
  <c r="J563" i="15"/>
  <c r="N562" i="15"/>
  <c r="M562" i="15"/>
  <c r="L562" i="15"/>
  <c r="K562" i="15"/>
  <c r="J562" i="15"/>
  <c r="N561" i="15"/>
  <c r="M561" i="15"/>
  <c r="L561" i="15"/>
  <c r="K561" i="15"/>
  <c r="J561" i="15"/>
  <c r="N560" i="15"/>
  <c r="M560" i="15"/>
  <c r="L560" i="15"/>
  <c r="K560" i="15"/>
  <c r="J560" i="15"/>
  <c r="N559" i="15"/>
  <c r="M559" i="15"/>
  <c r="L559" i="15"/>
  <c r="K559" i="15"/>
  <c r="J559" i="15"/>
  <c r="N558" i="15"/>
  <c r="M558" i="15"/>
  <c r="L558" i="15"/>
  <c r="K558" i="15"/>
  <c r="J558" i="15"/>
  <c r="N557" i="15"/>
  <c r="M557" i="15"/>
  <c r="L557" i="15"/>
  <c r="K557" i="15"/>
  <c r="J557" i="15"/>
  <c r="N556" i="15"/>
  <c r="M556" i="15"/>
  <c r="L556" i="15"/>
  <c r="K556" i="15"/>
  <c r="J556" i="15"/>
  <c r="N555" i="15"/>
  <c r="M555" i="15"/>
  <c r="L555" i="15"/>
  <c r="K555" i="15"/>
  <c r="J555" i="15"/>
  <c r="N554" i="15"/>
  <c r="M554" i="15"/>
  <c r="L554" i="15"/>
  <c r="K554" i="15"/>
  <c r="J554" i="15"/>
  <c r="N553" i="15"/>
  <c r="M553" i="15"/>
  <c r="L553" i="15"/>
  <c r="K553" i="15"/>
  <c r="J553" i="15"/>
  <c r="N552" i="15"/>
  <c r="M552" i="15"/>
  <c r="L552" i="15"/>
  <c r="K552" i="15"/>
  <c r="J552" i="15"/>
  <c r="N551" i="15"/>
  <c r="M551" i="15"/>
  <c r="L551" i="15"/>
  <c r="K551" i="15"/>
  <c r="J551" i="15"/>
  <c r="N550" i="15"/>
  <c r="M550" i="15"/>
  <c r="L550" i="15"/>
  <c r="K550" i="15"/>
  <c r="J550" i="15"/>
  <c r="N549" i="15"/>
  <c r="M549" i="15"/>
  <c r="L549" i="15"/>
  <c r="K549" i="15"/>
  <c r="J549" i="15"/>
  <c r="N548" i="15"/>
  <c r="M548" i="15"/>
  <c r="L548" i="15"/>
  <c r="K548" i="15"/>
  <c r="J548" i="15"/>
  <c r="N547" i="15"/>
  <c r="M547" i="15"/>
  <c r="L547" i="15"/>
  <c r="K547" i="15"/>
  <c r="J547" i="15"/>
  <c r="N546" i="15"/>
  <c r="M546" i="15"/>
  <c r="L546" i="15"/>
  <c r="K546" i="15"/>
  <c r="J546" i="15"/>
  <c r="N545" i="15"/>
  <c r="M545" i="15"/>
  <c r="L545" i="15"/>
  <c r="K545" i="15"/>
  <c r="J545" i="15"/>
  <c r="N544" i="15"/>
  <c r="M544" i="15"/>
  <c r="L544" i="15"/>
  <c r="K544" i="15"/>
  <c r="J544" i="15"/>
  <c r="N543" i="15"/>
  <c r="M543" i="15"/>
  <c r="L543" i="15"/>
  <c r="K543" i="15"/>
  <c r="J543" i="15"/>
  <c r="N542" i="15"/>
  <c r="M542" i="15"/>
  <c r="L542" i="15"/>
  <c r="K542" i="15"/>
  <c r="J542" i="15"/>
  <c r="N541" i="15"/>
  <c r="M541" i="15"/>
  <c r="L541" i="15"/>
  <c r="K541" i="15"/>
  <c r="J541" i="15"/>
  <c r="N540" i="15"/>
  <c r="M540" i="15"/>
  <c r="L540" i="15"/>
  <c r="K540" i="15"/>
  <c r="J540" i="15"/>
  <c r="N539" i="15"/>
  <c r="M539" i="15"/>
  <c r="L539" i="15"/>
  <c r="K539" i="15"/>
  <c r="J539" i="15"/>
  <c r="N538" i="15"/>
  <c r="M538" i="15"/>
  <c r="L538" i="15"/>
  <c r="K538" i="15"/>
  <c r="J538" i="15"/>
  <c r="N537" i="15"/>
  <c r="M537" i="15"/>
  <c r="L537" i="15"/>
  <c r="K537" i="15"/>
  <c r="J537" i="15"/>
  <c r="N536" i="15"/>
  <c r="M536" i="15"/>
  <c r="L536" i="15"/>
  <c r="K536" i="15"/>
  <c r="J536" i="15"/>
  <c r="N535" i="15"/>
  <c r="M535" i="15"/>
  <c r="L535" i="15"/>
  <c r="K535" i="15"/>
  <c r="J535" i="15"/>
  <c r="N534" i="15"/>
  <c r="M534" i="15"/>
  <c r="L534" i="15"/>
  <c r="K534" i="15"/>
  <c r="J534" i="15"/>
  <c r="N533" i="15"/>
  <c r="M533" i="15"/>
  <c r="L533" i="15"/>
  <c r="K533" i="15"/>
  <c r="J533" i="15"/>
  <c r="N532" i="15"/>
  <c r="M532" i="15"/>
  <c r="L532" i="15"/>
  <c r="K532" i="15"/>
  <c r="J532" i="15"/>
  <c r="N531" i="15"/>
  <c r="M531" i="15"/>
  <c r="L531" i="15"/>
  <c r="K531" i="15"/>
  <c r="J531" i="15"/>
  <c r="N530" i="15"/>
  <c r="M530" i="15"/>
  <c r="L530" i="15"/>
  <c r="K530" i="15"/>
  <c r="J530" i="15"/>
  <c r="N529" i="15"/>
  <c r="M529" i="15"/>
  <c r="L529" i="15"/>
  <c r="K529" i="15"/>
  <c r="J529" i="15"/>
  <c r="N528" i="15"/>
  <c r="M528" i="15"/>
  <c r="L528" i="15"/>
  <c r="K528" i="15"/>
  <c r="J528" i="15"/>
  <c r="N527" i="15"/>
  <c r="M527" i="15"/>
  <c r="L527" i="15"/>
  <c r="K527" i="15"/>
  <c r="J527" i="15"/>
  <c r="N526" i="15"/>
  <c r="M526" i="15"/>
  <c r="L526" i="15"/>
  <c r="K526" i="15"/>
  <c r="J526" i="15"/>
  <c r="N525" i="15"/>
  <c r="M525" i="15"/>
  <c r="L525" i="15"/>
  <c r="K525" i="15"/>
  <c r="J525" i="15"/>
  <c r="N524" i="15"/>
  <c r="M524" i="15"/>
  <c r="L524" i="15"/>
  <c r="K524" i="15"/>
  <c r="J524" i="15"/>
  <c r="N523" i="15"/>
  <c r="M523" i="15"/>
  <c r="L523" i="15"/>
  <c r="K523" i="15"/>
  <c r="J523" i="15"/>
  <c r="N522" i="15"/>
  <c r="M522" i="15"/>
  <c r="L522" i="15"/>
  <c r="K522" i="15"/>
  <c r="J522" i="15"/>
  <c r="N521" i="15"/>
  <c r="M521" i="15"/>
  <c r="L521" i="15"/>
  <c r="K521" i="15"/>
  <c r="J521" i="15"/>
  <c r="N520" i="15"/>
  <c r="M520" i="15"/>
  <c r="L520" i="15"/>
  <c r="K520" i="15"/>
  <c r="J520" i="15"/>
  <c r="N519" i="15"/>
  <c r="M519" i="15"/>
  <c r="L519" i="15"/>
  <c r="K519" i="15"/>
  <c r="J519" i="15"/>
  <c r="N518" i="15"/>
  <c r="M518" i="15"/>
  <c r="L518" i="15"/>
  <c r="K518" i="15"/>
  <c r="J518" i="15"/>
  <c r="N517" i="15"/>
  <c r="M517" i="15"/>
  <c r="L517" i="15"/>
  <c r="K517" i="15"/>
  <c r="J517" i="15"/>
  <c r="N516" i="15"/>
  <c r="M516" i="15"/>
  <c r="L516" i="15"/>
  <c r="K516" i="15"/>
  <c r="J516" i="15"/>
  <c r="N515" i="15"/>
  <c r="M515" i="15"/>
  <c r="L515" i="15"/>
  <c r="K515" i="15"/>
  <c r="J515" i="15"/>
  <c r="N514" i="15"/>
  <c r="M514" i="15"/>
  <c r="L514" i="15"/>
  <c r="K514" i="15"/>
  <c r="J514" i="15"/>
  <c r="N513" i="15"/>
  <c r="M513" i="15"/>
  <c r="L513" i="15"/>
  <c r="K513" i="15"/>
  <c r="J513" i="15"/>
  <c r="N512" i="15"/>
  <c r="M512" i="15"/>
  <c r="L512" i="15"/>
  <c r="K512" i="15"/>
  <c r="J512" i="15"/>
  <c r="N511" i="15"/>
  <c r="M511" i="15"/>
  <c r="L511" i="15"/>
  <c r="K511" i="15"/>
  <c r="J511" i="15"/>
  <c r="N510" i="15"/>
  <c r="M510" i="15"/>
  <c r="L510" i="15"/>
  <c r="K510" i="15"/>
  <c r="J510" i="15"/>
  <c r="N509" i="15"/>
  <c r="M509" i="15"/>
  <c r="L509" i="15"/>
  <c r="K509" i="15"/>
  <c r="J509" i="15"/>
  <c r="N508" i="15"/>
  <c r="M508" i="15"/>
  <c r="L508" i="15"/>
  <c r="K508" i="15"/>
  <c r="J508" i="15"/>
  <c r="N507" i="15"/>
  <c r="R597" i="7" s="1"/>
  <c r="M507" i="15"/>
  <c r="L507" i="15"/>
  <c r="K507" i="15"/>
  <c r="J507" i="15"/>
  <c r="N506" i="15"/>
  <c r="R595" i="7" s="1"/>
  <c r="M506" i="15"/>
  <c r="L506" i="15"/>
  <c r="K506" i="15"/>
  <c r="J506" i="15"/>
  <c r="N505" i="15"/>
  <c r="R596" i="7" s="1"/>
  <c r="M505" i="15"/>
  <c r="L505" i="15"/>
  <c r="K505" i="15"/>
  <c r="J505" i="15"/>
  <c r="N504" i="15"/>
  <c r="R598" i="7" s="1"/>
  <c r="M504" i="15"/>
  <c r="L504" i="15"/>
  <c r="K504" i="15"/>
  <c r="J504" i="15"/>
  <c r="N503" i="15"/>
  <c r="M503" i="15"/>
  <c r="L503" i="15"/>
  <c r="K503" i="15"/>
  <c r="J503" i="15"/>
  <c r="N502" i="15"/>
  <c r="M502" i="15"/>
  <c r="L502" i="15"/>
  <c r="K502" i="15"/>
  <c r="J502" i="15"/>
  <c r="N501" i="15"/>
  <c r="M501" i="15"/>
  <c r="L501" i="15"/>
  <c r="K501" i="15"/>
  <c r="J501" i="15"/>
  <c r="N500" i="15"/>
  <c r="M500" i="15"/>
  <c r="L500" i="15"/>
  <c r="K500" i="15"/>
  <c r="J500" i="15"/>
  <c r="N499" i="15"/>
  <c r="M499" i="15"/>
  <c r="L499" i="15"/>
  <c r="K499" i="15"/>
  <c r="J499" i="15"/>
  <c r="N498" i="15"/>
  <c r="M498" i="15"/>
  <c r="L498" i="15"/>
  <c r="K498" i="15"/>
  <c r="J498" i="15"/>
  <c r="N497" i="15"/>
  <c r="M497" i="15"/>
  <c r="L497" i="15"/>
  <c r="K497" i="15"/>
  <c r="J497" i="15"/>
  <c r="N496" i="15"/>
  <c r="M496" i="15"/>
  <c r="L496" i="15"/>
  <c r="K496" i="15"/>
  <c r="J496" i="15"/>
  <c r="N495" i="15"/>
  <c r="M495" i="15"/>
  <c r="L495" i="15"/>
  <c r="K495" i="15"/>
  <c r="J495" i="15"/>
  <c r="N494" i="15"/>
  <c r="M494" i="15"/>
  <c r="L494" i="15"/>
  <c r="K494" i="15"/>
  <c r="J494" i="15"/>
  <c r="N493" i="15"/>
  <c r="M493" i="15"/>
  <c r="L493" i="15"/>
  <c r="K493" i="15"/>
  <c r="J493" i="15"/>
  <c r="N492" i="15"/>
  <c r="M492" i="15"/>
  <c r="L492" i="15"/>
  <c r="K492" i="15"/>
  <c r="J492" i="15"/>
  <c r="N491" i="15"/>
  <c r="M491" i="15"/>
  <c r="L491" i="15"/>
  <c r="K491" i="15"/>
  <c r="J491" i="15"/>
  <c r="N490" i="15"/>
  <c r="M490" i="15"/>
  <c r="L490" i="15"/>
  <c r="K490" i="15"/>
  <c r="J490" i="15"/>
  <c r="N489" i="15"/>
  <c r="M489" i="15"/>
  <c r="L489" i="15"/>
  <c r="K489" i="15"/>
  <c r="J489" i="15"/>
  <c r="N488" i="15"/>
  <c r="M488" i="15"/>
  <c r="L488" i="15"/>
  <c r="K488" i="15"/>
  <c r="J488" i="15"/>
  <c r="N487" i="15"/>
  <c r="M487" i="15"/>
  <c r="L487" i="15"/>
  <c r="K487" i="15"/>
  <c r="J487" i="15"/>
  <c r="N486" i="15"/>
  <c r="R561" i="7" s="1"/>
  <c r="M486" i="15"/>
  <c r="L486" i="15"/>
  <c r="K486" i="15"/>
  <c r="J486" i="15"/>
  <c r="N485" i="15"/>
  <c r="R593" i="7" s="1"/>
  <c r="M485" i="15"/>
  <c r="L485" i="15"/>
  <c r="K485" i="15"/>
  <c r="J485" i="15"/>
  <c r="N484" i="15"/>
  <c r="M484" i="15"/>
  <c r="L484" i="15"/>
  <c r="K484" i="15"/>
  <c r="J484" i="15"/>
  <c r="N483" i="15"/>
  <c r="M483" i="15"/>
  <c r="L483" i="15"/>
  <c r="K483" i="15"/>
  <c r="J483" i="15"/>
  <c r="N482" i="15"/>
  <c r="M482" i="15"/>
  <c r="L482" i="15"/>
  <c r="K482" i="15"/>
  <c r="J482" i="15"/>
  <c r="N481" i="15"/>
  <c r="M481" i="15"/>
  <c r="L481" i="15"/>
  <c r="K481" i="15"/>
  <c r="J481" i="15"/>
  <c r="N480" i="15"/>
  <c r="M480" i="15"/>
  <c r="L480" i="15"/>
  <c r="K480" i="15"/>
  <c r="J480" i="15"/>
  <c r="N479" i="15"/>
  <c r="M479" i="15"/>
  <c r="L479" i="15"/>
  <c r="K479" i="15"/>
  <c r="J479" i="15"/>
  <c r="N478" i="15"/>
  <c r="M478" i="15"/>
  <c r="L478" i="15"/>
  <c r="K478" i="15"/>
  <c r="J478" i="15"/>
  <c r="N477" i="15"/>
  <c r="M477" i="15"/>
  <c r="L477" i="15"/>
  <c r="K477" i="15"/>
  <c r="J477" i="15"/>
  <c r="N476" i="15"/>
  <c r="M476" i="15"/>
  <c r="L476" i="15"/>
  <c r="K476" i="15"/>
  <c r="J476" i="15"/>
  <c r="N475" i="15"/>
  <c r="M475" i="15"/>
  <c r="L475" i="15"/>
  <c r="K475" i="15"/>
  <c r="J475" i="15"/>
  <c r="N474" i="15"/>
  <c r="M474" i="15"/>
  <c r="L474" i="15"/>
  <c r="K474" i="15"/>
  <c r="J474" i="15"/>
  <c r="N473" i="15"/>
  <c r="M473" i="15"/>
  <c r="L473" i="15"/>
  <c r="K473" i="15"/>
  <c r="J473" i="15"/>
  <c r="N472" i="15"/>
  <c r="M472" i="15"/>
  <c r="L472" i="15"/>
  <c r="K472" i="15"/>
  <c r="J472" i="15"/>
  <c r="N471" i="15"/>
  <c r="M471" i="15"/>
  <c r="L471" i="15"/>
  <c r="K471" i="15"/>
  <c r="J471" i="15"/>
  <c r="N470" i="15"/>
  <c r="M470" i="15"/>
  <c r="L470" i="15"/>
  <c r="K470" i="15"/>
  <c r="J470" i="15"/>
  <c r="N469" i="15"/>
  <c r="M469" i="15"/>
  <c r="L469" i="15"/>
  <c r="K469" i="15"/>
  <c r="J469" i="15"/>
  <c r="N468" i="15"/>
  <c r="M468" i="15"/>
  <c r="L468" i="15"/>
  <c r="K468" i="15"/>
  <c r="J468" i="15"/>
  <c r="N467" i="15"/>
  <c r="M467" i="15"/>
  <c r="L467" i="15"/>
  <c r="K467" i="15"/>
  <c r="J467" i="15"/>
  <c r="N466" i="15"/>
  <c r="R508" i="7" s="1"/>
  <c r="M466" i="15"/>
  <c r="L466" i="15"/>
  <c r="K466" i="15"/>
  <c r="J466" i="15"/>
  <c r="N465" i="15"/>
  <c r="M465" i="15"/>
  <c r="L465" i="15"/>
  <c r="K465" i="15"/>
  <c r="J465" i="15"/>
  <c r="N464" i="15"/>
  <c r="M464" i="15"/>
  <c r="L464" i="15"/>
  <c r="K464" i="15"/>
  <c r="J464" i="15"/>
  <c r="N463" i="15"/>
  <c r="M463" i="15"/>
  <c r="L463" i="15"/>
  <c r="K463" i="15"/>
  <c r="J463" i="15"/>
  <c r="N462" i="15"/>
  <c r="M462" i="15"/>
  <c r="L462" i="15"/>
  <c r="K462" i="15"/>
  <c r="J462" i="15"/>
  <c r="N461" i="15"/>
  <c r="M461" i="15"/>
  <c r="L461" i="15"/>
  <c r="K461" i="15"/>
  <c r="J461" i="15"/>
  <c r="N460" i="15"/>
  <c r="M460" i="15"/>
  <c r="L460" i="15"/>
  <c r="K460" i="15"/>
  <c r="J460" i="15"/>
  <c r="N459" i="15"/>
  <c r="M459" i="15"/>
  <c r="L459" i="15"/>
  <c r="K459" i="15"/>
  <c r="J459" i="15"/>
  <c r="N458" i="15"/>
  <c r="M458" i="15"/>
  <c r="L458" i="15"/>
  <c r="K458" i="15"/>
  <c r="J458" i="15"/>
  <c r="N457" i="15"/>
  <c r="M457" i="15"/>
  <c r="L457" i="15"/>
  <c r="K457" i="15"/>
  <c r="J457" i="15"/>
  <c r="N456" i="15"/>
  <c r="M456" i="15"/>
  <c r="L456" i="15"/>
  <c r="K456" i="15"/>
  <c r="J456" i="15"/>
  <c r="N455" i="15"/>
  <c r="M455" i="15"/>
  <c r="L455" i="15"/>
  <c r="K455" i="15"/>
  <c r="J455" i="15"/>
  <c r="N454" i="15"/>
  <c r="M454" i="15"/>
  <c r="L454" i="15"/>
  <c r="K454" i="15"/>
  <c r="J454" i="15"/>
  <c r="N453" i="15"/>
  <c r="M453" i="15"/>
  <c r="L453" i="15"/>
  <c r="K453" i="15"/>
  <c r="J453" i="15"/>
  <c r="N452" i="15"/>
  <c r="M452" i="15"/>
  <c r="L452" i="15"/>
  <c r="K452" i="15"/>
  <c r="J452" i="15"/>
  <c r="N451" i="15"/>
  <c r="M451" i="15"/>
  <c r="L451" i="15"/>
  <c r="K451" i="15"/>
  <c r="J451" i="15"/>
  <c r="N450" i="15"/>
  <c r="M450" i="15"/>
  <c r="L450" i="15"/>
  <c r="K450" i="15"/>
  <c r="J450" i="15"/>
  <c r="N449" i="15"/>
  <c r="M449" i="15"/>
  <c r="L449" i="15"/>
  <c r="K449" i="15"/>
  <c r="J449" i="15"/>
  <c r="N448" i="15"/>
  <c r="M448" i="15"/>
  <c r="L448" i="15"/>
  <c r="K448" i="15"/>
  <c r="J448" i="15"/>
  <c r="N447" i="15"/>
  <c r="M447" i="15"/>
  <c r="L447" i="15"/>
  <c r="K447" i="15"/>
  <c r="J447" i="15"/>
  <c r="N446" i="15"/>
  <c r="M446" i="15"/>
  <c r="L446" i="15"/>
  <c r="K446" i="15"/>
  <c r="J446" i="15"/>
  <c r="N445" i="15"/>
  <c r="M445" i="15"/>
  <c r="L445" i="15"/>
  <c r="K445" i="15"/>
  <c r="J445" i="15"/>
  <c r="N444" i="15"/>
  <c r="M444" i="15"/>
  <c r="L444" i="15"/>
  <c r="K444" i="15"/>
  <c r="J444" i="15"/>
  <c r="N443" i="15"/>
  <c r="M443" i="15"/>
  <c r="L443" i="15"/>
  <c r="K443" i="15"/>
  <c r="J443" i="15"/>
  <c r="N442" i="15"/>
  <c r="M442" i="15"/>
  <c r="L442" i="15"/>
  <c r="K442" i="15"/>
  <c r="J442" i="15"/>
  <c r="N441" i="15"/>
  <c r="M441" i="15"/>
  <c r="L441" i="15"/>
  <c r="K441" i="15"/>
  <c r="J441" i="15"/>
  <c r="N440" i="15"/>
  <c r="M440" i="15"/>
  <c r="L440" i="15"/>
  <c r="K440" i="15"/>
  <c r="J440" i="15"/>
  <c r="N439" i="15"/>
  <c r="M439" i="15"/>
  <c r="L439" i="15"/>
  <c r="K439" i="15"/>
  <c r="J439" i="15"/>
  <c r="N438" i="15"/>
  <c r="M438" i="15"/>
  <c r="L438" i="15"/>
  <c r="K438" i="15"/>
  <c r="J438" i="15"/>
  <c r="N437" i="15"/>
  <c r="M437" i="15"/>
  <c r="L437" i="15"/>
  <c r="K437" i="15"/>
  <c r="J437" i="15"/>
  <c r="N436" i="15"/>
  <c r="M436" i="15"/>
  <c r="L436" i="15"/>
  <c r="K436" i="15"/>
  <c r="J436" i="15"/>
  <c r="N435" i="15"/>
  <c r="M435" i="15"/>
  <c r="L435" i="15"/>
  <c r="K435" i="15"/>
  <c r="J435" i="15"/>
  <c r="N434" i="15"/>
  <c r="M434" i="15"/>
  <c r="L434" i="15"/>
  <c r="K434" i="15"/>
  <c r="J434" i="15"/>
  <c r="N433" i="15"/>
  <c r="M433" i="15"/>
  <c r="L433" i="15"/>
  <c r="K433" i="15"/>
  <c r="J433" i="15"/>
  <c r="N432" i="15"/>
  <c r="M432" i="15"/>
  <c r="L432" i="15"/>
  <c r="K432" i="15"/>
  <c r="J432" i="15"/>
  <c r="N431" i="15"/>
  <c r="R477" i="7" s="1"/>
  <c r="M431" i="15"/>
  <c r="L431" i="15"/>
  <c r="K431" i="15"/>
  <c r="J431" i="15"/>
  <c r="N430" i="15"/>
  <c r="M430" i="15"/>
  <c r="L430" i="15"/>
  <c r="K430" i="15"/>
  <c r="J430" i="15"/>
  <c r="N429" i="15"/>
  <c r="M429" i="15"/>
  <c r="L429" i="15"/>
  <c r="K429" i="15"/>
  <c r="J429" i="15"/>
  <c r="N428" i="15"/>
  <c r="M428" i="15"/>
  <c r="L428" i="15"/>
  <c r="K428" i="15"/>
  <c r="J428" i="15"/>
  <c r="N427" i="15"/>
  <c r="M427" i="15"/>
  <c r="L427" i="15"/>
  <c r="K427" i="15"/>
  <c r="J427" i="15"/>
  <c r="N426" i="15"/>
  <c r="R478" i="7" s="1"/>
  <c r="M426" i="15"/>
  <c r="L426" i="15"/>
  <c r="K426" i="15"/>
  <c r="J426" i="15"/>
  <c r="N425" i="15"/>
  <c r="M425" i="15"/>
  <c r="L425" i="15"/>
  <c r="K425" i="15"/>
  <c r="J425" i="15"/>
  <c r="N424" i="15"/>
  <c r="M424" i="15"/>
  <c r="L424" i="15"/>
  <c r="K424" i="15"/>
  <c r="J424" i="15"/>
  <c r="N423" i="15"/>
  <c r="M423" i="15"/>
  <c r="L423" i="15"/>
  <c r="K423" i="15"/>
  <c r="J423" i="15"/>
  <c r="N422" i="15"/>
  <c r="M422" i="15"/>
  <c r="L422" i="15"/>
  <c r="K422" i="15"/>
  <c r="J422" i="15"/>
  <c r="N421" i="15"/>
  <c r="M421" i="15"/>
  <c r="L421" i="15"/>
  <c r="K421" i="15"/>
  <c r="J421" i="15"/>
  <c r="N420" i="15"/>
  <c r="M420" i="15"/>
  <c r="L420" i="15"/>
  <c r="K420" i="15"/>
  <c r="J420" i="15"/>
  <c r="N419" i="15"/>
  <c r="M419" i="15"/>
  <c r="L419" i="15"/>
  <c r="K419" i="15"/>
  <c r="J419" i="15"/>
  <c r="N418" i="15"/>
  <c r="M418" i="15"/>
  <c r="L418" i="15"/>
  <c r="K418" i="15"/>
  <c r="J418" i="15"/>
  <c r="N417" i="15"/>
  <c r="M417" i="15"/>
  <c r="L417" i="15"/>
  <c r="K417" i="15"/>
  <c r="J417" i="15"/>
  <c r="N416" i="15"/>
  <c r="M416" i="15"/>
  <c r="L416" i="15"/>
  <c r="K416" i="15"/>
  <c r="J416" i="15"/>
  <c r="N415" i="15"/>
  <c r="M415" i="15"/>
  <c r="L415" i="15"/>
  <c r="K415" i="15"/>
  <c r="J415" i="15"/>
  <c r="N414" i="15"/>
  <c r="M414" i="15"/>
  <c r="L414" i="15"/>
  <c r="K414" i="15"/>
  <c r="J414" i="15"/>
  <c r="N413" i="15"/>
  <c r="M413" i="15"/>
  <c r="L413" i="15"/>
  <c r="K413" i="15"/>
  <c r="J413" i="15"/>
  <c r="N412" i="15"/>
  <c r="M412" i="15"/>
  <c r="L412" i="15"/>
  <c r="K412" i="15"/>
  <c r="J412" i="15"/>
  <c r="N411" i="15"/>
  <c r="M411" i="15"/>
  <c r="L411" i="15"/>
  <c r="K411" i="15"/>
  <c r="J411" i="15"/>
  <c r="N410" i="15"/>
  <c r="M410" i="15"/>
  <c r="L410" i="15"/>
  <c r="K410" i="15"/>
  <c r="J410" i="15"/>
  <c r="N409" i="15"/>
  <c r="M409" i="15"/>
  <c r="L409" i="15"/>
  <c r="K409" i="15"/>
  <c r="J409" i="15"/>
  <c r="N408" i="15"/>
  <c r="M408" i="15"/>
  <c r="L408" i="15"/>
  <c r="K408" i="15"/>
  <c r="J408" i="15"/>
  <c r="N407" i="15"/>
  <c r="M407" i="15"/>
  <c r="L407" i="15"/>
  <c r="K407" i="15"/>
  <c r="J407" i="15"/>
  <c r="N406" i="15"/>
  <c r="M406" i="15"/>
  <c r="L406" i="15"/>
  <c r="K406" i="15"/>
  <c r="J406" i="15"/>
  <c r="N405" i="15"/>
  <c r="M405" i="15"/>
  <c r="L405" i="15"/>
  <c r="K405" i="15"/>
  <c r="J405" i="15"/>
  <c r="N404" i="15"/>
  <c r="M404" i="15"/>
  <c r="L404" i="15"/>
  <c r="K404" i="15"/>
  <c r="J404" i="15"/>
  <c r="N403" i="15"/>
  <c r="M403" i="15"/>
  <c r="L403" i="15"/>
  <c r="K403" i="15"/>
  <c r="J403" i="15"/>
  <c r="N402" i="15"/>
  <c r="R430" i="7" s="1"/>
  <c r="M402" i="15"/>
  <c r="L402" i="15"/>
  <c r="K402" i="15"/>
  <c r="J402" i="15"/>
  <c r="N401" i="15"/>
  <c r="M401" i="15"/>
  <c r="L401" i="15"/>
  <c r="K401" i="15"/>
  <c r="J401" i="15"/>
  <c r="N400" i="15"/>
  <c r="M400" i="15"/>
  <c r="L400" i="15"/>
  <c r="K400" i="15"/>
  <c r="J400" i="15"/>
  <c r="N399" i="15"/>
  <c r="M399" i="15"/>
  <c r="L399" i="15"/>
  <c r="K399" i="15"/>
  <c r="J399" i="15"/>
  <c r="N398" i="15"/>
  <c r="M398" i="15"/>
  <c r="L398" i="15"/>
  <c r="K398" i="15"/>
  <c r="J398" i="15"/>
  <c r="N397" i="15"/>
  <c r="M397" i="15"/>
  <c r="L397" i="15"/>
  <c r="K397" i="15"/>
  <c r="J397" i="15"/>
  <c r="N396" i="15"/>
  <c r="M396" i="15"/>
  <c r="L396" i="15"/>
  <c r="K396" i="15"/>
  <c r="J396" i="15"/>
  <c r="N395" i="15"/>
  <c r="M395" i="15"/>
  <c r="L395" i="15"/>
  <c r="K395" i="15"/>
  <c r="J395" i="15"/>
  <c r="N394" i="15"/>
  <c r="M394" i="15"/>
  <c r="L394" i="15"/>
  <c r="K394" i="15"/>
  <c r="J394" i="15"/>
  <c r="N393" i="15"/>
  <c r="M393" i="15"/>
  <c r="L393" i="15"/>
  <c r="K393" i="15"/>
  <c r="J393" i="15"/>
  <c r="N392" i="15"/>
  <c r="M392" i="15"/>
  <c r="L392" i="15"/>
  <c r="K392" i="15"/>
  <c r="J392" i="15"/>
  <c r="N391" i="15"/>
  <c r="M391" i="15"/>
  <c r="L391" i="15"/>
  <c r="K391" i="15"/>
  <c r="J391" i="15"/>
  <c r="N390" i="15"/>
  <c r="M390" i="15"/>
  <c r="L390" i="15"/>
  <c r="K390" i="15"/>
  <c r="J390" i="15"/>
  <c r="N389" i="15"/>
  <c r="M389" i="15"/>
  <c r="L389" i="15"/>
  <c r="K389" i="15"/>
  <c r="J389" i="15"/>
  <c r="N388" i="15"/>
  <c r="M388" i="15"/>
  <c r="L388" i="15"/>
  <c r="K388" i="15"/>
  <c r="J388" i="15"/>
  <c r="N387" i="15"/>
  <c r="M387" i="15"/>
  <c r="L387" i="15"/>
  <c r="K387" i="15"/>
  <c r="J387" i="15"/>
  <c r="N386" i="15"/>
  <c r="M386" i="15"/>
  <c r="L386" i="15"/>
  <c r="K386" i="15"/>
  <c r="J386" i="15"/>
  <c r="N385" i="15"/>
  <c r="M385" i="15"/>
  <c r="L385" i="15"/>
  <c r="K385" i="15"/>
  <c r="J385" i="15"/>
  <c r="N384" i="15"/>
  <c r="M384" i="15"/>
  <c r="L384" i="15"/>
  <c r="K384" i="15"/>
  <c r="J384" i="15"/>
  <c r="N383" i="15"/>
  <c r="M383" i="15"/>
  <c r="L383" i="15"/>
  <c r="K383" i="15"/>
  <c r="J383" i="15"/>
  <c r="N382" i="15"/>
  <c r="M382" i="15"/>
  <c r="L382" i="15"/>
  <c r="K382" i="15"/>
  <c r="J382" i="15"/>
  <c r="N381" i="15"/>
  <c r="M381" i="15"/>
  <c r="L381" i="15"/>
  <c r="K381" i="15"/>
  <c r="J381" i="15"/>
  <c r="N380" i="15"/>
  <c r="M380" i="15"/>
  <c r="L380" i="15"/>
  <c r="K380" i="15"/>
  <c r="J380" i="15"/>
  <c r="N379" i="15"/>
  <c r="M379" i="15"/>
  <c r="L379" i="15"/>
  <c r="K379" i="15"/>
  <c r="J379" i="15"/>
  <c r="N378" i="15"/>
  <c r="M378" i="15"/>
  <c r="L378" i="15"/>
  <c r="K378" i="15"/>
  <c r="J378" i="15"/>
  <c r="N377" i="15"/>
  <c r="M377" i="15"/>
  <c r="L377" i="15"/>
  <c r="K377" i="15"/>
  <c r="J377" i="15"/>
  <c r="N376" i="15"/>
  <c r="M376" i="15"/>
  <c r="L376" i="15"/>
  <c r="K376" i="15"/>
  <c r="J376" i="15"/>
  <c r="N375" i="15"/>
  <c r="M375" i="15"/>
  <c r="L375" i="15"/>
  <c r="K375" i="15"/>
  <c r="J375" i="15"/>
  <c r="N374" i="15"/>
  <c r="M374" i="15"/>
  <c r="L374" i="15"/>
  <c r="K374" i="15"/>
  <c r="J374" i="15"/>
  <c r="N373" i="15"/>
  <c r="R384" i="7" s="1"/>
  <c r="M373" i="15"/>
  <c r="L373" i="15"/>
  <c r="K373" i="15"/>
  <c r="J373" i="15"/>
  <c r="N372" i="15"/>
  <c r="M372" i="15"/>
  <c r="L372" i="15"/>
  <c r="K372" i="15"/>
  <c r="J372" i="15"/>
  <c r="N371" i="15"/>
  <c r="M371" i="15"/>
  <c r="L371" i="15"/>
  <c r="K371" i="15"/>
  <c r="J371" i="15"/>
  <c r="N370" i="15"/>
  <c r="M370" i="15"/>
  <c r="L370" i="15"/>
  <c r="K370" i="15"/>
  <c r="J370" i="15"/>
  <c r="N369" i="15"/>
  <c r="M369" i="15"/>
  <c r="L369" i="15"/>
  <c r="K369" i="15"/>
  <c r="J369" i="15"/>
  <c r="N368" i="15"/>
  <c r="M368" i="15"/>
  <c r="L368" i="15"/>
  <c r="K368" i="15"/>
  <c r="J368" i="15"/>
  <c r="N367" i="15"/>
  <c r="M367" i="15"/>
  <c r="L367" i="15"/>
  <c r="K367" i="15"/>
  <c r="J367" i="15"/>
  <c r="N366" i="15"/>
  <c r="M366" i="15"/>
  <c r="L366" i="15"/>
  <c r="K366" i="15"/>
  <c r="J366" i="15"/>
  <c r="N365" i="15"/>
  <c r="M365" i="15"/>
  <c r="L365" i="15"/>
  <c r="K365" i="15"/>
  <c r="J365" i="15"/>
  <c r="N364" i="15"/>
  <c r="M364" i="15"/>
  <c r="L364" i="15"/>
  <c r="K364" i="15"/>
  <c r="J364" i="15"/>
  <c r="N363" i="15"/>
  <c r="R355" i="7" s="1"/>
  <c r="M363" i="15"/>
  <c r="L363" i="15"/>
  <c r="K363" i="15"/>
  <c r="J363" i="15"/>
  <c r="N362" i="15"/>
  <c r="M362" i="15"/>
  <c r="L362" i="15"/>
  <c r="K362" i="15"/>
  <c r="J362" i="15"/>
  <c r="N361" i="15"/>
  <c r="M361" i="15"/>
  <c r="L361" i="15"/>
  <c r="K361" i="15"/>
  <c r="J361" i="15"/>
  <c r="N360" i="15"/>
  <c r="M360" i="15"/>
  <c r="L360" i="15"/>
  <c r="K360" i="15"/>
  <c r="J360" i="15"/>
  <c r="N359" i="15"/>
  <c r="M359" i="15"/>
  <c r="L359" i="15"/>
  <c r="K359" i="15"/>
  <c r="J359" i="15"/>
  <c r="N358" i="15"/>
  <c r="M358" i="15"/>
  <c r="L358" i="15"/>
  <c r="K358" i="15"/>
  <c r="J358" i="15"/>
  <c r="N357" i="15"/>
  <c r="M357" i="15"/>
  <c r="L357" i="15"/>
  <c r="K357" i="15"/>
  <c r="J357" i="15"/>
  <c r="N356" i="15"/>
  <c r="M356" i="15"/>
  <c r="L356" i="15"/>
  <c r="K356" i="15"/>
  <c r="J356" i="15"/>
  <c r="N355" i="15"/>
  <c r="M355" i="15"/>
  <c r="L355" i="15"/>
  <c r="K355" i="15"/>
  <c r="J355" i="15"/>
  <c r="N354" i="15"/>
  <c r="M354" i="15"/>
  <c r="L354" i="15"/>
  <c r="K354" i="15"/>
  <c r="J354" i="15"/>
  <c r="N353" i="15"/>
  <c r="M353" i="15"/>
  <c r="L353" i="15"/>
  <c r="K353" i="15"/>
  <c r="J353" i="15"/>
  <c r="N352" i="15"/>
  <c r="M352" i="15"/>
  <c r="L352" i="15"/>
  <c r="K352" i="15"/>
  <c r="J352" i="15"/>
  <c r="N351" i="15"/>
  <c r="M351" i="15"/>
  <c r="L351" i="15"/>
  <c r="K351" i="15"/>
  <c r="J351" i="15"/>
  <c r="N350" i="15"/>
  <c r="M350" i="15"/>
  <c r="L350" i="15"/>
  <c r="K350" i="15"/>
  <c r="J350" i="15"/>
  <c r="N349" i="15"/>
  <c r="M349" i="15"/>
  <c r="L349" i="15"/>
  <c r="K349" i="15"/>
  <c r="J349" i="15"/>
  <c r="N348" i="15"/>
  <c r="M348" i="15"/>
  <c r="L348" i="15"/>
  <c r="K348" i="15"/>
  <c r="J348" i="15"/>
  <c r="N347" i="15"/>
  <c r="M347" i="15"/>
  <c r="L347" i="15"/>
  <c r="K347" i="15"/>
  <c r="J347" i="15"/>
  <c r="N346" i="15"/>
  <c r="M346" i="15"/>
  <c r="L346" i="15"/>
  <c r="K346" i="15"/>
  <c r="J346" i="15"/>
  <c r="N345" i="15"/>
  <c r="M345" i="15"/>
  <c r="L345" i="15"/>
  <c r="K345" i="15"/>
  <c r="J345" i="15"/>
  <c r="N344" i="15"/>
  <c r="M344" i="15"/>
  <c r="L344" i="15"/>
  <c r="K344" i="15"/>
  <c r="J344" i="15"/>
  <c r="N343" i="15"/>
  <c r="M343" i="15"/>
  <c r="L343" i="15"/>
  <c r="K343" i="15"/>
  <c r="J343" i="15"/>
  <c r="N342" i="15"/>
  <c r="R576" i="7" s="1"/>
  <c r="M342" i="15"/>
  <c r="L342" i="15"/>
  <c r="K342" i="15"/>
  <c r="J342" i="15"/>
  <c r="N341" i="15"/>
  <c r="M341" i="15"/>
  <c r="L341" i="15"/>
  <c r="K341" i="15"/>
  <c r="J341" i="15"/>
  <c r="N340" i="15"/>
  <c r="M340" i="15"/>
  <c r="L340" i="15"/>
  <c r="K340" i="15"/>
  <c r="J340" i="15"/>
  <c r="N339" i="15"/>
  <c r="M339" i="15"/>
  <c r="L339" i="15"/>
  <c r="K339" i="15"/>
  <c r="J339" i="15"/>
  <c r="N338" i="15"/>
  <c r="M338" i="15"/>
  <c r="L338" i="15"/>
  <c r="K338" i="15"/>
  <c r="J338" i="15"/>
  <c r="N337" i="15"/>
  <c r="M337" i="15"/>
  <c r="L337" i="15"/>
  <c r="K337" i="15"/>
  <c r="J337" i="15"/>
  <c r="N336" i="15"/>
  <c r="M336" i="15"/>
  <c r="L336" i="15"/>
  <c r="K336" i="15"/>
  <c r="J336" i="15"/>
  <c r="N335" i="15"/>
  <c r="M335" i="15"/>
  <c r="L335" i="15"/>
  <c r="K335" i="15"/>
  <c r="J335" i="15"/>
  <c r="N334" i="15"/>
  <c r="M334" i="15"/>
  <c r="L334" i="15"/>
  <c r="K334" i="15"/>
  <c r="J334" i="15"/>
  <c r="N333" i="15"/>
  <c r="M333" i="15"/>
  <c r="L333" i="15"/>
  <c r="K333" i="15"/>
  <c r="J333" i="15"/>
  <c r="N332" i="15"/>
  <c r="M332" i="15"/>
  <c r="L332" i="15"/>
  <c r="K332" i="15"/>
  <c r="J332" i="15"/>
  <c r="N331" i="15"/>
  <c r="M331" i="15"/>
  <c r="L331" i="15"/>
  <c r="K331" i="15"/>
  <c r="J331" i="15"/>
  <c r="N330" i="15"/>
  <c r="M330" i="15"/>
  <c r="L330" i="15"/>
  <c r="K330" i="15"/>
  <c r="J330" i="15"/>
  <c r="N329" i="15"/>
  <c r="M329" i="15"/>
  <c r="L329" i="15"/>
  <c r="K329" i="15"/>
  <c r="J329" i="15"/>
  <c r="N328" i="15"/>
  <c r="M328" i="15"/>
  <c r="L328" i="15"/>
  <c r="K328" i="15"/>
  <c r="J328" i="15"/>
  <c r="N327" i="15"/>
  <c r="M327" i="15"/>
  <c r="L327" i="15"/>
  <c r="K327" i="15"/>
  <c r="J327" i="15"/>
  <c r="N326" i="15"/>
  <c r="R306" i="7" s="1"/>
  <c r="M326" i="15"/>
  <c r="L326" i="15"/>
  <c r="K326" i="15"/>
  <c r="J326" i="15"/>
  <c r="N325" i="15"/>
  <c r="R305" i="7" s="1"/>
  <c r="M325" i="15"/>
  <c r="L325" i="15"/>
  <c r="K325" i="15"/>
  <c r="J325" i="15"/>
  <c r="N324" i="15"/>
  <c r="M324" i="15"/>
  <c r="L324" i="15"/>
  <c r="K324" i="15"/>
  <c r="J324" i="15"/>
  <c r="N323" i="15"/>
  <c r="M323" i="15"/>
  <c r="L323" i="15"/>
  <c r="K323" i="15"/>
  <c r="J323" i="15"/>
  <c r="N322" i="15"/>
  <c r="M322" i="15"/>
  <c r="L322" i="15"/>
  <c r="K322" i="15"/>
  <c r="J322" i="15"/>
  <c r="N321" i="15"/>
  <c r="M321" i="15"/>
  <c r="L321" i="15"/>
  <c r="K321" i="15"/>
  <c r="J321" i="15"/>
  <c r="N320" i="15"/>
  <c r="M320" i="15"/>
  <c r="L320" i="15"/>
  <c r="K320" i="15"/>
  <c r="J320" i="15"/>
  <c r="N319" i="15"/>
  <c r="M319" i="15"/>
  <c r="L319" i="15"/>
  <c r="K319" i="15"/>
  <c r="J319" i="15"/>
  <c r="N318" i="15"/>
  <c r="M318" i="15"/>
  <c r="L318" i="15"/>
  <c r="K318" i="15"/>
  <c r="J318" i="15"/>
  <c r="N317" i="15"/>
  <c r="M317" i="15"/>
  <c r="L317" i="15"/>
  <c r="K317" i="15"/>
  <c r="J317" i="15"/>
  <c r="N316" i="15"/>
  <c r="M316" i="15"/>
  <c r="L316" i="15"/>
  <c r="K316" i="15"/>
  <c r="J316" i="15"/>
  <c r="N315" i="15"/>
  <c r="M315" i="15"/>
  <c r="L315" i="15"/>
  <c r="K315" i="15"/>
  <c r="J315" i="15"/>
  <c r="N314" i="15"/>
  <c r="M314" i="15"/>
  <c r="L314" i="15"/>
  <c r="K314" i="15"/>
  <c r="J314" i="15"/>
  <c r="N313" i="15"/>
  <c r="M313" i="15"/>
  <c r="L313" i="15"/>
  <c r="K313" i="15"/>
  <c r="J313" i="15"/>
  <c r="N312" i="15"/>
  <c r="M312" i="15"/>
  <c r="L312" i="15"/>
  <c r="K312" i="15"/>
  <c r="J312" i="15"/>
  <c r="N311" i="15"/>
  <c r="M311" i="15"/>
  <c r="L311" i="15"/>
  <c r="K311" i="15"/>
  <c r="J311" i="15"/>
  <c r="N310" i="15"/>
  <c r="M310" i="15"/>
  <c r="L310" i="15"/>
  <c r="K310" i="15"/>
  <c r="J310" i="15"/>
  <c r="N309" i="15"/>
  <c r="M309" i="15"/>
  <c r="L309" i="15"/>
  <c r="K309" i="15"/>
  <c r="J309" i="15"/>
  <c r="N308" i="15"/>
  <c r="M308" i="15"/>
  <c r="L308" i="15"/>
  <c r="K308" i="15"/>
  <c r="J308" i="15"/>
  <c r="N307" i="15"/>
  <c r="M307" i="15"/>
  <c r="L307" i="15"/>
  <c r="K307" i="15"/>
  <c r="J307" i="15"/>
  <c r="N306" i="15"/>
  <c r="M306" i="15"/>
  <c r="L306" i="15"/>
  <c r="K306" i="15"/>
  <c r="J306" i="15"/>
  <c r="N305" i="15"/>
  <c r="M305" i="15"/>
  <c r="L305" i="15"/>
  <c r="K305" i="15"/>
  <c r="J305" i="15"/>
  <c r="N304" i="15"/>
  <c r="M304" i="15"/>
  <c r="L304" i="15"/>
  <c r="K304" i="15"/>
  <c r="J304" i="15"/>
  <c r="N303" i="15"/>
  <c r="M303" i="15"/>
  <c r="L303" i="15"/>
  <c r="K303" i="15"/>
  <c r="J303" i="15"/>
  <c r="N302" i="15"/>
  <c r="M302" i="15"/>
  <c r="L302" i="15"/>
  <c r="K302" i="15"/>
  <c r="J302" i="15"/>
  <c r="N301" i="15"/>
  <c r="M301" i="15"/>
  <c r="L301" i="15"/>
  <c r="K301" i="15"/>
  <c r="J301" i="15"/>
  <c r="N300" i="15"/>
  <c r="M300" i="15"/>
  <c r="L300" i="15"/>
  <c r="K300" i="15"/>
  <c r="J300" i="15"/>
  <c r="N299" i="15"/>
  <c r="M299" i="15"/>
  <c r="L299" i="15"/>
  <c r="K299" i="15"/>
  <c r="J299" i="15"/>
  <c r="N298" i="15"/>
  <c r="M298" i="15"/>
  <c r="L298" i="15"/>
  <c r="K298" i="15"/>
  <c r="J298" i="15"/>
  <c r="N297" i="15"/>
  <c r="M297" i="15"/>
  <c r="L297" i="15"/>
  <c r="K297" i="15"/>
  <c r="J297" i="15"/>
  <c r="N296" i="15"/>
  <c r="M296" i="15"/>
  <c r="L296" i="15"/>
  <c r="K296" i="15"/>
  <c r="J296" i="15"/>
  <c r="N295" i="15"/>
  <c r="M295" i="15"/>
  <c r="L295" i="15"/>
  <c r="K295" i="15"/>
  <c r="J295" i="15"/>
  <c r="N294" i="15"/>
  <c r="M294" i="15"/>
  <c r="L294" i="15"/>
  <c r="K294" i="15"/>
  <c r="J294" i="15"/>
  <c r="N293" i="15"/>
  <c r="M293" i="15"/>
  <c r="L293" i="15"/>
  <c r="K293" i="15"/>
  <c r="J293" i="15"/>
  <c r="N292" i="15"/>
  <c r="M292" i="15"/>
  <c r="L292" i="15"/>
  <c r="K292" i="15"/>
  <c r="J292" i="15"/>
  <c r="N291" i="15"/>
  <c r="M291" i="15"/>
  <c r="L291" i="15"/>
  <c r="K291" i="15"/>
  <c r="J291" i="15"/>
  <c r="N290" i="15"/>
  <c r="M290" i="15"/>
  <c r="L290" i="15"/>
  <c r="K290" i="15"/>
  <c r="J290" i="15"/>
  <c r="N289" i="15"/>
  <c r="M289" i="15"/>
  <c r="L289" i="15"/>
  <c r="K289" i="15"/>
  <c r="J289" i="15"/>
  <c r="N288" i="15"/>
  <c r="M288" i="15"/>
  <c r="L288" i="15"/>
  <c r="K288" i="15"/>
  <c r="J288" i="15"/>
  <c r="N287" i="15"/>
  <c r="M287" i="15"/>
  <c r="L287" i="15"/>
  <c r="K287" i="15"/>
  <c r="J287" i="15"/>
  <c r="N286" i="15"/>
  <c r="M286" i="15"/>
  <c r="L286" i="15"/>
  <c r="K286" i="15"/>
  <c r="J286" i="15"/>
  <c r="N285" i="15"/>
  <c r="M285" i="15"/>
  <c r="L285" i="15"/>
  <c r="K285" i="15"/>
  <c r="J285" i="15"/>
  <c r="N284" i="15"/>
  <c r="M284" i="15"/>
  <c r="L284" i="15"/>
  <c r="K284" i="15"/>
  <c r="J284" i="15"/>
  <c r="N283" i="15"/>
  <c r="M283" i="15"/>
  <c r="L283" i="15"/>
  <c r="K283" i="15"/>
  <c r="J283" i="15"/>
  <c r="N282" i="15"/>
  <c r="M282" i="15"/>
  <c r="L282" i="15"/>
  <c r="K282" i="15"/>
  <c r="J282" i="15"/>
  <c r="N281" i="15"/>
  <c r="M281" i="15"/>
  <c r="L281" i="15"/>
  <c r="K281" i="15"/>
  <c r="J281" i="15"/>
  <c r="N280" i="15"/>
  <c r="M280" i="15"/>
  <c r="L280" i="15"/>
  <c r="K280" i="15"/>
  <c r="J280" i="15"/>
  <c r="N279" i="15"/>
  <c r="M279" i="15"/>
  <c r="L279" i="15"/>
  <c r="K279" i="15"/>
  <c r="J279" i="15"/>
  <c r="N278" i="15"/>
  <c r="M278" i="15"/>
  <c r="L278" i="15"/>
  <c r="K278" i="15"/>
  <c r="J278" i="15"/>
  <c r="N277" i="15"/>
  <c r="M277" i="15"/>
  <c r="L277" i="15"/>
  <c r="K277" i="15"/>
  <c r="J277" i="15"/>
  <c r="N276" i="15"/>
  <c r="M276" i="15"/>
  <c r="L276" i="15"/>
  <c r="K276" i="15"/>
  <c r="J276" i="15"/>
  <c r="N275" i="15"/>
  <c r="M275" i="15"/>
  <c r="L275" i="15"/>
  <c r="K275" i="15"/>
  <c r="J275" i="15"/>
  <c r="N274" i="15"/>
  <c r="M274" i="15"/>
  <c r="L274" i="15"/>
  <c r="K274" i="15"/>
  <c r="J274" i="15"/>
  <c r="N273" i="15"/>
  <c r="M273" i="15"/>
  <c r="L273" i="15"/>
  <c r="K273" i="15"/>
  <c r="J273" i="15"/>
  <c r="N272" i="15"/>
  <c r="M272" i="15"/>
  <c r="L272" i="15"/>
  <c r="K272" i="15"/>
  <c r="J272" i="15"/>
  <c r="N271" i="15"/>
  <c r="M271" i="15"/>
  <c r="L271" i="15"/>
  <c r="K271" i="15"/>
  <c r="J271" i="15"/>
  <c r="N270" i="15"/>
  <c r="M270" i="15"/>
  <c r="L270" i="15"/>
  <c r="K270" i="15"/>
  <c r="J270" i="15"/>
  <c r="N269" i="15"/>
  <c r="M269" i="15"/>
  <c r="L269" i="15"/>
  <c r="K269" i="15"/>
  <c r="J269" i="15"/>
  <c r="N268" i="15"/>
  <c r="M268" i="15"/>
  <c r="L268" i="15"/>
  <c r="K268" i="15"/>
  <c r="J268" i="15"/>
  <c r="N267" i="15"/>
  <c r="M267" i="15"/>
  <c r="L267" i="15"/>
  <c r="K267" i="15"/>
  <c r="J267" i="15"/>
  <c r="N266" i="15"/>
  <c r="M266" i="15"/>
  <c r="L266" i="15"/>
  <c r="K266" i="15"/>
  <c r="J266" i="15"/>
  <c r="N265" i="15"/>
  <c r="M265" i="15"/>
  <c r="L265" i="15"/>
  <c r="K265" i="15"/>
  <c r="J265" i="15"/>
  <c r="N264" i="15"/>
  <c r="M264" i="15"/>
  <c r="L264" i="15"/>
  <c r="K264" i="15"/>
  <c r="J264" i="15"/>
  <c r="N263" i="15"/>
  <c r="M263" i="15"/>
  <c r="L263" i="15"/>
  <c r="K263" i="15"/>
  <c r="J263" i="15"/>
  <c r="N262" i="15"/>
  <c r="M262" i="15"/>
  <c r="L262" i="15"/>
  <c r="K262" i="15"/>
  <c r="J262" i="15"/>
  <c r="N261" i="15"/>
  <c r="M261" i="15"/>
  <c r="L261" i="15"/>
  <c r="K261" i="15"/>
  <c r="J261" i="15"/>
  <c r="N260" i="15"/>
  <c r="M260" i="15"/>
  <c r="L260" i="15"/>
  <c r="K260" i="15"/>
  <c r="J260" i="15"/>
  <c r="N259" i="15"/>
  <c r="M259" i="15"/>
  <c r="L259" i="15"/>
  <c r="K259" i="15"/>
  <c r="J259" i="15"/>
  <c r="N258" i="15"/>
  <c r="M258" i="15"/>
  <c r="L258" i="15"/>
  <c r="K258" i="15"/>
  <c r="J258" i="15"/>
  <c r="N257" i="15"/>
  <c r="M257" i="15"/>
  <c r="L257" i="15"/>
  <c r="K257" i="15"/>
  <c r="J257" i="15"/>
  <c r="N256" i="15"/>
  <c r="M256" i="15"/>
  <c r="L256" i="15"/>
  <c r="K256" i="15"/>
  <c r="J256" i="15"/>
  <c r="N255" i="15"/>
  <c r="M255" i="15"/>
  <c r="L255" i="15"/>
  <c r="K255" i="15"/>
  <c r="J255" i="15"/>
  <c r="N254" i="15"/>
  <c r="M254" i="15"/>
  <c r="L254" i="15"/>
  <c r="K254" i="15"/>
  <c r="J254" i="15"/>
  <c r="N253" i="15"/>
  <c r="M253" i="15"/>
  <c r="L253" i="15"/>
  <c r="K253" i="15"/>
  <c r="J253" i="15"/>
  <c r="N252" i="15"/>
  <c r="M252" i="15"/>
  <c r="L252" i="15"/>
  <c r="K252" i="15"/>
  <c r="J252" i="15"/>
  <c r="N251" i="15"/>
  <c r="M251" i="15"/>
  <c r="L251" i="15"/>
  <c r="K251" i="15"/>
  <c r="J251" i="15"/>
  <c r="N250" i="15"/>
  <c r="M250" i="15"/>
  <c r="L250" i="15"/>
  <c r="K250" i="15"/>
  <c r="J250" i="15"/>
  <c r="N249" i="15"/>
  <c r="M249" i="15"/>
  <c r="L249" i="15"/>
  <c r="K249" i="15"/>
  <c r="J249" i="15"/>
  <c r="N248" i="15"/>
  <c r="M248" i="15"/>
  <c r="L248" i="15"/>
  <c r="K248" i="15"/>
  <c r="J248" i="15"/>
  <c r="N247" i="15"/>
  <c r="M247" i="15"/>
  <c r="L247" i="15"/>
  <c r="K247" i="15"/>
  <c r="J247" i="15"/>
  <c r="N246" i="15"/>
  <c r="R204" i="7" s="1"/>
  <c r="M246" i="15"/>
  <c r="L246" i="15"/>
  <c r="K246" i="15"/>
  <c r="J246" i="15"/>
  <c r="N245" i="15"/>
  <c r="M245" i="15"/>
  <c r="L245" i="15"/>
  <c r="K245" i="15"/>
  <c r="J245" i="15"/>
  <c r="N244" i="15"/>
  <c r="M244" i="15"/>
  <c r="L244" i="15"/>
  <c r="K244" i="15"/>
  <c r="J244" i="15"/>
  <c r="N243" i="15"/>
  <c r="M243" i="15"/>
  <c r="L243" i="15"/>
  <c r="K243" i="15"/>
  <c r="J243" i="15"/>
  <c r="N242" i="15"/>
  <c r="M242" i="15"/>
  <c r="L242" i="15"/>
  <c r="K242" i="15"/>
  <c r="J242" i="15"/>
  <c r="N241" i="15"/>
  <c r="M241" i="15"/>
  <c r="L241" i="15"/>
  <c r="K241" i="15"/>
  <c r="J241" i="15"/>
  <c r="N240" i="15"/>
  <c r="M240" i="15"/>
  <c r="L240" i="15"/>
  <c r="K240" i="15"/>
  <c r="J240" i="15"/>
  <c r="N239" i="15"/>
  <c r="M239" i="15"/>
  <c r="L239" i="15"/>
  <c r="K239" i="15"/>
  <c r="J239" i="15"/>
  <c r="N238" i="15"/>
  <c r="M238" i="15"/>
  <c r="L238" i="15"/>
  <c r="K238" i="15"/>
  <c r="J238" i="15"/>
  <c r="N237" i="15"/>
  <c r="M237" i="15"/>
  <c r="L237" i="15"/>
  <c r="K237" i="15"/>
  <c r="J237" i="15"/>
  <c r="N236" i="15"/>
  <c r="M236" i="15"/>
  <c r="L236" i="15"/>
  <c r="K236" i="15"/>
  <c r="J236" i="15"/>
  <c r="N235" i="15"/>
  <c r="M235" i="15"/>
  <c r="L235" i="15"/>
  <c r="K235" i="15"/>
  <c r="J235" i="15"/>
  <c r="N234" i="15"/>
  <c r="M234" i="15"/>
  <c r="L234" i="15"/>
  <c r="K234" i="15"/>
  <c r="J234" i="15"/>
  <c r="N233" i="15"/>
  <c r="M233" i="15"/>
  <c r="L233" i="15"/>
  <c r="K233" i="15"/>
  <c r="J233" i="15"/>
  <c r="N232" i="15"/>
  <c r="M232" i="15"/>
  <c r="L232" i="15"/>
  <c r="K232" i="15"/>
  <c r="J232" i="15"/>
  <c r="N231" i="15"/>
  <c r="M231" i="15"/>
  <c r="L231" i="15"/>
  <c r="K231" i="15"/>
  <c r="J231" i="15"/>
  <c r="N230" i="15"/>
  <c r="R175" i="7" s="1"/>
  <c r="M230" i="15"/>
  <c r="L230" i="15"/>
  <c r="K230" i="15"/>
  <c r="J230" i="15"/>
  <c r="N229" i="15"/>
  <c r="M229" i="15"/>
  <c r="L229" i="15"/>
  <c r="K229" i="15"/>
  <c r="J229" i="15"/>
  <c r="N228" i="15"/>
  <c r="M228" i="15"/>
  <c r="L228" i="15"/>
  <c r="K228" i="15"/>
  <c r="J228" i="15"/>
  <c r="N227" i="15"/>
  <c r="M227" i="15"/>
  <c r="L227" i="15"/>
  <c r="K227" i="15"/>
  <c r="J227" i="15"/>
  <c r="N226" i="15"/>
  <c r="M226" i="15"/>
  <c r="L226" i="15"/>
  <c r="K226" i="15"/>
  <c r="J226" i="15"/>
  <c r="N225" i="15"/>
  <c r="M225" i="15"/>
  <c r="L225" i="15"/>
  <c r="K225" i="15"/>
  <c r="J225" i="15"/>
  <c r="N224" i="15"/>
  <c r="M224" i="15"/>
  <c r="L224" i="15"/>
  <c r="K224" i="15"/>
  <c r="J224" i="15"/>
  <c r="N223" i="15"/>
  <c r="M223" i="15"/>
  <c r="L223" i="15"/>
  <c r="K223" i="15"/>
  <c r="J223" i="15"/>
  <c r="N222" i="15"/>
  <c r="M222" i="15"/>
  <c r="L222" i="15"/>
  <c r="K222" i="15"/>
  <c r="J222" i="15"/>
  <c r="N221" i="15"/>
  <c r="M221" i="15"/>
  <c r="L221" i="15"/>
  <c r="K221" i="15"/>
  <c r="J221" i="15"/>
  <c r="N220" i="15"/>
  <c r="M220" i="15"/>
  <c r="L220" i="15"/>
  <c r="K220" i="15"/>
  <c r="J220" i="15"/>
  <c r="N219" i="15"/>
  <c r="M219" i="15"/>
  <c r="L219" i="15"/>
  <c r="K219" i="15"/>
  <c r="J219" i="15"/>
  <c r="N218" i="15"/>
  <c r="M218" i="15"/>
  <c r="L218" i="15"/>
  <c r="K218" i="15"/>
  <c r="J218" i="15"/>
  <c r="N217" i="15"/>
  <c r="M217" i="15"/>
  <c r="L217" i="15"/>
  <c r="K217" i="15"/>
  <c r="J217" i="15"/>
  <c r="N216" i="15"/>
  <c r="M216" i="15"/>
  <c r="L216" i="15"/>
  <c r="K216" i="15"/>
  <c r="J216" i="15"/>
  <c r="N215" i="15"/>
  <c r="M215" i="15"/>
  <c r="L215" i="15"/>
  <c r="K215" i="15"/>
  <c r="J215" i="15"/>
  <c r="N214" i="15"/>
  <c r="R24" i="7" s="1"/>
  <c r="M214" i="15"/>
  <c r="L214" i="15"/>
  <c r="K214" i="15"/>
  <c r="J214" i="15"/>
  <c r="N213" i="15"/>
  <c r="M213" i="15"/>
  <c r="L213" i="15"/>
  <c r="K213" i="15"/>
  <c r="J213" i="15"/>
  <c r="N212" i="15"/>
  <c r="M212" i="15"/>
  <c r="L212" i="15"/>
  <c r="K212" i="15"/>
  <c r="J212" i="15"/>
  <c r="N211" i="15"/>
  <c r="M211" i="15"/>
  <c r="L211" i="15"/>
  <c r="K211" i="15"/>
  <c r="J211" i="15"/>
  <c r="N210" i="15"/>
  <c r="M210" i="15"/>
  <c r="L210" i="15"/>
  <c r="K210" i="15"/>
  <c r="J210" i="15"/>
  <c r="N209" i="15"/>
  <c r="M209" i="15"/>
  <c r="L209" i="15"/>
  <c r="K209" i="15"/>
  <c r="J209" i="15"/>
  <c r="N208" i="15"/>
  <c r="M208" i="15"/>
  <c r="L208" i="15"/>
  <c r="K208" i="15"/>
  <c r="J208" i="15"/>
  <c r="N207" i="15"/>
  <c r="M207" i="15"/>
  <c r="L207" i="15"/>
  <c r="K207" i="15"/>
  <c r="J207" i="15"/>
  <c r="N206" i="15"/>
  <c r="M206" i="15"/>
  <c r="L206" i="15"/>
  <c r="K206" i="15"/>
  <c r="J206" i="15"/>
  <c r="N205" i="15"/>
  <c r="M205" i="15"/>
  <c r="L205" i="15"/>
  <c r="K205" i="15"/>
  <c r="J205" i="15"/>
  <c r="N204" i="15"/>
  <c r="M204" i="15"/>
  <c r="L204" i="15"/>
  <c r="K204" i="15"/>
  <c r="J204" i="15"/>
  <c r="N203" i="15"/>
  <c r="M203" i="15"/>
  <c r="L203" i="15"/>
  <c r="K203" i="15"/>
  <c r="J203" i="15"/>
  <c r="N202" i="15"/>
  <c r="M202" i="15"/>
  <c r="L202" i="15"/>
  <c r="K202" i="15"/>
  <c r="J202" i="15"/>
  <c r="N201" i="15"/>
  <c r="M201" i="15"/>
  <c r="L201" i="15"/>
  <c r="K201" i="15"/>
  <c r="J201" i="15"/>
  <c r="N200" i="15"/>
  <c r="M200" i="15"/>
  <c r="L200" i="15"/>
  <c r="K200" i="15"/>
  <c r="J200" i="15"/>
  <c r="N199" i="15"/>
  <c r="M199" i="15"/>
  <c r="L199" i="15"/>
  <c r="K199" i="15"/>
  <c r="J199" i="15"/>
  <c r="N198" i="15"/>
  <c r="M198" i="15"/>
  <c r="L198" i="15"/>
  <c r="K198" i="15"/>
  <c r="J198" i="15"/>
  <c r="N197" i="15"/>
  <c r="M197" i="15"/>
  <c r="L197" i="15"/>
  <c r="K197" i="15"/>
  <c r="J197" i="15"/>
  <c r="N196" i="15"/>
  <c r="M196" i="15"/>
  <c r="L196" i="15"/>
  <c r="K196" i="15"/>
  <c r="J196" i="15"/>
  <c r="N195" i="15"/>
  <c r="M195" i="15"/>
  <c r="L195" i="15"/>
  <c r="K195" i="15"/>
  <c r="J195" i="15"/>
  <c r="N194" i="15"/>
  <c r="M194" i="15"/>
  <c r="L194" i="15"/>
  <c r="K194" i="15"/>
  <c r="J194" i="15"/>
  <c r="N193" i="15"/>
  <c r="M193" i="15"/>
  <c r="L193" i="15"/>
  <c r="K193" i="15"/>
  <c r="J193" i="15"/>
  <c r="N192" i="15"/>
  <c r="M192" i="15"/>
  <c r="L192" i="15"/>
  <c r="K192" i="15"/>
  <c r="J192" i="15"/>
  <c r="N191" i="15"/>
  <c r="M191" i="15"/>
  <c r="L191" i="15"/>
  <c r="K191" i="15"/>
  <c r="J191" i="15"/>
  <c r="N190" i="15"/>
  <c r="M190" i="15"/>
  <c r="L190" i="15"/>
  <c r="K190" i="15"/>
  <c r="J190" i="15"/>
  <c r="N189" i="15"/>
  <c r="M189" i="15"/>
  <c r="L189" i="15"/>
  <c r="K189" i="15"/>
  <c r="J189" i="15"/>
  <c r="N188" i="15"/>
  <c r="M188" i="15"/>
  <c r="L188" i="15"/>
  <c r="K188" i="15"/>
  <c r="J188" i="15"/>
  <c r="N187" i="15"/>
  <c r="M187" i="15"/>
  <c r="L187" i="15"/>
  <c r="K187" i="15"/>
  <c r="J187" i="15"/>
  <c r="N186" i="15"/>
  <c r="M186" i="15"/>
  <c r="L186" i="15"/>
  <c r="K186" i="15"/>
  <c r="J186" i="15"/>
  <c r="N185" i="15"/>
  <c r="M185" i="15"/>
  <c r="L185" i="15"/>
  <c r="K185" i="15"/>
  <c r="J185" i="15"/>
  <c r="N184" i="15"/>
  <c r="M184" i="15"/>
  <c r="L184" i="15"/>
  <c r="K184" i="15"/>
  <c r="J184" i="15"/>
  <c r="N183" i="15"/>
  <c r="M183" i="15"/>
  <c r="L183" i="15"/>
  <c r="K183" i="15"/>
  <c r="J183" i="15"/>
  <c r="N182" i="15"/>
  <c r="M182" i="15"/>
  <c r="L182" i="15"/>
  <c r="K182" i="15"/>
  <c r="J182" i="15"/>
  <c r="N181" i="15"/>
  <c r="M181" i="15"/>
  <c r="L181" i="15"/>
  <c r="K181" i="15"/>
  <c r="J181" i="15"/>
  <c r="N180" i="15"/>
  <c r="M180" i="15"/>
  <c r="L180" i="15"/>
  <c r="K180" i="15"/>
  <c r="J180" i="15"/>
  <c r="N179" i="15"/>
  <c r="M179" i="15"/>
  <c r="L179" i="15"/>
  <c r="K179" i="15"/>
  <c r="J179" i="15"/>
  <c r="N178" i="15"/>
  <c r="M178" i="15"/>
  <c r="L178" i="15"/>
  <c r="K178" i="15"/>
  <c r="J178" i="15"/>
  <c r="N177" i="15"/>
  <c r="M177" i="15"/>
  <c r="L177" i="15"/>
  <c r="K177" i="15"/>
  <c r="J177" i="15"/>
  <c r="N176" i="15"/>
  <c r="M176" i="15"/>
  <c r="L176" i="15"/>
  <c r="K176" i="15"/>
  <c r="J176" i="15"/>
  <c r="N175" i="15"/>
  <c r="M175" i="15"/>
  <c r="L175" i="15"/>
  <c r="K175" i="15"/>
  <c r="J175" i="15"/>
  <c r="N174" i="15"/>
  <c r="M174" i="15"/>
  <c r="L174" i="15"/>
  <c r="K174" i="15"/>
  <c r="J174" i="15"/>
  <c r="N173" i="15"/>
  <c r="M173" i="15"/>
  <c r="L173" i="15"/>
  <c r="K173" i="15"/>
  <c r="J173" i="15"/>
  <c r="N172" i="15"/>
  <c r="M172" i="15"/>
  <c r="L172" i="15"/>
  <c r="K172" i="15"/>
  <c r="J172" i="15"/>
  <c r="N171" i="15"/>
  <c r="M171" i="15"/>
  <c r="L171" i="15"/>
  <c r="K171" i="15"/>
  <c r="J171" i="15"/>
  <c r="N170" i="15"/>
  <c r="M170" i="15"/>
  <c r="L170" i="15"/>
  <c r="K170" i="15"/>
  <c r="J170" i="15"/>
  <c r="N169" i="15"/>
  <c r="M169" i="15"/>
  <c r="L169" i="15"/>
  <c r="K169" i="15"/>
  <c r="J169" i="15"/>
  <c r="N168" i="15"/>
  <c r="M168" i="15"/>
  <c r="L168" i="15"/>
  <c r="K168" i="15"/>
  <c r="J168" i="15"/>
  <c r="N167" i="15"/>
  <c r="M167" i="15"/>
  <c r="L167" i="15"/>
  <c r="K167" i="15"/>
  <c r="J167" i="15"/>
  <c r="N166" i="15"/>
  <c r="M166" i="15"/>
  <c r="L166" i="15"/>
  <c r="K166" i="15"/>
  <c r="J166" i="15"/>
  <c r="N165" i="15"/>
  <c r="M165" i="15"/>
  <c r="L165" i="15"/>
  <c r="K165" i="15"/>
  <c r="J165" i="15"/>
  <c r="N164" i="15"/>
  <c r="M164" i="15"/>
  <c r="L164" i="15"/>
  <c r="K164" i="15"/>
  <c r="J164" i="15"/>
  <c r="N163" i="15"/>
  <c r="M163" i="15"/>
  <c r="L163" i="15"/>
  <c r="K163" i="15"/>
  <c r="J163" i="15"/>
  <c r="N162" i="15"/>
  <c r="M162" i="15"/>
  <c r="L162" i="15"/>
  <c r="K162" i="15"/>
  <c r="J162" i="15"/>
  <c r="N161" i="15"/>
  <c r="M161" i="15"/>
  <c r="L161" i="15"/>
  <c r="K161" i="15"/>
  <c r="J161" i="15"/>
  <c r="N160" i="15"/>
  <c r="M160" i="15"/>
  <c r="L160" i="15"/>
  <c r="K160" i="15"/>
  <c r="J160" i="15"/>
  <c r="N159" i="15"/>
  <c r="M159" i="15"/>
  <c r="L159" i="15"/>
  <c r="K159" i="15"/>
  <c r="J159" i="15"/>
  <c r="N158" i="15"/>
  <c r="M158" i="15"/>
  <c r="L158" i="15"/>
  <c r="K158" i="15"/>
  <c r="J158" i="15"/>
  <c r="N157" i="15"/>
  <c r="M157" i="15"/>
  <c r="L157" i="15"/>
  <c r="K157" i="15"/>
  <c r="J157" i="15"/>
  <c r="N156" i="15"/>
  <c r="M156" i="15"/>
  <c r="L156" i="15"/>
  <c r="K156" i="15"/>
  <c r="J156" i="15"/>
  <c r="N155" i="15"/>
  <c r="M155" i="15"/>
  <c r="L155" i="15"/>
  <c r="K155" i="15"/>
  <c r="J155" i="15"/>
  <c r="N154" i="15"/>
  <c r="M154" i="15"/>
  <c r="L154" i="15"/>
  <c r="K154" i="15"/>
  <c r="J154" i="15"/>
  <c r="N153" i="15"/>
  <c r="M153" i="15"/>
  <c r="L153" i="15"/>
  <c r="K153" i="15"/>
  <c r="J153" i="15"/>
  <c r="N152" i="15"/>
  <c r="M152" i="15"/>
  <c r="L152" i="15"/>
  <c r="K152" i="15"/>
  <c r="J152" i="15"/>
  <c r="N151" i="15"/>
  <c r="M151" i="15"/>
  <c r="L151" i="15"/>
  <c r="K151" i="15"/>
  <c r="J151" i="15"/>
  <c r="N150" i="15"/>
  <c r="M150" i="15"/>
  <c r="L150" i="15"/>
  <c r="K150" i="15"/>
  <c r="J150" i="15"/>
  <c r="N149" i="15"/>
  <c r="M149" i="15"/>
  <c r="L149" i="15"/>
  <c r="K149" i="15"/>
  <c r="J149" i="15"/>
  <c r="N148" i="15"/>
  <c r="M148" i="15"/>
  <c r="L148" i="15"/>
  <c r="K148" i="15"/>
  <c r="J148" i="15"/>
  <c r="N147" i="15"/>
  <c r="M147" i="15"/>
  <c r="L147" i="15"/>
  <c r="K147" i="15"/>
  <c r="J147" i="15"/>
  <c r="N146" i="15"/>
  <c r="M146" i="15"/>
  <c r="L146" i="15"/>
  <c r="K146" i="15"/>
  <c r="J146" i="15"/>
  <c r="N145" i="15"/>
  <c r="M145" i="15"/>
  <c r="L145" i="15"/>
  <c r="K145" i="15"/>
  <c r="J145" i="15"/>
  <c r="N144" i="15"/>
  <c r="M144" i="15"/>
  <c r="L144" i="15"/>
  <c r="K144" i="15"/>
  <c r="J144" i="15"/>
  <c r="N143" i="15"/>
  <c r="M143" i="15"/>
  <c r="L143" i="15"/>
  <c r="K143" i="15"/>
  <c r="J143" i="15"/>
  <c r="N142" i="15"/>
  <c r="M142" i="15"/>
  <c r="L142" i="15"/>
  <c r="K142" i="15"/>
  <c r="J142" i="15"/>
  <c r="N141" i="15"/>
  <c r="M141" i="15"/>
  <c r="L141" i="15"/>
  <c r="K141" i="15"/>
  <c r="J141" i="15"/>
  <c r="N140" i="15"/>
  <c r="M140" i="15"/>
  <c r="L140" i="15"/>
  <c r="K140" i="15"/>
  <c r="J140" i="15"/>
  <c r="N139" i="15"/>
  <c r="M139" i="15"/>
  <c r="L139" i="15"/>
  <c r="K139" i="15"/>
  <c r="J139" i="15"/>
  <c r="N138" i="15"/>
  <c r="M138" i="15"/>
  <c r="L138" i="15"/>
  <c r="K138" i="15"/>
  <c r="J138" i="15"/>
  <c r="N137" i="15"/>
  <c r="M137" i="15"/>
  <c r="L137" i="15"/>
  <c r="K137" i="15"/>
  <c r="J137" i="15"/>
  <c r="N136" i="15"/>
  <c r="M136" i="15"/>
  <c r="L136" i="15"/>
  <c r="K136" i="15"/>
  <c r="J136" i="15"/>
  <c r="N135" i="15"/>
  <c r="M135" i="15"/>
  <c r="L135" i="15"/>
  <c r="K135" i="15"/>
  <c r="J135" i="15"/>
  <c r="N134" i="15"/>
  <c r="M134" i="15"/>
  <c r="L134" i="15"/>
  <c r="K134" i="15"/>
  <c r="J134" i="15"/>
  <c r="N133" i="15"/>
  <c r="R56" i="7" s="1"/>
  <c r="M133" i="15"/>
  <c r="L133" i="15"/>
  <c r="K133" i="15"/>
  <c r="J133" i="15"/>
  <c r="N132" i="15"/>
  <c r="M132" i="15"/>
  <c r="L132" i="15"/>
  <c r="K132" i="15"/>
  <c r="J132" i="15"/>
  <c r="N131" i="15"/>
  <c r="M131" i="15"/>
  <c r="L131" i="15"/>
  <c r="K131" i="15"/>
  <c r="J131" i="15"/>
  <c r="N130" i="15"/>
  <c r="R549" i="7" s="1"/>
  <c r="M130" i="15"/>
  <c r="L130" i="15"/>
  <c r="K130" i="15"/>
  <c r="J130" i="15"/>
  <c r="N129" i="15"/>
  <c r="M129" i="15"/>
  <c r="L129" i="15"/>
  <c r="K129" i="15"/>
  <c r="J129" i="15"/>
  <c r="N128" i="15"/>
  <c r="M128" i="15"/>
  <c r="L128" i="15"/>
  <c r="K128" i="15"/>
  <c r="J128" i="15"/>
  <c r="N127" i="15"/>
  <c r="M127" i="15"/>
  <c r="L127" i="15"/>
  <c r="K127" i="15"/>
  <c r="J127" i="15"/>
  <c r="N126" i="15"/>
  <c r="M126" i="15"/>
  <c r="L126" i="15"/>
  <c r="K126" i="15"/>
  <c r="J126" i="15"/>
  <c r="N125" i="15"/>
  <c r="M125" i="15"/>
  <c r="L125" i="15"/>
  <c r="K125" i="15"/>
  <c r="J125" i="15"/>
  <c r="N124" i="15"/>
  <c r="M124" i="15"/>
  <c r="L124" i="15"/>
  <c r="K124" i="15"/>
  <c r="J124" i="15"/>
  <c r="N123" i="15"/>
  <c r="M123" i="15"/>
  <c r="L123" i="15"/>
  <c r="K123" i="15"/>
  <c r="J123" i="15"/>
  <c r="N122" i="15"/>
  <c r="M122" i="15"/>
  <c r="L122" i="15"/>
  <c r="K122" i="15"/>
  <c r="J122" i="15"/>
  <c r="N121" i="15"/>
  <c r="M121" i="15"/>
  <c r="L121" i="15"/>
  <c r="K121" i="15"/>
  <c r="J121" i="15"/>
  <c r="N120" i="15"/>
  <c r="M120" i="15"/>
  <c r="L120" i="15"/>
  <c r="K120" i="15"/>
  <c r="J120" i="15"/>
  <c r="N119" i="15"/>
  <c r="M119" i="15"/>
  <c r="L119" i="15"/>
  <c r="K119" i="15"/>
  <c r="J119" i="15"/>
  <c r="N118" i="15"/>
  <c r="M118" i="15"/>
  <c r="L118" i="15"/>
  <c r="K118" i="15"/>
  <c r="J118" i="15"/>
  <c r="N117" i="15"/>
  <c r="M117" i="15"/>
  <c r="L117" i="15"/>
  <c r="K117" i="15"/>
  <c r="J117" i="15"/>
  <c r="N116" i="15"/>
  <c r="M116" i="15"/>
  <c r="L116" i="15"/>
  <c r="K116" i="15"/>
  <c r="J116" i="15"/>
  <c r="N115" i="15"/>
  <c r="M115" i="15"/>
  <c r="L115" i="15"/>
  <c r="K115" i="15"/>
  <c r="J115" i="15"/>
  <c r="N114" i="15"/>
  <c r="M114" i="15"/>
  <c r="L114" i="15"/>
  <c r="K114" i="15"/>
  <c r="J114" i="15"/>
  <c r="N113" i="15"/>
  <c r="M113" i="15"/>
  <c r="L113" i="15"/>
  <c r="K113" i="15"/>
  <c r="J113" i="15"/>
  <c r="N112" i="15"/>
  <c r="M112" i="15"/>
  <c r="L112" i="15"/>
  <c r="K112" i="15"/>
  <c r="J112" i="15"/>
  <c r="N111" i="15"/>
  <c r="M111" i="15"/>
  <c r="L111" i="15"/>
  <c r="K111" i="15"/>
  <c r="J111" i="15"/>
  <c r="N110" i="15"/>
  <c r="M110" i="15"/>
  <c r="L110" i="15"/>
  <c r="K110" i="15"/>
  <c r="J110" i="15"/>
  <c r="N109" i="15"/>
  <c r="M109" i="15"/>
  <c r="L109" i="15"/>
  <c r="K109" i="15"/>
  <c r="J109" i="15"/>
  <c r="N108" i="15"/>
  <c r="M108" i="15"/>
  <c r="L108" i="15"/>
  <c r="K108" i="15"/>
  <c r="J108" i="15"/>
  <c r="N107" i="15"/>
  <c r="M107" i="15"/>
  <c r="L107" i="15"/>
  <c r="K107" i="15"/>
  <c r="J107" i="15"/>
  <c r="N106" i="15"/>
  <c r="M106" i="15"/>
  <c r="L106" i="15"/>
  <c r="K106" i="15"/>
  <c r="J106" i="15"/>
  <c r="N105" i="15"/>
  <c r="M105" i="15"/>
  <c r="L105" i="15"/>
  <c r="K105" i="15"/>
  <c r="J105" i="15"/>
  <c r="N104" i="15"/>
  <c r="M104" i="15"/>
  <c r="L104" i="15"/>
  <c r="K104" i="15"/>
  <c r="J104" i="15"/>
  <c r="N103" i="15"/>
  <c r="M103" i="15"/>
  <c r="L103" i="15"/>
  <c r="K103" i="15"/>
  <c r="J103" i="15"/>
  <c r="N102" i="15"/>
  <c r="M102" i="15"/>
  <c r="L102" i="15"/>
  <c r="K102" i="15"/>
  <c r="J102" i="15"/>
  <c r="N101" i="15"/>
  <c r="M101" i="15"/>
  <c r="L101" i="15"/>
  <c r="K101" i="15"/>
  <c r="J101" i="15"/>
  <c r="N100" i="15"/>
  <c r="M100" i="15"/>
  <c r="L100" i="15"/>
  <c r="K100" i="15"/>
  <c r="J100" i="15"/>
  <c r="N99" i="15"/>
  <c r="M99" i="15"/>
  <c r="L99" i="15"/>
  <c r="K99" i="15"/>
  <c r="J99" i="15"/>
  <c r="N98" i="15"/>
  <c r="M98" i="15"/>
  <c r="L98" i="15"/>
  <c r="K98" i="15"/>
  <c r="J98" i="15"/>
  <c r="N97" i="15"/>
  <c r="M97" i="15"/>
  <c r="L97" i="15"/>
  <c r="K97" i="15"/>
  <c r="J97" i="15"/>
  <c r="N96" i="15"/>
  <c r="M96" i="15"/>
  <c r="L96" i="15"/>
  <c r="K96" i="15"/>
  <c r="J96" i="15"/>
  <c r="N95" i="15"/>
  <c r="M95" i="15"/>
  <c r="L95" i="15"/>
  <c r="K95" i="15"/>
  <c r="J95" i="15"/>
  <c r="N94" i="15"/>
  <c r="M94" i="15"/>
  <c r="L94" i="15"/>
  <c r="K94" i="15"/>
  <c r="J94" i="15"/>
  <c r="N93" i="15"/>
  <c r="M93" i="15"/>
  <c r="L93" i="15"/>
  <c r="K93" i="15"/>
  <c r="J93" i="15"/>
  <c r="N92" i="15"/>
  <c r="M92" i="15"/>
  <c r="L92" i="15"/>
  <c r="K92" i="15"/>
  <c r="J92" i="15"/>
  <c r="N91" i="15"/>
  <c r="M91" i="15"/>
  <c r="L91" i="15"/>
  <c r="K91" i="15"/>
  <c r="J91" i="15"/>
  <c r="N90" i="15"/>
  <c r="M90" i="15"/>
  <c r="L90" i="15"/>
  <c r="K90" i="15"/>
  <c r="J90" i="15"/>
  <c r="N89" i="15"/>
  <c r="M89" i="15"/>
  <c r="L89" i="15"/>
  <c r="K89" i="15"/>
  <c r="J89" i="15"/>
  <c r="N88" i="15"/>
  <c r="M88" i="15"/>
  <c r="L88" i="15"/>
  <c r="K88" i="15"/>
  <c r="J88" i="15"/>
  <c r="N87" i="15"/>
  <c r="M87" i="15"/>
  <c r="L87" i="15"/>
  <c r="K87" i="15"/>
  <c r="J87" i="15"/>
  <c r="N86" i="15"/>
  <c r="M86" i="15"/>
  <c r="L86" i="15"/>
  <c r="K86" i="15"/>
  <c r="J86" i="15"/>
  <c r="N85" i="15"/>
  <c r="M85" i="15"/>
  <c r="L85" i="15"/>
  <c r="K85" i="15"/>
  <c r="J85" i="15"/>
  <c r="N84" i="15"/>
  <c r="M84" i="15"/>
  <c r="L84" i="15"/>
  <c r="K84" i="15"/>
  <c r="J84" i="15"/>
  <c r="N83" i="15"/>
  <c r="M83" i="15"/>
  <c r="L83" i="15"/>
  <c r="K83" i="15"/>
  <c r="J83" i="15"/>
  <c r="N82" i="15"/>
  <c r="R25" i="7" s="1"/>
  <c r="M82" i="15"/>
  <c r="L82" i="15"/>
  <c r="K82" i="15"/>
  <c r="J82" i="15"/>
  <c r="N81" i="15"/>
  <c r="M81" i="15"/>
  <c r="L81" i="15"/>
  <c r="K81" i="15"/>
  <c r="J81" i="15"/>
  <c r="N80" i="15"/>
  <c r="M80" i="15"/>
  <c r="L80" i="15"/>
  <c r="K80" i="15"/>
  <c r="J80" i="15"/>
  <c r="N79" i="15"/>
  <c r="M79" i="15"/>
  <c r="L79" i="15"/>
  <c r="K79" i="15"/>
  <c r="J79" i="15"/>
  <c r="N78" i="15"/>
  <c r="M78" i="15"/>
  <c r="L78" i="15"/>
  <c r="K78" i="15"/>
  <c r="J78" i="15"/>
  <c r="N77" i="15"/>
  <c r="M77" i="15"/>
  <c r="L77" i="15"/>
  <c r="K77" i="15"/>
  <c r="J77" i="15"/>
  <c r="N76" i="15"/>
  <c r="M76" i="15"/>
  <c r="L76" i="15"/>
  <c r="K76" i="15"/>
  <c r="J76" i="15"/>
  <c r="N75" i="15"/>
  <c r="M75" i="15"/>
  <c r="L75" i="15"/>
  <c r="K75" i="15"/>
  <c r="J75" i="15"/>
  <c r="N74" i="15"/>
  <c r="M74" i="15"/>
  <c r="L74" i="15"/>
  <c r="K74" i="15"/>
  <c r="J74" i="15"/>
  <c r="N73" i="15"/>
  <c r="M73" i="15"/>
  <c r="L73" i="15"/>
  <c r="K73" i="15"/>
  <c r="J73" i="15"/>
  <c r="N72" i="15"/>
  <c r="M72" i="15"/>
  <c r="L72" i="15"/>
  <c r="K72" i="15"/>
  <c r="J72" i="15"/>
  <c r="N71" i="15"/>
  <c r="M71" i="15"/>
  <c r="L71" i="15"/>
  <c r="K71" i="15"/>
  <c r="J71" i="15"/>
  <c r="N70" i="15"/>
  <c r="M70" i="15"/>
  <c r="L70" i="15"/>
  <c r="K70" i="15"/>
  <c r="J70" i="15"/>
  <c r="N69" i="15"/>
  <c r="M69" i="15"/>
  <c r="L69" i="15"/>
  <c r="K69" i="15"/>
  <c r="J69" i="15"/>
  <c r="N68" i="15"/>
  <c r="M68" i="15"/>
  <c r="L68" i="15"/>
  <c r="K68" i="15"/>
  <c r="J68" i="15"/>
  <c r="N67" i="15"/>
  <c r="M67" i="15"/>
  <c r="L67" i="15"/>
  <c r="K67" i="15"/>
  <c r="J67" i="15"/>
  <c r="N66" i="15"/>
  <c r="M66" i="15"/>
  <c r="L66" i="15"/>
  <c r="K66" i="15"/>
  <c r="J66" i="15"/>
  <c r="N65" i="15"/>
  <c r="M65" i="15"/>
  <c r="L65" i="15"/>
  <c r="K65" i="15"/>
  <c r="J65" i="15"/>
  <c r="N64" i="15"/>
  <c r="M64" i="15"/>
  <c r="L64" i="15"/>
  <c r="K64" i="15"/>
  <c r="J64" i="15"/>
  <c r="N63" i="15"/>
  <c r="M63" i="15"/>
  <c r="L63" i="15"/>
  <c r="K63" i="15"/>
  <c r="J63" i="15"/>
  <c r="N62" i="15"/>
  <c r="M62" i="15"/>
  <c r="L62" i="15"/>
  <c r="K62" i="15"/>
  <c r="J62" i="15"/>
  <c r="N61" i="15"/>
  <c r="M61" i="15"/>
  <c r="L61" i="15"/>
  <c r="K61" i="15"/>
  <c r="J61" i="15"/>
  <c r="N60" i="15"/>
  <c r="M60" i="15"/>
  <c r="L60" i="15"/>
  <c r="K60" i="15"/>
  <c r="J60" i="15"/>
  <c r="N59" i="15"/>
  <c r="M59" i="15"/>
  <c r="L59" i="15"/>
  <c r="K59" i="15"/>
  <c r="J59" i="15"/>
  <c r="N58" i="15"/>
  <c r="M58" i="15"/>
  <c r="L58" i="15"/>
  <c r="K58" i="15"/>
  <c r="J58" i="15"/>
  <c r="N57" i="15"/>
  <c r="M57" i="15"/>
  <c r="L57" i="15"/>
  <c r="K57" i="15"/>
  <c r="J57" i="15"/>
  <c r="N56" i="15"/>
  <c r="M56" i="15"/>
  <c r="L56" i="15"/>
  <c r="K56" i="15"/>
  <c r="J56" i="15"/>
  <c r="N55" i="15"/>
  <c r="M55" i="15"/>
  <c r="L55" i="15"/>
  <c r="K55" i="15"/>
  <c r="J55" i="15"/>
  <c r="N54" i="15"/>
  <c r="M54" i="15"/>
  <c r="L54" i="15"/>
  <c r="K54" i="15"/>
  <c r="J54" i="15"/>
  <c r="N53" i="15"/>
  <c r="M53" i="15"/>
  <c r="L53" i="15"/>
  <c r="K53" i="15"/>
  <c r="J53" i="15"/>
  <c r="N52" i="15"/>
  <c r="M52" i="15"/>
  <c r="L52" i="15"/>
  <c r="K52" i="15"/>
  <c r="J52" i="15"/>
  <c r="N51" i="15"/>
  <c r="M51" i="15"/>
  <c r="L51" i="15"/>
  <c r="K51" i="15"/>
  <c r="J51" i="15"/>
  <c r="N50" i="15"/>
  <c r="R459" i="7" s="1"/>
  <c r="M50" i="15"/>
  <c r="L50" i="15"/>
  <c r="K50" i="15"/>
  <c r="J50" i="15"/>
  <c r="N49" i="15"/>
  <c r="M49" i="15"/>
  <c r="L49" i="15"/>
  <c r="K49" i="15"/>
  <c r="J49" i="15"/>
  <c r="N48" i="15"/>
  <c r="M48" i="15"/>
  <c r="L48" i="15"/>
  <c r="K48" i="15"/>
  <c r="J48" i="15"/>
  <c r="N47" i="15"/>
  <c r="M47" i="15"/>
  <c r="L47" i="15"/>
  <c r="K47" i="15"/>
  <c r="J47" i="15"/>
  <c r="N46" i="15"/>
  <c r="M46" i="15"/>
  <c r="L46" i="15"/>
  <c r="K46" i="15"/>
  <c r="J46" i="15"/>
  <c r="N45" i="15"/>
  <c r="M45" i="15"/>
  <c r="L45" i="15"/>
  <c r="K45" i="15"/>
  <c r="J45" i="15"/>
  <c r="N44" i="15"/>
  <c r="M44" i="15"/>
  <c r="L44" i="15"/>
  <c r="K44" i="15"/>
  <c r="J44" i="15"/>
  <c r="N43" i="15"/>
  <c r="M43" i="15"/>
  <c r="L43" i="15"/>
  <c r="K43" i="15"/>
  <c r="J43" i="15"/>
  <c r="N42" i="15"/>
  <c r="M42" i="15"/>
  <c r="L42" i="15"/>
  <c r="K42" i="15"/>
  <c r="J42" i="15"/>
  <c r="N41" i="15"/>
  <c r="M41" i="15"/>
  <c r="L41" i="15"/>
  <c r="K41" i="15"/>
  <c r="J41" i="15"/>
  <c r="N40" i="15"/>
  <c r="M40" i="15"/>
  <c r="L40" i="15"/>
  <c r="K40" i="15"/>
  <c r="J40" i="15"/>
  <c r="N39" i="15"/>
  <c r="M39" i="15"/>
  <c r="L39" i="15"/>
  <c r="K39" i="15"/>
  <c r="J39" i="15"/>
  <c r="N38" i="15"/>
  <c r="M38" i="15"/>
  <c r="L38" i="15"/>
  <c r="K38" i="15"/>
  <c r="J38" i="15"/>
  <c r="N37" i="15"/>
  <c r="R61" i="7" s="1"/>
  <c r="M37" i="15"/>
  <c r="L37" i="15"/>
  <c r="K37" i="15"/>
  <c r="J37" i="15"/>
  <c r="N36" i="15"/>
  <c r="M36" i="15"/>
  <c r="L36" i="15"/>
  <c r="K36" i="15"/>
  <c r="J36" i="15"/>
  <c r="N35" i="15"/>
  <c r="M35" i="15"/>
  <c r="L35" i="15"/>
  <c r="K35" i="15"/>
  <c r="J35" i="15"/>
  <c r="N34" i="15"/>
  <c r="M34" i="15"/>
  <c r="L34" i="15"/>
  <c r="K34" i="15"/>
  <c r="J34" i="15"/>
  <c r="N33" i="15"/>
  <c r="M33" i="15"/>
  <c r="L33" i="15"/>
  <c r="K33" i="15"/>
  <c r="J33" i="15"/>
  <c r="N32" i="15"/>
  <c r="M32" i="15"/>
  <c r="L32" i="15"/>
  <c r="K32" i="15"/>
  <c r="J32" i="15"/>
  <c r="N31" i="15"/>
  <c r="M31" i="15"/>
  <c r="L31" i="15"/>
  <c r="K31" i="15"/>
  <c r="J31" i="15"/>
  <c r="N30" i="15"/>
  <c r="M30" i="15"/>
  <c r="L30" i="15"/>
  <c r="K30" i="15"/>
  <c r="J30" i="15"/>
  <c r="N29" i="15"/>
  <c r="M29" i="15"/>
  <c r="L29" i="15"/>
  <c r="K29" i="15"/>
  <c r="J29" i="15"/>
  <c r="N28" i="15"/>
  <c r="M28" i="15"/>
  <c r="L28" i="15"/>
  <c r="K28" i="15"/>
  <c r="J28" i="15"/>
  <c r="N27" i="15"/>
  <c r="M27" i="15"/>
  <c r="L27" i="15"/>
  <c r="K27" i="15"/>
  <c r="J27" i="15"/>
  <c r="N26" i="15"/>
  <c r="M26" i="15"/>
  <c r="L26" i="15"/>
  <c r="K26" i="15"/>
  <c r="J26" i="15"/>
  <c r="N25" i="15"/>
  <c r="M25" i="15"/>
  <c r="L25" i="15"/>
  <c r="K25" i="15"/>
  <c r="J25" i="15"/>
  <c r="N24" i="15"/>
  <c r="M24" i="15"/>
  <c r="L24" i="15"/>
  <c r="K24" i="15"/>
  <c r="J24" i="15"/>
  <c r="N23" i="15"/>
  <c r="M23" i="15"/>
  <c r="L23" i="15"/>
  <c r="K23" i="15"/>
  <c r="J23" i="15"/>
  <c r="N22" i="15"/>
  <c r="M22" i="15"/>
  <c r="L22" i="15"/>
  <c r="K22" i="15"/>
  <c r="J22" i="15"/>
  <c r="N21" i="15"/>
  <c r="R57" i="7" s="1"/>
  <c r="M21" i="15"/>
  <c r="L21" i="15"/>
  <c r="K21" i="15"/>
  <c r="J21" i="15"/>
  <c r="N20" i="15"/>
  <c r="M20" i="15"/>
  <c r="L20" i="15"/>
  <c r="K20" i="15"/>
  <c r="J20" i="15"/>
  <c r="N19" i="15"/>
  <c r="M19" i="15"/>
  <c r="L19" i="15"/>
  <c r="K19" i="15"/>
  <c r="J19" i="15"/>
  <c r="N18" i="15"/>
  <c r="M18" i="15"/>
  <c r="L18" i="15"/>
  <c r="K18" i="15"/>
  <c r="J18" i="15"/>
  <c r="N17" i="15"/>
  <c r="M17" i="15"/>
  <c r="L17" i="15"/>
  <c r="K17" i="15"/>
  <c r="J17" i="15"/>
  <c r="N16" i="15"/>
  <c r="M16" i="15"/>
  <c r="L16" i="15"/>
  <c r="K16" i="15"/>
  <c r="J16" i="15"/>
  <c r="N15" i="15"/>
  <c r="M15" i="15"/>
  <c r="L15" i="15"/>
  <c r="K15" i="15"/>
  <c r="J15" i="15"/>
  <c r="N14" i="15"/>
  <c r="M14" i="15"/>
  <c r="L14" i="15"/>
  <c r="K14" i="15"/>
  <c r="J14" i="15"/>
  <c r="N13" i="15"/>
  <c r="M13" i="15"/>
  <c r="L13" i="15"/>
  <c r="K13" i="15"/>
  <c r="J13" i="15"/>
  <c r="N12" i="15"/>
  <c r="M12" i="15"/>
  <c r="L12" i="15"/>
  <c r="K12" i="15"/>
  <c r="J12" i="15"/>
  <c r="N11" i="15"/>
  <c r="M11" i="15"/>
  <c r="L11" i="15"/>
  <c r="K11" i="15"/>
  <c r="J11" i="15"/>
  <c r="N10" i="15"/>
  <c r="M10" i="15"/>
  <c r="L10" i="15"/>
  <c r="K10" i="15"/>
  <c r="J10" i="15"/>
  <c r="N9" i="15"/>
  <c r="M9" i="15"/>
  <c r="L9" i="15"/>
  <c r="K9" i="15"/>
  <c r="J9" i="15"/>
  <c r="N8" i="15"/>
  <c r="M8" i="15"/>
  <c r="L8" i="15"/>
  <c r="K8" i="15"/>
  <c r="J8" i="15"/>
  <c r="N7" i="15"/>
  <c r="M7" i="15"/>
  <c r="L7" i="15"/>
  <c r="K7" i="15"/>
  <c r="J7" i="15"/>
  <c r="N6" i="15"/>
  <c r="M6" i="15"/>
  <c r="L6" i="15"/>
  <c r="K6" i="15"/>
  <c r="J6" i="15"/>
  <c r="N5" i="15"/>
  <c r="M5" i="15"/>
  <c r="L5" i="15"/>
  <c r="K5" i="15"/>
  <c r="J5" i="15"/>
  <c r="N4" i="15"/>
  <c r="M4" i="15"/>
  <c r="L4" i="15"/>
  <c r="K4" i="15"/>
  <c r="J4" i="15"/>
  <c r="N3" i="15"/>
  <c r="M3" i="15"/>
  <c r="L3" i="15"/>
  <c r="K3" i="15"/>
  <c r="J3" i="15"/>
  <c r="F51" i="14"/>
  <c r="F17" i="14"/>
  <c r="F18" i="14"/>
  <c r="F20" i="14"/>
  <c r="F16" i="14"/>
  <c r="F19" i="14"/>
  <c r="F25" i="14"/>
  <c r="F22" i="14"/>
  <c r="F24" i="14"/>
  <c r="F21" i="14"/>
  <c r="F23" i="14"/>
  <c r="F13" i="14"/>
  <c r="F14" i="14"/>
  <c r="F6" i="14"/>
  <c r="F10" i="14"/>
  <c r="F9" i="14"/>
  <c r="F7" i="14"/>
  <c r="F15" i="14"/>
  <c r="F11" i="14"/>
  <c r="F5" i="14"/>
  <c r="F4" i="14"/>
  <c r="F8" i="14"/>
  <c r="F12" i="14"/>
  <c r="F3" i="14"/>
  <c r="F49" i="14"/>
  <c r="F48" i="14"/>
  <c r="F47" i="14"/>
  <c r="F46" i="14"/>
  <c r="F42" i="14"/>
  <c r="F44" i="14"/>
  <c r="F45" i="14"/>
  <c r="F43" i="14"/>
  <c r="F41" i="14"/>
  <c r="F39" i="14"/>
  <c r="F40" i="14"/>
  <c r="F38" i="14"/>
  <c r="F37" i="14"/>
  <c r="F36" i="14"/>
  <c r="F35" i="14"/>
  <c r="F34" i="14"/>
  <c r="F33" i="14"/>
  <c r="F32" i="14"/>
  <c r="F31" i="14"/>
  <c r="F30" i="14"/>
  <c r="F29" i="14"/>
  <c r="F28" i="14"/>
  <c r="F27" i="14"/>
  <c r="F26" i="14"/>
  <c r="F50" i="14"/>
  <c r="L1037" i="13"/>
  <c r="K1037" i="13"/>
  <c r="L1030" i="13"/>
  <c r="K1030" i="13"/>
  <c r="D108" i="17"/>
  <c r="D91" i="17"/>
  <c r="J91" i="17" s="1"/>
  <c r="D90" i="17"/>
  <c r="J90" i="17" s="1"/>
  <c r="L982" i="13"/>
  <c r="K982" i="13"/>
  <c r="L942" i="13"/>
  <c r="K942" i="13"/>
  <c r="L941" i="13"/>
  <c r="K941" i="13"/>
  <c r="L918" i="13"/>
  <c r="K918" i="13"/>
  <c r="L917" i="13"/>
  <c r="K917" i="13"/>
  <c r="L912" i="13"/>
  <c r="K912" i="13"/>
  <c r="L889" i="13"/>
  <c r="K889" i="13"/>
  <c r="L885" i="13"/>
  <c r="K885" i="13"/>
  <c r="L879" i="13"/>
  <c r="K879" i="13"/>
  <c r="D84" i="17"/>
  <c r="L863" i="13"/>
  <c r="K863" i="13"/>
  <c r="L858" i="13"/>
  <c r="K858" i="13"/>
  <c r="L857" i="13"/>
  <c r="K857" i="13"/>
  <c r="L856" i="13"/>
  <c r="K856" i="13"/>
  <c r="L855" i="13"/>
  <c r="K855" i="13"/>
  <c r="L851" i="13"/>
  <c r="K851" i="13"/>
  <c r="L841" i="13"/>
  <c r="K841" i="13"/>
  <c r="D38" i="17"/>
  <c r="L816" i="13"/>
  <c r="K816" i="13"/>
  <c r="L814" i="13"/>
  <c r="K814" i="13"/>
  <c r="D81" i="17"/>
  <c r="D80" i="17"/>
  <c r="J80" i="17" s="1"/>
  <c r="D114" i="17"/>
  <c r="L790" i="13"/>
  <c r="K790" i="13"/>
  <c r="L789" i="13"/>
  <c r="K789" i="13"/>
  <c r="L788" i="13"/>
  <c r="K788" i="13"/>
  <c r="L787" i="13"/>
  <c r="K787" i="13"/>
  <c r="D78" i="17"/>
  <c r="J78" i="17" s="1"/>
  <c r="L784" i="13"/>
  <c r="K784" i="13"/>
  <c r="D79" i="17"/>
  <c r="J79" i="17" s="1"/>
  <c r="D105" i="17"/>
  <c r="J105" i="17" s="1"/>
  <c r="L777" i="13"/>
  <c r="K777" i="13"/>
  <c r="L776" i="13"/>
  <c r="K776" i="13"/>
  <c r="L775" i="13"/>
  <c r="K775" i="13"/>
  <c r="L774" i="13"/>
  <c r="K774" i="13"/>
  <c r="L766" i="13"/>
  <c r="K766" i="13"/>
  <c r="L761" i="13"/>
  <c r="K761" i="13"/>
  <c r="L750" i="13"/>
  <c r="K750" i="13"/>
  <c r="L748" i="13"/>
  <c r="K748" i="13"/>
  <c r="D77" i="17"/>
  <c r="J77" i="17" s="1"/>
  <c r="D76" i="17"/>
  <c r="J76" i="17" s="1"/>
  <c r="L737" i="13"/>
  <c r="K737" i="13"/>
  <c r="L736" i="13"/>
  <c r="K736" i="13"/>
  <c r="L735" i="13"/>
  <c r="K735" i="13"/>
  <c r="L734" i="13"/>
  <c r="K734" i="13"/>
  <c r="L733" i="13"/>
  <c r="K733" i="13"/>
  <c r="L726" i="13"/>
  <c r="K726" i="13"/>
  <c r="D35" i="17"/>
  <c r="L722" i="13"/>
  <c r="K722" i="13"/>
  <c r="L721" i="13"/>
  <c r="K721" i="13"/>
  <c r="D74" i="17"/>
  <c r="J74" i="17" s="1"/>
  <c r="D75" i="17"/>
  <c r="J75" i="17" s="1"/>
  <c r="D104" i="17"/>
  <c r="J104" i="17" s="1"/>
  <c r="L713" i="13"/>
  <c r="K713" i="13"/>
  <c r="L706" i="13"/>
  <c r="K706" i="13"/>
  <c r="L704" i="13"/>
  <c r="K704" i="13"/>
  <c r="AK697" i="7"/>
  <c r="D34" i="17"/>
  <c r="D113" i="17"/>
  <c r="J113" i="17" s="1"/>
  <c r="D73" i="17"/>
  <c r="L678" i="13"/>
  <c r="K678" i="13"/>
  <c r="L677" i="13"/>
  <c r="K677" i="13"/>
  <c r="L676" i="13"/>
  <c r="K676" i="13"/>
  <c r="L674" i="13"/>
  <c r="K674" i="13"/>
  <c r="L666" i="13"/>
  <c r="K666" i="13"/>
  <c r="L665" i="13"/>
  <c r="K665" i="13"/>
  <c r="D103" i="17"/>
  <c r="L623" i="13"/>
  <c r="K623" i="13"/>
  <c r="D68" i="17"/>
  <c r="J68" i="17" s="1"/>
  <c r="L619" i="13"/>
  <c r="K619" i="13"/>
  <c r="L618" i="13"/>
  <c r="K618" i="13"/>
  <c r="L617" i="13"/>
  <c r="K617" i="13"/>
  <c r="D102" i="17"/>
  <c r="J102" i="17" s="1"/>
  <c r="L612" i="13"/>
  <c r="K612" i="13"/>
  <c r="D67" i="17"/>
  <c r="D66" i="17"/>
  <c r="J66" i="17" s="1"/>
  <c r="L562" i="13"/>
  <c r="K562" i="13"/>
  <c r="L561" i="13"/>
  <c r="K561" i="13"/>
  <c r="L560" i="13"/>
  <c r="K560" i="13"/>
  <c r="L559" i="13"/>
  <c r="K559" i="13"/>
  <c r="L558" i="13"/>
  <c r="K558" i="13"/>
  <c r="L557" i="13"/>
  <c r="K557" i="13"/>
  <c r="L556" i="13"/>
  <c r="K556" i="13"/>
  <c r="L555" i="13"/>
  <c r="K555" i="13"/>
  <c r="L554" i="13"/>
  <c r="K554" i="13"/>
  <c r="L553" i="13"/>
  <c r="K553" i="13"/>
  <c r="E62" i="10"/>
  <c r="G62" i="10" s="1"/>
  <c r="H62" i="10" s="1"/>
  <c r="L552" i="13"/>
  <c r="K552" i="13"/>
  <c r="AP595" i="7"/>
  <c r="L551" i="13"/>
  <c r="K551" i="13"/>
  <c r="L550" i="13"/>
  <c r="K550" i="13"/>
  <c r="E73" i="10"/>
  <c r="G73" i="10" s="1"/>
  <c r="H73" i="10" s="1"/>
  <c r="L549" i="13"/>
  <c r="K549" i="13"/>
  <c r="L548" i="13"/>
  <c r="K548" i="13"/>
  <c r="E29" i="10"/>
  <c r="L547" i="13"/>
  <c r="K547" i="13"/>
  <c r="L533" i="13"/>
  <c r="K533" i="13"/>
  <c r="L532" i="13"/>
  <c r="K532" i="13"/>
  <c r="L531" i="13"/>
  <c r="K531" i="13"/>
  <c r="L530" i="13"/>
  <c r="K530" i="13"/>
  <c r="L529" i="13"/>
  <c r="K529" i="13"/>
  <c r="L528" i="13"/>
  <c r="K528" i="13"/>
  <c r="L527" i="13"/>
  <c r="K527" i="13"/>
  <c r="L526" i="13"/>
  <c r="K526" i="13"/>
  <c r="L525" i="13"/>
  <c r="K525" i="13"/>
  <c r="L524" i="13"/>
  <c r="K524" i="13"/>
  <c r="L523" i="13"/>
  <c r="K523" i="13"/>
  <c r="L522" i="13"/>
  <c r="K522" i="13"/>
  <c r="L521" i="13"/>
  <c r="K521" i="13"/>
  <c r="L520" i="13"/>
  <c r="K520" i="13"/>
  <c r="L519" i="13"/>
  <c r="K519" i="13"/>
  <c r="L518" i="13"/>
  <c r="K518" i="13"/>
  <c r="L517" i="13"/>
  <c r="K517" i="13"/>
  <c r="L516" i="13"/>
  <c r="K516" i="13"/>
  <c r="L515" i="13"/>
  <c r="K515" i="13"/>
  <c r="L514" i="13"/>
  <c r="K514" i="13"/>
  <c r="L513" i="13"/>
  <c r="K513" i="13"/>
  <c r="L512" i="13"/>
  <c r="K512" i="13"/>
  <c r="L511" i="13"/>
  <c r="K511" i="13"/>
  <c r="L510" i="13"/>
  <c r="K510" i="13"/>
  <c r="L509" i="13"/>
  <c r="K509" i="13"/>
  <c r="L508" i="13"/>
  <c r="K508" i="13"/>
  <c r="L507" i="13"/>
  <c r="K507" i="13"/>
  <c r="D122" i="17"/>
  <c r="L505" i="13"/>
  <c r="K505" i="13"/>
  <c r="L504" i="13"/>
  <c r="K504" i="13"/>
  <c r="L503" i="13"/>
  <c r="K503" i="13"/>
  <c r="L502" i="13"/>
  <c r="K502" i="13"/>
  <c r="L500" i="13"/>
  <c r="K500" i="13"/>
  <c r="L499" i="13"/>
  <c r="K499" i="13"/>
  <c r="L498" i="13"/>
  <c r="K498" i="13"/>
  <c r="L497" i="13"/>
  <c r="K497" i="13"/>
  <c r="L496" i="13"/>
  <c r="K496" i="13"/>
  <c r="L495" i="13"/>
  <c r="K495" i="13"/>
  <c r="L494" i="13"/>
  <c r="K494" i="13"/>
  <c r="L493" i="13"/>
  <c r="K493" i="13"/>
  <c r="L492" i="13"/>
  <c r="K492" i="13"/>
  <c r="L491" i="13"/>
  <c r="K491" i="13"/>
  <c r="L490" i="13"/>
  <c r="K490" i="13"/>
  <c r="L489" i="13"/>
  <c r="K489" i="13"/>
  <c r="L488" i="13"/>
  <c r="K488" i="13"/>
  <c r="L487" i="13"/>
  <c r="K487" i="13"/>
  <c r="L486" i="13"/>
  <c r="K486" i="13"/>
  <c r="L485" i="13"/>
  <c r="K485" i="13"/>
  <c r="L484" i="13"/>
  <c r="K484" i="13"/>
  <c r="L483" i="13"/>
  <c r="K483" i="13"/>
  <c r="L482" i="13"/>
  <c r="K482" i="13"/>
  <c r="L481" i="13"/>
  <c r="K481" i="13"/>
  <c r="L480" i="13"/>
  <c r="K480" i="13"/>
  <c r="L479" i="13"/>
  <c r="K479" i="13"/>
  <c r="L478" i="13"/>
  <c r="K478" i="13"/>
  <c r="L477" i="13"/>
  <c r="K477" i="13"/>
  <c r="L476" i="13"/>
  <c r="K476" i="13"/>
  <c r="L475" i="13"/>
  <c r="K475" i="13"/>
  <c r="L474" i="13"/>
  <c r="K474" i="13"/>
  <c r="D30" i="17"/>
  <c r="D64" i="17"/>
  <c r="J64" i="17" s="1"/>
  <c r="D65" i="17"/>
  <c r="D29" i="17"/>
  <c r="J29" i="17" s="1"/>
  <c r="D28" i="17"/>
  <c r="L445" i="13"/>
  <c r="K445" i="13"/>
  <c r="L444" i="13"/>
  <c r="K444" i="13"/>
  <c r="L443" i="13"/>
  <c r="K443" i="13"/>
  <c r="L439" i="13"/>
  <c r="K439" i="13"/>
  <c r="L430" i="13"/>
  <c r="K430" i="13"/>
  <c r="L429" i="13"/>
  <c r="K429" i="13"/>
  <c r="L428" i="13"/>
  <c r="K428" i="13"/>
  <c r="L427" i="13"/>
  <c r="K427" i="13"/>
  <c r="L426" i="13"/>
  <c r="K426" i="13"/>
  <c r="L425" i="13"/>
  <c r="K425" i="13"/>
  <c r="L424" i="13"/>
  <c r="K424" i="13"/>
  <c r="L423" i="13"/>
  <c r="K423" i="13"/>
  <c r="L422" i="13"/>
  <c r="K422" i="13"/>
  <c r="L421" i="13"/>
  <c r="K421" i="13"/>
  <c r="L420" i="13"/>
  <c r="K420" i="13"/>
  <c r="L419" i="13"/>
  <c r="K419" i="13"/>
  <c r="L418" i="13"/>
  <c r="K418" i="13"/>
  <c r="L417" i="13"/>
  <c r="K417" i="13"/>
  <c r="L416" i="13"/>
  <c r="K416" i="13"/>
  <c r="L415" i="13"/>
  <c r="K415" i="13"/>
  <c r="L414" i="13"/>
  <c r="K414" i="13"/>
  <c r="AP697" i="7"/>
  <c r="L410" i="13"/>
  <c r="K410" i="13"/>
  <c r="AP718" i="7"/>
  <c r="D63" i="17"/>
  <c r="J63" i="17" s="1"/>
  <c r="D27" i="17"/>
  <c r="J27" i="17" s="1"/>
  <c r="L384" i="13"/>
  <c r="K384" i="13"/>
  <c r="D62" i="17"/>
  <c r="J62" i="17" s="1"/>
  <c r="D112" i="17"/>
  <c r="J112" i="17" s="1"/>
  <c r="L377" i="13"/>
  <c r="K377" i="13"/>
  <c r="L376" i="13"/>
  <c r="K376" i="13"/>
  <c r="L375" i="13"/>
  <c r="K375" i="13"/>
  <c r="D99" i="17"/>
  <c r="L374" i="13"/>
  <c r="K374" i="13"/>
  <c r="D97" i="17"/>
  <c r="J97" i="17" s="1"/>
  <c r="L373" i="13"/>
  <c r="K373" i="13"/>
  <c r="L372" i="13"/>
  <c r="K372" i="13"/>
  <c r="D98" i="17"/>
  <c r="J98" i="17" s="1"/>
  <c r="L371" i="13"/>
  <c r="K371" i="13"/>
  <c r="D111" i="17"/>
  <c r="L370" i="13"/>
  <c r="K370" i="13"/>
  <c r="L369" i="13"/>
  <c r="K369" i="13"/>
  <c r="L368" i="13"/>
  <c r="K368" i="13"/>
  <c r="L367" i="13"/>
  <c r="K367" i="13"/>
  <c r="L366" i="13"/>
  <c r="K366" i="13"/>
  <c r="L365" i="13"/>
  <c r="K365" i="13"/>
  <c r="L364" i="13"/>
  <c r="K364" i="13"/>
  <c r="L363" i="13"/>
  <c r="K363" i="13"/>
  <c r="L362" i="13"/>
  <c r="K362" i="13"/>
  <c r="L361" i="13"/>
  <c r="K361" i="13"/>
  <c r="L360" i="13"/>
  <c r="K360" i="13"/>
  <c r="L359" i="13"/>
  <c r="K359" i="13"/>
  <c r="L358" i="13"/>
  <c r="K358" i="13"/>
  <c r="L357" i="13"/>
  <c r="K357" i="13"/>
  <c r="L356" i="13"/>
  <c r="K356" i="13"/>
  <c r="L355" i="13"/>
  <c r="K355" i="13"/>
  <c r="L354" i="13"/>
  <c r="K354" i="13"/>
  <c r="L353" i="13"/>
  <c r="K353" i="13"/>
  <c r="D117" i="17"/>
  <c r="L351" i="13"/>
  <c r="K351" i="13"/>
  <c r="L350" i="13"/>
  <c r="K350" i="13"/>
  <c r="L349" i="13"/>
  <c r="K349" i="13"/>
  <c r="L348" i="13"/>
  <c r="K348" i="13"/>
  <c r="L347" i="13"/>
  <c r="K347" i="13"/>
  <c r="L346" i="13"/>
  <c r="K346" i="13"/>
  <c r="L345" i="13"/>
  <c r="K345" i="13"/>
  <c r="L344" i="13"/>
  <c r="K344" i="13"/>
  <c r="L343" i="13"/>
  <c r="K343" i="13"/>
  <c r="L342" i="13"/>
  <c r="K342" i="13"/>
  <c r="L340" i="13"/>
  <c r="K340" i="13"/>
  <c r="L339" i="13"/>
  <c r="K339" i="13"/>
  <c r="L338" i="13"/>
  <c r="K338" i="13"/>
  <c r="L337" i="13"/>
  <c r="K337" i="13"/>
  <c r="L336" i="13"/>
  <c r="K336" i="13"/>
  <c r="L335" i="13"/>
  <c r="K335" i="13"/>
  <c r="L334" i="13"/>
  <c r="K334" i="13"/>
  <c r="L333" i="13"/>
  <c r="K333" i="13"/>
  <c r="L332" i="13"/>
  <c r="K332" i="13"/>
  <c r="L331" i="13"/>
  <c r="K331" i="13"/>
  <c r="L330" i="13"/>
  <c r="K330" i="13"/>
  <c r="L329" i="13"/>
  <c r="K329" i="13"/>
  <c r="L328" i="13"/>
  <c r="K328" i="13"/>
  <c r="L327" i="13"/>
  <c r="K327" i="13"/>
  <c r="L326" i="13"/>
  <c r="K326" i="13"/>
  <c r="L325" i="13"/>
  <c r="K325" i="13"/>
  <c r="L324" i="13"/>
  <c r="K324" i="13"/>
  <c r="L323" i="13"/>
  <c r="K323" i="13"/>
  <c r="L322" i="13"/>
  <c r="K322" i="13"/>
  <c r="L321" i="13"/>
  <c r="K321" i="13"/>
  <c r="L320" i="13"/>
  <c r="K320" i="13"/>
  <c r="L319" i="13"/>
  <c r="K319" i="13"/>
  <c r="L318" i="13"/>
  <c r="K318" i="13"/>
  <c r="L317" i="13"/>
  <c r="K317" i="13"/>
  <c r="L316" i="13"/>
  <c r="K316" i="13"/>
  <c r="L315" i="13"/>
  <c r="K315" i="13"/>
  <c r="L314" i="13"/>
  <c r="K314" i="13"/>
  <c r="L313" i="13"/>
  <c r="K313" i="13"/>
  <c r="L312" i="13"/>
  <c r="K312" i="13"/>
  <c r="L311" i="13"/>
  <c r="K311" i="13"/>
  <c r="L310" i="13"/>
  <c r="K310" i="13"/>
  <c r="L309" i="13"/>
  <c r="K309" i="13"/>
  <c r="L308" i="13"/>
  <c r="K308" i="13"/>
  <c r="L307" i="13"/>
  <c r="K307" i="13"/>
  <c r="L306" i="13"/>
  <c r="K306" i="13"/>
  <c r="L305" i="13"/>
  <c r="K305" i="13"/>
  <c r="L304" i="13"/>
  <c r="K304" i="13"/>
  <c r="L303" i="13"/>
  <c r="K303" i="13"/>
  <c r="L302" i="13"/>
  <c r="K302" i="13"/>
  <c r="L301" i="13"/>
  <c r="K301" i="13"/>
  <c r="L300" i="13"/>
  <c r="K300" i="13"/>
  <c r="L299" i="13"/>
  <c r="K299" i="13"/>
  <c r="L298" i="13"/>
  <c r="K298" i="13"/>
  <c r="L297" i="13"/>
  <c r="K297" i="13"/>
  <c r="L296" i="13"/>
  <c r="K296" i="13"/>
  <c r="L295" i="13"/>
  <c r="K295" i="13"/>
  <c r="L294" i="13"/>
  <c r="K294" i="13"/>
  <c r="L293" i="13"/>
  <c r="K293" i="13"/>
  <c r="L289" i="13"/>
  <c r="K289" i="13"/>
  <c r="L288" i="13"/>
  <c r="K288" i="13"/>
  <c r="L287" i="13"/>
  <c r="K287" i="13"/>
  <c r="L286" i="13"/>
  <c r="K286" i="13"/>
  <c r="L285" i="13"/>
  <c r="K285" i="13"/>
  <c r="L284" i="13"/>
  <c r="K284" i="13"/>
  <c r="L283" i="13"/>
  <c r="K283" i="13"/>
  <c r="L282" i="13"/>
  <c r="K282" i="13"/>
  <c r="L281" i="13"/>
  <c r="K281" i="13"/>
  <c r="L280" i="13"/>
  <c r="K280" i="13"/>
  <c r="L279" i="13"/>
  <c r="K279" i="13"/>
  <c r="L278" i="13"/>
  <c r="K278" i="13"/>
  <c r="L277" i="13"/>
  <c r="K277" i="13"/>
  <c r="L276" i="13"/>
  <c r="K276" i="13"/>
  <c r="L275" i="13"/>
  <c r="K275" i="13"/>
  <c r="L274" i="13"/>
  <c r="K274" i="13"/>
  <c r="L273" i="13"/>
  <c r="K273" i="13"/>
  <c r="L272" i="13"/>
  <c r="K272" i="13"/>
  <c r="L271" i="13"/>
  <c r="K271" i="13"/>
  <c r="L270" i="13"/>
  <c r="K270" i="13"/>
  <c r="L269" i="13"/>
  <c r="K269" i="13"/>
  <c r="L268" i="13"/>
  <c r="K268" i="13"/>
  <c r="L267" i="13"/>
  <c r="K267" i="13"/>
  <c r="L266" i="13"/>
  <c r="K266" i="13"/>
  <c r="L265" i="13"/>
  <c r="K265" i="13"/>
  <c r="L264" i="13"/>
  <c r="K264" i="13"/>
  <c r="L263" i="13"/>
  <c r="K263" i="13"/>
  <c r="L262" i="13"/>
  <c r="K262" i="13"/>
  <c r="L261" i="13"/>
  <c r="K261" i="13"/>
  <c r="L260" i="13"/>
  <c r="K260" i="13"/>
  <c r="L259" i="13"/>
  <c r="K259" i="13"/>
  <c r="L258" i="13"/>
  <c r="K258" i="13"/>
  <c r="L257" i="13"/>
  <c r="K257" i="13"/>
  <c r="L256" i="13"/>
  <c r="K256" i="13"/>
  <c r="L255" i="13"/>
  <c r="K255" i="13"/>
  <c r="L254" i="13"/>
  <c r="K254" i="13"/>
  <c r="L253" i="13"/>
  <c r="K253" i="13"/>
  <c r="L252" i="13"/>
  <c r="K252" i="13"/>
  <c r="L251" i="13"/>
  <c r="K251" i="13"/>
  <c r="L250" i="13"/>
  <c r="K250" i="13"/>
  <c r="L249" i="13"/>
  <c r="K249" i="13"/>
  <c r="L248" i="13"/>
  <c r="K248" i="13"/>
  <c r="L247" i="13"/>
  <c r="K247" i="13"/>
  <c r="L246" i="13"/>
  <c r="K246" i="13"/>
  <c r="L245" i="13"/>
  <c r="K245" i="13"/>
  <c r="L244" i="13"/>
  <c r="K244" i="13"/>
  <c r="L243" i="13"/>
  <c r="K243" i="13"/>
  <c r="L242" i="13"/>
  <c r="K242" i="13"/>
  <c r="L241" i="13"/>
  <c r="K241" i="13"/>
  <c r="L240" i="13"/>
  <c r="K240" i="13"/>
  <c r="D52" i="17"/>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D8" i="17"/>
  <c r="J8" i="17" s="1"/>
  <c r="L184" i="13"/>
  <c r="K184" i="13"/>
  <c r="D11" i="17"/>
  <c r="J11" i="17" s="1"/>
  <c r="L183" i="13"/>
  <c r="K183" i="13"/>
  <c r="D7" i="17"/>
  <c r="J7" i="17" s="1"/>
  <c r="L182" i="13"/>
  <c r="K182" i="13"/>
  <c r="E66" i="10"/>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L26" i="13"/>
  <c r="K26" i="13"/>
  <c r="L25" i="13"/>
  <c r="K25" i="13"/>
  <c r="L24" i="13"/>
  <c r="K24" i="13"/>
  <c r="L23" i="13"/>
  <c r="K23" i="13"/>
  <c r="L22" i="13"/>
  <c r="K22" i="13"/>
  <c r="L21" i="13"/>
  <c r="K21" i="13"/>
  <c r="L20" i="13"/>
  <c r="K20" i="13"/>
  <c r="L19" i="13"/>
  <c r="K19" i="13"/>
  <c r="L18" i="13"/>
  <c r="K18" i="13"/>
  <c r="L17" i="13"/>
  <c r="K17" i="13"/>
  <c r="L16" i="13"/>
  <c r="K16" i="13"/>
  <c r="L15" i="13"/>
  <c r="K15" i="13"/>
  <c r="L14" i="13"/>
  <c r="K14" i="13"/>
  <c r="L13" i="13"/>
  <c r="K13" i="13"/>
  <c r="L12" i="13"/>
  <c r="K12" i="13"/>
  <c r="L11" i="13"/>
  <c r="K11" i="13"/>
  <c r="D59" i="17"/>
  <c r="J59" i="17" s="1"/>
  <c r="L10" i="13"/>
  <c r="K10" i="13"/>
  <c r="D16" i="17"/>
  <c r="J16" i="17" s="1"/>
  <c r="L9" i="13"/>
  <c r="K9" i="13"/>
  <c r="D17" i="17"/>
  <c r="J17" i="17" s="1"/>
  <c r="L8" i="13"/>
  <c r="K8" i="13"/>
  <c r="D58" i="17"/>
  <c r="J58" i="17" s="1"/>
  <c r="L7" i="13"/>
  <c r="K7" i="13"/>
  <c r="D15" i="17"/>
  <c r="J15" i="17" s="1"/>
  <c r="L6" i="13"/>
  <c r="K6" i="13"/>
  <c r="I6" i="13"/>
  <c r="H6" i="13"/>
  <c r="G6" i="13"/>
  <c r="F6" i="13"/>
  <c r="E6" i="13"/>
  <c r="L5" i="13"/>
  <c r="K5" i="13"/>
  <c r="I5" i="13"/>
  <c r="H5" i="13"/>
  <c r="AP551" i="7" s="1"/>
  <c r="F5" i="13"/>
  <c r="L4" i="13"/>
  <c r="K4" i="13"/>
  <c r="L3" i="13"/>
  <c r="K3" i="13"/>
  <c r="J18" i="12"/>
  <c r="I18" i="12"/>
  <c r="K18" i="12" s="1"/>
  <c r="J17" i="12"/>
  <c r="I17" i="12"/>
  <c r="K17" i="12" s="1"/>
  <c r="J16" i="12"/>
  <c r="I16" i="12"/>
  <c r="K16" i="12" s="1"/>
  <c r="J15" i="12"/>
  <c r="I15" i="12"/>
  <c r="K15" i="12" s="1"/>
  <c r="J14" i="12"/>
  <c r="I14" i="12"/>
  <c r="K14" i="12" s="1"/>
  <c r="J13" i="12"/>
  <c r="I13" i="12"/>
  <c r="K13" i="12" s="1"/>
  <c r="J12" i="12"/>
  <c r="I12" i="12"/>
  <c r="K12" i="12" s="1"/>
  <c r="J11" i="12"/>
  <c r="I11" i="12"/>
  <c r="K11" i="12" s="1"/>
  <c r="J10" i="12"/>
  <c r="I10" i="12"/>
  <c r="K10" i="12" s="1"/>
  <c r="J9" i="12"/>
  <c r="I9" i="12"/>
  <c r="K9" i="12" s="1"/>
  <c r="J8" i="12"/>
  <c r="I8" i="12"/>
  <c r="K8" i="12" s="1"/>
  <c r="J7" i="12"/>
  <c r="I7" i="12"/>
  <c r="K7" i="12" s="1"/>
  <c r="J6" i="12"/>
  <c r="I6" i="12"/>
  <c r="K6" i="12" s="1"/>
  <c r="J5" i="12"/>
  <c r="I5" i="12"/>
  <c r="K5" i="12" s="1"/>
  <c r="J4" i="12"/>
  <c r="I4" i="12"/>
  <c r="K4" i="12" s="1"/>
  <c r="J3" i="12"/>
  <c r="I3" i="12"/>
  <c r="K3" i="12" s="1"/>
  <c r="R75" i="10"/>
  <c r="Q75" i="10"/>
  <c r="P75" i="10"/>
  <c r="O75" i="10"/>
  <c r="N75" i="10"/>
  <c r="M75" i="10"/>
  <c r="L75" i="10"/>
  <c r="K75" i="10"/>
  <c r="J75" i="10"/>
  <c r="I75" i="10"/>
  <c r="E75" i="10"/>
  <c r="D75" i="10"/>
  <c r="R74" i="10"/>
  <c r="Q74" i="10"/>
  <c r="P74" i="10"/>
  <c r="O74" i="10"/>
  <c r="N74" i="10"/>
  <c r="M74" i="10"/>
  <c r="L74" i="10"/>
  <c r="K74" i="10"/>
  <c r="J74" i="10"/>
  <c r="I74" i="10"/>
  <c r="D74" i="10"/>
  <c r="R73" i="10"/>
  <c r="Q73" i="10"/>
  <c r="P73" i="10"/>
  <c r="O73" i="10"/>
  <c r="N73" i="10"/>
  <c r="M73" i="10"/>
  <c r="L73" i="10"/>
  <c r="K73" i="10"/>
  <c r="J73" i="10"/>
  <c r="I73" i="10"/>
  <c r="D73" i="10"/>
  <c r="R72" i="10"/>
  <c r="Q72" i="10"/>
  <c r="P72" i="10"/>
  <c r="O72" i="10"/>
  <c r="N72" i="10"/>
  <c r="M72" i="10"/>
  <c r="L72" i="10"/>
  <c r="K72" i="10"/>
  <c r="J72" i="10"/>
  <c r="I72" i="10"/>
  <c r="D72" i="10"/>
  <c r="R71" i="10"/>
  <c r="Q71" i="10"/>
  <c r="P71" i="10"/>
  <c r="O71" i="10"/>
  <c r="N71" i="10"/>
  <c r="M71" i="10"/>
  <c r="L71" i="10"/>
  <c r="K71" i="10"/>
  <c r="J71" i="10"/>
  <c r="I71" i="10"/>
  <c r="E71" i="10"/>
  <c r="D71" i="10"/>
  <c r="R70" i="10"/>
  <c r="Q70" i="10"/>
  <c r="P70" i="10"/>
  <c r="O70" i="10"/>
  <c r="N70" i="10"/>
  <c r="M70" i="10"/>
  <c r="L70" i="10"/>
  <c r="K70" i="10"/>
  <c r="J70" i="10"/>
  <c r="I70" i="10"/>
  <c r="D70" i="10"/>
  <c r="R69" i="10"/>
  <c r="Q69" i="10"/>
  <c r="P69" i="10"/>
  <c r="O69" i="10"/>
  <c r="N69" i="10"/>
  <c r="M69" i="10"/>
  <c r="L69" i="10"/>
  <c r="K69" i="10"/>
  <c r="J69" i="10"/>
  <c r="I69" i="10"/>
  <c r="E69" i="10"/>
  <c r="G69" i="10" s="1"/>
  <c r="H69" i="10" s="1"/>
  <c r="D69" i="10"/>
  <c r="R68" i="10"/>
  <c r="Q68" i="10"/>
  <c r="P68" i="10"/>
  <c r="O68" i="10"/>
  <c r="N68" i="10"/>
  <c r="M68" i="10"/>
  <c r="L68" i="10"/>
  <c r="K68" i="10"/>
  <c r="J68" i="10"/>
  <c r="I68" i="10"/>
  <c r="E68" i="10"/>
  <c r="G68" i="10" s="1"/>
  <c r="H68" i="10" s="1"/>
  <c r="D68" i="10"/>
  <c r="R67" i="10"/>
  <c r="Q67" i="10"/>
  <c r="P67" i="10"/>
  <c r="O67" i="10"/>
  <c r="N67" i="10"/>
  <c r="M67" i="10"/>
  <c r="L67" i="10"/>
  <c r="K67" i="10"/>
  <c r="J67" i="10"/>
  <c r="I67" i="10"/>
  <c r="E67" i="10"/>
  <c r="F67" i="10" s="1"/>
  <c r="D67" i="10"/>
  <c r="R66" i="10"/>
  <c r="Q66" i="10"/>
  <c r="P66" i="10"/>
  <c r="O66" i="10"/>
  <c r="N66" i="10"/>
  <c r="M66" i="10"/>
  <c r="L66" i="10"/>
  <c r="K66" i="10"/>
  <c r="J66" i="10"/>
  <c r="I66" i="10"/>
  <c r="D66" i="10"/>
  <c r="R65" i="10"/>
  <c r="Q65" i="10"/>
  <c r="P65" i="10"/>
  <c r="O65" i="10"/>
  <c r="N65" i="10"/>
  <c r="M65" i="10"/>
  <c r="L65" i="10"/>
  <c r="K65" i="10"/>
  <c r="J65" i="10"/>
  <c r="I65" i="10"/>
  <c r="D65" i="10"/>
  <c r="R64" i="10"/>
  <c r="Q64" i="10"/>
  <c r="P64" i="10"/>
  <c r="O64" i="10"/>
  <c r="N64" i="10"/>
  <c r="M64" i="10"/>
  <c r="L64" i="10"/>
  <c r="K64" i="10"/>
  <c r="J64" i="10"/>
  <c r="I64" i="10"/>
  <c r="E64" i="10"/>
  <c r="D64" i="10"/>
  <c r="R63" i="10"/>
  <c r="Q63" i="10"/>
  <c r="P63" i="10"/>
  <c r="O63" i="10"/>
  <c r="N63" i="10"/>
  <c r="M63" i="10"/>
  <c r="L63" i="10"/>
  <c r="K63" i="10"/>
  <c r="J63" i="10"/>
  <c r="I63" i="10"/>
  <c r="E63" i="10"/>
  <c r="G63" i="10" s="1"/>
  <c r="H63" i="10" s="1"/>
  <c r="D63" i="10"/>
  <c r="R62" i="10"/>
  <c r="Q62" i="10"/>
  <c r="P62" i="10"/>
  <c r="O62" i="10"/>
  <c r="N62" i="10"/>
  <c r="M62" i="10"/>
  <c r="L62" i="10"/>
  <c r="K62" i="10"/>
  <c r="J62" i="10"/>
  <c r="I62" i="10"/>
  <c r="D62" i="10"/>
  <c r="R61" i="10"/>
  <c r="Q61" i="10"/>
  <c r="P61" i="10"/>
  <c r="O61" i="10"/>
  <c r="N61" i="10"/>
  <c r="M61" i="10"/>
  <c r="L61" i="10"/>
  <c r="K61" i="10"/>
  <c r="J61" i="10"/>
  <c r="I61" i="10"/>
  <c r="D61" i="10"/>
  <c r="R60" i="10"/>
  <c r="Q60" i="10"/>
  <c r="P60" i="10"/>
  <c r="O60" i="10"/>
  <c r="N60" i="10"/>
  <c r="M60" i="10"/>
  <c r="L60" i="10"/>
  <c r="K60" i="10"/>
  <c r="J60" i="10"/>
  <c r="I60" i="10"/>
  <c r="E60" i="10"/>
  <c r="G60" i="10" s="1"/>
  <c r="H60" i="10" s="1"/>
  <c r="D60" i="10"/>
  <c r="R59" i="10"/>
  <c r="Q59" i="10"/>
  <c r="P59" i="10"/>
  <c r="O59" i="10"/>
  <c r="N59" i="10"/>
  <c r="M59" i="10"/>
  <c r="L59" i="10"/>
  <c r="K59" i="10"/>
  <c r="J59" i="10"/>
  <c r="I59" i="10"/>
  <c r="D59" i="10"/>
  <c r="R58" i="10"/>
  <c r="Q58" i="10"/>
  <c r="P58" i="10"/>
  <c r="O58" i="10"/>
  <c r="N58" i="10"/>
  <c r="M58" i="10"/>
  <c r="L58" i="10"/>
  <c r="K58" i="10"/>
  <c r="J58" i="10"/>
  <c r="I58" i="10"/>
  <c r="E58" i="10"/>
  <c r="G58" i="10" s="1"/>
  <c r="H58" i="10" s="1"/>
  <c r="D58" i="10"/>
  <c r="R57" i="10"/>
  <c r="Q57" i="10"/>
  <c r="P57" i="10"/>
  <c r="O57" i="10"/>
  <c r="N57" i="10"/>
  <c r="M57" i="10"/>
  <c r="L57" i="10"/>
  <c r="K57" i="10"/>
  <c r="J57" i="10"/>
  <c r="I57" i="10"/>
  <c r="D57" i="10"/>
  <c r="R56" i="10"/>
  <c r="Q56" i="10"/>
  <c r="P56" i="10"/>
  <c r="O56" i="10"/>
  <c r="N56" i="10"/>
  <c r="M56" i="10"/>
  <c r="L56" i="10"/>
  <c r="K56" i="10"/>
  <c r="J56" i="10"/>
  <c r="I56" i="10"/>
  <c r="E56" i="10"/>
  <c r="G56" i="10" s="1"/>
  <c r="H56" i="10" s="1"/>
  <c r="D56" i="10"/>
  <c r="R55" i="10"/>
  <c r="Q55" i="10"/>
  <c r="P55" i="10"/>
  <c r="O55" i="10"/>
  <c r="N55" i="10"/>
  <c r="M55" i="10"/>
  <c r="L55" i="10"/>
  <c r="K55" i="10"/>
  <c r="J55" i="10"/>
  <c r="I55" i="10"/>
  <c r="E55" i="10"/>
  <c r="D55" i="10"/>
  <c r="R54" i="10"/>
  <c r="Q54" i="10"/>
  <c r="P54" i="10"/>
  <c r="O54" i="10"/>
  <c r="N54" i="10"/>
  <c r="M54" i="10"/>
  <c r="L54" i="10"/>
  <c r="K54" i="10"/>
  <c r="J54" i="10"/>
  <c r="I54" i="10"/>
  <c r="D54" i="10"/>
  <c r="R53" i="10"/>
  <c r="Q53" i="10"/>
  <c r="P53" i="10"/>
  <c r="O53" i="10"/>
  <c r="N53" i="10"/>
  <c r="M53" i="10"/>
  <c r="L53" i="10"/>
  <c r="K53" i="10"/>
  <c r="J53" i="10"/>
  <c r="I53" i="10"/>
  <c r="E53" i="10"/>
  <c r="G53" i="10" s="1"/>
  <c r="H53" i="10" s="1"/>
  <c r="D53" i="10"/>
  <c r="R52" i="10"/>
  <c r="Q52" i="10"/>
  <c r="P52" i="10"/>
  <c r="O52" i="10"/>
  <c r="N52" i="10"/>
  <c r="M52" i="10"/>
  <c r="L52" i="10"/>
  <c r="K52" i="10"/>
  <c r="J52" i="10"/>
  <c r="I52" i="10"/>
  <c r="E52" i="10"/>
  <c r="G52" i="10" s="1"/>
  <c r="H52" i="10" s="1"/>
  <c r="D52" i="10"/>
  <c r="R51" i="10"/>
  <c r="Q51" i="10"/>
  <c r="P51" i="10"/>
  <c r="O51" i="10"/>
  <c r="N51" i="10"/>
  <c r="M51" i="10"/>
  <c r="L51" i="10"/>
  <c r="K51" i="10"/>
  <c r="J51" i="10"/>
  <c r="I51" i="10"/>
  <c r="E51" i="10"/>
  <c r="D51" i="10"/>
  <c r="R50" i="10"/>
  <c r="Q50" i="10"/>
  <c r="P50" i="10"/>
  <c r="O50" i="10"/>
  <c r="N50" i="10"/>
  <c r="M50" i="10"/>
  <c r="L50" i="10"/>
  <c r="K50" i="10"/>
  <c r="J50" i="10"/>
  <c r="I50" i="10"/>
  <c r="E50" i="10"/>
  <c r="D50" i="10"/>
  <c r="R49" i="10"/>
  <c r="Q49" i="10"/>
  <c r="P49" i="10"/>
  <c r="O49" i="10"/>
  <c r="N49" i="10"/>
  <c r="M49" i="10"/>
  <c r="L49" i="10"/>
  <c r="K49" i="10"/>
  <c r="J49" i="10"/>
  <c r="I49" i="10"/>
  <c r="D49" i="10"/>
  <c r="R48" i="10"/>
  <c r="Q48" i="10"/>
  <c r="P48" i="10"/>
  <c r="O48" i="10"/>
  <c r="N48" i="10"/>
  <c r="M48" i="10"/>
  <c r="L48" i="10"/>
  <c r="K48" i="10"/>
  <c r="J48" i="10"/>
  <c r="I48" i="10"/>
  <c r="E48" i="10"/>
  <c r="D48" i="10"/>
  <c r="R47" i="10"/>
  <c r="Q47" i="10"/>
  <c r="P47" i="10"/>
  <c r="O47" i="10"/>
  <c r="N47" i="10"/>
  <c r="M47" i="10"/>
  <c r="L47" i="10"/>
  <c r="K47" i="10"/>
  <c r="J47" i="10"/>
  <c r="I47" i="10"/>
  <c r="D47" i="10"/>
  <c r="R46" i="10"/>
  <c r="Q46" i="10"/>
  <c r="P46" i="10"/>
  <c r="O46" i="10"/>
  <c r="N46" i="10"/>
  <c r="M46" i="10"/>
  <c r="L46" i="10"/>
  <c r="K46" i="10"/>
  <c r="J46" i="10"/>
  <c r="I46" i="10"/>
  <c r="E46" i="10"/>
  <c r="G46" i="10" s="1"/>
  <c r="H46" i="10" s="1"/>
  <c r="D46" i="10"/>
  <c r="R45" i="10"/>
  <c r="Q45" i="10"/>
  <c r="P45" i="10"/>
  <c r="O45" i="10"/>
  <c r="N45" i="10"/>
  <c r="M45" i="10"/>
  <c r="L45" i="10"/>
  <c r="K45" i="10"/>
  <c r="J45" i="10"/>
  <c r="I45" i="10"/>
  <c r="E45" i="10"/>
  <c r="G45" i="10" s="1"/>
  <c r="H45" i="10" s="1"/>
  <c r="D45" i="10"/>
  <c r="R44" i="10"/>
  <c r="Q44" i="10"/>
  <c r="P44" i="10"/>
  <c r="O44" i="10"/>
  <c r="N44" i="10"/>
  <c r="M44" i="10"/>
  <c r="L44" i="10"/>
  <c r="K44" i="10"/>
  <c r="J44" i="10"/>
  <c r="I44" i="10"/>
  <c r="E44" i="10"/>
  <c r="G44" i="10" s="1"/>
  <c r="H44" i="10" s="1"/>
  <c r="D44" i="10"/>
  <c r="R43" i="10"/>
  <c r="Q43" i="10"/>
  <c r="P43" i="10"/>
  <c r="O43" i="10"/>
  <c r="N43" i="10"/>
  <c r="M43" i="10"/>
  <c r="L43" i="10"/>
  <c r="K43" i="10"/>
  <c r="J43" i="10"/>
  <c r="I43" i="10"/>
  <c r="E43" i="10"/>
  <c r="D43" i="10"/>
  <c r="R42" i="10"/>
  <c r="Q42" i="10"/>
  <c r="P42" i="10"/>
  <c r="O42" i="10"/>
  <c r="N42" i="10"/>
  <c r="M42" i="10"/>
  <c r="L42" i="10"/>
  <c r="K42" i="10"/>
  <c r="J42" i="10"/>
  <c r="I42" i="10"/>
  <c r="E42" i="10"/>
  <c r="G42" i="10" s="1"/>
  <c r="H42" i="10" s="1"/>
  <c r="D42" i="10"/>
  <c r="R41" i="10"/>
  <c r="Q41" i="10"/>
  <c r="P41" i="10"/>
  <c r="O41" i="10"/>
  <c r="N41" i="10"/>
  <c r="M41" i="10"/>
  <c r="L41" i="10"/>
  <c r="K41" i="10"/>
  <c r="J41" i="10"/>
  <c r="I41" i="10"/>
  <c r="D41" i="10"/>
  <c r="R40" i="10"/>
  <c r="Q40" i="10"/>
  <c r="P40" i="10"/>
  <c r="O40" i="10"/>
  <c r="N40" i="10"/>
  <c r="M40" i="10"/>
  <c r="L40" i="10"/>
  <c r="K40" i="10"/>
  <c r="J40" i="10"/>
  <c r="I40" i="10"/>
  <c r="D40" i="10"/>
  <c r="R39" i="10"/>
  <c r="Q39" i="10"/>
  <c r="P39" i="10"/>
  <c r="O39" i="10"/>
  <c r="N39" i="10"/>
  <c r="M39" i="10"/>
  <c r="L39" i="10"/>
  <c r="K39" i="10"/>
  <c r="J39" i="10"/>
  <c r="I39" i="10"/>
  <c r="D39" i="10"/>
  <c r="R38" i="10"/>
  <c r="Q38" i="10"/>
  <c r="P38" i="10"/>
  <c r="O38" i="10"/>
  <c r="N38" i="10"/>
  <c r="M38" i="10"/>
  <c r="L38" i="10"/>
  <c r="K38" i="10"/>
  <c r="J38" i="10"/>
  <c r="I38" i="10"/>
  <c r="D38" i="10"/>
  <c r="R37" i="10"/>
  <c r="Q37" i="10"/>
  <c r="P37" i="10"/>
  <c r="O37" i="10"/>
  <c r="N37" i="10"/>
  <c r="M37" i="10"/>
  <c r="L37" i="10"/>
  <c r="K37" i="10"/>
  <c r="J37" i="10"/>
  <c r="I37" i="10"/>
  <c r="E37" i="10"/>
  <c r="G37" i="10" s="1"/>
  <c r="H37" i="10" s="1"/>
  <c r="D37" i="10"/>
  <c r="R36" i="10"/>
  <c r="Q36" i="10"/>
  <c r="P36" i="10"/>
  <c r="O36" i="10"/>
  <c r="N36" i="10"/>
  <c r="M36" i="10"/>
  <c r="L36" i="10"/>
  <c r="K36" i="10"/>
  <c r="J36" i="10"/>
  <c r="I36" i="10"/>
  <c r="E36" i="10"/>
  <c r="G36" i="10" s="1"/>
  <c r="H36" i="10" s="1"/>
  <c r="D36" i="10"/>
  <c r="R35" i="10"/>
  <c r="Q35" i="10"/>
  <c r="P35" i="10"/>
  <c r="O35" i="10"/>
  <c r="N35" i="10"/>
  <c r="M35" i="10"/>
  <c r="L35" i="10"/>
  <c r="K35" i="10"/>
  <c r="J35" i="10"/>
  <c r="I35" i="10"/>
  <c r="D35" i="10"/>
  <c r="R34" i="10"/>
  <c r="Q34" i="10"/>
  <c r="P34" i="10"/>
  <c r="O34" i="10"/>
  <c r="N34" i="10"/>
  <c r="M34" i="10"/>
  <c r="L34" i="10"/>
  <c r="K34" i="10"/>
  <c r="J34" i="10"/>
  <c r="I34" i="10"/>
  <c r="D34" i="10"/>
  <c r="R33" i="10"/>
  <c r="Q33" i="10"/>
  <c r="P33" i="10"/>
  <c r="O33" i="10"/>
  <c r="N33" i="10"/>
  <c r="M33" i="10"/>
  <c r="L33" i="10"/>
  <c r="K33" i="10"/>
  <c r="J33" i="10"/>
  <c r="I33" i="10"/>
  <c r="E33" i="10"/>
  <c r="D33" i="10"/>
  <c r="R32" i="10"/>
  <c r="Q32" i="10"/>
  <c r="P32" i="10"/>
  <c r="O32" i="10"/>
  <c r="N32" i="10"/>
  <c r="M32" i="10"/>
  <c r="L32" i="10"/>
  <c r="K32" i="10"/>
  <c r="J32" i="10"/>
  <c r="I32" i="10"/>
  <c r="E32" i="10"/>
  <c r="G32" i="10" s="1"/>
  <c r="H32" i="10" s="1"/>
  <c r="D32" i="10"/>
  <c r="R31" i="10"/>
  <c r="Q31" i="10"/>
  <c r="P31" i="10"/>
  <c r="O31" i="10"/>
  <c r="N31" i="10"/>
  <c r="M31" i="10"/>
  <c r="L31" i="10"/>
  <c r="K31" i="10"/>
  <c r="J31" i="10"/>
  <c r="I31" i="10"/>
  <c r="E31" i="10"/>
  <c r="D31" i="10"/>
  <c r="R30" i="10"/>
  <c r="Q30" i="10"/>
  <c r="P30" i="10"/>
  <c r="O30" i="10"/>
  <c r="N30" i="10"/>
  <c r="M30" i="10"/>
  <c r="L30" i="10"/>
  <c r="K30" i="10"/>
  <c r="J30" i="10"/>
  <c r="I30" i="10"/>
  <c r="E30" i="10"/>
  <c r="G30" i="10" s="1"/>
  <c r="H30" i="10" s="1"/>
  <c r="D30" i="10"/>
  <c r="R29" i="10"/>
  <c r="Q29" i="10"/>
  <c r="P29" i="10"/>
  <c r="O29" i="10"/>
  <c r="N29" i="10"/>
  <c r="M29" i="10"/>
  <c r="L29" i="10"/>
  <c r="K29" i="10"/>
  <c r="J29" i="10"/>
  <c r="I29" i="10"/>
  <c r="D29" i="10"/>
  <c r="R28" i="10"/>
  <c r="Q28" i="10"/>
  <c r="P28" i="10"/>
  <c r="O28" i="10"/>
  <c r="N28" i="10"/>
  <c r="M28" i="10"/>
  <c r="L28" i="10"/>
  <c r="K28" i="10"/>
  <c r="J28" i="10"/>
  <c r="I28" i="10"/>
  <c r="D28" i="10"/>
  <c r="R27" i="10"/>
  <c r="Q27" i="10"/>
  <c r="P27" i="10"/>
  <c r="O27" i="10"/>
  <c r="N27" i="10"/>
  <c r="M27" i="10"/>
  <c r="L27" i="10"/>
  <c r="K27" i="10"/>
  <c r="J27" i="10"/>
  <c r="I27" i="10"/>
  <c r="D27" i="10"/>
  <c r="R26" i="10"/>
  <c r="Q26" i="10"/>
  <c r="P26" i="10"/>
  <c r="O26" i="10"/>
  <c r="N26" i="10"/>
  <c r="M26" i="10"/>
  <c r="L26" i="10"/>
  <c r="K26" i="10"/>
  <c r="J26" i="10"/>
  <c r="I26" i="10"/>
  <c r="E26" i="10"/>
  <c r="G26" i="10" s="1"/>
  <c r="H26" i="10" s="1"/>
  <c r="D26" i="10"/>
  <c r="R25" i="10"/>
  <c r="Q25" i="10"/>
  <c r="P25" i="10"/>
  <c r="O25" i="10"/>
  <c r="N25" i="10"/>
  <c r="M25" i="10"/>
  <c r="L25" i="10"/>
  <c r="K25" i="10"/>
  <c r="J25" i="10"/>
  <c r="I25" i="10"/>
  <c r="E25" i="10"/>
  <c r="D25" i="10"/>
  <c r="R24" i="10"/>
  <c r="Q24" i="10"/>
  <c r="P24" i="10"/>
  <c r="O24" i="10"/>
  <c r="N24" i="10"/>
  <c r="M24" i="10"/>
  <c r="L24" i="10"/>
  <c r="K24" i="10"/>
  <c r="J24" i="10"/>
  <c r="I24" i="10"/>
  <c r="D24" i="10"/>
  <c r="R23" i="10"/>
  <c r="Q23" i="10"/>
  <c r="P23" i="10"/>
  <c r="O23" i="10"/>
  <c r="N23" i="10"/>
  <c r="M23" i="10"/>
  <c r="L23" i="10"/>
  <c r="K23" i="10"/>
  <c r="J23" i="10"/>
  <c r="I23" i="10"/>
  <c r="E23" i="10"/>
  <c r="G23" i="10" s="1"/>
  <c r="H23" i="10" s="1"/>
  <c r="D23" i="10"/>
  <c r="R22" i="10"/>
  <c r="Q22" i="10"/>
  <c r="P22" i="10"/>
  <c r="O22" i="10"/>
  <c r="N22" i="10"/>
  <c r="M22" i="10"/>
  <c r="L22" i="10"/>
  <c r="K22" i="10"/>
  <c r="J22" i="10"/>
  <c r="I22" i="10"/>
  <c r="E22" i="10"/>
  <c r="G22" i="10" s="1"/>
  <c r="H22" i="10" s="1"/>
  <c r="D22" i="10"/>
  <c r="R21" i="10"/>
  <c r="Q21" i="10"/>
  <c r="P21" i="10"/>
  <c r="O21" i="10"/>
  <c r="N21" i="10"/>
  <c r="M21" i="10"/>
  <c r="L21" i="10"/>
  <c r="K21" i="10"/>
  <c r="J21" i="10"/>
  <c r="I21" i="10"/>
  <c r="E21" i="10"/>
  <c r="G21" i="10" s="1"/>
  <c r="H21" i="10" s="1"/>
  <c r="D21" i="10"/>
  <c r="R20" i="10"/>
  <c r="Q20" i="10"/>
  <c r="P20" i="10"/>
  <c r="O20" i="10"/>
  <c r="N20" i="10"/>
  <c r="M20" i="10"/>
  <c r="L20" i="10"/>
  <c r="K20" i="10"/>
  <c r="J20" i="10"/>
  <c r="I20" i="10"/>
  <c r="E20" i="10"/>
  <c r="G20" i="10" s="1"/>
  <c r="H20" i="10" s="1"/>
  <c r="D20" i="10"/>
  <c r="R19" i="10"/>
  <c r="Q19" i="10"/>
  <c r="P19" i="10"/>
  <c r="O19" i="10"/>
  <c r="N19" i="10"/>
  <c r="M19" i="10"/>
  <c r="L19" i="10"/>
  <c r="K19" i="10"/>
  <c r="J19" i="10"/>
  <c r="I19" i="10"/>
  <c r="E19" i="10"/>
  <c r="D19" i="10"/>
  <c r="R18" i="10"/>
  <c r="Q18" i="10"/>
  <c r="P18" i="10"/>
  <c r="O18" i="10"/>
  <c r="N18" i="10"/>
  <c r="M18" i="10"/>
  <c r="L18" i="10"/>
  <c r="K18" i="10"/>
  <c r="J18" i="10"/>
  <c r="I18" i="10"/>
  <c r="E18" i="10"/>
  <c r="D18" i="10"/>
  <c r="R17" i="10"/>
  <c r="Q17" i="10"/>
  <c r="P17" i="10"/>
  <c r="O17" i="10"/>
  <c r="N17" i="10"/>
  <c r="M17" i="10"/>
  <c r="L17" i="10"/>
  <c r="K17" i="10"/>
  <c r="J17" i="10"/>
  <c r="I17" i="10"/>
  <c r="E17" i="10"/>
  <c r="G17" i="10" s="1"/>
  <c r="H17" i="10" s="1"/>
  <c r="D17" i="10"/>
  <c r="R16" i="10"/>
  <c r="Q16" i="10"/>
  <c r="P16" i="10"/>
  <c r="O16" i="10"/>
  <c r="N16" i="10"/>
  <c r="M16" i="10"/>
  <c r="L16" i="10"/>
  <c r="K16" i="10"/>
  <c r="J16" i="10"/>
  <c r="I16" i="10"/>
  <c r="D16" i="10"/>
  <c r="R15" i="10"/>
  <c r="Q15" i="10"/>
  <c r="P15" i="10"/>
  <c r="O15" i="10"/>
  <c r="N15" i="10"/>
  <c r="M15" i="10"/>
  <c r="L15" i="10"/>
  <c r="K15" i="10"/>
  <c r="J15" i="10"/>
  <c r="I15" i="10"/>
  <c r="E15" i="10"/>
  <c r="D15" i="10"/>
  <c r="R14" i="10"/>
  <c r="Q14" i="10"/>
  <c r="P14" i="10"/>
  <c r="O14" i="10"/>
  <c r="N14" i="10"/>
  <c r="M14" i="10"/>
  <c r="L14" i="10"/>
  <c r="K14" i="10"/>
  <c r="J14" i="10"/>
  <c r="I14" i="10"/>
  <c r="E14" i="10"/>
  <c r="G14" i="10" s="1"/>
  <c r="H14" i="10" s="1"/>
  <c r="D14" i="10"/>
  <c r="R13" i="10"/>
  <c r="Q13" i="10"/>
  <c r="P13" i="10"/>
  <c r="O13" i="10"/>
  <c r="N13" i="10"/>
  <c r="M13" i="10"/>
  <c r="L13" i="10"/>
  <c r="K13" i="10"/>
  <c r="J13" i="10"/>
  <c r="I13" i="10"/>
  <c r="E13" i="10"/>
  <c r="G13" i="10" s="1"/>
  <c r="H13" i="10" s="1"/>
  <c r="D13" i="10"/>
  <c r="R12" i="10"/>
  <c r="Q12" i="10"/>
  <c r="P12" i="10"/>
  <c r="O12" i="10"/>
  <c r="N12" i="10"/>
  <c r="M12" i="10"/>
  <c r="L12" i="10"/>
  <c r="K12" i="10"/>
  <c r="J12" i="10"/>
  <c r="I12" i="10"/>
  <c r="D12" i="10"/>
  <c r="R11" i="10"/>
  <c r="Q11" i="10"/>
  <c r="P11" i="10"/>
  <c r="O11" i="10"/>
  <c r="N11" i="10"/>
  <c r="M11" i="10"/>
  <c r="L11" i="10"/>
  <c r="K11" i="10"/>
  <c r="J11" i="10"/>
  <c r="I11" i="10"/>
  <c r="D11" i="10"/>
  <c r="R10" i="10"/>
  <c r="Q10" i="10"/>
  <c r="P10" i="10"/>
  <c r="O10" i="10"/>
  <c r="N10" i="10"/>
  <c r="M10" i="10"/>
  <c r="L10" i="10"/>
  <c r="K10" i="10"/>
  <c r="J10" i="10"/>
  <c r="I10" i="10"/>
  <c r="E10" i="10"/>
  <c r="D10" i="10"/>
  <c r="R9" i="10"/>
  <c r="Q9" i="10"/>
  <c r="P9" i="10"/>
  <c r="O9" i="10"/>
  <c r="N9" i="10"/>
  <c r="M9" i="10"/>
  <c r="L9" i="10"/>
  <c r="K9" i="10"/>
  <c r="J9" i="10"/>
  <c r="I9" i="10"/>
  <c r="E9" i="10"/>
  <c r="D9" i="10"/>
  <c r="R8" i="10"/>
  <c r="Q8" i="10"/>
  <c r="P8" i="10"/>
  <c r="O8" i="10"/>
  <c r="N8" i="10"/>
  <c r="M8" i="10"/>
  <c r="L8" i="10"/>
  <c r="K8" i="10"/>
  <c r="J8" i="10"/>
  <c r="I8" i="10"/>
  <c r="D8" i="10"/>
  <c r="R7" i="10"/>
  <c r="Q7" i="10"/>
  <c r="P7" i="10"/>
  <c r="O7" i="10"/>
  <c r="N7" i="10"/>
  <c r="M7" i="10"/>
  <c r="L7" i="10"/>
  <c r="K7" i="10"/>
  <c r="J7" i="10"/>
  <c r="I7" i="10"/>
  <c r="E7" i="10"/>
  <c r="G7" i="10" s="1"/>
  <c r="H7" i="10" s="1"/>
  <c r="D7" i="10"/>
  <c r="R6" i="10"/>
  <c r="Q6" i="10"/>
  <c r="P6" i="10"/>
  <c r="O6" i="10"/>
  <c r="N6" i="10"/>
  <c r="M6" i="10"/>
  <c r="L6" i="10"/>
  <c r="K6" i="10"/>
  <c r="J6" i="10"/>
  <c r="I6" i="10"/>
  <c r="E6" i="10"/>
  <c r="G6" i="10" s="1"/>
  <c r="H6" i="10" s="1"/>
  <c r="D6" i="10"/>
  <c r="R5" i="10"/>
  <c r="Q5" i="10"/>
  <c r="P5" i="10"/>
  <c r="O5" i="10"/>
  <c r="N5" i="10"/>
  <c r="M5" i="10"/>
  <c r="L5" i="10"/>
  <c r="K5" i="10"/>
  <c r="J5" i="10"/>
  <c r="I5" i="10"/>
  <c r="D5" i="10"/>
  <c r="R4" i="10"/>
  <c r="Q4" i="10"/>
  <c r="P4" i="10"/>
  <c r="O4" i="10"/>
  <c r="N4" i="10"/>
  <c r="M4" i="10"/>
  <c r="L4" i="10"/>
  <c r="K4" i="10"/>
  <c r="J4" i="10"/>
  <c r="I4" i="10"/>
  <c r="D4" i="10"/>
  <c r="R3" i="10"/>
  <c r="Q3" i="10"/>
  <c r="P3" i="10"/>
  <c r="O3" i="10"/>
  <c r="N3" i="10"/>
  <c r="M3" i="10"/>
  <c r="L3" i="10"/>
  <c r="K3" i="10"/>
  <c r="J3" i="10"/>
  <c r="I3" i="10"/>
  <c r="E3" i="10"/>
  <c r="G3" i="10" s="1"/>
  <c r="H3" i="10" s="1"/>
  <c r="D3" i="10"/>
  <c r="E725" i="9"/>
  <c r="C725" i="9"/>
  <c r="B725" i="9"/>
  <c r="E724" i="9"/>
  <c r="C724" i="9"/>
  <c r="B724" i="9"/>
  <c r="E723" i="9"/>
  <c r="C723" i="9"/>
  <c r="B723" i="9"/>
  <c r="E722" i="9"/>
  <c r="C722" i="9"/>
  <c r="B722" i="9"/>
  <c r="E721" i="9"/>
  <c r="C721" i="9"/>
  <c r="B721" i="9"/>
  <c r="E720" i="9"/>
  <c r="C720" i="9"/>
  <c r="B720" i="9"/>
  <c r="E719" i="9"/>
  <c r="C719" i="9"/>
  <c r="B719" i="9"/>
  <c r="E718" i="9"/>
  <c r="C718" i="9"/>
  <c r="B718" i="9"/>
  <c r="E717" i="9"/>
  <c r="C717" i="9"/>
  <c r="B717" i="9"/>
  <c r="E716" i="9"/>
  <c r="C716" i="9"/>
  <c r="B716" i="9"/>
  <c r="E715" i="9"/>
  <c r="C715" i="9"/>
  <c r="B715" i="9"/>
  <c r="E714" i="9"/>
  <c r="C714" i="9"/>
  <c r="B714" i="9"/>
  <c r="E713" i="9"/>
  <c r="C713" i="9"/>
  <c r="B713" i="9"/>
  <c r="E712" i="9"/>
  <c r="C712" i="9"/>
  <c r="B712" i="9"/>
  <c r="E711" i="9"/>
  <c r="C711" i="9"/>
  <c r="B711" i="9"/>
  <c r="E710" i="9"/>
  <c r="C710" i="9"/>
  <c r="B710" i="9"/>
  <c r="E709" i="9"/>
  <c r="C709" i="9"/>
  <c r="B709" i="9"/>
  <c r="E708" i="9"/>
  <c r="C708" i="9"/>
  <c r="B708" i="9"/>
  <c r="E707" i="9"/>
  <c r="C707" i="9"/>
  <c r="B707" i="9"/>
  <c r="E706" i="9"/>
  <c r="C706" i="9"/>
  <c r="B706" i="9"/>
  <c r="E705" i="9"/>
  <c r="C705" i="9"/>
  <c r="B705" i="9"/>
  <c r="E704" i="9"/>
  <c r="C704" i="9"/>
  <c r="B704" i="9"/>
  <c r="E703" i="9"/>
  <c r="C703" i="9"/>
  <c r="B703" i="9"/>
  <c r="E702" i="9"/>
  <c r="C702" i="9"/>
  <c r="B702" i="9"/>
  <c r="E701" i="9"/>
  <c r="C701" i="9"/>
  <c r="B701" i="9"/>
  <c r="E700" i="9"/>
  <c r="C700" i="9"/>
  <c r="B700" i="9"/>
  <c r="E699" i="9"/>
  <c r="C699" i="9"/>
  <c r="B699" i="9"/>
  <c r="E698" i="9"/>
  <c r="C698" i="9"/>
  <c r="B698" i="9"/>
  <c r="E697" i="9"/>
  <c r="C697" i="9"/>
  <c r="B697" i="9"/>
  <c r="E696" i="9"/>
  <c r="C696" i="9"/>
  <c r="B696" i="9"/>
  <c r="E695" i="9"/>
  <c r="C695" i="9"/>
  <c r="B695" i="9"/>
  <c r="E694" i="9"/>
  <c r="C694" i="9"/>
  <c r="B694" i="9"/>
  <c r="E693" i="9"/>
  <c r="C693" i="9"/>
  <c r="B693" i="9"/>
  <c r="E692" i="9"/>
  <c r="C692" i="9"/>
  <c r="B692" i="9"/>
  <c r="E691" i="9"/>
  <c r="C691" i="9"/>
  <c r="B691" i="9"/>
  <c r="E690" i="9"/>
  <c r="C690" i="9"/>
  <c r="B690" i="9"/>
  <c r="E689" i="9"/>
  <c r="C689" i="9"/>
  <c r="B689" i="9"/>
  <c r="E688" i="9"/>
  <c r="C688" i="9"/>
  <c r="B688" i="9"/>
  <c r="E687" i="9"/>
  <c r="C687" i="9"/>
  <c r="B687" i="9"/>
  <c r="E686" i="9"/>
  <c r="C686" i="9"/>
  <c r="B686" i="9"/>
  <c r="E685" i="9"/>
  <c r="C685" i="9"/>
  <c r="B685" i="9"/>
  <c r="E684" i="9"/>
  <c r="C684" i="9"/>
  <c r="B684" i="9"/>
  <c r="E683" i="9"/>
  <c r="C683" i="9"/>
  <c r="B683" i="9"/>
  <c r="E682" i="9"/>
  <c r="C682" i="9"/>
  <c r="B682" i="9"/>
  <c r="E681" i="9"/>
  <c r="C681" i="9"/>
  <c r="B681" i="9"/>
  <c r="E680" i="9"/>
  <c r="C680" i="9"/>
  <c r="B680" i="9"/>
  <c r="E679" i="9"/>
  <c r="C679" i="9"/>
  <c r="B679" i="9"/>
  <c r="E678" i="9"/>
  <c r="C678" i="9"/>
  <c r="B678" i="9"/>
  <c r="E677" i="9"/>
  <c r="C677" i="9"/>
  <c r="B677" i="9"/>
  <c r="E676" i="9"/>
  <c r="C676" i="9"/>
  <c r="B676" i="9"/>
  <c r="E675" i="9"/>
  <c r="C675" i="9"/>
  <c r="B675" i="9"/>
  <c r="E674" i="9"/>
  <c r="C674" i="9"/>
  <c r="B674" i="9"/>
  <c r="E673" i="9"/>
  <c r="C673" i="9"/>
  <c r="B673" i="9"/>
  <c r="E672" i="9"/>
  <c r="C672" i="9"/>
  <c r="B672" i="9"/>
  <c r="E671" i="9"/>
  <c r="C671" i="9"/>
  <c r="B671" i="9"/>
  <c r="E670" i="9"/>
  <c r="C670" i="9"/>
  <c r="B670" i="9"/>
  <c r="E669" i="9"/>
  <c r="C669" i="9"/>
  <c r="B669" i="9"/>
  <c r="E668" i="9"/>
  <c r="C668" i="9"/>
  <c r="B668" i="9"/>
  <c r="E667" i="9"/>
  <c r="C667" i="9"/>
  <c r="B667" i="9"/>
  <c r="E666" i="9"/>
  <c r="C666" i="9"/>
  <c r="B666" i="9"/>
  <c r="E665" i="9"/>
  <c r="C665" i="9"/>
  <c r="B665" i="9"/>
  <c r="E664" i="9"/>
  <c r="C664" i="9"/>
  <c r="B664" i="9"/>
  <c r="E663" i="9"/>
  <c r="C663" i="9"/>
  <c r="B663" i="9"/>
  <c r="E662" i="9"/>
  <c r="C662" i="9"/>
  <c r="B662" i="9"/>
  <c r="E661" i="9"/>
  <c r="C661" i="9"/>
  <c r="B661" i="9"/>
  <c r="E660" i="9"/>
  <c r="C660" i="9"/>
  <c r="B660" i="9"/>
  <c r="E659" i="9"/>
  <c r="C659" i="9"/>
  <c r="B659" i="9"/>
  <c r="E658" i="9"/>
  <c r="C658" i="9"/>
  <c r="B658" i="9"/>
  <c r="E657" i="9"/>
  <c r="C657" i="9"/>
  <c r="B657" i="9"/>
  <c r="E656" i="9"/>
  <c r="C656" i="9"/>
  <c r="B656" i="9"/>
  <c r="E655" i="9"/>
  <c r="C655" i="9"/>
  <c r="B655" i="9"/>
  <c r="E654" i="9"/>
  <c r="C654" i="9"/>
  <c r="B654" i="9"/>
  <c r="E653" i="9"/>
  <c r="C653" i="9"/>
  <c r="B653" i="9"/>
  <c r="E652" i="9"/>
  <c r="C652" i="9"/>
  <c r="B652" i="9"/>
  <c r="E651" i="9"/>
  <c r="C651" i="9"/>
  <c r="B651" i="9"/>
  <c r="E650" i="9"/>
  <c r="C650" i="9"/>
  <c r="B650" i="9"/>
  <c r="E649" i="9"/>
  <c r="C649" i="9"/>
  <c r="B649" i="9"/>
  <c r="E648" i="9"/>
  <c r="C648" i="9"/>
  <c r="B648" i="9"/>
  <c r="E647" i="9"/>
  <c r="C647" i="9"/>
  <c r="B647" i="9"/>
  <c r="E646" i="9"/>
  <c r="C646" i="9"/>
  <c r="B646" i="9"/>
  <c r="E645" i="9"/>
  <c r="C645" i="9"/>
  <c r="B645" i="9"/>
  <c r="E644" i="9"/>
  <c r="C644" i="9"/>
  <c r="B644" i="9"/>
  <c r="E643" i="9"/>
  <c r="C643" i="9"/>
  <c r="B643" i="9"/>
  <c r="E642" i="9"/>
  <c r="C642" i="9"/>
  <c r="B642" i="9"/>
  <c r="E641" i="9"/>
  <c r="C641" i="9"/>
  <c r="B641" i="9"/>
  <c r="E640" i="9"/>
  <c r="C640" i="9"/>
  <c r="B640" i="9"/>
  <c r="E639" i="9"/>
  <c r="C639" i="9"/>
  <c r="B639" i="9"/>
  <c r="E638" i="9"/>
  <c r="C638" i="9"/>
  <c r="B638" i="9"/>
  <c r="E637" i="9"/>
  <c r="C637" i="9"/>
  <c r="B637" i="9"/>
  <c r="E636" i="9"/>
  <c r="C636" i="9"/>
  <c r="B636" i="9"/>
  <c r="E635" i="9"/>
  <c r="C635" i="9"/>
  <c r="B635" i="9"/>
  <c r="E634" i="9"/>
  <c r="C634" i="9"/>
  <c r="B634" i="9"/>
  <c r="E633" i="9"/>
  <c r="C633" i="9"/>
  <c r="B633" i="9"/>
  <c r="E632" i="9"/>
  <c r="C632" i="9"/>
  <c r="B632" i="9"/>
  <c r="E631" i="9"/>
  <c r="C631" i="9"/>
  <c r="B631" i="9"/>
  <c r="E630" i="9"/>
  <c r="C630" i="9"/>
  <c r="B630" i="9"/>
  <c r="E629" i="9"/>
  <c r="C629" i="9"/>
  <c r="B629" i="9"/>
  <c r="E628" i="9"/>
  <c r="C628" i="9"/>
  <c r="B628" i="9"/>
  <c r="E627" i="9"/>
  <c r="C627" i="9"/>
  <c r="B627" i="9"/>
  <c r="E626" i="9"/>
  <c r="C626" i="9"/>
  <c r="B626" i="9"/>
  <c r="E625" i="9"/>
  <c r="C625" i="9"/>
  <c r="B625" i="9"/>
  <c r="E624" i="9"/>
  <c r="C624" i="9"/>
  <c r="B624" i="9"/>
  <c r="E623" i="9"/>
  <c r="C623" i="9"/>
  <c r="B623" i="9"/>
  <c r="E622" i="9"/>
  <c r="C622" i="9"/>
  <c r="B622" i="9"/>
  <c r="E621" i="9"/>
  <c r="C621" i="9"/>
  <c r="B621" i="9"/>
  <c r="E620" i="9"/>
  <c r="C620" i="9"/>
  <c r="B620" i="9"/>
  <c r="E619" i="9"/>
  <c r="C619" i="9"/>
  <c r="B619" i="9"/>
  <c r="E618" i="9"/>
  <c r="C618" i="9"/>
  <c r="B618" i="9"/>
  <c r="E617" i="9"/>
  <c r="C617" i="9"/>
  <c r="B617" i="9"/>
  <c r="E616" i="9"/>
  <c r="C616" i="9"/>
  <c r="B616" i="9"/>
  <c r="E615" i="9"/>
  <c r="C615" i="9"/>
  <c r="B615" i="9"/>
  <c r="E614" i="9"/>
  <c r="C614" i="9"/>
  <c r="B614" i="9"/>
  <c r="E613" i="9"/>
  <c r="C613" i="9"/>
  <c r="B613" i="9"/>
  <c r="E612" i="9"/>
  <c r="C612" i="9"/>
  <c r="B612" i="9"/>
  <c r="E611" i="9"/>
  <c r="C611" i="9"/>
  <c r="B611" i="9"/>
  <c r="E610" i="9"/>
  <c r="C610" i="9"/>
  <c r="B610" i="9"/>
  <c r="E609" i="9"/>
  <c r="C609" i="9"/>
  <c r="B609" i="9"/>
  <c r="E608" i="9"/>
  <c r="C608" i="9"/>
  <c r="B608" i="9"/>
  <c r="E607" i="9"/>
  <c r="C607" i="9"/>
  <c r="B607" i="9"/>
  <c r="E606" i="9"/>
  <c r="C606" i="9"/>
  <c r="B606" i="9"/>
  <c r="E605" i="9"/>
  <c r="C605" i="9"/>
  <c r="B605" i="9"/>
  <c r="E604" i="9"/>
  <c r="C604" i="9"/>
  <c r="B604" i="9"/>
  <c r="E603" i="9"/>
  <c r="C603" i="9"/>
  <c r="B603" i="9"/>
  <c r="E602" i="9"/>
  <c r="C602" i="9"/>
  <c r="B602" i="9"/>
  <c r="E601" i="9"/>
  <c r="C601" i="9"/>
  <c r="B601" i="9"/>
  <c r="E600" i="9"/>
  <c r="C600" i="9"/>
  <c r="B600" i="9"/>
  <c r="E599" i="9"/>
  <c r="C599" i="9"/>
  <c r="B599" i="9"/>
  <c r="E598" i="9"/>
  <c r="C598" i="9"/>
  <c r="B598" i="9"/>
  <c r="E597" i="9"/>
  <c r="C597" i="9"/>
  <c r="B597" i="9"/>
  <c r="E596" i="9"/>
  <c r="C596" i="9"/>
  <c r="B596" i="9"/>
  <c r="E595" i="9"/>
  <c r="C595" i="9"/>
  <c r="B595" i="9"/>
  <c r="E594" i="9"/>
  <c r="C594" i="9"/>
  <c r="B594" i="9"/>
  <c r="E593" i="9"/>
  <c r="C593" i="9"/>
  <c r="B593" i="9"/>
  <c r="E592" i="9"/>
  <c r="C592" i="9"/>
  <c r="B592" i="9"/>
  <c r="E591" i="9"/>
  <c r="C591" i="9"/>
  <c r="B591" i="9"/>
  <c r="E590" i="9"/>
  <c r="C590" i="9"/>
  <c r="B590" i="9"/>
  <c r="E589" i="9"/>
  <c r="C589" i="9"/>
  <c r="B589" i="9"/>
  <c r="E588" i="9"/>
  <c r="C588" i="9"/>
  <c r="B588" i="9"/>
  <c r="E587" i="9"/>
  <c r="C587" i="9"/>
  <c r="B587" i="9"/>
  <c r="E586" i="9"/>
  <c r="C586" i="9"/>
  <c r="B586" i="9"/>
  <c r="E585" i="9"/>
  <c r="C585" i="9"/>
  <c r="B585" i="9"/>
  <c r="E584" i="9"/>
  <c r="C584" i="9"/>
  <c r="B584" i="9"/>
  <c r="E583" i="9"/>
  <c r="C583" i="9"/>
  <c r="B583" i="9"/>
  <c r="E582" i="9"/>
  <c r="C582" i="9"/>
  <c r="B582" i="9"/>
  <c r="E581" i="9"/>
  <c r="C581" i="9"/>
  <c r="B581" i="9"/>
  <c r="E580" i="9"/>
  <c r="C580" i="9"/>
  <c r="B580" i="9"/>
  <c r="E579" i="9"/>
  <c r="C579" i="9"/>
  <c r="B579" i="9"/>
  <c r="E578" i="9"/>
  <c r="C578" i="9"/>
  <c r="B578" i="9"/>
  <c r="E577" i="9"/>
  <c r="C577" i="9"/>
  <c r="B577" i="9"/>
  <c r="E576" i="9"/>
  <c r="C576" i="9"/>
  <c r="B576" i="9"/>
  <c r="E575" i="9"/>
  <c r="C575" i="9"/>
  <c r="B575" i="9"/>
  <c r="E574" i="9"/>
  <c r="C574" i="9"/>
  <c r="B574" i="9"/>
  <c r="E573" i="9"/>
  <c r="C573" i="9"/>
  <c r="B573" i="9"/>
  <c r="E572" i="9"/>
  <c r="C572" i="9"/>
  <c r="B572" i="9"/>
  <c r="E571" i="9"/>
  <c r="C571" i="9"/>
  <c r="B571" i="9"/>
  <c r="E570" i="9"/>
  <c r="C570" i="9"/>
  <c r="B570" i="9"/>
  <c r="E569" i="9"/>
  <c r="C569" i="9"/>
  <c r="B569" i="9"/>
  <c r="E568" i="9"/>
  <c r="C568" i="9"/>
  <c r="B568" i="9"/>
  <c r="E567" i="9"/>
  <c r="C567" i="9"/>
  <c r="B567" i="9"/>
  <c r="E566" i="9"/>
  <c r="C566" i="9"/>
  <c r="B566" i="9"/>
  <c r="E565" i="9"/>
  <c r="C565" i="9"/>
  <c r="B565" i="9"/>
  <c r="E564" i="9"/>
  <c r="C564" i="9"/>
  <c r="B564" i="9"/>
  <c r="E563" i="9"/>
  <c r="C563" i="9"/>
  <c r="B563" i="9"/>
  <c r="E562" i="9"/>
  <c r="C562" i="9"/>
  <c r="B562" i="9"/>
  <c r="E561" i="9"/>
  <c r="C561" i="9"/>
  <c r="B561" i="9"/>
  <c r="E560" i="9"/>
  <c r="C560" i="9"/>
  <c r="B560" i="9"/>
  <c r="E559" i="9"/>
  <c r="C559" i="9"/>
  <c r="B559" i="9"/>
  <c r="E558" i="9"/>
  <c r="C558" i="9"/>
  <c r="B558" i="9"/>
  <c r="E557" i="9"/>
  <c r="C557" i="9"/>
  <c r="B557" i="9"/>
  <c r="E556" i="9"/>
  <c r="C556" i="9"/>
  <c r="B556" i="9"/>
  <c r="E555" i="9"/>
  <c r="C555" i="9"/>
  <c r="B555" i="9"/>
  <c r="E554" i="9"/>
  <c r="C554" i="9"/>
  <c r="B554" i="9"/>
  <c r="E553" i="9"/>
  <c r="C553" i="9"/>
  <c r="B553" i="9"/>
  <c r="E552" i="9"/>
  <c r="C552" i="9"/>
  <c r="B552" i="9"/>
  <c r="E551" i="9"/>
  <c r="C551" i="9"/>
  <c r="B551" i="9"/>
  <c r="E550" i="9"/>
  <c r="C550" i="9"/>
  <c r="B550" i="9"/>
  <c r="E549" i="9"/>
  <c r="C549" i="9"/>
  <c r="B549" i="9"/>
  <c r="E548" i="9"/>
  <c r="C548" i="9"/>
  <c r="B548" i="9"/>
  <c r="E547" i="9"/>
  <c r="C547" i="9"/>
  <c r="B547" i="9"/>
  <c r="E546" i="9"/>
  <c r="C546" i="9"/>
  <c r="B546" i="9"/>
  <c r="E545" i="9"/>
  <c r="C545" i="9"/>
  <c r="B545" i="9"/>
  <c r="E544" i="9"/>
  <c r="C544" i="9"/>
  <c r="B544" i="9"/>
  <c r="E543" i="9"/>
  <c r="C543" i="9"/>
  <c r="B543" i="9"/>
  <c r="E542" i="9"/>
  <c r="C542" i="9"/>
  <c r="B542" i="9"/>
  <c r="E541" i="9"/>
  <c r="C541" i="9"/>
  <c r="B541" i="9"/>
  <c r="E540" i="9"/>
  <c r="C540" i="9"/>
  <c r="B540" i="9"/>
  <c r="E539" i="9"/>
  <c r="C539" i="9"/>
  <c r="B539" i="9"/>
  <c r="E538" i="9"/>
  <c r="C538" i="9"/>
  <c r="B538" i="9"/>
  <c r="E537" i="9"/>
  <c r="C537" i="9"/>
  <c r="B537" i="9"/>
  <c r="E536" i="9"/>
  <c r="C536" i="9"/>
  <c r="B536" i="9"/>
  <c r="E535" i="9"/>
  <c r="C535" i="9"/>
  <c r="B535" i="9"/>
  <c r="E534" i="9"/>
  <c r="C534" i="9"/>
  <c r="B534" i="9"/>
  <c r="E533" i="9"/>
  <c r="C533" i="9"/>
  <c r="B533" i="9"/>
  <c r="E532" i="9"/>
  <c r="C532" i="9"/>
  <c r="B532" i="9"/>
  <c r="E531" i="9"/>
  <c r="C531" i="9"/>
  <c r="B531" i="9"/>
  <c r="E530" i="9"/>
  <c r="C530" i="9"/>
  <c r="B530" i="9"/>
  <c r="E529" i="9"/>
  <c r="C529" i="9"/>
  <c r="B529" i="9"/>
  <c r="E528" i="9"/>
  <c r="C528" i="9"/>
  <c r="B528" i="9"/>
  <c r="E527" i="9"/>
  <c r="C527" i="9"/>
  <c r="B527" i="9"/>
  <c r="E526" i="9"/>
  <c r="C526" i="9"/>
  <c r="B526" i="9"/>
  <c r="E525" i="9"/>
  <c r="C525" i="9"/>
  <c r="B525" i="9"/>
  <c r="E524" i="9"/>
  <c r="C524" i="9"/>
  <c r="B524" i="9"/>
  <c r="E523" i="9"/>
  <c r="C523" i="9"/>
  <c r="B523" i="9"/>
  <c r="E522" i="9"/>
  <c r="C522" i="9"/>
  <c r="B522" i="9"/>
  <c r="E521" i="9"/>
  <c r="C521" i="9"/>
  <c r="B521" i="9"/>
  <c r="E520" i="9"/>
  <c r="C520" i="9"/>
  <c r="B520" i="9"/>
  <c r="E519" i="9"/>
  <c r="C519" i="9"/>
  <c r="B519" i="9"/>
  <c r="E518" i="9"/>
  <c r="C518" i="9"/>
  <c r="B518" i="9"/>
  <c r="E517" i="9"/>
  <c r="C517" i="9"/>
  <c r="B517" i="9"/>
  <c r="E516" i="9"/>
  <c r="C516" i="9"/>
  <c r="B516" i="9"/>
  <c r="E515" i="9"/>
  <c r="C515" i="9"/>
  <c r="B515" i="9"/>
  <c r="E514" i="9"/>
  <c r="C514" i="9"/>
  <c r="B514" i="9"/>
  <c r="E513" i="9"/>
  <c r="C513" i="9"/>
  <c r="B513" i="9"/>
  <c r="E512" i="9"/>
  <c r="C512" i="9"/>
  <c r="B512" i="9"/>
  <c r="E511" i="9"/>
  <c r="C511" i="9"/>
  <c r="B511" i="9"/>
  <c r="E510" i="9"/>
  <c r="C510" i="9"/>
  <c r="B510" i="9"/>
  <c r="E509" i="9"/>
  <c r="C509" i="9"/>
  <c r="B509" i="9"/>
  <c r="E508" i="9"/>
  <c r="C508" i="9"/>
  <c r="B508" i="9"/>
  <c r="E507" i="9"/>
  <c r="C507" i="9"/>
  <c r="B507" i="9"/>
  <c r="E506" i="9"/>
  <c r="C506" i="9"/>
  <c r="B506" i="9"/>
  <c r="E505" i="9"/>
  <c r="C505" i="9"/>
  <c r="B505" i="9"/>
  <c r="E504" i="9"/>
  <c r="C504" i="9"/>
  <c r="B504" i="9"/>
  <c r="E503" i="9"/>
  <c r="C503" i="9"/>
  <c r="B503" i="9"/>
  <c r="E502" i="9"/>
  <c r="C502" i="9"/>
  <c r="B502" i="9"/>
  <c r="E501" i="9"/>
  <c r="C501" i="9"/>
  <c r="B501" i="9"/>
  <c r="E500" i="9"/>
  <c r="C500" i="9"/>
  <c r="B500" i="9"/>
  <c r="E499" i="9"/>
  <c r="C499" i="9"/>
  <c r="B499" i="9"/>
  <c r="E498" i="9"/>
  <c r="C498" i="9"/>
  <c r="B498" i="9"/>
  <c r="E497" i="9"/>
  <c r="C497" i="9"/>
  <c r="B497" i="9"/>
  <c r="E496" i="9"/>
  <c r="C496" i="9"/>
  <c r="B496" i="9"/>
  <c r="E495" i="9"/>
  <c r="C495" i="9"/>
  <c r="B495" i="9"/>
  <c r="E494" i="9"/>
  <c r="C494" i="9"/>
  <c r="B494" i="9"/>
  <c r="E493" i="9"/>
  <c r="C493" i="9"/>
  <c r="B493" i="9"/>
  <c r="E492" i="9"/>
  <c r="C492" i="9"/>
  <c r="B492" i="9"/>
  <c r="E491" i="9"/>
  <c r="C491" i="9"/>
  <c r="B491" i="9"/>
  <c r="E490" i="9"/>
  <c r="C490" i="9"/>
  <c r="B490" i="9"/>
  <c r="E489" i="9"/>
  <c r="C489" i="9"/>
  <c r="B489" i="9"/>
  <c r="E488" i="9"/>
  <c r="C488" i="9"/>
  <c r="B488" i="9"/>
  <c r="E487" i="9"/>
  <c r="C487" i="9"/>
  <c r="B487" i="9"/>
  <c r="E486" i="9"/>
  <c r="C486" i="9"/>
  <c r="B486" i="9"/>
  <c r="E485" i="9"/>
  <c r="C485" i="9"/>
  <c r="B485" i="9"/>
  <c r="E484" i="9"/>
  <c r="C484" i="9"/>
  <c r="B484" i="9"/>
  <c r="E483" i="9"/>
  <c r="C483" i="9"/>
  <c r="B483" i="9"/>
  <c r="E482" i="9"/>
  <c r="C482" i="9"/>
  <c r="B482" i="9"/>
  <c r="E481" i="9"/>
  <c r="C481" i="9"/>
  <c r="B481" i="9"/>
  <c r="E480" i="9"/>
  <c r="C480" i="9"/>
  <c r="B480" i="9"/>
  <c r="E479" i="9"/>
  <c r="C479" i="9"/>
  <c r="B479" i="9"/>
  <c r="E478" i="9"/>
  <c r="C478" i="9"/>
  <c r="B478" i="9"/>
  <c r="E477" i="9"/>
  <c r="C477" i="9"/>
  <c r="B477" i="9"/>
  <c r="E476" i="9"/>
  <c r="C476" i="9"/>
  <c r="B476" i="9"/>
  <c r="E475" i="9"/>
  <c r="C475" i="9"/>
  <c r="B475" i="9"/>
  <c r="E474" i="9"/>
  <c r="C474" i="9"/>
  <c r="B474" i="9"/>
  <c r="E473" i="9"/>
  <c r="C473" i="9"/>
  <c r="B473" i="9"/>
  <c r="E472" i="9"/>
  <c r="C472" i="9"/>
  <c r="B472" i="9"/>
  <c r="E471" i="9"/>
  <c r="C471" i="9"/>
  <c r="B471" i="9"/>
  <c r="E470" i="9"/>
  <c r="C470" i="9"/>
  <c r="B470" i="9"/>
  <c r="E469" i="9"/>
  <c r="C469" i="9"/>
  <c r="B469" i="9"/>
  <c r="E468" i="9"/>
  <c r="C468" i="9"/>
  <c r="B468" i="9"/>
  <c r="E467" i="9"/>
  <c r="C467" i="9"/>
  <c r="B467" i="9"/>
  <c r="E466" i="9"/>
  <c r="C466" i="9"/>
  <c r="B466" i="9"/>
  <c r="E465" i="9"/>
  <c r="C465" i="9"/>
  <c r="B465" i="9"/>
  <c r="E464" i="9"/>
  <c r="C464" i="9"/>
  <c r="B464" i="9"/>
  <c r="E463" i="9"/>
  <c r="C463" i="9"/>
  <c r="B463" i="9"/>
  <c r="E462" i="9"/>
  <c r="C462" i="9"/>
  <c r="B462" i="9"/>
  <c r="E461" i="9"/>
  <c r="C461" i="9"/>
  <c r="B461" i="9"/>
  <c r="E460" i="9"/>
  <c r="C460" i="9"/>
  <c r="B460" i="9"/>
  <c r="E459" i="9"/>
  <c r="C459" i="9"/>
  <c r="B459" i="9"/>
  <c r="E458" i="9"/>
  <c r="C458" i="9"/>
  <c r="B458" i="9"/>
  <c r="E457" i="9"/>
  <c r="C457" i="9"/>
  <c r="B457" i="9"/>
  <c r="E456" i="9"/>
  <c r="C456" i="9"/>
  <c r="B456" i="9"/>
  <c r="E455" i="9"/>
  <c r="C455" i="9"/>
  <c r="B455" i="9"/>
  <c r="E454" i="9"/>
  <c r="C454" i="9"/>
  <c r="B454" i="9"/>
  <c r="E453" i="9"/>
  <c r="C453" i="9"/>
  <c r="B453" i="9"/>
  <c r="E452" i="9"/>
  <c r="C452" i="9"/>
  <c r="B452" i="9"/>
  <c r="E451" i="9"/>
  <c r="C451" i="9"/>
  <c r="B451" i="9"/>
  <c r="E450" i="9"/>
  <c r="C450" i="9"/>
  <c r="B450" i="9"/>
  <c r="E449" i="9"/>
  <c r="C449" i="9"/>
  <c r="B449" i="9"/>
  <c r="E448" i="9"/>
  <c r="C448" i="9"/>
  <c r="B448" i="9"/>
  <c r="E447" i="9"/>
  <c r="C447" i="9"/>
  <c r="B447" i="9"/>
  <c r="E446" i="9"/>
  <c r="C446" i="9"/>
  <c r="B446" i="9"/>
  <c r="E445" i="9"/>
  <c r="C445" i="9"/>
  <c r="B445" i="9"/>
  <c r="E444" i="9"/>
  <c r="C444" i="9"/>
  <c r="B444" i="9"/>
  <c r="E443" i="9"/>
  <c r="C443" i="9"/>
  <c r="B443" i="9"/>
  <c r="E442" i="9"/>
  <c r="C442" i="9"/>
  <c r="B442" i="9"/>
  <c r="E441" i="9"/>
  <c r="C441" i="9"/>
  <c r="B441" i="9"/>
  <c r="E440" i="9"/>
  <c r="C440" i="9"/>
  <c r="B440" i="9"/>
  <c r="E439" i="9"/>
  <c r="C439" i="9"/>
  <c r="B439" i="9"/>
  <c r="E438" i="9"/>
  <c r="C438" i="9"/>
  <c r="B438" i="9"/>
  <c r="E437" i="9"/>
  <c r="C437" i="9"/>
  <c r="B437" i="9"/>
  <c r="E436" i="9"/>
  <c r="C436" i="9"/>
  <c r="B436" i="9"/>
  <c r="E435" i="9"/>
  <c r="C435" i="9"/>
  <c r="B435" i="9"/>
  <c r="E434" i="9"/>
  <c r="C434" i="9"/>
  <c r="B434" i="9"/>
  <c r="E433" i="9"/>
  <c r="C433" i="9"/>
  <c r="B433" i="9"/>
  <c r="E432" i="9"/>
  <c r="C432" i="9"/>
  <c r="B432" i="9"/>
  <c r="E431" i="9"/>
  <c r="C431" i="9"/>
  <c r="B431" i="9"/>
  <c r="E430" i="9"/>
  <c r="C430" i="9"/>
  <c r="B430" i="9"/>
  <c r="E429" i="9"/>
  <c r="C429" i="9"/>
  <c r="B429" i="9"/>
  <c r="E428" i="9"/>
  <c r="C428" i="9"/>
  <c r="B428" i="9"/>
  <c r="E427" i="9"/>
  <c r="C427" i="9"/>
  <c r="B427" i="9"/>
  <c r="E426" i="9"/>
  <c r="C426" i="9"/>
  <c r="B426" i="9"/>
  <c r="E425" i="9"/>
  <c r="C425" i="9"/>
  <c r="B425" i="9"/>
  <c r="E424" i="9"/>
  <c r="C424" i="9"/>
  <c r="B424" i="9"/>
  <c r="E423" i="9"/>
  <c r="C423" i="9"/>
  <c r="B423" i="9"/>
  <c r="E422" i="9"/>
  <c r="C422" i="9"/>
  <c r="B422" i="9"/>
  <c r="E421" i="9"/>
  <c r="C421" i="9"/>
  <c r="B421" i="9"/>
  <c r="E420" i="9"/>
  <c r="C420" i="9"/>
  <c r="B420" i="9"/>
  <c r="E419" i="9"/>
  <c r="C419" i="9"/>
  <c r="B419" i="9"/>
  <c r="E418" i="9"/>
  <c r="C418" i="9"/>
  <c r="B418" i="9"/>
  <c r="E417" i="9"/>
  <c r="C417" i="9"/>
  <c r="B417" i="9"/>
  <c r="E416" i="9"/>
  <c r="C416" i="9"/>
  <c r="B416" i="9"/>
  <c r="E415" i="9"/>
  <c r="C415" i="9"/>
  <c r="B415" i="9"/>
  <c r="E414" i="9"/>
  <c r="C414" i="9"/>
  <c r="B414" i="9"/>
  <c r="E413" i="9"/>
  <c r="C413" i="9"/>
  <c r="B413" i="9"/>
  <c r="E412" i="9"/>
  <c r="C412" i="9"/>
  <c r="B412" i="9"/>
  <c r="E411" i="9"/>
  <c r="C411" i="9"/>
  <c r="B411" i="9"/>
  <c r="E410" i="9"/>
  <c r="C410" i="9"/>
  <c r="B410" i="9"/>
  <c r="E409" i="9"/>
  <c r="C409" i="9"/>
  <c r="B409" i="9"/>
  <c r="E408" i="9"/>
  <c r="C408" i="9"/>
  <c r="B408" i="9"/>
  <c r="E407" i="9"/>
  <c r="C407" i="9"/>
  <c r="B407" i="9"/>
  <c r="E406" i="9"/>
  <c r="C406" i="9"/>
  <c r="B406" i="9"/>
  <c r="E405" i="9"/>
  <c r="C405" i="9"/>
  <c r="B405" i="9"/>
  <c r="E404" i="9"/>
  <c r="C404" i="9"/>
  <c r="B404" i="9"/>
  <c r="E403" i="9"/>
  <c r="C403" i="9"/>
  <c r="B403" i="9"/>
  <c r="E402" i="9"/>
  <c r="C402" i="9"/>
  <c r="B402" i="9"/>
  <c r="E401" i="9"/>
  <c r="C401" i="9"/>
  <c r="B401" i="9"/>
  <c r="E400" i="9"/>
  <c r="C400" i="9"/>
  <c r="B400" i="9"/>
  <c r="E399" i="9"/>
  <c r="C399" i="9"/>
  <c r="B399" i="9"/>
  <c r="E398" i="9"/>
  <c r="C398" i="9"/>
  <c r="B398" i="9"/>
  <c r="E397" i="9"/>
  <c r="C397" i="9"/>
  <c r="B397" i="9"/>
  <c r="E396" i="9"/>
  <c r="C396" i="9"/>
  <c r="B396" i="9"/>
  <c r="E395" i="9"/>
  <c r="C395" i="9"/>
  <c r="B395" i="9"/>
  <c r="E394" i="9"/>
  <c r="C394" i="9"/>
  <c r="B394" i="9"/>
  <c r="E393" i="9"/>
  <c r="C393" i="9"/>
  <c r="B393" i="9"/>
  <c r="E392" i="9"/>
  <c r="C392" i="9"/>
  <c r="B392" i="9"/>
  <c r="E391" i="9"/>
  <c r="C391" i="9"/>
  <c r="B391" i="9"/>
  <c r="E390" i="9"/>
  <c r="C390" i="9"/>
  <c r="B390" i="9"/>
  <c r="E389" i="9"/>
  <c r="C389" i="9"/>
  <c r="B389" i="9"/>
  <c r="E388" i="9"/>
  <c r="C388" i="9"/>
  <c r="B388" i="9"/>
  <c r="E387" i="9"/>
  <c r="C387" i="9"/>
  <c r="B387" i="9"/>
  <c r="E386" i="9"/>
  <c r="C386" i="9"/>
  <c r="B386" i="9"/>
  <c r="E385" i="9"/>
  <c r="C385" i="9"/>
  <c r="B385" i="9"/>
  <c r="E384" i="9"/>
  <c r="C384" i="9"/>
  <c r="B384" i="9"/>
  <c r="E383" i="9"/>
  <c r="C383" i="9"/>
  <c r="B383" i="9"/>
  <c r="E382" i="9"/>
  <c r="C382" i="9"/>
  <c r="B382" i="9"/>
  <c r="E381" i="9"/>
  <c r="C381" i="9"/>
  <c r="B381" i="9"/>
  <c r="E380" i="9"/>
  <c r="C380" i="9"/>
  <c r="B380" i="9"/>
  <c r="E379" i="9"/>
  <c r="C379" i="9"/>
  <c r="B379" i="9"/>
  <c r="E378" i="9"/>
  <c r="C378" i="9"/>
  <c r="B378" i="9"/>
  <c r="E377" i="9"/>
  <c r="C377" i="9"/>
  <c r="B377" i="9"/>
  <c r="E376" i="9"/>
  <c r="C376" i="9"/>
  <c r="B376" i="9"/>
  <c r="E375" i="9"/>
  <c r="C375" i="9"/>
  <c r="B375" i="9"/>
  <c r="E374" i="9"/>
  <c r="C374" i="9"/>
  <c r="B374" i="9"/>
  <c r="E373" i="9"/>
  <c r="C373" i="9"/>
  <c r="B373" i="9"/>
  <c r="E372" i="9"/>
  <c r="C372" i="9"/>
  <c r="B372" i="9"/>
  <c r="E371" i="9"/>
  <c r="C371" i="9"/>
  <c r="B371" i="9"/>
  <c r="E370" i="9"/>
  <c r="C370" i="9"/>
  <c r="B370" i="9"/>
  <c r="E369" i="9"/>
  <c r="C369" i="9"/>
  <c r="B369" i="9"/>
  <c r="E368" i="9"/>
  <c r="C368" i="9"/>
  <c r="B368" i="9"/>
  <c r="E367" i="9"/>
  <c r="C367" i="9"/>
  <c r="B367" i="9"/>
  <c r="E366" i="9"/>
  <c r="C366" i="9"/>
  <c r="B366" i="9"/>
  <c r="E365" i="9"/>
  <c r="C365" i="9"/>
  <c r="B365" i="9"/>
  <c r="E364" i="9"/>
  <c r="C364" i="9"/>
  <c r="B364" i="9"/>
  <c r="E363" i="9"/>
  <c r="C363" i="9"/>
  <c r="B363" i="9"/>
  <c r="E362" i="9"/>
  <c r="C362" i="9"/>
  <c r="B362" i="9"/>
  <c r="E361" i="9"/>
  <c r="C361" i="9"/>
  <c r="B361" i="9"/>
  <c r="E360" i="9"/>
  <c r="C360" i="9"/>
  <c r="B360" i="9"/>
  <c r="E359" i="9"/>
  <c r="C359" i="9"/>
  <c r="B359" i="9"/>
  <c r="E358" i="9"/>
  <c r="C358" i="9"/>
  <c r="B358" i="9"/>
  <c r="E357" i="9"/>
  <c r="C357" i="9"/>
  <c r="B357" i="9"/>
  <c r="E356" i="9"/>
  <c r="C356" i="9"/>
  <c r="B356" i="9"/>
  <c r="E355" i="9"/>
  <c r="C355" i="9"/>
  <c r="B355" i="9"/>
  <c r="E354" i="9"/>
  <c r="C354" i="9"/>
  <c r="B354" i="9"/>
  <c r="E353" i="9"/>
  <c r="C353" i="9"/>
  <c r="B353" i="9"/>
  <c r="E352" i="9"/>
  <c r="C352" i="9"/>
  <c r="B352" i="9"/>
  <c r="E351" i="9"/>
  <c r="C351" i="9"/>
  <c r="B351" i="9"/>
  <c r="E350" i="9"/>
  <c r="C350" i="9"/>
  <c r="B350" i="9"/>
  <c r="E349" i="9"/>
  <c r="C349" i="9"/>
  <c r="B349" i="9"/>
  <c r="E348" i="9"/>
  <c r="C348" i="9"/>
  <c r="B348" i="9"/>
  <c r="E347" i="9"/>
  <c r="C347" i="9"/>
  <c r="B347" i="9"/>
  <c r="E346" i="9"/>
  <c r="C346" i="9"/>
  <c r="B346" i="9"/>
  <c r="E345" i="9"/>
  <c r="C345" i="9"/>
  <c r="B345" i="9"/>
  <c r="E344" i="9"/>
  <c r="C344" i="9"/>
  <c r="B344" i="9"/>
  <c r="E343" i="9"/>
  <c r="C343" i="9"/>
  <c r="B343" i="9"/>
  <c r="E342" i="9"/>
  <c r="C342" i="9"/>
  <c r="B342" i="9"/>
  <c r="E341" i="9"/>
  <c r="C341" i="9"/>
  <c r="B341" i="9"/>
  <c r="E340" i="9"/>
  <c r="C340" i="9"/>
  <c r="B340" i="9"/>
  <c r="E339" i="9"/>
  <c r="C339" i="9"/>
  <c r="B339" i="9"/>
  <c r="E338" i="9"/>
  <c r="C338" i="9"/>
  <c r="B338" i="9"/>
  <c r="E337" i="9"/>
  <c r="C337" i="9"/>
  <c r="B337" i="9"/>
  <c r="E336" i="9"/>
  <c r="C336" i="9"/>
  <c r="B336" i="9"/>
  <c r="E335" i="9"/>
  <c r="C335" i="9"/>
  <c r="B335" i="9"/>
  <c r="E334" i="9"/>
  <c r="C334" i="9"/>
  <c r="B334" i="9"/>
  <c r="E333" i="9"/>
  <c r="C333" i="9"/>
  <c r="B333" i="9"/>
  <c r="E332" i="9"/>
  <c r="C332" i="9"/>
  <c r="B332" i="9"/>
  <c r="E331" i="9"/>
  <c r="C331" i="9"/>
  <c r="B331" i="9"/>
  <c r="E330" i="9"/>
  <c r="C330" i="9"/>
  <c r="B330" i="9"/>
  <c r="E329" i="9"/>
  <c r="C329" i="9"/>
  <c r="B329" i="9"/>
  <c r="E328" i="9"/>
  <c r="C328" i="9"/>
  <c r="B328" i="9"/>
  <c r="E327" i="9"/>
  <c r="C327" i="9"/>
  <c r="B327" i="9"/>
  <c r="E326" i="9"/>
  <c r="C326" i="9"/>
  <c r="B326" i="9"/>
  <c r="E325" i="9"/>
  <c r="C325" i="9"/>
  <c r="B325" i="9"/>
  <c r="E324" i="9"/>
  <c r="C324" i="9"/>
  <c r="B324" i="9"/>
  <c r="E323" i="9"/>
  <c r="C323" i="9"/>
  <c r="B323" i="9"/>
  <c r="E322" i="9"/>
  <c r="C322" i="9"/>
  <c r="B322" i="9"/>
  <c r="E321" i="9"/>
  <c r="C321" i="9"/>
  <c r="B321" i="9"/>
  <c r="E320" i="9"/>
  <c r="C320" i="9"/>
  <c r="B320" i="9"/>
  <c r="E319" i="9"/>
  <c r="C319" i="9"/>
  <c r="B319" i="9"/>
  <c r="E318" i="9"/>
  <c r="C318" i="9"/>
  <c r="B318" i="9"/>
  <c r="E317" i="9"/>
  <c r="C317" i="9"/>
  <c r="B317" i="9"/>
  <c r="E316" i="9"/>
  <c r="C316" i="9"/>
  <c r="B316" i="9"/>
  <c r="E315" i="9"/>
  <c r="C315" i="9"/>
  <c r="B315" i="9"/>
  <c r="E314" i="9"/>
  <c r="C314" i="9"/>
  <c r="B314" i="9"/>
  <c r="E313" i="9"/>
  <c r="C313" i="9"/>
  <c r="B313" i="9"/>
  <c r="E312" i="9"/>
  <c r="C312" i="9"/>
  <c r="B312" i="9"/>
  <c r="E311" i="9"/>
  <c r="C311" i="9"/>
  <c r="B311" i="9"/>
  <c r="E310" i="9"/>
  <c r="C310" i="9"/>
  <c r="B310" i="9"/>
  <c r="E309" i="9"/>
  <c r="C309" i="9"/>
  <c r="B309" i="9"/>
  <c r="E308" i="9"/>
  <c r="C308" i="9"/>
  <c r="B308" i="9"/>
  <c r="E307" i="9"/>
  <c r="C307" i="9"/>
  <c r="B307" i="9"/>
  <c r="E306" i="9"/>
  <c r="C306" i="9"/>
  <c r="B306" i="9"/>
  <c r="E305" i="9"/>
  <c r="C305" i="9"/>
  <c r="B305" i="9"/>
  <c r="E304" i="9"/>
  <c r="C304" i="9"/>
  <c r="B304" i="9"/>
  <c r="E303" i="9"/>
  <c r="C303" i="9"/>
  <c r="B303" i="9"/>
  <c r="E302" i="9"/>
  <c r="C302" i="9"/>
  <c r="B302" i="9"/>
  <c r="E301" i="9"/>
  <c r="C301" i="9"/>
  <c r="B301" i="9"/>
  <c r="E300" i="9"/>
  <c r="C300" i="9"/>
  <c r="B300" i="9"/>
  <c r="E299" i="9"/>
  <c r="C299" i="9"/>
  <c r="B299" i="9"/>
  <c r="E298" i="9"/>
  <c r="C298" i="9"/>
  <c r="B298" i="9"/>
  <c r="E297" i="9"/>
  <c r="C297" i="9"/>
  <c r="B297" i="9"/>
  <c r="E296" i="9"/>
  <c r="C296" i="9"/>
  <c r="B296" i="9"/>
  <c r="E295" i="9"/>
  <c r="C295" i="9"/>
  <c r="B295" i="9"/>
  <c r="E294" i="9"/>
  <c r="C294" i="9"/>
  <c r="B294" i="9"/>
  <c r="E293" i="9"/>
  <c r="C293" i="9"/>
  <c r="B293" i="9"/>
  <c r="E292" i="9"/>
  <c r="C292" i="9"/>
  <c r="B292" i="9"/>
  <c r="E291" i="9"/>
  <c r="C291" i="9"/>
  <c r="B291" i="9"/>
  <c r="E290" i="9"/>
  <c r="C290" i="9"/>
  <c r="B290" i="9"/>
  <c r="E289" i="9"/>
  <c r="C289" i="9"/>
  <c r="B289" i="9"/>
  <c r="E288" i="9"/>
  <c r="C288" i="9"/>
  <c r="B288" i="9"/>
  <c r="E287" i="9"/>
  <c r="C287" i="9"/>
  <c r="B287" i="9"/>
  <c r="E286" i="9"/>
  <c r="C286" i="9"/>
  <c r="B286" i="9"/>
  <c r="E285" i="9"/>
  <c r="C285" i="9"/>
  <c r="B285" i="9"/>
  <c r="E284" i="9"/>
  <c r="C284" i="9"/>
  <c r="B284" i="9"/>
  <c r="E283" i="9"/>
  <c r="C283" i="9"/>
  <c r="B283" i="9"/>
  <c r="E282" i="9"/>
  <c r="C282" i="9"/>
  <c r="B282" i="9"/>
  <c r="E281" i="9"/>
  <c r="C281" i="9"/>
  <c r="B281" i="9"/>
  <c r="E280" i="9"/>
  <c r="C280" i="9"/>
  <c r="B280" i="9"/>
  <c r="E279" i="9"/>
  <c r="C279" i="9"/>
  <c r="B279" i="9"/>
  <c r="E278" i="9"/>
  <c r="C278" i="9"/>
  <c r="B278" i="9"/>
  <c r="E277" i="9"/>
  <c r="C277" i="9"/>
  <c r="B277" i="9"/>
  <c r="E276" i="9"/>
  <c r="C276" i="9"/>
  <c r="B276" i="9"/>
  <c r="E275" i="9"/>
  <c r="C275" i="9"/>
  <c r="B275" i="9"/>
  <c r="E274" i="9"/>
  <c r="C274" i="9"/>
  <c r="B274" i="9"/>
  <c r="E273" i="9"/>
  <c r="C273" i="9"/>
  <c r="B273" i="9"/>
  <c r="E272" i="9"/>
  <c r="C272" i="9"/>
  <c r="B272" i="9"/>
  <c r="E271" i="9"/>
  <c r="C271" i="9"/>
  <c r="B271" i="9"/>
  <c r="E270" i="9"/>
  <c r="C270" i="9"/>
  <c r="B270" i="9"/>
  <c r="E269" i="9"/>
  <c r="C269" i="9"/>
  <c r="B269" i="9"/>
  <c r="E268" i="9"/>
  <c r="C268" i="9"/>
  <c r="B268" i="9"/>
  <c r="E267" i="9"/>
  <c r="C267" i="9"/>
  <c r="B267" i="9"/>
  <c r="E266" i="9"/>
  <c r="C266" i="9"/>
  <c r="B266" i="9"/>
  <c r="E265" i="9"/>
  <c r="C265" i="9"/>
  <c r="B265" i="9"/>
  <c r="E264" i="9"/>
  <c r="C264" i="9"/>
  <c r="B264" i="9"/>
  <c r="E263" i="9"/>
  <c r="C263" i="9"/>
  <c r="B263" i="9"/>
  <c r="E262" i="9"/>
  <c r="C262" i="9"/>
  <c r="B262" i="9"/>
  <c r="E261" i="9"/>
  <c r="C261" i="9"/>
  <c r="B261" i="9"/>
  <c r="E260" i="9"/>
  <c r="C260" i="9"/>
  <c r="B260" i="9"/>
  <c r="E259" i="9"/>
  <c r="C259" i="9"/>
  <c r="B259" i="9"/>
  <c r="E258" i="9"/>
  <c r="C258" i="9"/>
  <c r="B258" i="9"/>
  <c r="E257" i="9"/>
  <c r="C257" i="9"/>
  <c r="B257" i="9"/>
  <c r="E256" i="9"/>
  <c r="C256" i="9"/>
  <c r="B256" i="9"/>
  <c r="E255" i="9"/>
  <c r="C255" i="9"/>
  <c r="B255" i="9"/>
  <c r="E254" i="9"/>
  <c r="C254" i="9"/>
  <c r="B254" i="9"/>
  <c r="E253" i="9"/>
  <c r="C253" i="9"/>
  <c r="B253" i="9"/>
  <c r="E252" i="9"/>
  <c r="C252" i="9"/>
  <c r="B252" i="9"/>
  <c r="E251" i="9"/>
  <c r="C251" i="9"/>
  <c r="B251" i="9"/>
  <c r="E250" i="9"/>
  <c r="C250" i="9"/>
  <c r="B250" i="9"/>
  <c r="E249" i="9"/>
  <c r="C249" i="9"/>
  <c r="B249" i="9"/>
  <c r="E248" i="9"/>
  <c r="C248" i="9"/>
  <c r="B248" i="9"/>
  <c r="E247" i="9"/>
  <c r="C247" i="9"/>
  <c r="B247" i="9"/>
  <c r="E246" i="9"/>
  <c r="C246" i="9"/>
  <c r="B246" i="9"/>
  <c r="E245" i="9"/>
  <c r="C245" i="9"/>
  <c r="B245" i="9"/>
  <c r="E244" i="9"/>
  <c r="C244" i="9"/>
  <c r="B244" i="9"/>
  <c r="E243" i="9"/>
  <c r="C243" i="9"/>
  <c r="B243" i="9"/>
  <c r="E242" i="9"/>
  <c r="C242" i="9"/>
  <c r="B242" i="9"/>
  <c r="E241" i="9"/>
  <c r="C241" i="9"/>
  <c r="B241" i="9"/>
  <c r="E240" i="9"/>
  <c r="C240" i="9"/>
  <c r="B240" i="9"/>
  <c r="E239" i="9"/>
  <c r="C239" i="9"/>
  <c r="B239" i="9"/>
  <c r="E238" i="9"/>
  <c r="C238" i="9"/>
  <c r="B238" i="9"/>
  <c r="E237" i="9"/>
  <c r="C237" i="9"/>
  <c r="B237" i="9"/>
  <c r="E236" i="9"/>
  <c r="C236" i="9"/>
  <c r="B236" i="9"/>
  <c r="E235" i="9"/>
  <c r="C235" i="9"/>
  <c r="B235" i="9"/>
  <c r="E234" i="9"/>
  <c r="C234" i="9"/>
  <c r="B234" i="9"/>
  <c r="E233" i="9"/>
  <c r="C233" i="9"/>
  <c r="B233" i="9"/>
  <c r="E232" i="9"/>
  <c r="C232" i="9"/>
  <c r="B232" i="9"/>
  <c r="E231" i="9"/>
  <c r="C231" i="9"/>
  <c r="B231" i="9"/>
  <c r="E230" i="9"/>
  <c r="C230" i="9"/>
  <c r="B230" i="9"/>
  <c r="E229" i="9"/>
  <c r="C229" i="9"/>
  <c r="B229" i="9"/>
  <c r="E228" i="9"/>
  <c r="C228" i="9"/>
  <c r="B228" i="9"/>
  <c r="E227" i="9"/>
  <c r="C227" i="9"/>
  <c r="B227" i="9"/>
  <c r="E226" i="9"/>
  <c r="C226" i="9"/>
  <c r="B226" i="9"/>
  <c r="E225" i="9"/>
  <c r="C225" i="9"/>
  <c r="B225" i="9"/>
  <c r="E224" i="9"/>
  <c r="C224" i="9"/>
  <c r="B224" i="9"/>
  <c r="E223" i="9"/>
  <c r="C223" i="9"/>
  <c r="B223" i="9"/>
  <c r="E222" i="9"/>
  <c r="C222" i="9"/>
  <c r="B222" i="9"/>
  <c r="E221" i="9"/>
  <c r="C221" i="9"/>
  <c r="B221" i="9"/>
  <c r="E220" i="9"/>
  <c r="C220" i="9"/>
  <c r="B220" i="9"/>
  <c r="E219" i="9"/>
  <c r="C219" i="9"/>
  <c r="B219" i="9"/>
  <c r="E218" i="9"/>
  <c r="C218" i="9"/>
  <c r="B218" i="9"/>
  <c r="E217" i="9"/>
  <c r="C217" i="9"/>
  <c r="B217" i="9"/>
  <c r="E216" i="9"/>
  <c r="C216" i="9"/>
  <c r="B216" i="9"/>
  <c r="E215" i="9"/>
  <c r="C215" i="9"/>
  <c r="B215" i="9"/>
  <c r="E214" i="9"/>
  <c r="C214" i="9"/>
  <c r="B214" i="9"/>
  <c r="E213" i="9"/>
  <c r="C213" i="9"/>
  <c r="B213" i="9"/>
  <c r="E212" i="9"/>
  <c r="C212" i="9"/>
  <c r="B212" i="9"/>
  <c r="E211" i="9"/>
  <c r="C211" i="9"/>
  <c r="B211" i="9"/>
  <c r="E210" i="9"/>
  <c r="C210" i="9"/>
  <c r="B210" i="9"/>
  <c r="E209" i="9"/>
  <c r="C209" i="9"/>
  <c r="B209" i="9"/>
  <c r="E208" i="9"/>
  <c r="C208" i="9"/>
  <c r="B208" i="9"/>
  <c r="E207" i="9"/>
  <c r="C207" i="9"/>
  <c r="B207" i="9"/>
  <c r="E206" i="9"/>
  <c r="C206" i="9"/>
  <c r="B206" i="9"/>
  <c r="E205" i="9"/>
  <c r="C205" i="9"/>
  <c r="B205" i="9"/>
  <c r="E204" i="9"/>
  <c r="C204" i="9"/>
  <c r="B204" i="9"/>
  <c r="E203" i="9"/>
  <c r="C203" i="9"/>
  <c r="B203" i="9"/>
  <c r="E202" i="9"/>
  <c r="C202" i="9"/>
  <c r="B202" i="9"/>
  <c r="E201" i="9"/>
  <c r="C201" i="9"/>
  <c r="B201" i="9"/>
  <c r="E200" i="9"/>
  <c r="C200" i="9"/>
  <c r="B200" i="9"/>
  <c r="E199" i="9"/>
  <c r="C199" i="9"/>
  <c r="B199" i="9"/>
  <c r="E198" i="9"/>
  <c r="C198" i="9"/>
  <c r="B198" i="9"/>
  <c r="E197" i="9"/>
  <c r="C197" i="9"/>
  <c r="B197" i="9"/>
  <c r="E196" i="9"/>
  <c r="C196" i="9"/>
  <c r="B196" i="9"/>
  <c r="E195" i="9"/>
  <c r="C195" i="9"/>
  <c r="B195" i="9"/>
  <c r="E194" i="9"/>
  <c r="C194" i="9"/>
  <c r="B194" i="9"/>
  <c r="E193" i="9"/>
  <c r="C193" i="9"/>
  <c r="B193" i="9"/>
  <c r="E192" i="9"/>
  <c r="C192" i="9"/>
  <c r="B192" i="9"/>
  <c r="E191" i="9"/>
  <c r="C191" i="9"/>
  <c r="B191" i="9"/>
  <c r="E190" i="9"/>
  <c r="C190" i="9"/>
  <c r="B190" i="9"/>
  <c r="E189" i="9"/>
  <c r="C189" i="9"/>
  <c r="B189" i="9"/>
  <c r="E188" i="9"/>
  <c r="C188" i="9"/>
  <c r="B188" i="9"/>
  <c r="E187" i="9"/>
  <c r="C187" i="9"/>
  <c r="B187" i="9"/>
  <c r="E186" i="9"/>
  <c r="C186" i="9"/>
  <c r="B186" i="9"/>
  <c r="E185" i="9"/>
  <c r="C185" i="9"/>
  <c r="B185" i="9"/>
  <c r="E184" i="9"/>
  <c r="C184" i="9"/>
  <c r="B184" i="9"/>
  <c r="E183" i="9"/>
  <c r="C183" i="9"/>
  <c r="B183" i="9"/>
  <c r="E182" i="9"/>
  <c r="C182" i="9"/>
  <c r="B182" i="9"/>
  <c r="E181" i="9"/>
  <c r="C181" i="9"/>
  <c r="B181" i="9"/>
  <c r="E180" i="9"/>
  <c r="C180" i="9"/>
  <c r="B180" i="9"/>
  <c r="E179" i="9"/>
  <c r="C179" i="9"/>
  <c r="B179" i="9"/>
  <c r="E178" i="9"/>
  <c r="C178" i="9"/>
  <c r="B178" i="9"/>
  <c r="E177" i="9"/>
  <c r="C177" i="9"/>
  <c r="B177" i="9"/>
  <c r="E176" i="9"/>
  <c r="C176" i="9"/>
  <c r="B176" i="9"/>
  <c r="E175" i="9"/>
  <c r="C175" i="9"/>
  <c r="B175" i="9"/>
  <c r="E174" i="9"/>
  <c r="C174" i="9"/>
  <c r="B174" i="9"/>
  <c r="E173" i="9"/>
  <c r="C173" i="9"/>
  <c r="B173" i="9"/>
  <c r="E172" i="9"/>
  <c r="C172" i="9"/>
  <c r="B172" i="9"/>
  <c r="E171" i="9"/>
  <c r="C171" i="9"/>
  <c r="B171" i="9"/>
  <c r="E170" i="9"/>
  <c r="C170" i="9"/>
  <c r="B170" i="9"/>
  <c r="E169" i="9"/>
  <c r="C169" i="9"/>
  <c r="B169" i="9"/>
  <c r="E168" i="9"/>
  <c r="C168" i="9"/>
  <c r="B168" i="9"/>
  <c r="E167" i="9"/>
  <c r="C167" i="9"/>
  <c r="B167" i="9"/>
  <c r="E166" i="9"/>
  <c r="C166" i="9"/>
  <c r="B166" i="9"/>
  <c r="E165" i="9"/>
  <c r="C165" i="9"/>
  <c r="B165" i="9"/>
  <c r="E164" i="9"/>
  <c r="C164" i="9"/>
  <c r="B164" i="9"/>
  <c r="E163" i="9"/>
  <c r="C163" i="9"/>
  <c r="B163" i="9"/>
  <c r="E162" i="9"/>
  <c r="C162" i="9"/>
  <c r="B162" i="9"/>
  <c r="E161" i="9"/>
  <c r="C161" i="9"/>
  <c r="B161" i="9"/>
  <c r="E160" i="9"/>
  <c r="C160" i="9"/>
  <c r="B160" i="9"/>
  <c r="E159" i="9"/>
  <c r="C159" i="9"/>
  <c r="B159" i="9"/>
  <c r="E158" i="9"/>
  <c r="C158" i="9"/>
  <c r="B158" i="9"/>
  <c r="E157" i="9"/>
  <c r="C157" i="9"/>
  <c r="B157" i="9"/>
  <c r="E156" i="9"/>
  <c r="C156" i="9"/>
  <c r="B156" i="9"/>
  <c r="E155" i="9"/>
  <c r="C155" i="9"/>
  <c r="B155" i="9"/>
  <c r="E154" i="9"/>
  <c r="C154" i="9"/>
  <c r="B154" i="9"/>
  <c r="E153" i="9"/>
  <c r="C153" i="9"/>
  <c r="B153" i="9"/>
  <c r="E152" i="9"/>
  <c r="C152" i="9"/>
  <c r="B152" i="9"/>
  <c r="E151" i="9"/>
  <c r="C151" i="9"/>
  <c r="B151" i="9"/>
  <c r="E150" i="9"/>
  <c r="C150" i="9"/>
  <c r="B150" i="9"/>
  <c r="E149" i="9"/>
  <c r="C149" i="9"/>
  <c r="B149" i="9"/>
  <c r="E148" i="9"/>
  <c r="C148" i="9"/>
  <c r="B148" i="9"/>
  <c r="E147" i="9"/>
  <c r="C147" i="9"/>
  <c r="B147" i="9"/>
  <c r="E146" i="9"/>
  <c r="C146" i="9"/>
  <c r="B146" i="9"/>
  <c r="E145" i="9"/>
  <c r="C145" i="9"/>
  <c r="B145" i="9"/>
  <c r="E144" i="9"/>
  <c r="C144" i="9"/>
  <c r="B144" i="9"/>
  <c r="E143" i="9"/>
  <c r="C143" i="9"/>
  <c r="B143" i="9"/>
  <c r="E142" i="9"/>
  <c r="C142" i="9"/>
  <c r="B142" i="9"/>
  <c r="E141" i="9"/>
  <c r="C141" i="9"/>
  <c r="B141" i="9"/>
  <c r="E140" i="9"/>
  <c r="C140" i="9"/>
  <c r="B140" i="9"/>
  <c r="E139" i="9"/>
  <c r="C139" i="9"/>
  <c r="B139" i="9"/>
  <c r="E138" i="9"/>
  <c r="C138" i="9"/>
  <c r="B138" i="9"/>
  <c r="E137" i="9"/>
  <c r="C137" i="9"/>
  <c r="B137" i="9"/>
  <c r="E136" i="9"/>
  <c r="C136" i="9"/>
  <c r="B136" i="9"/>
  <c r="E135" i="9"/>
  <c r="C135" i="9"/>
  <c r="B135" i="9"/>
  <c r="E134" i="9"/>
  <c r="C134" i="9"/>
  <c r="B134" i="9"/>
  <c r="E133" i="9"/>
  <c r="C133" i="9"/>
  <c r="B133" i="9"/>
  <c r="E132" i="9"/>
  <c r="C132" i="9"/>
  <c r="B132" i="9"/>
  <c r="E131" i="9"/>
  <c r="C131" i="9"/>
  <c r="B131" i="9"/>
  <c r="E130" i="9"/>
  <c r="C130" i="9"/>
  <c r="B130" i="9"/>
  <c r="E129" i="9"/>
  <c r="C129" i="9"/>
  <c r="B129" i="9"/>
  <c r="E128" i="9"/>
  <c r="C128" i="9"/>
  <c r="B128" i="9"/>
  <c r="E127" i="9"/>
  <c r="C127" i="9"/>
  <c r="B127" i="9"/>
  <c r="E126" i="9"/>
  <c r="C126" i="9"/>
  <c r="B126" i="9"/>
  <c r="E125" i="9"/>
  <c r="C125" i="9"/>
  <c r="B125" i="9"/>
  <c r="E124" i="9"/>
  <c r="C124" i="9"/>
  <c r="B124" i="9"/>
  <c r="E123" i="9"/>
  <c r="C123" i="9"/>
  <c r="B123" i="9"/>
  <c r="E122" i="9"/>
  <c r="C122" i="9"/>
  <c r="B122" i="9"/>
  <c r="E121" i="9"/>
  <c r="C121" i="9"/>
  <c r="B121" i="9"/>
  <c r="E120" i="9"/>
  <c r="C120" i="9"/>
  <c r="B120" i="9"/>
  <c r="E119" i="9"/>
  <c r="C119" i="9"/>
  <c r="B119" i="9"/>
  <c r="E118" i="9"/>
  <c r="C118" i="9"/>
  <c r="B118" i="9"/>
  <c r="E117" i="9"/>
  <c r="C117" i="9"/>
  <c r="B117" i="9"/>
  <c r="E116" i="9"/>
  <c r="C116" i="9"/>
  <c r="B116" i="9"/>
  <c r="E115" i="9"/>
  <c r="C115" i="9"/>
  <c r="B115" i="9"/>
  <c r="E114" i="9"/>
  <c r="C114" i="9"/>
  <c r="B114" i="9"/>
  <c r="E113" i="9"/>
  <c r="C113" i="9"/>
  <c r="B113" i="9"/>
  <c r="E112" i="9"/>
  <c r="C112" i="9"/>
  <c r="B112" i="9"/>
  <c r="E111" i="9"/>
  <c r="C111" i="9"/>
  <c r="B111" i="9"/>
  <c r="E110" i="9"/>
  <c r="C110" i="9"/>
  <c r="B110" i="9"/>
  <c r="E109" i="9"/>
  <c r="C109" i="9"/>
  <c r="B109" i="9"/>
  <c r="E108" i="9"/>
  <c r="C108" i="9"/>
  <c r="B108" i="9"/>
  <c r="E107" i="9"/>
  <c r="C107" i="9"/>
  <c r="B107" i="9"/>
  <c r="E106" i="9"/>
  <c r="C106" i="9"/>
  <c r="B106" i="9"/>
  <c r="E105" i="9"/>
  <c r="C105" i="9"/>
  <c r="B105" i="9"/>
  <c r="E104" i="9"/>
  <c r="C104" i="9"/>
  <c r="B104" i="9"/>
  <c r="E103" i="9"/>
  <c r="C103" i="9"/>
  <c r="B103" i="9"/>
  <c r="E102" i="9"/>
  <c r="C102" i="9"/>
  <c r="B102" i="9"/>
  <c r="E101" i="9"/>
  <c r="C101" i="9"/>
  <c r="B101" i="9"/>
  <c r="E100" i="9"/>
  <c r="C100" i="9"/>
  <c r="B100" i="9"/>
  <c r="E99" i="9"/>
  <c r="C99" i="9"/>
  <c r="B99" i="9"/>
  <c r="E98" i="9"/>
  <c r="C98" i="9"/>
  <c r="B98" i="9"/>
  <c r="E97" i="9"/>
  <c r="C97" i="9"/>
  <c r="B97" i="9"/>
  <c r="E96" i="9"/>
  <c r="C96" i="9"/>
  <c r="B96" i="9"/>
  <c r="E95" i="9"/>
  <c r="C95" i="9"/>
  <c r="B95" i="9"/>
  <c r="E94" i="9"/>
  <c r="C94" i="9"/>
  <c r="B94" i="9"/>
  <c r="E93" i="9"/>
  <c r="C93" i="9"/>
  <c r="B93" i="9"/>
  <c r="E92" i="9"/>
  <c r="C92" i="9"/>
  <c r="B92" i="9"/>
  <c r="E91" i="9"/>
  <c r="C91" i="9"/>
  <c r="B91" i="9"/>
  <c r="E90" i="9"/>
  <c r="C90" i="9"/>
  <c r="B90" i="9"/>
  <c r="E89" i="9"/>
  <c r="C89" i="9"/>
  <c r="B89" i="9"/>
  <c r="E88" i="9"/>
  <c r="C88" i="9"/>
  <c r="B88" i="9"/>
  <c r="E87" i="9"/>
  <c r="C87" i="9"/>
  <c r="B87" i="9"/>
  <c r="E86" i="9"/>
  <c r="C86" i="9"/>
  <c r="B86" i="9"/>
  <c r="E85" i="9"/>
  <c r="C85" i="9"/>
  <c r="B85" i="9"/>
  <c r="E84" i="9"/>
  <c r="C84" i="9"/>
  <c r="B84" i="9"/>
  <c r="E83" i="9"/>
  <c r="C83" i="9"/>
  <c r="B83" i="9"/>
  <c r="E82" i="9"/>
  <c r="C82" i="9"/>
  <c r="B82" i="9"/>
  <c r="E81" i="9"/>
  <c r="C81" i="9"/>
  <c r="B81" i="9"/>
  <c r="E80" i="9"/>
  <c r="C80" i="9"/>
  <c r="B80" i="9"/>
  <c r="E79" i="9"/>
  <c r="C79" i="9"/>
  <c r="B79" i="9"/>
  <c r="E78" i="9"/>
  <c r="C78" i="9"/>
  <c r="B78" i="9"/>
  <c r="E77" i="9"/>
  <c r="C77" i="9"/>
  <c r="B77" i="9"/>
  <c r="E76" i="9"/>
  <c r="C76" i="9"/>
  <c r="B76" i="9"/>
  <c r="E75" i="9"/>
  <c r="C75" i="9"/>
  <c r="B75" i="9"/>
  <c r="E74" i="9"/>
  <c r="C74" i="9"/>
  <c r="B74" i="9"/>
  <c r="E73" i="9"/>
  <c r="C73" i="9"/>
  <c r="B73" i="9"/>
  <c r="E72" i="9"/>
  <c r="C72" i="9"/>
  <c r="B72" i="9"/>
  <c r="E71" i="9"/>
  <c r="C71" i="9"/>
  <c r="B71" i="9"/>
  <c r="E70" i="9"/>
  <c r="C70" i="9"/>
  <c r="B70" i="9"/>
  <c r="E69" i="9"/>
  <c r="C69" i="9"/>
  <c r="B69" i="9"/>
  <c r="E68" i="9"/>
  <c r="C68" i="9"/>
  <c r="B68" i="9"/>
  <c r="E67" i="9"/>
  <c r="C67" i="9"/>
  <c r="B67" i="9"/>
  <c r="E66" i="9"/>
  <c r="C66" i="9"/>
  <c r="B66" i="9"/>
  <c r="E65" i="9"/>
  <c r="C65" i="9"/>
  <c r="B65" i="9"/>
  <c r="E64" i="9"/>
  <c r="C64" i="9"/>
  <c r="B64" i="9"/>
  <c r="E63" i="9"/>
  <c r="C63" i="9"/>
  <c r="B63" i="9"/>
  <c r="E62" i="9"/>
  <c r="C62" i="9"/>
  <c r="B62" i="9"/>
  <c r="E61" i="9"/>
  <c r="C61" i="9"/>
  <c r="B61" i="9"/>
  <c r="E60" i="9"/>
  <c r="C60" i="9"/>
  <c r="B60" i="9"/>
  <c r="E59" i="9"/>
  <c r="C59" i="9"/>
  <c r="B59" i="9"/>
  <c r="E58" i="9"/>
  <c r="C58" i="9"/>
  <c r="B58" i="9"/>
  <c r="E57" i="9"/>
  <c r="C57" i="9"/>
  <c r="B57" i="9"/>
  <c r="E56" i="9"/>
  <c r="C56" i="9"/>
  <c r="B56" i="9"/>
  <c r="E55" i="9"/>
  <c r="C55" i="9"/>
  <c r="B55" i="9"/>
  <c r="E54" i="9"/>
  <c r="C54" i="9"/>
  <c r="B54" i="9"/>
  <c r="E53" i="9"/>
  <c r="C53" i="9"/>
  <c r="B53" i="9"/>
  <c r="E52" i="9"/>
  <c r="C52" i="9"/>
  <c r="B52" i="9"/>
  <c r="E51" i="9"/>
  <c r="C51" i="9"/>
  <c r="B51" i="9"/>
  <c r="E50" i="9"/>
  <c r="C50" i="9"/>
  <c r="B50" i="9"/>
  <c r="E49" i="9"/>
  <c r="C49" i="9"/>
  <c r="B49" i="9"/>
  <c r="E48" i="9"/>
  <c r="C48" i="9"/>
  <c r="B48" i="9"/>
  <c r="E47" i="9"/>
  <c r="C47" i="9"/>
  <c r="B47" i="9"/>
  <c r="E46" i="9"/>
  <c r="C46" i="9"/>
  <c r="B46" i="9"/>
  <c r="E45" i="9"/>
  <c r="C45" i="9"/>
  <c r="B45" i="9"/>
  <c r="E44" i="9"/>
  <c r="C44" i="9"/>
  <c r="B44" i="9"/>
  <c r="E43" i="9"/>
  <c r="C43" i="9"/>
  <c r="B43" i="9"/>
  <c r="E42" i="9"/>
  <c r="C42" i="9"/>
  <c r="B42" i="9"/>
  <c r="E41" i="9"/>
  <c r="C41" i="9"/>
  <c r="B41" i="9"/>
  <c r="E40" i="9"/>
  <c r="C40" i="9"/>
  <c r="B40" i="9"/>
  <c r="E39" i="9"/>
  <c r="C39" i="9"/>
  <c r="B39" i="9"/>
  <c r="E38" i="9"/>
  <c r="C38" i="9"/>
  <c r="B38" i="9"/>
  <c r="E37" i="9"/>
  <c r="C37" i="9"/>
  <c r="B37" i="9"/>
  <c r="E36" i="9"/>
  <c r="C36" i="9"/>
  <c r="B36" i="9"/>
  <c r="E35" i="9"/>
  <c r="C35" i="9"/>
  <c r="B35" i="9"/>
  <c r="E34" i="9"/>
  <c r="C34" i="9"/>
  <c r="B34" i="9"/>
  <c r="E33" i="9"/>
  <c r="C33" i="9"/>
  <c r="B33" i="9"/>
  <c r="E32" i="9"/>
  <c r="C32" i="9"/>
  <c r="B32" i="9"/>
  <c r="E31" i="9"/>
  <c r="C31" i="9"/>
  <c r="B31" i="9"/>
  <c r="E30" i="9"/>
  <c r="C30" i="9"/>
  <c r="B30" i="9"/>
  <c r="E29" i="9"/>
  <c r="C29" i="9"/>
  <c r="B29" i="9"/>
  <c r="E28" i="9"/>
  <c r="C28" i="9"/>
  <c r="B28" i="9"/>
  <c r="E27" i="9"/>
  <c r="C27" i="9"/>
  <c r="B27" i="9"/>
  <c r="E26" i="9"/>
  <c r="C26" i="9"/>
  <c r="B26" i="9"/>
  <c r="E25" i="9"/>
  <c r="C25" i="9"/>
  <c r="B25" i="9"/>
  <c r="E24" i="9"/>
  <c r="C24" i="9"/>
  <c r="B24" i="9"/>
  <c r="E23" i="9"/>
  <c r="C23" i="9"/>
  <c r="B23" i="9"/>
  <c r="E22" i="9"/>
  <c r="C22" i="9"/>
  <c r="B22" i="9"/>
  <c r="E21" i="9"/>
  <c r="C21" i="9"/>
  <c r="B21" i="9"/>
  <c r="E20" i="9"/>
  <c r="C20" i="9"/>
  <c r="B20" i="9"/>
  <c r="E19" i="9"/>
  <c r="C19" i="9"/>
  <c r="B19" i="9"/>
  <c r="E18" i="9"/>
  <c r="C18" i="9"/>
  <c r="B18" i="9"/>
  <c r="E17" i="9"/>
  <c r="C17" i="9"/>
  <c r="B17" i="9"/>
  <c r="E16" i="9"/>
  <c r="C16" i="9"/>
  <c r="B16" i="9"/>
  <c r="E15" i="9"/>
  <c r="C15" i="9"/>
  <c r="B15" i="9"/>
  <c r="E14" i="9"/>
  <c r="C14" i="9"/>
  <c r="B14" i="9"/>
  <c r="E13" i="9"/>
  <c r="C13" i="9"/>
  <c r="B13" i="9"/>
  <c r="E12" i="9"/>
  <c r="C12" i="9"/>
  <c r="B12" i="9"/>
  <c r="E11" i="9"/>
  <c r="C11" i="9"/>
  <c r="B11" i="9"/>
  <c r="E10" i="9"/>
  <c r="C10" i="9"/>
  <c r="B10" i="9"/>
  <c r="E9" i="9"/>
  <c r="C9" i="9"/>
  <c r="B9" i="9"/>
  <c r="E8" i="9"/>
  <c r="C8" i="9"/>
  <c r="B8" i="9"/>
  <c r="E7" i="9"/>
  <c r="C7" i="9"/>
  <c r="B7" i="9"/>
  <c r="E6" i="9"/>
  <c r="C6" i="9"/>
  <c r="B6" i="9"/>
  <c r="E5" i="9"/>
  <c r="C5" i="9"/>
  <c r="B5" i="9"/>
  <c r="E4" i="9"/>
  <c r="C4" i="9"/>
  <c r="B4" i="9"/>
  <c r="E3" i="9"/>
  <c r="C3" i="9"/>
  <c r="B3" i="9"/>
  <c r="C742" i="8"/>
  <c r="B742" i="8"/>
  <c r="C741" i="8"/>
  <c r="B741" i="8"/>
  <c r="C740" i="8"/>
  <c r="B740" i="8"/>
  <c r="C739" i="8"/>
  <c r="B739" i="8"/>
  <c r="C738" i="8"/>
  <c r="B738" i="8"/>
  <c r="C737" i="8"/>
  <c r="B737" i="8"/>
  <c r="C736" i="8"/>
  <c r="B736" i="8"/>
  <c r="C735" i="8"/>
  <c r="B735" i="8"/>
  <c r="C734" i="8"/>
  <c r="B734" i="8"/>
  <c r="C733" i="8"/>
  <c r="B733" i="8"/>
  <c r="C732" i="8"/>
  <c r="B732" i="8"/>
  <c r="C731" i="8"/>
  <c r="B731" i="8"/>
  <c r="C730" i="8"/>
  <c r="B730" i="8"/>
  <c r="C729" i="8"/>
  <c r="B729" i="8"/>
  <c r="C728" i="8"/>
  <c r="B728" i="8"/>
  <c r="C727" i="8"/>
  <c r="B727" i="8"/>
  <c r="C726" i="8"/>
  <c r="B726" i="8"/>
  <c r="C725" i="8"/>
  <c r="B725" i="8"/>
  <c r="C724" i="8"/>
  <c r="B724" i="8"/>
  <c r="C723" i="8"/>
  <c r="B723" i="8"/>
  <c r="C722" i="8"/>
  <c r="B722" i="8"/>
  <c r="C721" i="8"/>
  <c r="B721" i="8"/>
  <c r="C720" i="8"/>
  <c r="B720" i="8"/>
  <c r="C719" i="8"/>
  <c r="B719" i="8"/>
  <c r="C718" i="8"/>
  <c r="B718" i="8"/>
  <c r="C717" i="8"/>
  <c r="B717" i="8"/>
  <c r="C716" i="8"/>
  <c r="B716" i="8"/>
  <c r="C715" i="8"/>
  <c r="B715" i="8"/>
  <c r="C714" i="8"/>
  <c r="B714" i="8"/>
  <c r="C713" i="8"/>
  <c r="B713" i="8"/>
  <c r="C712" i="8"/>
  <c r="B712" i="8"/>
  <c r="C711" i="8"/>
  <c r="B711" i="8"/>
  <c r="C710" i="8"/>
  <c r="B710" i="8"/>
  <c r="C709" i="8"/>
  <c r="B709" i="8"/>
  <c r="C708" i="8"/>
  <c r="B708" i="8"/>
  <c r="C707" i="8"/>
  <c r="B707" i="8"/>
  <c r="C706" i="8"/>
  <c r="B706" i="8"/>
  <c r="C705" i="8"/>
  <c r="B705" i="8"/>
  <c r="C704" i="8"/>
  <c r="B704" i="8"/>
  <c r="C703" i="8"/>
  <c r="B703" i="8"/>
  <c r="C702" i="8"/>
  <c r="B702" i="8"/>
  <c r="C701" i="8"/>
  <c r="B701" i="8"/>
  <c r="C700" i="8"/>
  <c r="B700" i="8"/>
  <c r="C699" i="8"/>
  <c r="B699" i="8"/>
  <c r="C698" i="8"/>
  <c r="B698" i="8"/>
  <c r="C697" i="8"/>
  <c r="B697" i="8"/>
  <c r="C696" i="8"/>
  <c r="B696" i="8"/>
  <c r="C695" i="8"/>
  <c r="B695" i="8"/>
  <c r="C694" i="8"/>
  <c r="B694" i="8"/>
  <c r="C693" i="8"/>
  <c r="B693" i="8"/>
  <c r="C692" i="8"/>
  <c r="B692" i="8"/>
  <c r="C691" i="8"/>
  <c r="B691" i="8"/>
  <c r="C690" i="8"/>
  <c r="B690" i="8"/>
  <c r="C689" i="8"/>
  <c r="B689" i="8"/>
  <c r="C688" i="8"/>
  <c r="B688" i="8"/>
  <c r="C687" i="8"/>
  <c r="B687" i="8"/>
  <c r="C686" i="8"/>
  <c r="B686" i="8"/>
  <c r="C685" i="8"/>
  <c r="B685" i="8"/>
  <c r="C684" i="8"/>
  <c r="B684" i="8"/>
  <c r="C683" i="8"/>
  <c r="B683" i="8"/>
  <c r="C682" i="8"/>
  <c r="B682" i="8"/>
  <c r="C681" i="8"/>
  <c r="B681" i="8"/>
  <c r="C680" i="8"/>
  <c r="B680" i="8"/>
  <c r="C679" i="8"/>
  <c r="B679" i="8"/>
  <c r="C678" i="8"/>
  <c r="B678" i="8"/>
  <c r="C677" i="8"/>
  <c r="B677" i="8"/>
  <c r="C676" i="8"/>
  <c r="B676" i="8"/>
  <c r="C675" i="8"/>
  <c r="B675" i="8"/>
  <c r="C674" i="8"/>
  <c r="B674" i="8"/>
  <c r="C673" i="8"/>
  <c r="B673" i="8"/>
  <c r="C672" i="8"/>
  <c r="B672" i="8"/>
  <c r="C671" i="8"/>
  <c r="B671" i="8"/>
  <c r="C670" i="8"/>
  <c r="B670" i="8"/>
  <c r="C669" i="8"/>
  <c r="B669" i="8"/>
  <c r="C668" i="8"/>
  <c r="B668" i="8"/>
  <c r="C667" i="8"/>
  <c r="B667" i="8"/>
  <c r="C666" i="8"/>
  <c r="B666" i="8"/>
  <c r="C665" i="8"/>
  <c r="B665" i="8"/>
  <c r="C664" i="8"/>
  <c r="B664" i="8"/>
  <c r="C663" i="8"/>
  <c r="B663" i="8"/>
  <c r="C662" i="8"/>
  <c r="B662" i="8"/>
  <c r="C661" i="8"/>
  <c r="B661" i="8"/>
  <c r="C660" i="8"/>
  <c r="B660" i="8"/>
  <c r="C659" i="8"/>
  <c r="B659" i="8"/>
  <c r="C658" i="8"/>
  <c r="B658" i="8"/>
  <c r="C657" i="8"/>
  <c r="B657" i="8"/>
  <c r="C656" i="8"/>
  <c r="B656" i="8"/>
  <c r="C655" i="8"/>
  <c r="B655" i="8"/>
  <c r="C654" i="8"/>
  <c r="B654" i="8"/>
  <c r="C653" i="8"/>
  <c r="B653" i="8"/>
  <c r="C652" i="8"/>
  <c r="B652" i="8"/>
  <c r="C651" i="8"/>
  <c r="B651" i="8"/>
  <c r="C650" i="8"/>
  <c r="B650" i="8"/>
  <c r="C649" i="8"/>
  <c r="B649" i="8"/>
  <c r="C648" i="8"/>
  <c r="B648" i="8"/>
  <c r="C647" i="8"/>
  <c r="B647" i="8"/>
  <c r="C646" i="8"/>
  <c r="B646" i="8"/>
  <c r="C645" i="8"/>
  <c r="B645" i="8"/>
  <c r="C644" i="8"/>
  <c r="B644" i="8"/>
  <c r="C643" i="8"/>
  <c r="B643" i="8"/>
  <c r="C642" i="8"/>
  <c r="B642" i="8"/>
  <c r="C641" i="8"/>
  <c r="B641" i="8"/>
  <c r="C640" i="8"/>
  <c r="B640" i="8"/>
  <c r="C639" i="8"/>
  <c r="B639" i="8"/>
  <c r="C638" i="8"/>
  <c r="B638" i="8"/>
  <c r="C637" i="8"/>
  <c r="B637" i="8"/>
  <c r="C636" i="8"/>
  <c r="B636" i="8"/>
  <c r="C635" i="8"/>
  <c r="B635" i="8"/>
  <c r="C634" i="8"/>
  <c r="B634" i="8"/>
  <c r="C633" i="8"/>
  <c r="B633" i="8"/>
  <c r="C632" i="8"/>
  <c r="B632" i="8"/>
  <c r="C631" i="8"/>
  <c r="B631" i="8"/>
  <c r="C630" i="8"/>
  <c r="B630" i="8"/>
  <c r="C629" i="8"/>
  <c r="B629" i="8"/>
  <c r="C628" i="8"/>
  <c r="B628" i="8"/>
  <c r="C627" i="8"/>
  <c r="B627" i="8"/>
  <c r="C626" i="8"/>
  <c r="B626" i="8"/>
  <c r="C625" i="8"/>
  <c r="B625" i="8"/>
  <c r="C624" i="8"/>
  <c r="B624" i="8"/>
  <c r="C623" i="8"/>
  <c r="B623" i="8"/>
  <c r="C622" i="8"/>
  <c r="B622" i="8"/>
  <c r="C621" i="8"/>
  <c r="B621" i="8"/>
  <c r="C620" i="8"/>
  <c r="B620" i="8"/>
  <c r="C619" i="8"/>
  <c r="B619" i="8"/>
  <c r="C618" i="8"/>
  <c r="B618" i="8"/>
  <c r="C617" i="8"/>
  <c r="B617" i="8"/>
  <c r="C616" i="8"/>
  <c r="B616" i="8"/>
  <c r="C615" i="8"/>
  <c r="B615" i="8"/>
  <c r="C614" i="8"/>
  <c r="B614" i="8"/>
  <c r="C613" i="8"/>
  <c r="B613" i="8"/>
  <c r="C612" i="8"/>
  <c r="B612" i="8"/>
  <c r="C611" i="8"/>
  <c r="B611" i="8"/>
  <c r="C610" i="8"/>
  <c r="B610" i="8"/>
  <c r="C609" i="8"/>
  <c r="B609" i="8"/>
  <c r="C608" i="8"/>
  <c r="B608" i="8"/>
  <c r="C607" i="8"/>
  <c r="B607" i="8"/>
  <c r="C606" i="8"/>
  <c r="B606" i="8"/>
  <c r="C605" i="8"/>
  <c r="B605" i="8"/>
  <c r="C604" i="8"/>
  <c r="B604" i="8"/>
  <c r="C603" i="8"/>
  <c r="B603" i="8"/>
  <c r="C602" i="8"/>
  <c r="B602" i="8"/>
  <c r="C601" i="8"/>
  <c r="B601" i="8"/>
  <c r="C600" i="8"/>
  <c r="B600" i="8"/>
  <c r="C599" i="8"/>
  <c r="B599" i="8"/>
  <c r="C598" i="8"/>
  <c r="B598" i="8"/>
  <c r="C597" i="8"/>
  <c r="B597" i="8"/>
  <c r="C596" i="8"/>
  <c r="B596" i="8"/>
  <c r="C595" i="8"/>
  <c r="B595" i="8"/>
  <c r="C594" i="8"/>
  <c r="B594" i="8"/>
  <c r="C593" i="8"/>
  <c r="B593" i="8"/>
  <c r="C592" i="8"/>
  <c r="B592" i="8"/>
  <c r="C591" i="8"/>
  <c r="B591" i="8"/>
  <c r="C590" i="8"/>
  <c r="B590" i="8"/>
  <c r="C589" i="8"/>
  <c r="B589" i="8"/>
  <c r="C588" i="8"/>
  <c r="B588" i="8"/>
  <c r="C587" i="8"/>
  <c r="B587" i="8"/>
  <c r="C586" i="8"/>
  <c r="B586" i="8"/>
  <c r="C585" i="8"/>
  <c r="B585" i="8"/>
  <c r="C584" i="8"/>
  <c r="B584" i="8"/>
  <c r="C583" i="8"/>
  <c r="B583" i="8"/>
  <c r="C582" i="8"/>
  <c r="B582" i="8"/>
  <c r="C581" i="8"/>
  <c r="B581" i="8"/>
  <c r="C580" i="8"/>
  <c r="B580" i="8"/>
  <c r="C579" i="8"/>
  <c r="B579" i="8"/>
  <c r="C578" i="8"/>
  <c r="B578" i="8"/>
  <c r="C577" i="8"/>
  <c r="B577" i="8"/>
  <c r="C576" i="8"/>
  <c r="B576" i="8"/>
  <c r="C575" i="8"/>
  <c r="B575" i="8"/>
  <c r="C574" i="8"/>
  <c r="B574" i="8"/>
  <c r="C573" i="8"/>
  <c r="B573" i="8"/>
  <c r="C572" i="8"/>
  <c r="B572" i="8"/>
  <c r="C571" i="8"/>
  <c r="B571" i="8"/>
  <c r="C570" i="8"/>
  <c r="B570" i="8"/>
  <c r="C569" i="8"/>
  <c r="B569" i="8"/>
  <c r="C568" i="8"/>
  <c r="B568" i="8"/>
  <c r="C567" i="8"/>
  <c r="B567" i="8"/>
  <c r="C566" i="8"/>
  <c r="B566" i="8"/>
  <c r="C565" i="8"/>
  <c r="B565" i="8"/>
  <c r="C564" i="8"/>
  <c r="B564" i="8"/>
  <c r="C563" i="8"/>
  <c r="B563" i="8"/>
  <c r="C562" i="8"/>
  <c r="B562" i="8"/>
  <c r="C561" i="8"/>
  <c r="B561" i="8"/>
  <c r="C560" i="8"/>
  <c r="B560" i="8"/>
  <c r="C559" i="8"/>
  <c r="B559" i="8"/>
  <c r="C558" i="8"/>
  <c r="B558" i="8"/>
  <c r="C557" i="8"/>
  <c r="B557" i="8"/>
  <c r="C556" i="8"/>
  <c r="B556" i="8"/>
  <c r="C555" i="8"/>
  <c r="B555" i="8"/>
  <c r="C554" i="8"/>
  <c r="B554" i="8"/>
  <c r="C553" i="8"/>
  <c r="B553" i="8"/>
  <c r="C552" i="8"/>
  <c r="B552" i="8"/>
  <c r="C551" i="8"/>
  <c r="B551" i="8"/>
  <c r="C550" i="8"/>
  <c r="B550" i="8"/>
  <c r="C549" i="8"/>
  <c r="B549" i="8"/>
  <c r="C548" i="8"/>
  <c r="B548" i="8"/>
  <c r="C547" i="8"/>
  <c r="B547" i="8"/>
  <c r="C546" i="8"/>
  <c r="B546" i="8"/>
  <c r="C545" i="8"/>
  <c r="B545" i="8"/>
  <c r="C544" i="8"/>
  <c r="B544" i="8"/>
  <c r="C543" i="8"/>
  <c r="B543" i="8"/>
  <c r="C542" i="8"/>
  <c r="B542" i="8"/>
  <c r="C541" i="8"/>
  <c r="B541" i="8"/>
  <c r="C540" i="8"/>
  <c r="B540" i="8"/>
  <c r="C539" i="8"/>
  <c r="B539" i="8"/>
  <c r="C538" i="8"/>
  <c r="B538" i="8"/>
  <c r="C537" i="8"/>
  <c r="B537" i="8"/>
  <c r="C536" i="8"/>
  <c r="B536" i="8"/>
  <c r="C535" i="8"/>
  <c r="B535" i="8"/>
  <c r="C534" i="8"/>
  <c r="B534" i="8"/>
  <c r="C533" i="8"/>
  <c r="B533" i="8"/>
  <c r="C532" i="8"/>
  <c r="B532" i="8"/>
  <c r="C531" i="8"/>
  <c r="B531" i="8"/>
  <c r="C530" i="8"/>
  <c r="B530" i="8"/>
  <c r="C529" i="8"/>
  <c r="B529" i="8"/>
  <c r="C528" i="8"/>
  <c r="B528" i="8"/>
  <c r="C527" i="8"/>
  <c r="B527" i="8"/>
  <c r="C526" i="8"/>
  <c r="B526" i="8"/>
  <c r="C525" i="8"/>
  <c r="B525" i="8"/>
  <c r="C524" i="8"/>
  <c r="B524" i="8"/>
  <c r="C523" i="8"/>
  <c r="B523" i="8"/>
  <c r="C522" i="8"/>
  <c r="B522" i="8"/>
  <c r="C521" i="8"/>
  <c r="B521" i="8"/>
  <c r="C520" i="8"/>
  <c r="B520" i="8"/>
  <c r="C519" i="8"/>
  <c r="B519" i="8"/>
  <c r="C518" i="8"/>
  <c r="B518" i="8"/>
  <c r="C517" i="8"/>
  <c r="B517" i="8"/>
  <c r="C516" i="8"/>
  <c r="B516" i="8"/>
  <c r="C515" i="8"/>
  <c r="B515" i="8"/>
  <c r="C514" i="8"/>
  <c r="B514" i="8"/>
  <c r="C513" i="8"/>
  <c r="B513" i="8"/>
  <c r="C512" i="8"/>
  <c r="B512" i="8"/>
  <c r="C511" i="8"/>
  <c r="B511" i="8"/>
  <c r="C510" i="8"/>
  <c r="B510" i="8"/>
  <c r="C509" i="8"/>
  <c r="B509" i="8"/>
  <c r="C508" i="8"/>
  <c r="B508" i="8"/>
  <c r="C507" i="8"/>
  <c r="B507" i="8"/>
  <c r="C506" i="8"/>
  <c r="B506" i="8"/>
  <c r="C505" i="8"/>
  <c r="B505" i="8"/>
  <c r="C504" i="8"/>
  <c r="B504" i="8"/>
  <c r="C503" i="8"/>
  <c r="B503" i="8"/>
  <c r="C502" i="8"/>
  <c r="B502" i="8"/>
  <c r="C501" i="8"/>
  <c r="B501" i="8"/>
  <c r="C500" i="8"/>
  <c r="B500" i="8"/>
  <c r="C499" i="8"/>
  <c r="B499" i="8"/>
  <c r="C498" i="8"/>
  <c r="B498" i="8"/>
  <c r="C497" i="8"/>
  <c r="B497" i="8"/>
  <c r="C496" i="8"/>
  <c r="B496" i="8"/>
  <c r="C495" i="8"/>
  <c r="B495" i="8"/>
  <c r="C494" i="8"/>
  <c r="B494" i="8"/>
  <c r="C493" i="8"/>
  <c r="B493" i="8"/>
  <c r="C492" i="8"/>
  <c r="B492" i="8"/>
  <c r="C491" i="8"/>
  <c r="B491" i="8"/>
  <c r="C490" i="8"/>
  <c r="B490" i="8"/>
  <c r="C489" i="8"/>
  <c r="B489" i="8"/>
  <c r="C488" i="8"/>
  <c r="B488" i="8"/>
  <c r="C487" i="8"/>
  <c r="B487" i="8"/>
  <c r="C486" i="8"/>
  <c r="B486" i="8"/>
  <c r="C485" i="8"/>
  <c r="B485" i="8"/>
  <c r="C484" i="8"/>
  <c r="B484" i="8"/>
  <c r="C483" i="8"/>
  <c r="B483" i="8"/>
  <c r="C482" i="8"/>
  <c r="B482" i="8"/>
  <c r="C481" i="8"/>
  <c r="B481" i="8"/>
  <c r="C480" i="8"/>
  <c r="B480" i="8"/>
  <c r="C479" i="8"/>
  <c r="B479" i="8"/>
  <c r="C478" i="8"/>
  <c r="B478" i="8"/>
  <c r="C477" i="8"/>
  <c r="B477" i="8"/>
  <c r="C476" i="8"/>
  <c r="B476" i="8"/>
  <c r="C475" i="8"/>
  <c r="B475" i="8"/>
  <c r="C474" i="8"/>
  <c r="B474" i="8"/>
  <c r="C473" i="8"/>
  <c r="B473" i="8"/>
  <c r="C472" i="8"/>
  <c r="B472" i="8"/>
  <c r="C471" i="8"/>
  <c r="B471" i="8"/>
  <c r="C470" i="8"/>
  <c r="B470" i="8"/>
  <c r="C469" i="8"/>
  <c r="B469" i="8"/>
  <c r="C468" i="8"/>
  <c r="B468" i="8"/>
  <c r="C467" i="8"/>
  <c r="B467" i="8"/>
  <c r="C466" i="8"/>
  <c r="B466" i="8"/>
  <c r="C465" i="8"/>
  <c r="B465" i="8"/>
  <c r="C464" i="8"/>
  <c r="B464" i="8"/>
  <c r="C463" i="8"/>
  <c r="B463" i="8"/>
  <c r="C462" i="8"/>
  <c r="B462" i="8"/>
  <c r="C461" i="8"/>
  <c r="B461" i="8"/>
  <c r="C460" i="8"/>
  <c r="B460" i="8"/>
  <c r="C459" i="8"/>
  <c r="B459" i="8"/>
  <c r="C458" i="8"/>
  <c r="B458" i="8"/>
  <c r="C457" i="8"/>
  <c r="B457" i="8"/>
  <c r="C456" i="8"/>
  <c r="B456" i="8"/>
  <c r="C455" i="8"/>
  <c r="B455" i="8"/>
  <c r="C454" i="8"/>
  <c r="B454" i="8"/>
  <c r="C453" i="8"/>
  <c r="B453" i="8"/>
  <c r="C452" i="8"/>
  <c r="B452" i="8"/>
  <c r="C451" i="8"/>
  <c r="B451" i="8"/>
  <c r="C450" i="8"/>
  <c r="B450" i="8"/>
  <c r="C449" i="8"/>
  <c r="B449" i="8"/>
  <c r="C448" i="8"/>
  <c r="B448" i="8"/>
  <c r="C447" i="8"/>
  <c r="B447" i="8"/>
  <c r="C446" i="8"/>
  <c r="B446" i="8"/>
  <c r="C445" i="8"/>
  <c r="B445" i="8"/>
  <c r="C444" i="8"/>
  <c r="B444" i="8"/>
  <c r="C443" i="8"/>
  <c r="B443" i="8"/>
  <c r="C442" i="8"/>
  <c r="B442" i="8"/>
  <c r="C441" i="8"/>
  <c r="B441" i="8"/>
  <c r="C440" i="8"/>
  <c r="B440" i="8"/>
  <c r="C439" i="8"/>
  <c r="B439" i="8"/>
  <c r="C438" i="8"/>
  <c r="B438" i="8"/>
  <c r="C437" i="8"/>
  <c r="B437" i="8"/>
  <c r="C436" i="8"/>
  <c r="B436" i="8"/>
  <c r="C435" i="8"/>
  <c r="B435" i="8"/>
  <c r="C434" i="8"/>
  <c r="B434" i="8"/>
  <c r="C433" i="8"/>
  <c r="B433" i="8"/>
  <c r="C432" i="8"/>
  <c r="B432" i="8"/>
  <c r="C431" i="8"/>
  <c r="B431" i="8"/>
  <c r="C430" i="8"/>
  <c r="B430" i="8"/>
  <c r="C429" i="8"/>
  <c r="B429" i="8"/>
  <c r="C428" i="8"/>
  <c r="B428" i="8"/>
  <c r="C427" i="8"/>
  <c r="B427" i="8"/>
  <c r="C426" i="8"/>
  <c r="B426" i="8"/>
  <c r="C425" i="8"/>
  <c r="B425" i="8"/>
  <c r="C424" i="8"/>
  <c r="B424" i="8"/>
  <c r="C423" i="8"/>
  <c r="B423" i="8"/>
  <c r="C422" i="8"/>
  <c r="B422" i="8"/>
  <c r="C421" i="8"/>
  <c r="B421" i="8"/>
  <c r="C420" i="8"/>
  <c r="B420" i="8"/>
  <c r="C419" i="8"/>
  <c r="B419" i="8"/>
  <c r="C418" i="8"/>
  <c r="B418" i="8"/>
  <c r="C417" i="8"/>
  <c r="B417" i="8"/>
  <c r="C416" i="8"/>
  <c r="B416" i="8"/>
  <c r="C415" i="8"/>
  <c r="B415" i="8"/>
  <c r="C414" i="8"/>
  <c r="B414" i="8"/>
  <c r="C413" i="8"/>
  <c r="B413" i="8"/>
  <c r="C412" i="8"/>
  <c r="B412" i="8"/>
  <c r="C411" i="8"/>
  <c r="B411" i="8"/>
  <c r="C410" i="8"/>
  <c r="B410" i="8"/>
  <c r="C409" i="8"/>
  <c r="B409" i="8"/>
  <c r="C408" i="8"/>
  <c r="B408" i="8"/>
  <c r="C407" i="8"/>
  <c r="B407" i="8"/>
  <c r="C406" i="8"/>
  <c r="B406" i="8"/>
  <c r="C405" i="8"/>
  <c r="B405" i="8"/>
  <c r="C404" i="8"/>
  <c r="B404" i="8"/>
  <c r="C403" i="8"/>
  <c r="B403" i="8"/>
  <c r="C402" i="8"/>
  <c r="B402" i="8"/>
  <c r="C401" i="8"/>
  <c r="B401" i="8"/>
  <c r="C400" i="8"/>
  <c r="B400" i="8"/>
  <c r="C399" i="8"/>
  <c r="B399" i="8"/>
  <c r="C398" i="8"/>
  <c r="B398" i="8"/>
  <c r="C397" i="8"/>
  <c r="B397" i="8"/>
  <c r="C396" i="8"/>
  <c r="B396" i="8"/>
  <c r="C395" i="8"/>
  <c r="B395" i="8"/>
  <c r="C394" i="8"/>
  <c r="B394" i="8"/>
  <c r="C393" i="8"/>
  <c r="B393" i="8"/>
  <c r="C392" i="8"/>
  <c r="B392" i="8"/>
  <c r="C391" i="8"/>
  <c r="B391" i="8"/>
  <c r="C390" i="8"/>
  <c r="B390" i="8"/>
  <c r="C389" i="8"/>
  <c r="B389" i="8"/>
  <c r="C388" i="8"/>
  <c r="B388" i="8"/>
  <c r="C387" i="8"/>
  <c r="B387" i="8"/>
  <c r="C386" i="8"/>
  <c r="B386" i="8"/>
  <c r="C385" i="8"/>
  <c r="B385" i="8"/>
  <c r="C384" i="8"/>
  <c r="B384" i="8"/>
  <c r="C383" i="8"/>
  <c r="B383" i="8"/>
  <c r="C382" i="8"/>
  <c r="B382" i="8"/>
  <c r="C381" i="8"/>
  <c r="B381" i="8"/>
  <c r="C380" i="8"/>
  <c r="B380" i="8"/>
  <c r="C379" i="8"/>
  <c r="B379" i="8"/>
  <c r="C378" i="8"/>
  <c r="B378" i="8"/>
  <c r="C377" i="8"/>
  <c r="B377" i="8"/>
  <c r="C376" i="8"/>
  <c r="B376" i="8"/>
  <c r="C375" i="8"/>
  <c r="B375" i="8"/>
  <c r="C374" i="8"/>
  <c r="B374" i="8"/>
  <c r="C373" i="8"/>
  <c r="B373" i="8"/>
  <c r="C372" i="8"/>
  <c r="B372" i="8"/>
  <c r="C371" i="8"/>
  <c r="B371" i="8"/>
  <c r="C370" i="8"/>
  <c r="B370" i="8"/>
  <c r="C369" i="8"/>
  <c r="B369" i="8"/>
  <c r="C368" i="8"/>
  <c r="B368" i="8"/>
  <c r="C367" i="8"/>
  <c r="B367" i="8"/>
  <c r="C366" i="8"/>
  <c r="B366" i="8"/>
  <c r="C365" i="8"/>
  <c r="B365" i="8"/>
  <c r="C364" i="8"/>
  <c r="B364" i="8"/>
  <c r="C363" i="8"/>
  <c r="B363" i="8"/>
  <c r="C362" i="8"/>
  <c r="B362" i="8"/>
  <c r="C361" i="8"/>
  <c r="B361" i="8"/>
  <c r="C360" i="8"/>
  <c r="B360" i="8"/>
  <c r="C359" i="8"/>
  <c r="B359" i="8"/>
  <c r="C358" i="8"/>
  <c r="B358" i="8"/>
  <c r="C357" i="8"/>
  <c r="B357" i="8"/>
  <c r="C356" i="8"/>
  <c r="B356" i="8"/>
  <c r="C355" i="8"/>
  <c r="B355" i="8"/>
  <c r="C354" i="8"/>
  <c r="B354" i="8"/>
  <c r="C353" i="8"/>
  <c r="B353" i="8"/>
  <c r="C352" i="8"/>
  <c r="B352" i="8"/>
  <c r="C351" i="8"/>
  <c r="B351" i="8"/>
  <c r="C350" i="8"/>
  <c r="B350" i="8"/>
  <c r="C349" i="8"/>
  <c r="B349" i="8"/>
  <c r="C348" i="8"/>
  <c r="B348" i="8"/>
  <c r="C347" i="8"/>
  <c r="B347" i="8"/>
  <c r="C346" i="8"/>
  <c r="B346" i="8"/>
  <c r="C345" i="8"/>
  <c r="B345" i="8"/>
  <c r="C344" i="8"/>
  <c r="B344" i="8"/>
  <c r="C343" i="8"/>
  <c r="B343" i="8"/>
  <c r="C342" i="8"/>
  <c r="B342" i="8"/>
  <c r="C341" i="8"/>
  <c r="B341" i="8"/>
  <c r="C340" i="8"/>
  <c r="B340" i="8"/>
  <c r="C339" i="8"/>
  <c r="B339" i="8"/>
  <c r="C338" i="8"/>
  <c r="B338" i="8"/>
  <c r="C337" i="8"/>
  <c r="B337" i="8"/>
  <c r="C336" i="8"/>
  <c r="B336" i="8"/>
  <c r="C335" i="8"/>
  <c r="B335" i="8"/>
  <c r="C334" i="8"/>
  <c r="B334" i="8"/>
  <c r="C333" i="8"/>
  <c r="B333" i="8"/>
  <c r="C332" i="8"/>
  <c r="B332" i="8"/>
  <c r="C331" i="8"/>
  <c r="B331" i="8"/>
  <c r="C330" i="8"/>
  <c r="B330" i="8"/>
  <c r="C329" i="8"/>
  <c r="B329" i="8"/>
  <c r="C328" i="8"/>
  <c r="B328" i="8"/>
  <c r="C327" i="8"/>
  <c r="B327" i="8"/>
  <c r="C326" i="8"/>
  <c r="B326" i="8"/>
  <c r="C325" i="8"/>
  <c r="B325" i="8"/>
  <c r="C324" i="8"/>
  <c r="B324" i="8"/>
  <c r="C323" i="8"/>
  <c r="B323" i="8"/>
  <c r="C322" i="8"/>
  <c r="B322" i="8"/>
  <c r="C321" i="8"/>
  <c r="B321" i="8"/>
  <c r="C320" i="8"/>
  <c r="B320" i="8"/>
  <c r="C319" i="8"/>
  <c r="B319" i="8"/>
  <c r="C318" i="8"/>
  <c r="B318" i="8"/>
  <c r="C317" i="8"/>
  <c r="B317" i="8"/>
  <c r="C316" i="8"/>
  <c r="B316" i="8"/>
  <c r="C315" i="8"/>
  <c r="B315" i="8"/>
  <c r="C314" i="8"/>
  <c r="B314" i="8"/>
  <c r="C313" i="8"/>
  <c r="B313" i="8"/>
  <c r="C312" i="8"/>
  <c r="B312" i="8"/>
  <c r="C311" i="8"/>
  <c r="B311" i="8"/>
  <c r="C310" i="8"/>
  <c r="B310" i="8"/>
  <c r="C309" i="8"/>
  <c r="B309" i="8"/>
  <c r="C308" i="8"/>
  <c r="B308" i="8"/>
  <c r="C307" i="8"/>
  <c r="B307" i="8"/>
  <c r="C306" i="8"/>
  <c r="B306" i="8"/>
  <c r="C305" i="8"/>
  <c r="B305" i="8"/>
  <c r="C304" i="8"/>
  <c r="B304" i="8"/>
  <c r="C303" i="8"/>
  <c r="B303" i="8"/>
  <c r="C302" i="8"/>
  <c r="B302" i="8"/>
  <c r="C301" i="8"/>
  <c r="B301" i="8"/>
  <c r="C300" i="8"/>
  <c r="B300" i="8"/>
  <c r="C299" i="8"/>
  <c r="B299" i="8"/>
  <c r="C298" i="8"/>
  <c r="B298" i="8"/>
  <c r="C297" i="8"/>
  <c r="B297" i="8"/>
  <c r="C296" i="8"/>
  <c r="B296" i="8"/>
  <c r="C295" i="8"/>
  <c r="B295" i="8"/>
  <c r="C294" i="8"/>
  <c r="B294" i="8"/>
  <c r="C293" i="8"/>
  <c r="B293" i="8"/>
  <c r="C292" i="8"/>
  <c r="B292" i="8"/>
  <c r="C291" i="8"/>
  <c r="B291" i="8"/>
  <c r="C290" i="8"/>
  <c r="B290" i="8"/>
  <c r="C289" i="8"/>
  <c r="B289" i="8"/>
  <c r="C288" i="8"/>
  <c r="B288" i="8"/>
  <c r="C287" i="8"/>
  <c r="B287" i="8"/>
  <c r="C286" i="8"/>
  <c r="B286" i="8"/>
  <c r="C285" i="8"/>
  <c r="B285" i="8"/>
  <c r="C284" i="8"/>
  <c r="B284" i="8"/>
  <c r="C283" i="8"/>
  <c r="B283" i="8"/>
  <c r="C282" i="8"/>
  <c r="B282" i="8"/>
  <c r="C281" i="8"/>
  <c r="B281" i="8"/>
  <c r="C280" i="8"/>
  <c r="B280" i="8"/>
  <c r="C279" i="8"/>
  <c r="B279" i="8"/>
  <c r="C278" i="8"/>
  <c r="B278" i="8"/>
  <c r="C277" i="8"/>
  <c r="B277" i="8"/>
  <c r="C276" i="8"/>
  <c r="B276" i="8"/>
  <c r="C275" i="8"/>
  <c r="B275" i="8"/>
  <c r="C274" i="8"/>
  <c r="B274" i="8"/>
  <c r="C273" i="8"/>
  <c r="B273" i="8"/>
  <c r="C272" i="8"/>
  <c r="B272" i="8"/>
  <c r="C271" i="8"/>
  <c r="B271" i="8"/>
  <c r="C270" i="8"/>
  <c r="B270" i="8"/>
  <c r="C269" i="8"/>
  <c r="B269" i="8"/>
  <c r="C268" i="8"/>
  <c r="B268" i="8"/>
  <c r="C267" i="8"/>
  <c r="B267" i="8"/>
  <c r="C266" i="8"/>
  <c r="B266" i="8"/>
  <c r="C265" i="8"/>
  <c r="B265" i="8"/>
  <c r="C264" i="8"/>
  <c r="B264" i="8"/>
  <c r="C263" i="8"/>
  <c r="B263" i="8"/>
  <c r="C262" i="8"/>
  <c r="B262" i="8"/>
  <c r="C261" i="8"/>
  <c r="B261" i="8"/>
  <c r="C260" i="8"/>
  <c r="B260" i="8"/>
  <c r="C259" i="8"/>
  <c r="B259" i="8"/>
  <c r="C258" i="8"/>
  <c r="B258" i="8"/>
  <c r="C257" i="8"/>
  <c r="B257" i="8"/>
  <c r="C256" i="8"/>
  <c r="B256" i="8"/>
  <c r="C255" i="8"/>
  <c r="B255" i="8"/>
  <c r="C254" i="8"/>
  <c r="B254" i="8"/>
  <c r="C253" i="8"/>
  <c r="B253" i="8"/>
  <c r="C252" i="8"/>
  <c r="B252" i="8"/>
  <c r="C251" i="8"/>
  <c r="B251" i="8"/>
  <c r="C250" i="8"/>
  <c r="B250" i="8"/>
  <c r="C249" i="8"/>
  <c r="B249" i="8"/>
  <c r="C248" i="8"/>
  <c r="B248" i="8"/>
  <c r="C247" i="8"/>
  <c r="B247" i="8"/>
  <c r="C246" i="8"/>
  <c r="B246" i="8"/>
  <c r="C245" i="8"/>
  <c r="B245" i="8"/>
  <c r="C244" i="8"/>
  <c r="B244" i="8"/>
  <c r="C243" i="8"/>
  <c r="B243" i="8"/>
  <c r="C242" i="8"/>
  <c r="B242" i="8"/>
  <c r="C241" i="8"/>
  <c r="B241" i="8"/>
  <c r="C240" i="8"/>
  <c r="B240" i="8"/>
  <c r="C239" i="8"/>
  <c r="B239" i="8"/>
  <c r="C238" i="8"/>
  <c r="B238" i="8"/>
  <c r="C237" i="8"/>
  <c r="B237" i="8"/>
  <c r="C236" i="8"/>
  <c r="B236" i="8"/>
  <c r="C235" i="8"/>
  <c r="B235" i="8"/>
  <c r="C234" i="8"/>
  <c r="B234" i="8"/>
  <c r="C233" i="8"/>
  <c r="B233" i="8"/>
  <c r="C232" i="8"/>
  <c r="B232" i="8"/>
  <c r="C231" i="8"/>
  <c r="B231" i="8"/>
  <c r="C230" i="8"/>
  <c r="B230" i="8"/>
  <c r="C229" i="8"/>
  <c r="B229" i="8"/>
  <c r="C228" i="8"/>
  <c r="B228" i="8"/>
  <c r="C227" i="8"/>
  <c r="B227" i="8"/>
  <c r="C226" i="8"/>
  <c r="B226" i="8"/>
  <c r="C225" i="8"/>
  <c r="B225" i="8"/>
  <c r="C224" i="8"/>
  <c r="B224" i="8"/>
  <c r="C223" i="8"/>
  <c r="B223" i="8"/>
  <c r="C222" i="8"/>
  <c r="B222" i="8"/>
  <c r="C221" i="8"/>
  <c r="B221" i="8"/>
  <c r="C220" i="8"/>
  <c r="B220" i="8"/>
  <c r="C219" i="8"/>
  <c r="B219" i="8"/>
  <c r="C218" i="8"/>
  <c r="B218" i="8"/>
  <c r="C217" i="8"/>
  <c r="B217" i="8"/>
  <c r="C216" i="8"/>
  <c r="B216" i="8"/>
  <c r="C215" i="8"/>
  <c r="B215" i="8"/>
  <c r="C214" i="8"/>
  <c r="B214" i="8"/>
  <c r="C213" i="8"/>
  <c r="B213" i="8"/>
  <c r="C212" i="8"/>
  <c r="B212" i="8"/>
  <c r="C211" i="8"/>
  <c r="B211" i="8"/>
  <c r="C210" i="8"/>
  <c r="B210" i="8"/>
  <c r="C209" i="8"/>
  <c r="B209" i="8"/>
  <c r="C208" i="8"/>
  <c r="B208" i="8"/>
  <c r="C207" i="8"/>
  <c r="B207" i="8"/>
  <c r="C206" i="8"/>
  <c r="B206" i="8"/>
  <c r="C205" i="8"/>
  <c r="B205" i="8"/>
  <c r="C204" i="8"/>
  <c r="B204" i="8"/>
  <c r="C203" i="8"/>
  <c r="B203" i="8"/>
  <c r="C202" i="8"/>
  <c r="B202" i="8"/>
  <c r="C201" i="8"/>
  <c r="B201" i="8"/>
  <c r="C200" i="8"/>
  <c r="B200" i="8"/>
  <c r="C199" i="8"/>
  <c r="B199" i="8"/>
  <c r="C198" i="8"/>
  <c r="B198" i="8"/>
  <c r="C197" i="8"/>
  <c r="B197" i="8"/>
  <c r="C196" i="8"/>
  <c r="B196" i="8"/>
  <c r="C195" i="8"/>
  <c r="B195" i="8"/>
  <c r="C194" i="8"/>
  <c r="B194" i="8"/>
  <c r="C193" i="8"/>
  <c r="B193" i="8"/>
  <c r="C192" i="8"/>
  <c r="B192" i="8"/>
  <c r="C191" i="8"/>
  <c r="B191" i="8"/>
  <c r="C190" i="8"/>
  <c r="B190" i="8"/>
  <c r="C189" i="8"/>
  <c r="B189" i="8"/>
  <c r="C188" i="8"/>
  <c r="B188" i="8"/>
  <c r="C187" i="8"/>
  <c r="B187" i="8"/>
  <c r="C186" i="8"/>
  <c r="B186" i="8"/>
  <c r="C185" i="8"/>
  <c r="B185" i="8"/>
  <c r="C184" i="8"/>
  <c r="B184" i="8"/>
  <c r="C183" i="8"/>
  <c r="B183" i="8"/>
  <c r="C182" i="8"/>
  <c r="B182" i="8"/>
  <c r="C181" i="8"/>
  <c r="B181" i="8"/>
  <c r="C180" i="8"/>
  <c r="B180" i="8"/>
  <c r="C179" i="8"/>
  <c r="B179" i="8"/>
  <c r="C178" i="8"/>
  <c r="B178" i="8"/>
  <c r="C177" i="8"/>
  <c r="B177" i="8"/>
  <c r="C176" i="8"/>
  <c r="B176" i="8"/>
  <c r="C175" i="8"/>
  <c r="B175" i="8"/>
  <c r="C174" i="8"/>
  <c r="B174" i="8"/>
  <c r="C173" i="8"/>
  <c r="B173" i="8"/>
  <c r="C172" i="8"/>
  <c r="B172" i="8"/>
  <c r="C171" i="8"/>
  <c r="B171" i="8"/>
  <c r="C170" i="8"/>
  <c r="B170" i="8"/>
  <c r="C169" i="8"/>
  <c r="B169" i="8"/>
  <c r="C168" i="8"/>
  <c r="B168" i="8"/>
  <c r="C167" i="8"/>
  <c r="B167" i="8"/>
  <c r="C166" i="8"/>
  <c r="B166" i="8"/>
  <c r="C165" i="8"/>
  <c r="B165" i="8"/>
  <c r="C164" i="8"/>
  <c r="B164" i="8"/>
  <c r="C163" i="8"/>
  <c r="B163" i="8"/>
  <c r="C162" i="8"/>
  <c r="B162" i="8"/>
  <c r="C161" i="8"/>
  <c r="B161" i="8"/>
  <c r="C160" i="8"/>
  <c r="B160" i="8"/>
  <c r="C159" i="8"/>
  <c r="B159" i="8"/>
  <c r="C158" i="8"/>
  <c r="B158" i="8"/>
  <c r="C157" i="8"/>
  <c r="B157" i="8"/>
  <c r="C156" i="8"/>
  <c r="B156" i="8"/>
  <c r="C155" i="8"/>
  <c r="B155" i="8"/>
  <c r="C154" i="8"/>
  <c r="B154" i="8"/>
  <c r="C153" i="8"/>
  <c r="B153" i="8"/>
  <c r="C152" i="8"/>
  <c r="B152" i="8"/>
  <c r="C151" i="8"/>
  <c r="B151" i="8"/>
  <c r="C150" i="8"/>
  <c r="B150" i="8"/>
  <c r="C149" i="8"/>
  <c r="B149" i="8"/>
  <c r="C148" i="8"/>
  <c r="B148" i="8"/>
  <c r="C147" i="8"/>
  <c r="B147" i="8"/>
  <c r="C146" i="8"/>
  <c r="B146" i="8"/>
  <c r="C145" i="8"/>
  <c r="B145" i="8"/>
  <c r="C144" i="8"/>
  <c r="B144" i="8"/>
  <c r="C143" i="8"/>
  <c r="B143" i="8"/>
  <c r="C142" i="8"/>
  <c r="B142" i="8"/>
  <c r="C141" i="8"/>
  <c r="B141" i="8"/>
  <c r="C140" i="8"/>
  <c r="B140" i="8"/>
  <c r="C139" i="8"/>
  <c r="B139" i="8"/>
  <c r="C138" i="8"/>
  <c r="B138" i="8"/>
  <c r="C137" i="8"/>
  <c r="B137" i="8"/>
  <c r="C136" i="8"/>
  <c r="B136" i="8"/>
  <c r="C135" i="8"/>
  <c r="B135" i="8"/>
  <c r="C134" i="8"/>
  <c r="B134" i="8"/>
  <c r="C133" i="8"/>
  <c r="B133" i="8"/>
  <c r="C132" i="8"/>
  <c r="B132" i="8"/>
  <c r="C131" i="8"/>
  <c r="B131" i="8"/>
  <c r="C130" i="8"/>
  <c r="B130" i="8"/>
  <c r="C129" i="8"/>
  <c r="B129" i="8"/>
  <c r="C128" i="8"/>
  <c r="B128" i="8"/>
  <c r="C127" i="8"/>
  <c r="B127" i="8"/>
  <c r="C126" i="8"/>
  <c r="B126" i="8"/>
  <c r="C125" i="8"/>
  <c r="B125" i="8"/>
  <c r="C124" i="8"/>
  <c r="B124" i="8"/>
  <c r="C123" i="8"/>
  <c r="B123" i="8"/>
  <c r="C122" i="8"/>
  <c r="B122" i="8"/>
  <c r="C121" i="8"/>
  <c r="B121" i="8"/>
  <c r="C120" i="8"/>
  <c r="B120" i="8"/>
  <c r="C119" i="8"/>
  <c r="B119" i="8"/>
  <c r="C118" i="8"/>
  <c r="B118" i="8"/>
  <c r="C117" i="8"/>
  <c r="B117" i="8"/>
  <c r="C116" i="8"/>
  <c r="B116" i="8"/>
  <c r="C115" i="8"/>
  <c r="B115" i="8"/>
  <c r="C114" i="8"/>
  <c r="B114" i="8"/>
  <c r="C113" i="8"/>
  <c r="B113" i="8"/>
  <c r="C112" i="8"/>
  <c r="B112" i="8"/>
  <c r="C111" i="8"/>
  <c r="B111" i="8"/>
  <c r="C110" i="8"/>
  <c r="B110" i="8"/>
  <c r="C109" i="8"/>
  <c r="B109" i="8"/>
  <c r="C108" i="8"/>
  <c r="B108" i="8"/>
  <c r="C107" i="8"/>
  <c r="B107" i="8"/>
  <c r="C106" i="8"/>
  <c r="B106" i="8"/>
  <c r="C105" i="8"/>
  <c r="B105" i="8"/>
  <c r="C104" i="8"/>
  <c r="B104" i="8"/>
  <c r="C103" i="8"/>
  <c r="B103" i="8"/>
  <c r="C102" i="8"/>
  <c r="B102" i="8"/>
  <c r="C101" i="8"/>
  <c r="B101" i="8"/>
  <c r="C100" i="8"/>
  <c r="B100" i="8"/>
  <c r="C99" i="8"/>
  <c r="B99" i="8"/>
  <c r="C98" i="8"/>
  <c r="B98" i="8"/>
  <c r="C97" i="8"/>
  <c r="B97" i="8"/>
  <c r="C96" i="8"/>
  <c r="B96" i="8"/>
  <c r="C95" i="8"/>
  <c r="B95" i="8"/>
  <c r="C94" i="8"/>
  <c r="B94" i="8"/>
  <c r="C93" i="8"/>
  <c r="B93" i="8"/>
  <c r="C92" i="8"/>
  <c r="B92" i="8"/>
  <c r="C91" i="8"/>
  <c r="B91" i="8"/>
  <c r="C90" i="8"/>
  <c r="B90" i="8"/>
  <c r="C89" i="8"/>
  <c r="B89" i="8"/>
  <c r="C88" i="8"/>
  <c r="B88" i="8"/>
  <c r="C87" i="8"/>
  <c r="B87" i="8"/>
  <c r="C86" i="8"/>
  <c r="B86" i="8"/>
  <c r="C85" i="8"/>
  <c r="B85" i="8"/>
  <c r="C84" i="8"/>
  <c r="B84" i="8"/>
  <c r="C83" i="8"/>
  <c r="B83" i="8"/>
  <c r="C82" i="8"/>
  <c r="B82" i="8"/>
  <c r="C81" i="8"/>
  <c r="B81" i="8"/>
  <c r="C80" i="8"/>
  <c r="B80" i="8"/>
  <c r="C79" i="8"/>
  <c r="B79" i="8"/>
  <c r="C78" i="8"/>
  <c r="B78" i="8"/>
  <c r="C77" i="8"/>
  <c r="B77" i="8"/>
  <c r="C76" i="8"/>
  <c r="B76" i="8"/>
  <c r="C75" i="8"/>
  <c r="B75" i="8"/>
  <c r="C74" i="8"/>
  <c r="B74" i="8"/>
  <c r="C73" i="8"/>
  <c r="B73" i="8"/>
  <c r="C72" i="8"/>
  <c r="B72" i="8"/>
  <c r="C71" i="8"/>
  <c r="B71" i="8"/>
  <c r="C70" i="8"/>
  <c r="B70" i="8"/>
  <c r="C69" i="8"/>
  <c r="B69" i="8"/>
  <c r="C68" i="8"/>
  <c r="B68" i="8"/>
  <c r="C67" i="8"/>
  <c r="B67" i="8"/>
  <c r="C66" i="8"/>
  <c r="B66" i="8"/>
  <c r="C65" i="8"/>
  <c r="B65" i="8"/>
  <c r="C64" i="8"/>
  <c r="B64" i="8"/>
  <c r="C63" i="8"/>
  <c r="B63" i="8"/>
  <c r="C62" i="8"/>
  <c r="B62" i="8"/>
  <c r="C61" i="8"/>
  <c r="B61" i="8"/>
  <c r="C60" i="8"/>
  <c r="B60" i="8"/>
  <c r="C59" i="8"/>
  <c r="B59" i="8"/>
  <c r="C58" i="8"/>
  <c r="B58" i="8"/>
  <c r="C57" i="8"/>
  <c r="B57" i="8"/>
  <c r="C56" i="8"/>
  <c r="B56" i="8"/>
  <c r="C55" i="8"/>
  <c r="B55" i="8"/>
  <c r="C54" i="8"/>
  <c r="B54" i="8"/>
  <c r="C53" i="8"/>
  <c r="B53" i="8"/>
  <c r="C52" i="8"/>
  <c r="B52" i="8"/>
  <c r="C51" i="8"/>
  <c r="B51" i="8"/>
  <c r="C50" i="8"/>
  <c r="B50" i="8"/>
  <c r="C49" i="8"/>
  <c r="B49" i="8"/>
  <c r="C48" i="8"/>
  <c r="B48" i="8"/>
  <c r="C47" i="8"/>
  <c r="B47" i="8"/>
  <c r="C46" i="8"/>
  <c r="B46" i="8"/>
  <c r="C45" i="8"/>
  <c r="B45" i="8"/>
  <c r="C44" i="8"/>
  <c r="B44" i="8"/>
  <c r="C43" i="8"/>
  <c r="B43" i="8"/>
  <c r="C42" i="8"/>
  <c r="B42" i="8"/>
  <c r="C41" i="8"/>
  <c r="B41" i="8"/>
  <c r="C40" i="8"/>
  <c r="B40" i="8"/>
  <c r="C39" i="8"/>
  <c r="B39" i="8"/>
  <c r="C38" i="8"/>
  <c r="B38" i="8"/>
  <c r="C37" i="8"/>
  <c r="B37" i="8"/>
  <c r="C36" i="8"/>
  <c r="B36" i="8"/>
  <c r="C35" i="8"/>
  <c r="B35" i="8"/>
  <c r="C34" i="8"/>
  <c r="B34" i="8"/>
  <c r="C33" i="8"/>
  <c r="B33" i="8"/>
  <c r="C32" i="8"/>
  <c r="B32" i="8"/>
  <c r="C31" i="8"/>
  <c r="B31" i="8"/>
  <c r="C30" i="8"/>
  <c r="B30" i="8"/>
  <c r="C29" i="8"/>
  <c r="B29" i="8"/>
  <c r="C28" i="8"/>
  <c r="B28" i="8"/>
  <c r="C27" i="8"/>
  <c r="B27" i="8"/>
  <c r="C26" i="8"/>
  <c r="B26" i="8"/>
  <c r="C25" i="8"/>
  <c r="B25" i="8"/>
  <c r="C24" i="8"/>
  <c r="B24" i="8"/>
  <c r="C23" i="8"/>
  <c r="B23" i="8"/>
  <c r="C22" i="8"/>
  <c r="B22" i="8"/>
  <c r="C21" i="8"/>
  <c r="B21" i="8"/>
  <c r="C20" i="8"/>
  <c r="B20" i="8"/>
  <c r="C19" i="8"/>
  <c r="B19" i="8"/>
  <c r="C18" i="8"/>
  <c r="B18" i="8"/>
  <c r="C17" i="8"/>
  <c r="B17" i="8"/>
  <c r="C16" i="8"/>
  <c r="B16" i="8"/>
  <c r="C15" i="8"/>
  <c r="B15" i="8"/>
  <c r="C14" i="8"/>
  <c r="B14" i="8"/>
  <c r="C13" i="8"/>
  <c r="B13" i="8"/>
  <c r="C12" i="8"/>
  <c r="B12" i="8"/>
  <c r="C11" i="8"/>
  <c r="B11" i="8"/>
  <c r="C10" i="8"/>
  <c r="B10" i="8"/>
  <c r="C9" i="8"/>
  <c r="B9" i="8"/>
  <c r="C8" i="8"/>
  <c r="B8" i="8"/>
  <c r="C7" i="8"/>
  <c r="B7" i="8"/>
  <c r="C6" i="8"/>
  <c r="B6" i="8"/>
  <c r="C5" i="8"/>
  <c r="B5" i="8"/>
  <c r="C4" i="8"/>
  <c r="B4" i="8"/>
  <c r="C3" i="8"/>
  <c r="B3" i="8"/>
  <c r="BH725" i="7"/>
  <c r="BG725" i="7"/>
  <c r="AU725" i="7"/>
  <c r="AP725" i="7"/>
  <c r="AK725" i="7"/>
  <c r="AF725" i="7"/>
  <c r="AG725" i="7" s="1"/>
  <c r="Z725" i="7"/>
  <c r="AA725" i="7" s="1"/>
  <c r="T725" i="7"/>
  <c r="U725" i="7" s="1"/>
  <c r="R725" i="7"/>
  <c r="Q725" i="7"/>
  <c r="D725" i="7"/>
  <c r="BH724" i="7"/>
  <c r="BG724" i="7"/>
  <c r="AF724" i="7"/>
  <c r="AG724" i="7" s="1"/>
  <c r="Z724" i="7"/>
  <c r="AA724" i="7" s="1"/>
  <c r="T724" i="7"/>
  <c r="R724" i="7"/>
  <c r="D724" i="7"/>
  <c r="BH723" i="7"/>
  <c r="BG723" i="7"/>
  <c r="AU723" i="7"/>
  <c r="AP723" i="7"/>
  <c r="AK723" i="7"/>
  <c r="AF723" i="7"/>
  <c r="AG723" i="7" s="1"/>
  <c r="Z723" i="7"/>
  <c r="AA723" i="7" s="1"/>
  <c r="T723" i="7"/>
  <c r="U723" i="7" s="1"/>
  <c r="R723" i="7"/>
  <c r="D723" i="7"/>
  <c r="BH722" i="7"/>
  <c r="BG722" i="7"/>
  <c r="AU722" i="7"/>
  <c r="AP722" i="7"/>
  <c r="AK722" i="7"/>
  <c r="AF722" i="7"/>
  <c r="AG722" i="7" s="1"/>
  <c r="Z722" i="7"/>
  <c r="AA722" i="7" s="1"/>
  <c r="T722" i="7"/>
  <c r="U722" i="7" s="1"/>
  <c r="R722" i="7"/>
  <c r="D722" i="7"/>
  <c r="BH721" i="7"/>
  <c r="BG721" i="7"/>
  <c r="AU721" i="7"/>
  <c r="AP721" i="7"/>
  <c r="AK721" i="7"/>
  <c r="AF721" i="7"/>
  <c r="AG721" i="7" s="1"/>
  <c r="Z721" i="7"/>
  <c r="AA721" i="7" s="1"/>
  <c r="T721" i="7"/>
  <c r="U721" i="7" s="1"/>
  <c r="R721" i="7"/>
  <c r="D721" i="7"/>
  <c r="BH720" i="7"/>
  <c r="BG720" i="7"/>
  <c r="AU720" i="7"/>
  <c r="AF720" i="7"/>
  <c r="AG720" i="7" s="1"/>
  <c r="Z720" i="7"/>
  <c r="AA720" i="7" s="1"/>
  <c r="T720" i="7"/>
  <c r="U720" i="7" s="1"/>
  <c r="R720" i="7"/>
  <c r="D720" i="7"/>
  <c r="BH719" i="7"/>
  <c r="BG719" i="7"/>
  <c r="AU719" i="7"/>
  <c r="AF719" i="7"/>
  <c r="AG719" i="7" s="1"/>
  <c r="Z719" i="7"/>
  <c r="AA719" i="7" s="1"/>
  <c r="T719" i="7"/>
  <c r="U719" i="7" s="1"/>
  <c r="R719" i="7"/>
  <c r="D719" i="7"/>
  <c r="BH718" i="7"/>
  <c r="BG718" i="7"/>
  <c r="AU718" i="7"/>
  <c r="AF718" i="7"/>
  <c r="AG718" i="7" s="1"/>
  <c r="Z718" i="7"/>
  <c r="AA718" i="7" s="1"/>
  <c r="T718" i="7"/>
  <c r="U718" i="7" s="1"/>
  <c r="R718" i="7"/>
  <c r="D718" i="7"/>
  <c r="BH717" i="7"/>
  <c r="BG717" i="7"/>
  <c r="AF717" i="7"/>
  <c r="AG717" i="7" s="1"/>
  <c r="Z717" i="7"/>
  <c r="AA717" i="7" s="1"/>
  <c r="T717" i="7"/>
  <c r="BE717" i="7" s="1"/>
  <c r="R717" i="7"/>
  <c r="D717" i="7"/>
  <c r="BH716" i="7"/>
  <c r="BG716" i="7"/>
  <c r="AF716" i="7"/>
  <c r="AG716" i="7" s="1"/>
  <c r="Z716" i="7"/>
  <c r="AA716" i="7" s="1"/>
  <c r="T716" i="7"/>
  <c r="U716" i="7" s="1"/>
  <c r="R716" i="7"/>
  <c r="D716" i="7"/>
  <c r="BH715" i="7"/>
  <c r="BG715" i="7"/>
  <c r="AF715" i="7"/>
  <c r="AG715" i="7" s="1"/>
  <c r="Z715" i="7"/>
  <c r="AA715" i="7" s="1"/>
  <c r="T715" i="7"/>
  <c r="R715" i="7"/>
  <c r="D715" i="7"/>
  <c r="BG714" i="7"/>
  <c r="AU714" i="7"/>
  <c r="AP714" i="7"/>
  <c r="AK714" i="7"/>
  <c r="AF714" i="7"/>
  <c r="AG714" i="7" s="1"/>
  <c r="AD714" i="7"/>
  <c r="AC714" i="7"/>
  <c r="Z714" i="7"/>
  <c r="AA714" i="7" s="1"/>
  <c r="T714" i="7"/>
  <c r="R714" i="7"/>
  <c r="D714" i="7"/>
  <c r="BG713" i="7"/>
  <c r="AU713" i="7"/>
  <c r="AP713" i="7"/>
  <c r="AK713" i="7"/>
  <c r="AF713" i="7"/>
  <c r="AG713" i="7" s="1"/>
  <c r="AD713" i="7"/>
  <c r="AC713" i="7"/>
  <c r="BH713" i="7" s="1"/>
  <c r="Z713" i="7"/>
  <c r="AA713" i="7" s="1"/>
  <c r="T713" i="7"/>
  <c r="BE713" i="7" s="1"/>
  <c r="R713" i="7"/>
  <c r="D713" i="7"/>
  <c r="BH712" i="7"/>
  <c r="BG712" i="7"/>
  <c r="AU712" i="7"/>
  <c r="AP712" i="7"/>
  <c r="AK712" i="7"/>
  <c r="AF712" i="7"/>
  <c r="AG712" i="7" s="1"/>
  <c r="Z712" i="7"/>
  <c r="AA712" i="7" s="1"/>
  <c r="T712" i="7"/>
  <c r="BE712" i="7" s="1"/>
  <c r="R712" i="7"/>
  <c r="D712" i="7"/>
  <c r="BH711" i="7"/>
  <c r="BG711" i="7"/>
  <c r="AU711" i="7"/>
  <c r="AP711" i="7"/>
  <c r="AK711" i="7"/>
  <c r="AF711" i="7"/>
  <c r="AG711" i="7" s="1"/>
  <c r="Z711" i="7"/>
  <c r="AA711" i="7" s="1"/>
  <c r="T711" i="7"/>
  <c r="BE711" i="7" s="1"/>
  <c r="R711" i="7"/>
  <c r="D711" i="7"/>
  <c r="BH710" i="7"/>
  <c r="BG710" i="7"/>
  <c r="AU710" i="7"/>
  <c r="AP710" i="7"/>
  <c r="AK710" i="7"/>
  <c r="AF710" i="7"/>
  <c r="AG710" i="7" s="1"/>
  <c r="Z710" i="7"/>
  <c r="AA710" i="7" s="1"/>
  <c r="T710" i="7"/>
  <c r="U710" i="7" s="1"/>
  <c r="R710" i="7"/>
  <c r="D710" i="7"/>
  <c r="BH709" i="7"/>
  <c r="BG709" i="7"/>
  <c r="AU709" i="7"/>
  <c r="AP709" i="7"/>
  <c r="AK709" i="7"/>
  <c r="AF709" i="7"/>
  <c r="AG709" i="7" s="1"/>
  <c r="Z709" i="7"/>
  <c r="AA709" i="7" s="1"/>
  <c r="T709" i="7"/>
  <c r="R709" i="7"/>
  <c r="D709" i="7"/>
  <c r="BH708" i="7"/>
  <c r="BG708" i="7"/>
  <c r="AU708" i="7"/>
  <c r="AP708" i="7"/>
  <c r="AK708" i="7"/>
  <c r="AF708" i="7"/>
  <c r="AG708" i="7" s="1"/>
  <c r="Z708" i="7"/>
  <c r="AA708" i="7" s="1"/>
  <c r="T708" i="7"/>
  <c r="R708" i="7"/>
  <c r="D708" i="7"/>
  <c r="BH707" i="7"/>
  <c r="BG707" i="7"/>
  <c r="AU707" i="7"/>
  <c r="AP707" i="7"/>
  <c r="AK707" i="7"/>
  <c r="AF707" i="7"/>
  <c r="AG707" i="7" s="1"/>
  <c r="Z707" i="7"/>
  <c r="AA707" i="7" s="1"/>
  <c r="T707" i="7"/>
  <c r="R707" i="7"/>
  <c r="D707" i="7"/>
  <c r="BH706" i="7"/>
  <c r="BG706" i="7"/>
  <c r="AU706" i="7"/>
  <c r="AP706" i="7"/>
  <c r="AK706" i="7"/>
  <c r="AF706" i="7"/>
  <c r="AG706" i="7" s="1"/>
  <c r="Z706" i="7"/>
  <c r="AA706" i="7" s="1"/>
  <c r="T706" i="7"/>
  <c r="U706" i="7" s="1"/>
  <c r="R706" i="7"/>
  <c r="D706" i="7"/>
  <c r="BH705" i="7"/>
  <c r="BG705" i="7"/>
  <c r="AU705" i="7"/>
  <c r="AP705" i="7"/>
  <c r="AK705" i="7"/>
  <c r="AF705" i="7"/>
  <c r="AG705" i="7" s="1"/>
  <c r="Z705" i="7"/>
  <c r="AA705" i="7" s="1"/>
  <c r="T705" i="7"/>
  <c r="BE705" i="7" s="1"/>
  <c r="R705" i="7"/>
  <c r="D705" i="7"/>
  <c r="BH704" i="7"/>
  <c r="BG704" i="7"/>
  <c r="AU704" i="7"/>
  <c r="AP704" i="7"/>
  <c r="AK704" i="7"/>
  <c r="AF704" i="7"/>
  <c r="AG704" i="7" s="1"/>
  <c r="Z704" i="7"/>
  <c r="AA704" i="7" s="1"/>
  <c r="T704" i="7"/>
  <c r="U704" i="7" s="1"/>
  <c r="R704" i="7"/>
  <c r="D704" i="7"/>
  <c r="BH703" i="7"/>
  <c r="BG703" i="7"/>
  <c r="AU703" i="7"/>
  <c r="AP703" i="7"/>
  <c r="AK703" i="7"/>
  <c r="AF703" i="7"/>
  <c r="AG703" i="7" s="1"/>
  <c r="Z703" i="7"/>
  <c r="AA703" i="7" s="1"/>
  <c r="T703" i="7"/>
  <c r="BE703" i="7" s="1"/>
  <c r="R703" i="7"/>
  <c r="D703" i="7"/>
  <c r="BH702" i="7"/>
  <c r="BG702" i="7"/>
  <c r="AU702" i="7"/>
  <c r="AP702" i="7"/>
  <c r="AK702" i="7"/>
  <c r="AF702" i="7"/>
  <c r="AG702" i="7" s="1"/>
  <c r="Z702" i="7"/>
  <c r="AA702" i="7" s="1"/>
  <c r="T702" i="7"/>
  <c r="U702" i="7" s="1"/>
  <c r="R702" i="7"/>
  <c r="D702" i="7"/>
  <c r="BH701" i="7"/>
  <c r="BG701" i="7"/>
  <c r="AU701" i="7"/>
  <c r="AP701" i="7"/>
  <c r="AK701" i="7"/>
  <c r="AF701" i="7"/>
  <c r="AG701" i="7" s="1"/>
  <c r="Z701" i="7"/>
  <c r="AA701" i="7" s="1"/>
  <c r="T701" i="7"/>
  <c r="U701" i="7" s="1"/>
  <c r="R701" i="7"/>
  <c r="D701" i="7"/>
  <c r="BH700" i="7"/>
  <c r="BG700" i="7"/>
  <c r="AU700" i="7"/>
  <c r="AP700" i="7"/>
  <c r="AK700" i="7"/>
  <c r="AF700" i="7"/>
  <c r="AG700" i="7" s="1"/>
  <c r="Z700" i="7"/>
  <c r="AA700" i="7" s="1"/>
  <c r="T700" i="7"/>
  <c r="R700" i="7"/>
  <c r="D700" i="7"/>
  <c r="BH699" i="7"/>
  <c r="BG699" i="7"/>
  <c r="AU699" i="7"/>
  <c r="AP699" i="7"/>
  <c r="AK699" i="7"/>
  <c r="AF699" i="7"/>
  <c r="AG699" i="7" s="1"/>
  <c r="Z699" i="7"/>
  <c r="AA699" i="7" s="1"/>
  <c r="T699" i="7"/>
  <c r="U699" i="7" s="1"/>
  <c r="R699" i="7"/>
  <c r="D699" i="7"/>
  <c r="BH698" i="7"/>
  <c r="BG698" i="7"/>
  <c r="AU698" i="7"/>
  <c r="AF698" i="7"/>
  <c r="AG698" i="7" s="1"/>
  <c r="Z698" i="7"/>
  <c r="AA698" i="7" s="1"/>
  <c r="T698" i="7"/>
  <c r="U698" i="7" s="1"/>
  <c r="R698" i="7"/>
  <c r="D698" i="7"/>
  <c r="BH697" i="7"/>
  <c r="BG697" i="7"/>
  <c r="AU697" i="7"/>
  <c r="AF697" i="7"/>
  <c r="AG697" i="7" s="1"/>
  <c r="Z697" i="7"/>
  <c r="AA697" i="7" s="1"/>
  <c r="T697" i="7"/>
  <c r="U697" i="7" s="1"/>
  <c r="R697" i="7"/>
  <c r="D697" i="7"/>
  <c r="BH696" i="7"/>
  <c r="BG696" i="7"/>
  <c r="AU696" i="7"/>
  <c r="AK696" i="7"/>
  <c r="AF696" i="7"/>
  <c r="AG696" i="7" s="1"/>
  <c r="Z696" i="7"/>
  <c r="AA696" i="7" s="1"/>
  <c r="T696" i="7"/>
  <c r="R696" i="7"/>
  <c r="Q696" i="7" s="1"/>
  <c r="D696" i="7"/>
  <c r="BH695" i="7"/>
  <c r="BG695" i="7"/>
  <c r="AU695" i="7"/>
  <c r="AP695" i="7"/>
  <c r="AK695" i="7"/>
  <c r="AF695" i="7"/>
  <c r="AG695" i="7" s="1"/>
  <c r="Z695" i="7"/>
  <c r="AA695" i="7" s="1"/>
  <c r="T695" i="7"/>
  <c r="U695" i="7" s="1"/>
  <c r="R695" i="7"/>
  <c r="Q695" i="7" s="1"/>
  <c r="D695" i="7"/>
  <c r="BH694" i="7"/>
  <c r="BG694" i="7"/>
  <c r="AU694" i="7"/>
  <c r="AP694" i="7"/>
  <c r="AK694" i="7"/>
  <c r="AF694" i="7"/>
  <c r="AG694" i="7" s="1"/>
  <c r="Z694" i="7"/>
  <c r="AA694" i="7" s="1"/>
  <c r="T694" i="7"/>
  <c r="BE694" i="7" s="1"/>
  <c r="D694" i="7"/>
  <c r="BH693" i="7"/>
  <c r="BG693" i="7"/>
  <c r="AU693" i="7"/>
  <c r="AP693" i="7"/>
  <c r="AK693" i="7"/>
  <c r="AF693" i="7"/>
  <c r="AG693" i="7" s="1"/>
  <c r="Z693" i="7"/>
  <c r="AA693" i="7" s="1"/>
  <c r="T693" i="7"/>
  <c r="R693" i="7"/>
  <c r="Q693" i="7" s="1"/>
  <c r="D693" i="7"/>
  <c r="BH692" i="7"/>
  <c r="BG692" i="7"/>
  <c r="AU692" i="7"/>
  <c r="AP692" i="7"/>
  <c r="AK692" i="7"/>
  <c r="AF692" i="7"/>
  <c r="AG692" i="7" s="1"/>
  <c r="Z692" i="7"/>
  <c r="AA692" i="7" s="1"/>
  <c r="T692" i="7"/>
  <c r="R692" i="7"/>
  <c r="D692" i="7"/>
  <c r="BH691" i="7"/>
  <c r="BG691" i="7"/>
  <c r="AU691" i="7"/>
  <c r="AP691" i="7"/>
  <c r="AK691" i="7"/>
  <c r="AF691" i="7"/>
  <c r="AG691" i="7" s="1"/>
  <c r="Z691" i="7"/>
  <c r="AA691" i="7" s="1"/>
  <c r="T691" i="7"/>
  <c r="BE691" i="7" s="1"/>
  <c r="R691" i="7"/>
  <c r="Q691" i="7" s="1"/>
  <c r="D691" i="7"/>
  <c r="BH690" i="7"/>
  <c r="BG690" i="7"/>
  <c r="AU690" i="7"/>
  <c r="AP690" i="7"/>
  <c r="AK690" i="7"/>
  <c r="AF690" i="7"/>
  <c r="AG690" i="7" s="1"/>
  <c r="Z690" i="7"/>
  <c r="AA690" i="7" s="1"/>
  <c r="T690" i="7"/>
  <c r="R690" i="7"/>
  <c r="Q690" i="7" s="1"/>
  <c r="D690" i="7"/>
  <c r="BH689" i="7"/>
  <c r="BG689" i="7"/>
  <c r="AU689" i="7"/>
  <c r="AP689" i="7"/>
  <c r="AK689" i="7"/>
  <c r="AF689" i="7"/>
  <c r="AG689" i="7" s="1"/>
  <c r="Z689" i="7"/>
  <c r="AA689" i="7" s="1"/>
  <c r="T689" i="7"/>
  <c r="U689" i="7" s="1"/>
  <c r="R689" i="7"/>
  <c r="Q689" i="7" s="1"/>
  <c r="D689" i="7"/>
  <c r="BH688" i="7"/>
  <c r="BG688" i="7"/>
  <c r="AU688" i="7"/>
  <c r="AP688" i="7"/>
  <c r="AK688" i="7"/>
  <c r="AF688" i="7"/>
  <c r="AG688" i="7" s="1"/>
  <c r="Z688" i="7"/>
  <c r="AA688" i="7" s="1"/>
  <c r="T688" i="7"/>
  <c r="R688" i="7"/>
  <c r="Q688" i="7" s="1"/>
  <c r="D688" i="7"/>
  <c r="BH687" i="7"/>
  <c r="BG687" i="7"/>
  <c r="AU687" i="7"/>
  <c r="AP687" i="7"/>
  <c r="AK687" i="7"/>
  <c r="AF687" i="7"/>
  <c r="AG687" i="7" s="1"/>
  <c r="Z687" i="7"/>
  <c r="AA687" i="7" s="1"/>
  <c r="T687" i="7"/>
  <c r="BE687" i="7" s="1"/>
  <c r="R687" i="7"/>
  <c r="Q687" i="7" s="1"/>
  <c r="D687" i="7"/>
  <c r="BG686" i="7"/>
  <c r="AU686" i="7"/>
  <c r="AP686" i="7"/>
  <c r="AK686" i="7"/>
  <c r="AF686" i="7"/>
  <c r="AG686" i="7" s="1"/>
  <c r="AD686" i="7"/>
  <c r="AC686" i="7"/>
  <c r="Z686" i="7"/>
  <c r="AA686" i="7" s="1"/>
  <c r="T686" i="7"/>
  <c r="BE686" i="7" s="1"/>
  <c r="R686" i="7"/>
  <c r="Q686" i="7" s="1"/>
  <c r="D686" i="7"/>
  <c r="BH685" i="7"/>
  <c r="BG685" i="7"/>
  <c r="AU685" i="7"/>
  <c r="AP685" i="7"/>
  <c r="AK685" i="7"/>
  <c r="AF685" i="7"/>
  <c r="AG685" i="7" s="1"/>
  <c r="Z685" i="7"/>
  <c r="AA685" i="7" s="1"/>
  <c r="T685" i="7"/>
  <c r="R685" i="7"/>
  <c r="D685" i="7"/>
  <c r="BH684" i="7"/>
  <c r="BG684" i="7"/>
  <c r="AU684" i="7"/>
  <c r="AP684" i="7"/>
  <c r="AK684" i="7"/>
  <c r="AF684" i="7"/>
  <c r="AG684" i="7" s="1"/>
  <c r="Z684" i="7"/>
  <c r="AA684" i="7" s="1"/>
  <c r="T684" i="7"/>
  <c r="BE684" i="7" s="1"/>
  <c r="R684" i="7"/>
  <c r="Q684" i="7" s="1"/>
  <c r="D684" i="7"/>
  <c r="BH683" i="7"/>
  <c r="BG683" i="7"/>
  <c r="AU683" i="7"/>
  <c r="AP683" i="7"/>
  <c r="AK683" i="7"/>
  <c r="AF683" i="7"/>
  <c r="AG683" i="7" s="1"/>
  <c r="Z683" i="7"/>
  <c r="AA683" i="7" s="1"/>
  <c r="T683" i="7"/>
  <c r="BE683" i="7" s="1"/>
  <c r="R683" i="7"/>
  <c r="Q683" i="7" s="1"/>
  <c r="D683" i="7"/>
  <c r="BG682" i="7"/>
  <c r="AU682" i="7"/>
  <c r="AP682" i="7"/>
  <c r="AK682" i="7"/>
  <c r="AF682" i="7"/>
  <c r="AG682" i="7" s="1"/>
  <c r="AD682" i="7"/>
  <c r="AC682" i="7"/>
  <c r="Z682" i="7"/>
  <c r="AA682" i="7" s="1"/>
  <c r="T682" i="7"/>
  <c r="BE682" i="7" s="1"/>
  <c r="R682" i="7"/>
  <c r="D682" i="7"/>
  <c r="BH681" i="7"/>
  <c r="BG681" i="7"/>
  <c r="AU681" i="7"/>
  <c r="AP681" i="7"/>
  <c r="AK681" i="7"/>
  <c r="AF681" i="7"/>
  <c r="AG681" i="7" s="1"/>
  <c r="Z681" i="7"/>
  <c r="AA681" i="7" s="1"/>
  <c r="T681" i="7"/>
  <c r="U681" i="7" s="1"/>
  <c r="R681" i="7"/>
  <c r="Q681" i="7" s="1"/>
  <c r="D681" i="7"/>
  <c r="BH680" i="7"/>
  <c r="BG680" i="7"/>
  <c r="AU680" i="7"/>
  <c r="AP680" i="7"/>
  <c r="AK680" i="7"/>
  <c r="AF680" i="7"/>
  <c r="Z680" i="7"/>
  <c r="AA680" i="7" s="1"/>
  <c r="T680" i="7"/>
  <c r="U680" i="7" s="1"/>
  <c r="R680" i="7"/>
  <c r="Q680" i="7" s="1"/>
  <c r="D680" i="7"/>
  <c r="BH679" i="7"/>
  <c r="BG679" i="7"/>
  <c r="AU679" i="7"/>
  <c r="AP679" i="7"/>
  <c r="AK679" i="7"/>
  <c r="AF679" i="7"/>
  <c r="AG679" i="7" s="1"/>
  <c r="Z679" i="7"/>
  <c r="AA679" i="7" s="1"/>
  <c r="T679" i="7"/>
  <c r="U679" i="7" s="1"/>
  <c r="R679" i="7"/>
  <c r="D679" i="7"/>
  <c r="BH678" i="7"/>
  <c r="BG678" i="7"/>
  <c r="AU678" i="7"/>
  <c r="AP678" i="7"/>
  <c r="AK678" i="7"/>
  <c r="AF678" i="7"/>
  <c r="AG678" i="7" s="1"/>
  <c r="Z678" i="7"/>
  <c r="AA678" i="7" s="1"/>
  <c r="T678" i="7"/>
  <c r="U678" i="7" s="1"/>
  <c r="R678" i="7"/>
  <c r="Q678" i="7"/>
  <c r="D678" i="7"/>
  <c r="BH677" i="7"/>
  <c r="BG677" i="7"/>
  <c r="AU677" i="7"/>
  <c r="AP677" i="7"/>
  <c r="AK677" i="7"/>
  <c r="AF677" i="7"/>
  <c r="AG677" i="7" s="1"/>
  <c r="Z677" i="7"/>
  <c r="AA677" i="7" s="1"/>
  <c r="T677" i="7"/>
  <c r="BE677" i="7" s="1"/>
  <c r="R677" i="7"/>
  <c r="Q677" i="7"/>
  <c r="D677" i="7"/>
  <c r="BH676" i="7"/>
  <c r="BG676" i="7"/>
  <c r="AU676" i="7"/>
  <c r="AP676" i="7"/>
  <c r="AK676" i="7"/>
  <c r="AF676" i="7"/>
  <c r="AG676" i="7" s="1"/>
  <c r="Z676" i="7"/>
  <c r="AA676" i="7" s="1"/>
  <c r="T676" i="7"/>
  <c r="U676" i="7" s="1"/>
  <c r="R676" i="7"/>
  <c r="Q676" i="7"/>
  <c r="D676" i="7"/>
  <c r="BH675" i="7"/>
  <c r="BG675" i="7"/>
  <c r="AU675" i="7"/>
  <c r="AP675" i="7"/>
  <c r="AK675" i="7"/>
  <c r="AF675" i="7"/>
  <c r="AG675" i="7" s="1"/>
  <c r="Z675" i="7"/>
  <c r="AA675" i="7" s="1"/>
  <c r="T675" i="7"/>
  <c r="BE675" i="7" s="1"/>
  <c r="R675" i="7"/>
  <c r="Q675" i="7" s="1"/>
  <c r="D675" i="7"/>
  <c r="BH674" i="7"/>
  <c r="BG674" i="7"/>
  <c r="AU674" i="7"/>
  <c r="AP674" i="7"/>
  <c r="AK674" i="7"/>
  <c r="AF674" i="7"/>
  <c r="AG674" i="7" s="1"/>
  <c r="Z674" i="7"/>
  <c r="AA674" i="7" s="1"/>
  <c r="T674" i="7"/>
  <c r="BE674" i="7" s="1"/>
  <c r="R674" i="7"/>
  <c r="D674" i="7"/>
  <c r="BH673" i="7"/>
  <c r="BG673" i="7"/>
  <c r="AU673" i="7"/>
  <c r="AP673" i="7"/>
  <c r="AK673" i="7"/>
  <c r="AF673" i="7"/>
  <c r="AG673" i="7" s="1"/>
  <c r="Z673" i="7"/>
  <c r="AA673" i="7" s="1"/>
  <c r="T673" i="7"/>
  <c r="U673" i="7" s="1"/>
  <c r="R673" i="7"/>
  <c r="Q673" i="7" s="1"/>
  <c r="D673" i="7"/>
  <c r="BH672" i="7"/>
  <c r="BG672" i="7"/>
  <c r="AU672" i="7"/>
  <c r="AP672" i="7"/>
  <c r="AK672" i="7"/>
  <c r="AF672" i="7"/>
  <c r="AG672" i="7" s="1"/>
  <c r="Z672" i="7"/>
  <c r="AA672" i="7" s="1"/>
  <c r="T672" i="7"/>
  <c r="U672" i="7" s="1"/>
  <c r="R672" i="7"/>
  <c r="Q672" i="7" s="1"/>
  <c r="D672" i="7"/>
  <c r="BH671" i="7"/>
  <c r="BG671" i="7"/>
  <c r="AU671" i="7"/>
  <c r="AP671" i="7"/>
  <c r="AK671" i="7"/>
  <c r="AF671" i="7"/>
  <c r="AG671" i="7" s="1"/>
  <c r="Z671" i="7"/>
  <c r="AA671" i="7" s="1"/>
  <c r="T671" i="7"/>
  <c r="U671" i="7" s="1"/>
  <c r="R671" i="7"/>
  <c r="Q671" i="7" s="1"/>
  <c r="D671" i="7"/>
  <c r="BH670" i="7"/>
  <c r="BG670" i="7"/>
  <c r="AU670" i="7"/>
  <c r="AP670" i="7"/>
  <c r="AK670" i="7"/>
  <c r="AF670" i="7"/>
  <c r="AG670" i="7" s="1"/>
  <c r="Z670" i="7"/>
  <c r="AA670" i="7" s="1"/>
  <c r="T670" i="7"/>
  <c r="BE670" i="7" s="1"/>
  <c r="R670" i="7"/>
  <c r="Q670" i="7" s="1"/>
  <c r="D670" i="7"/>
  <c r="BH669" i="7"/>
  <c r="BG669" i="7"/>
  <c r="AU669" i="7"/>
  <c r="AP669" i="7"/>
  <c r="AK669" i="7"/>
  <c r="AF669" i="7"/>
  <c r="AG669" i="7" s="1"/>
  <c r="Z669" i="7"/>
  <c r="AA669" i="7" s="1"/>
  <c r="T669" i="7"/>
  <c r="BE669" i="7" s="1"/>
  <c r="R669" i="7"/>
  <c r="Q669" i="7" s="1"/>
  <c r="D669" i="7"/>
  <c r="BH668" i="7"/>
  <c r="BG668" i="7"/>
  <c r="AU668" i="7"/>
  <c r="AP668" i="7"/>
  <c r="AK668" i="7"/>
  <c r="AF668" i="7"/>
  <c r="AG668" i="7" s="1"/>
  <c r="Z668" i="7"/>
  <c r="AA668" i="7" s="1"/>
  <c r="T668" i="7"/>
  <c r="R668" i="7"/>
  <c r="Q668" i="7" s="1"/>
  <c r="D668" i="7"/>
  <c r="BH667" i="7"/>
  <c r="BG667" i="7"/>
  <c r="AU667" i="7"/>
  <c r="AP667" i="7"/>
  <c r="AK667" i="7"/>
  <c r="AF667" i="7"/>
  <c r="AG667" i="7" s="1"/>
  <c r="Z667" i="7"/>
  <c r="AA667" i="7" s="1"/>
  <c r="T667" i="7"/>
  <c r="BE667" i="7" s="1"/>
  <c r="R667" i="7"/>
  <c r="Q667" i="7" s="1"/>
  <c r="D667" i="7"/>
  <c r="BH666" i="7"/>
  <c r="BG666" i="7"/>
  <c r="AU666" i="7"/>
  <c r="AP666" i="7"/>
  <c r="AK666" i="7"/>
  <c r="AF666" i="7"/>
  <c r="AG666" i="7" s="1"/>
  <c r="Z666" i="7"/>
  <c r="AA666" i="7" s="1"/>
  <c r="T666" i="7"/>
  <c r="R666" i="7"/>
  <c r="D666" i="7"/>
  <c r="BH665" i="7"/>
  <c r="BG665" i="7"/>
  <c r="AU665" i="7"/>
  <c r="AP665" i="7"/>
  <c r="AK665" i="7"/>
  <c r="AF665" i="7"/>
  <c r="AG665" i="7" s="1"/>
  <c r="Z665" i="7"/>
  <c r="AA665" i="7" s="1"/>
  <c r="T665" i="7"/>
  <c r="BE665" i="7" s="1"/>
  <c r="R665" i="7"/>
  <c r="D665" i="7"/>
  <c r="BH664" i="7"/>
  <c r="BG664" i="7"/>
  <c r="AU664" i="7"/>
  <c r="AP664" i="7"/>
  <c r="AK664" i="7"/>
  <c r="AF664" i="7"/>
  <c r="AG664" i="7" s="1"/>
  <c r="Z664" i="7"/>
  <c r="AA664" i="7" s="1"/>
  <c r="T664" i="7"/>
  <c r="BE664" i="7" s="1"/>
  <c r="R664" i="7"/>
  <c r="D664" i="7"/>
  <c r="BH663" i="7"/>
  <c r="BG663" i="7"/>
  <c r="AU663" i="7"/>
  <c r="AP663" i="7"/>
  <c r="AK663" i="7"/>
  <c r="AF663" i="7"/>
  <c r="AG663" i="7" s="1"/>
  <c r="Z663" i="7"/>
  <c r="AA663" i="7" s="1"/>
  <c r="T663" i="7"/>
  <c r="BE663" i="7" s="1"/>
  <c r="R663" i="7"/>
  <c r="D663" i="7"/>
  <c r="BH662" i="7"/>
  <c r="BG662" i="7"/>
  <c r="AU662" i="7"/>
  <c r="AP662" i="7"/>
  <c r="AK662" i="7"/>
  <c r="AF662" i="7"/>
  <c r="AG662" i="7" s="1"/>
  <c r="Z662" i="7"/>
  <c r="AA662" i="7" s="1"/>
  <c r="T662" i="7"/>
  <c r="BE662" i="7" s="1"/>
  <c r="R662" i="7"/>
  <c r="Q662" i="7" s="1"/>
  <c r="D662" i="7"/>
  <c r="BH661" i="7"/>
  <c r="BG661" i="7"/>
  <c r="AU661" i="7"/>
  <c r="AP661" i="7"/>
  <c r="AK661" i="7"/>
  <c r="AF661" i="7"/>
  <c r="AG661" i="7" s="1"/>
  <c r="Z661" i="7"/>
  <c r="AA661" i="7" s="1"/>
  <c r="T661" i="7"/>
  <c r="BE661" i="7" s="1"/>
  <c r="R661" i="7"/>
  <c r="D661" i="7"/>
  <c r="BH660" i="7"/>
  <c r="BG660" i="7"/>
  <c r="AU660" i="7"/>
  <c r="AP660" i="7"/>
  <c r="AK660" i="7"/>
  <c r="AF660" i="7"/>
  <c r="AG660" i="7" s="1"/>
  <c r="Z660" i="7"/>
  <c r="AA660" i="7" s="1"/>
  <c r="T660" i="7"/>
  <c r="R660" i="7"/>
  <c r="D660" i="7"/>
  <c r="BH659" i="7"/>
  <c r="BG659" i="7"/>
  <c r="AU659" i="7"/>
  <c r="AP659" i="7"/>
  <c r="AK659" i="7"/>
  <c r="AF659" i="7"/>
  <c r="AG659" i="7" s="1"/>
  <c r="Z659" i="7"/>
  <c r="AA659" i="7" s="1"/>
  <c r="T659" i="7"/>
  <c r="R659" i="7"/>
  <c r="Q659" i="7" s="1"/>
  <c r="D659" i="7"/>
  <c r="BH658" i="7"/>
  <c r="BG658" i="7"/>
  <c r="AU658" i="7"/>
  <c r="AP658" i="7"/>
  <c r="AK658" i="7"/>
  <c r="AF658" i="7"/>
  <c r="AG658" i="7" s="1"/>
  <c r="Z658" i="7"/>
  <c r="T658" i="7"/>
  <c r="BE658" i="7" s="1"/>
  <c r="R658" i="7"/>
  <c r="Q658" i="7" s="1"/>
  <c r="D658" i="7"/>
  <c r="BH657" i="7"/>
  <c r="BG657" i="7"/>
  <c r="AU657" i="7"/>
  <c r="AP657" i="7"/>
  <c r="AK657" i="7"/>
  <c r="AF657" i="7"/>
  <c r="AG657" i="7" s="1"/>
  <c r="Z657" i="7"/>
  <c r="AA657" i="7" s="1"/>
  <c r="T657" i="7"/>
  <c r="BE657" i="7" s="1"/>
  <c r="R657" i="7"/>
  <c r="Q657" i="7" s="1"/>
  <c r="D657" i="7"/>
  <c r="BH656" i="7"/>
  <c r="BG656" i="7"/>
  <c r="AU656" i="7"/>
  <c r="AP656" i="7"/>
  <c r="AK656" i="7"/>
  <c r="AF656" i="7"/>
  <c r="AG656" i="7" s="1"/>
  <c r="Z656" i="7"/>
  <c r="AA656" i="7" s="1"/>
  <c r="T656" i="7"/>
  <c r="BE656" i="7" s="1"/>
  <c r="R656" i="7"/>
  <c r="Q656" i="7" s="1"/>
  <c r="D656" i="7"/>
  <c r="BH655" i="7"/>
  <c r="BG655" i="7"/>
  <c r="AU655" i="7"/>
  <c r="AP655" i="7"/>
  <c r="AK655" i="7"/>
  <c r="AF655" i="7"/>
  <c r="AG655" i="7" s="1"/>
  <c r="Z655" i="7"/>
  <c r="AA655" i="7" s="1"/>
  <c r="T655" i="7"/>
  <c r="U655" i="7" s="1"/>
  <c r="R655" i="7"/>
  <c r="Q655" i="7" s="1"/>
  <c r="D655" i="7"/>
  <c r="BH654" i="7"/>
  <c r="BG654" i="7"/>
  <c r="AU654" i="7"/>
  <c r="AP654" i="7"/>
  <c r="AK654" i="7"/>
  <c r="AF654" i="7"/>
  <c r="AG654" i="7" s="1"/>
  <c r="Z654" i="7"/>
  <c r="AA654" i="7" s="1"/>
  <c r="T654" i="7"/>
  <c r="U654" i="7" s="1"/>
  <c r="R654" i="7"/>
  <c r="Q654" i="7" s="1"/>
  <c r="D654" i="7"/>
  <c r="BH653" i="7"/>
  <c r="BG653" i="7"/>
  <c r="AU653" i="7"/>
  <c r="AP653" i="7"/>
  <c r="AK653" i="7"/>
  <c r="AF653" i="7"/>
  <c r="AG653" i="7" s="1"/>
  <c r="Z653" i="7"/>
  <c r="AA653" i="7" s="1"/>
  <c r="T653" i="7"/>
  <c r="U653" i="7" s="1"/>
  <c r="R653" i="7"/>
  <c r="Q653" i="7" s="1"/>
  <c r="D653" i="7"/>
  <c r="BH652" i="7"/>
  <c r="BG652" i="7"/>
  <c r="AU652" i="7"/>
  <c r="AP652" i="7"/>
  <c r="AK652" i="7"/>
  <c r="AF652" i="7"/>
  <c r="AG652" i="7" s="1"/>
  <c r="Z652" i="7"/>
  <c r="AA652" i="7" s="1"/>
  <c r="T652" i="7"/>
  <c r="BE652" i="7" s="1"/>
  <c r="R652" i="7"/>
  <c r="Q652" i="7" s="1"/>
  <c r="D652" i="7"/>
  <c r="BH651" i="7"/>
  <c r="BG651" i="7"/>
  <c r="AU651" i="7"/>
  <c r="AP651" i="7"/>
  <c r="AK651" i="7"/>
  <c r="AF651" i="7"/>
  <c r="AG651" i="7" s="1"/>
  <c r="Z651" i="7"/>
  <c r="AA651" i="7" s="1"/>
  <c r="T651" i="7"/>
  <c r="U651" i="7" s="1"/>
  <c r="R651" i="7"/>
  <c r="Q651" i="7" s="1"/>
  <c r="D651" i="7"/>
  <c r="BH650" i="7"/>
  <c r="BG650" i="7"/>
  <c r="AU650" i="7"/>
  <c r="AP650" i="7"/>
  <c r="AK650" i="7"/>
  <c r="AF650" i="7"/>
  <c r="AG650" i="7" s="1"/>
  <c r="Z650" i="7"/>
  <c r="AA650" i="7" s="1"/>
  <c r="T650" i="7"/>
  <c r="U650" i="7" s="1"/>
  <c r="R650" i="7"/>
  <c r="Q650" i="7" s="1"/>
  <c r="D650" i="7"/>
  <c r="BH649" i="7"/>
  <c r="BG649" i="7"/>
  <c r="AU649" i="7"/>
  <c r="AP649" i="7"/>
  <c r="AK649" i="7"/>
  <c r="AF649" i="7"/>
  <c r="AG649" i="7" s="1"/>
  <c r="Z649" i="7"/>
  <c r="AA649" i="7" s="1"/>
  <c r="T649" i="7"/>
  <c r="R649" i="7"/>
  <c r="D649" i="7"/>
  <c r="BH648" i="7"/>
  <c r="BG648" i="7"/>
  <c r="AU648" i="7"/>
  <c r="AP648" i="7"/>
  <c r="AK648" i="7"/>
  <c r="AF648" i="7"/>
  <c r="AG648" i="7" s="1"/>
  <c r="Z648" i="7"/>
  <c r="AA648" i="7" s="1"/>
  <c r="T648" i="7"/>
  <c r="U648" i="7" s="1"/>
  <c r="R648" i="7"/>
  <c r="D648" i="7"/>
  <c r="BH647" i="7"/>
  <c r="BG647" i="7"/>
  <c r="AU647" i="7"/>
  <c r="AP647" i="7"/>
  <c r="AK647" i="7"/>
  <c r="AF647" i="7"/>
  <c r="AG647" i="7" s="1"/>
  <c r="Z647" i="7"/>
  <c r="AA647" i="7" s="1"/>
  <c r="T647" i="7"/>
  <c r="U647" i="7" s="1"/>
  <c r="R647" i="7"/>
  <c r="D647" i="7"/>
  <c r="BH646" i="7"/>
  <c r="BG646" i="7"/>
  <c r="AU646" i="7"/>
  <c r="AP646" i="7"/>
  <c r="AK646" i="7"/>
  <c r="AF646" i="7"/>
  <c r="AG646" i="7" s="1"/>
  <c r="Z646" i="7"/>
  <c r="AA646" i="7" s="1"/>
  <c r="T646" i="7"/>
  <c r="R646" i="7"/>
  <c r="Q646" i="7" s="1"/>
  <c r="D646" i="7"/>
  <c r="BG645" i="7"/>
  <c r="AU645" i="7"/>
  <c r="AP645" i="7"/>
  <c r="AK645" i="7"/>
  <c r="AF645" i="7"/>
  <c r="AG645" i="7" s="1"/>
  <c r="AD645" i="7"/>
  <c r="AC645" i="7"/>
  <c r="Z645" i="7"/>
  <c r="AA645" i="7" s="1"/>
  <c r="T645" i="7"/>
  <c r="R645" i="7"/>
  <c r="Q645" i="7" s="1"/>
  <c r="D645" i="7"/>
  <c r="BH644" i="7"/>
  <c r="BG644" i="7"/>
  <c r="AU644" i="7"/>
  <c r="AP644" i="7"/>
  <c r="AK644" i="7"/>
  <c r="AF644" i="7"/>
  <c r="AG644" i="7" s="1"/>
  <c r="Z644" i="7"/>
  <c r="AA644" i="7" s="1"/>
  <c r="T644" i="7"/>
  <c r="BE644" i="7" s="1"/>
  <c r="R644" i="7"/>
  <c r="Q644" i="7" s="1"/>
  <c r="D644" i="7"/>
  <c r="BH643" i="7"/>
  <c r="BG643" i="7"/>
  <c r="AU643" i="7"/>
  <c r="AP643" i="7"/>
  <c r="AK643" i="7"/>
  <c r="AF643" i="7"/>
  <c r="AG643" i="7" s="1"/>
  <c r="Z643" i="7"/>
  <c r="AA643" i="7" s="1"/>
  <c r="T643" i="7"/>
  <c r="BE643" i="7" s="1"/>
  <c r="R643" i="7"/>
  <c r="Q643" i="7" s="1"/>
  <c r="D643" i="7"/>
  <c r="BH642" i="7"/>
  <c r="BG642" i="7"/>
  <c r="AU642" i="7"/>
  <c r="AP642" i="7"/>
  <c r="AK642" i="7"/>
  <c r="AF642" i="7"/>
  <c r="AG642" i="7" s="1"/>
  <c r="Z642" i="7"/>
  <c r="AA642" i="7" s="1"/>
  <c r="T642" i="7"/>
  <c r="BE642" i="7" s="1"/>
  <c r="R642" i="7"/>
  <c r="D642" i="7"/>
  <c r="BG641" i="7"/>
  <c r="AU641" i="7"/>
  <c r="AP641" i="7"/>
  <c r="AK641" i="7"/>
  <c r="AF641" i="7"/>
  <c r="AD641" i="7"/>
  <c r="AC641" i="7"/>
  <c r="Z641" i="7"/>
  <c r="AA641" i="7" s="1"/>
  <c r="T641" i="7"/>
  <c r="U641" i="7" s="1"/>
  <c r="R641" i="7"/>
  <c r="Q641" i="7" s="1"/>
  <c r="D641" i="7"/>
  <c r="BH640" i="7"/>
  <c r="BG640" i="7"/>
  <c r="AU640" i="7"/>
  <c r="AP640" i="7"/>
  <c r="AK640" i="7"/>
  <c r="AF640" i="7"/>
  <c r="Z640" i="7"/>
  <c r="AA640" i="7" s="1"/>
  <c r="T640" i="7"/>
  <c r="BE640" i="7" s="1"/>
  <c r="R640" i="7"/>
  <c r="Q640" i="7" s="1"/>
  <c r="D640" i="7"/>
  <c r="BH639" i="7"/>
  <c r="BG639" i="7"/>
  <c r="AU639" i="7"/>
  <c r="AP639" i="7"/>
  <c r="AK639" i="7"/>
  <c r="AF639" i="7"/>
  <c r="AG639" i="7" s="1"/>
  <c r="Z639" i="7"/>
  <c r="AA639" i="7" s="1"/>
  <c r="T639" i="7"/>
  <c r="U639" i="7" s="1"/>
  <c r="R639" i="7"/>
  <c r="Q639" i="7" s="1"/>
  <c r="D639" i="7"/>
  <c r="BH638" i="7"/>
  <c r="BG638" i="7"/>
  <c r="AU638" i="7"/>
  <c r="AP638" i="7"/>
  <c r="AK638" i="7"/>
  <c r="AF638" i="7"/>
  <c r="AG638" i="7" s="1"/>
  <c r="Z638" i="7"/>
  <c r="AA638" i="7" s="1"/>
  <c r="T638" i="7"/>
  <c r="U638" i="7" s="1"/>
  <c r="R638" i="7"/>
  <c r="Q638" i="7" s="1"/>
  <c r="D638" i="7"/>
  <c r="BH637" i="7"/>
  <c r="BG637" i="7"/>
  <c r="AU637" i="7"/>
  <c r="AP637" i="7"/>
  <c r="AK637" i="7"/>
  <c r="AF637" i="7"/>
  <c r="AG637" i="7" s="1"/>
  <c r="Z637" i="7"/>
  <c r="AA637" i="7" s="1"/>
  <c r="T637" i="7"/>
  <c r="U637" i="7" s="1"/>
  <c r="R637" i="7"/>
  <c r="D637" i="7"/>
  <c r="BH636" i="7"/>
  <c r="BG636" i="7"/>
  <c r="AU636" i="7"/>
  <c r="AP636" i="7"/>
  <c r="AK636" i="7"/>
  <c r="AF636" i="7"/>
  <c r="AG636" i="7" s="1"/>
  <c r="Z636" i="7"/>
  <c r="AA636" i="7" s="1"/>
  <c r="T636" i="7"/>
  <c r="R636" i="7"/>
  <c r="D636" i="7"/>
  <c r="BH635" i="7"/>
  <c r="BG635" i="7"/>
  <c r="AU635" i="7"/>
  <c r="AP635" i="7"/>
  <c r="AK635" i="7"/>
  <c r="AF635" i="7"/>
  <c r="AG635" i="7" s="1"/>
  <c r="Z635" i="7"/>
  <c r="AA635" i="7" s="1"/>
  <c r="T635" i="7"/>
  <c r="R635" i="7"/>
  <c r="Q635" i="7" s="1"/>
  <c r="D635" i="7"/>
  <c r="BH634" i="7"/>
  <c r="BG634" i="7"/>
  <c r="AU634" i="7"/>
  <c r="AP634" i="7"/>
  <c r="AK634" i="7"/>
  <c r="AF634" i="7"/>
  <c r="AG634" i="7" s="1"/>
  <c r="Z634" i="7"/>
  <c r="AA634" i="7" s="1"/>
  <c r="T634" i="7"/>
  <c r="BE634" i="7" s="1"/>
  <c r="R634" i="7"/>
  <c r="D634" i="7"/>
  <c r="BH633" i="7"/>
  <c r="BG633" i="7"/>
  <c r="AU633" i="7"/>
  <c r="AP633" i="7"/>
  <c r="AK633" i="7"/>
  <c r="AF633" i="7"/>
  <c r="AG633" i="7" s="1"/>
  <c r="Z633" i="7"/>
  <c r="AA633" i="7" s="1"/>
  <c r="T633" i="7"/>
  <c r="BE633" i="7" s="1"/>
  <c r="R633" i="7"/>
  <c r="Q633" i="7" s="1"/>
  <c r="D633" i="7"/>
  <c r="BH632" i="7"/>
  <c r="BG632" i="7"/>
  <c r="AU632" i="7"/>
  <c r="AP632" i="7"/>
  <c r="AK632" i="7"/>
  <c r="AF632" i="7"/>
  <c r="AG632" i="7" s="1"/>
  <c r="Z632" i="7"/>
  <c r="AA632" i="7" s="1"/>
  <c r="T632" i="7"/>
  <c r="U632" i="7" s="1"/>
  <c r="R632" i="7"/>
  <c r="Q632" i="7" s="1"/>
  <c r="D632" i="7"/>
  <c r="BH631" i="7"/>
  <c r="BG631" i="7"/>
  <c r="AU631" i="7"/>
  <c r="AP631" i="7"/>
  <c r="AK631" i="7"/>
  <c r="AF631" i="7"/>
  <c r="AG631" i="7" s="1"/>
  <c r="Z631" i="7"/>
  <c r="AA631" i="7" s="1"/>
  <c r="T631" i="7"/>
  <c r="R631" i="7"/>
  <c r="Q631" i="7" s="1"/>
  <c r="D631" i="7"/>
  <c r="BH630" i="7"/>
  <c r="BG630" i="7"/>
  <c r="AU630" i="7"/>
  <c r="AP630" i="7"/>
  <c r="AK630" i="7"/>
  <c r="AF630" i="7"/>
  <c r="AG630" i="7" s="1"/>
  <c r="Z630" i="7"/>
  <c r="AA630" i="7" s="1"/>
  <c r="T630" i="7"/>
  <c r="BE630" i="7" s="1"/>
  <c r="R630" i="7"/>
  <c r="Q630" i="7" s="1"/>
  <c r="D630" i="7"/>
  <c r="BH629" i="7"/>
  <c r="BG629" i="7"/>
  <c r="AU629" i="7"/>
  <c r="AP629" i="7"/>
  <c r="AK629" i="7"/>
  <c r="AF629" i="7"/>
  <c r="AG629" i="7" s="1"/>
  <c r="Z629" i="7"/>
  <c r="AA629" i="7" s="1"/>
  <c r="T629" i="7"/>
  <c r="BE629" i="7" s="1"/>
  <c r="R629" i="7"/>
  <c r="Q629" i="7" s="1"/>
  <c r="D629" i="7"/>
  <c r="BH628" i="7"/>
  <c r="BG628" i="7"/>
  <c r="AU628" i="7"/>
  <c r="AP628" i="7"/>
  <c r="AK628" i="7"/>
  <c r="AF628" i="7"/>
  <c r="AG628" i="7" s="1"/>
  <c r="Z628" i="7"/>
  <c r="AA628" i="7" s="1"/>
  <c r="T628" i="7"/>
  <c r="U628" i="7" s="1"/>
  <c r="R628" i="7"/>
  <c r="Q628" i="7" s="1"/>
  <c r="D628" i="7"/>
  <c r="BH627" i="7"/>
  <c r="BG627" i="7"/>
  <c r="AU627" i="7"/>
  <c r="AP627" i="7"/>
  <c r="AK627" i="7"/>
  <c r="AF627" i="7"/>
  <c r="AG627" i="7" s="1"/>
  <c r="Z627" i="7"/>
  <c r="AA627" i="7" s="1"/>
  <c r="T627" i="7"/>
  <c r="U627" i="7" s="1"/>
  <c r="R627" i="7"/>
  <c r="Q627" i="7" s="1"/>
  <c r="D627" i="7"/>
  <c r="BH626" i="7"/>
  <c r="BG626" i="7"/>
  <c r="AU626" i="7"/>
  <c r="AP626" i="7"/>
  <c r="AK626" i="7"/>
  <c r="AF626" i="7"/>
  <c r="AG626" i="7" s="1"/>
  <c r="Z626" i="7"/>
  <c r="AA626" i="7" s="1"/>
  <c r="T626" i="7"/>
  <c r="R626" i="7"/>
  <c r="D626" i="7"/>
  <c r="BH625" i="7"/>
  <c r="BG625" i="7"/>
  <c r="AU625" i="7"/>
  <c r="AP625" i="7"/>
  <c r="AK625" i="7"/>
  <c r="AF625" i="7"/>
  <c r="Z625" i="7"/>
  <c r="AA625" i="7" s="1"/>
  <c r="T625" i="7"/>
  <c r="U625" i="7" s="1"/>
  <c r="R625" i="7"/>
  <c r="Q625" i="7" s="1"/>
  <c r="D625" i="7"/>
  <c r="BH624" i="7"/>
  <c r="BG624" i="7"/>
  <c r="AU624" i="7"/>
  <c r="AP624" i="7"/>
  <c r="AK624" i="7"/>
  <c r="AF624" i="7"/>
  <c r="Z624" i="7"/>
  <c r="AA624" i="7" s="1"/>
  <c r="T624" i="7"/>
  <c r="BE624" i="7" s="1"/>
  <c r="R624" i="7"/>
  <c r="Q624" i="7" s="1"/>
  <c r="D624" i="7"/>
  <c r="BH623" i="7"/>
  <c r="BG623" i="7"/>
  <c r="AU623" i="7"/>
  <c r="AP623" i="7"/>
  <c r="AK623" i="7"/>
  <c r="AF623" i="7"/>
  <c r="AG623" i="7" s="1"/>
  <c r="Z623" i="7"/>
  <c r="AA623" i="7" s="1"/>
  <c r="T623" i="7"/>
  <c r="U623" i="7" s="1"/>
  <c r="R623" i="7"/>
  <c r="Q623" i="7" s="1"/>
  <c r="D623" i="7"/>
  <c r="BH622" i="7"/>
  <c r="BG622" i="7"/>
  <c r="AU622" i="7"/>
  <c r="AP622" i="7"/>
  <c r="AK622" i="7"/>
  <c r="AF622" i="7"/>
  <c r="AG622" i="7" s="1"/>
  <c r="Z622" i="7"/>
  <c r="AA622" i="7" s="1"/>
  <c r="T622" i="7"/>
  <c r="U622" i="7" s="1"/>
  <c r="R622" i="7"/>
  <c r="Q622" i="7" s="1"/>
  <c r="D622" i="7"/>
  <c r="BH621" i="7"/>
  <c r="BG621" i="7"/>
  <c r="AU621" i="7"/>
  <c r="AP621" i="7"/>
  <c r="AK621" i="7"/>
  <c r="AF621" i="7"/>
  <c r="AG621" i="7" s="1"/>
  <c r="Z621" i="7"/>
  <c r="AA621" i="7" s="1"/>
  <c r="T621" i="7"/>
  <c r="R621" i="7"/>
  <c r="Q621" i="7" s="1"/>
  <c r="D621" i="7"/>
  <c r="BH620" i="7"/>
  <c r="BG620" i="7"/>
  <c r="AU620" i="7"/>
  <c r="AP620" i="7"/>
  <c r="AK620" i="7"/>
  <c r="AF620" i="7"/>
  <c r="AG620" i="7" s="1"/>
  <c r="Z620" i="7"/>
  <c r="AA620" i="7" s="1"/>
  <c r="T620" i="7"/>
  <c r="BE620" i="7" s="1"/>
  <c r="R620" i="7"/>
  <c r="D620" i="7"/>
  <c r="BH619" i="7"/>
  <c r="BG619" i="7"/>
  <c r="AU619" i="7"/>
  <c r="AP619" i="7"/>
  <c r="AK619" i="7"/>
  <c r="AF619" i="7"/>
  <c r="AG619" i="7" s="1"/>
  <c r="Z619" i="7"/>
  <c r="AA619" i="7" s="1"/>
  <c r="T619" i="7"/>
  <c r="R619" i="7"/>
  <c r="Q619" i="7" s="1"/>
  <c r="D619" i="7"/>
  <c r="BH618" i="7"/>
  <c r="BG618" i="7"/>
  <c r="AU618" i="7"/>
  <c r="AK618" i="7"/>
  <c r="AF618" i="7"/>
  <c r="AG618" i="7" s="1"/>
  <c r="Z618" i="7"/>
  <c r="AA618" i="7" s="1"/>
  <c r="T618" i="7"/>
  <c r="BE618" i="7" s="1"/>
  <c r="R618" i="7"/>
  <c r="D618" i="7"/>
  <c r="BH617" i="7"/>
  <c r="BG617" i="7"/>
  <c r="AP617" i="7"/>
  <c r="AK617" i="7"/>
  <c r="AF617" i="7"/>
  <c r="AG617" i="7" s="1"/>
  <c r="Z617" i="7"/>
  <c r="AA617" i="7" s="1"/>
  <c r="T617" i="7"/>
  <c r="BE617" i="7" s="1"/>
  <c r="R617" i="7"/>
  <c r="Q617" i="7" s="1"/>
  <c r="D617" i="7"/>
  <c r="BH616" i="7"/>
  <c r="BG616" i="7"/>
  <c r="AU616" i="7"/>
  <c r="AP616" i="7"/>
  <c r="AK616" i="7"/>
  <c r="AF616" i="7"/>
  <c r="AG616" i="7" s="1"/>
  <c r="Z616" i="7"/>
  <c r="AA616" i="7" s="1"/>
  <c r="T616" i="7"/>
  <c r="R616" i="7"/>
  <c r="D616" i="7"/>
  <c r="BH615" i="7"/>
  <c r="BG615" i="7"/>
  <c r="AU615" i="7"/>
  <c r="AP615" i="7"/>
  <c r="AK615" i="7"/>
  <c r="AF615" i="7"/>
  <c r="AG615" i="7" s="1"/>
  <c r="Z615" i="7"/>
  <c r="AA615" i="7" s="1"/>
  <c r="T615" i="7"/>
  <c r="R615" i="7"/>
  <c r="D615" i="7"/>
  <c r="BH614" i="7"/>
  <c r="BG614" i="7"/>
  <c r="AU614" i="7"/>
  <c r="AP614" i="7"/>
  <c r="AK614" i="7"/>
  <c r="AF614" i="7"/>
  <c r="AG614" i="7" s="1"/>
  <c r="Z614" i="7"/>
  <c r="AA614" i="7" s="1"/>
  <c r="T614" i="7"/>
  <c r="R614" i="7"/>
  <c r="Q614" i="7" s="1"/>
  <c r="D614" i="7"/>
  <c r="BH613" i="7"/>
  <c r="BG613" i="7"/>
  <c r="AU613" i="7"/>
  <c r="AP613" i="7"/>
  <c r="AK613" i="7"/>
  <c r="AF613" i="7"/>
  <c r="AG613" i="7" s="1"/>
  <c r="Z613" i="7"/>
  <c r="AA613" i="7" s="1"/>
  <c r="T613" i="7"/>
  <c r="BE613" i="7" s="1"/>
  <c r="R613" i="7"/>
  <c r="D613" i="7"/>
  <c r="BH612" i="7"/>
  <c r="BG612" i="7"/>
  <c r="AU612" i="7"/>
  <c r="AP612" i="7"/>
  <c r="AK612" i="7"/>
  <c r="AF612" i="7"/>
  <c r="AG612" i="7" s="1"/>
  <c r="Z612" i="7"/>
  <c r="AA612" i="7" s="1"/>
  <c r="T612" i="7"/>
  <c r="U612" i="7" s="1"/>
  <c r="R612" i="7"/>
  <c r="Q612" i="7"/>
  <c r="D612" i="7"/>
  <c r="BH611" i="7"/>
  <c r="BG611" i="7"/>
  <c r="AU611" i="7"/>
  <c r="AP611" i="7"/>
  <c r="AK611" i="7"/>
  <c r="AF611" i="7"/>
  <c r="AG611" i="7" s="1"/>
  <c r="Z611" i="7"/>
  <c r="AA611" i="7" s="1"/>
  <c r="T611" i="7"/>
  <c r="U611" i="7" s="1"/>
  <c r="R611" i="7"/>
  <c r="Q611" i="7"/>
  <c r="D611" i="7"/>
  <c r="BH610" i="7"/>
  <c r="BG610" i="7"/>
  <c r="AU610" i="7"/>
  <c r="AF610" i="7"/>
  <c r="AG610" i="7" s="1"/>
  <c r="Z610" i="7"/>
  <c r="AA610" i="7" s="1"/>
  <c r="T610" i="7"/>
  <c r="BE610" i="7" s="1"/>
  <c r="R610" i="7"/>
  <c r="D610" i="7"/>
  <c r="BH609" i="7"/>
  <c r="BG609" i="7"/>
  <c r="AF609" i="7"/>
  <c r="AG609" i="7" s="1"/>
  <c r="Z609" i="7"/>
  <c r="AA609" i="7" s="1"/>
  <c r="T609" i="7"/>
  <c r="U609" i="7" s="1"/>
  <c r="R609" i="7"/>
  <c r="D609" i="7"/>
  <c r="BH608" i="7"/>
  <c r="BG608" i="7"/>
  <c r="AF608" i="7"/>
  <c r="AG608" i="7" s="1"/>
  <c r="Z608" i="7"/>
  <c r="AA608" i="7" s="1"/>
  <c r="T608" i="7"/>
  <c r="BE608" i="7" s="1"/>
  <c r="R608" i="7"/>
  <c r="D608" i="7"/>
  <c r="BH607" i="7"/>
  <c r="BG607" i="7"/>
  <c r="AF607" i="7"/>
  <c r="Z607" i="7"/>
  <c r="AA607" i="7" s="1"/>
  <c r="T607" i="7"/>
  <c r="U607" i="7" s="1"/>
  <c r="R607" i="7"/>
  <c r="D607" i="7"/>
  <c r="BG606" i="7"/>
  <c r="AU606" i="7"/>
  <c r="AP606" i="7"/>
  <c r="AK606" i="7"/>
  <c r="AF606" i="7"/>
  <c r="AG606" i="7" s="1"/>
  <c r="AD606" i="7"/>
  <c r="AC606" i="7"/>
  <c r="Z606" i="7"/>
  <c r="AA606" i="7" s="1"/>
  <c r="T606" i="7"/>
  <c r="U606" i="7" s="1"/>
  <c r="R606" i="7"/>
  <c r="D606" i="7"/>
  <c r="BH605" i="7"/>
  <c r="BG605" i="7"/>
  <c r="AU605" i="7"/>
  <c r="AP605" i="7"/>
  <c r="AK605" i="7"/>
  <c r="AF605" i="7"/>
  <c r="AG605" i="7" s="1"/>
  <c r="Z605" i="7"/>
  <c r="AA605" i="7" s="1"/>
  <c r="T605" i="7"/>
  <c r="R605" i="7"/>
  <c r="D605" i="7"/>
  <c r="BH604" i="7"/>
  <c r="BG604" i="7"/>
  <c r="AU604" i="7"/>
  <c r="AP604" i="7"/>
  <c r="AK604" i="7"/>
  <c r="AF604" i="7"/>
  <c r="AG604" i="7" s="1"/>
  <c r="Z604" i="7"/>
  <c r="AA604" i="7" s="1"/>
  <c r="T604" i="7"/>
  <c r="R604" i="7"/>
  <c r="D604" i="7"/>
  <c r="BH603" i="7"/>
  <c r="BG603" i="7"/>
  <c r="AU603" i="7"/>
  <c r="AP603" i="7"/>
  <c r="AK603" i="7"/>
  <c r="AF603" i="7"/>
  <c r="AG603" i="7" s="1"/>
  <c r="Z603" i="7"/>
  <c r="AA603" i="7" s="1"/>
  <c r="T603" i="7"/>
  <c r="U603" i="7" s="1"/>
  <c r="R603" i="7"/>
  <c r="D603" i="7"/>
  <c r="BG602" i="7"/>
  <c r="AU602" i="7"/>
  <c r="AP602" i="7"/>
  <c r="AK602" i="7"/>
  <c r="AF602" i="7"/>
  <c r="AG602" i="7" s="1"/>
  <c r="AD602" i="7"/>
  <c r="AC602" i="7"/>
  <c r="Z602" i="7"/>
  <c r="AA602" i="7" s="1"/>
  <c r="T602" i="7"/>
  <c r="U602" i="7" s="1"/>
  <c r="R602" i="7"/>
  <c r="D602" i="7"/>
  <c r="BH601" i="7"/>
  <c r="BG601" i="7"/>
  <c r="AU601" i="7"/>
  <c r="AP601" i="7"/>
  <c r="AK601" i="7"/>
  <c r="AF601" i="7"/>
  <c r="AG601" i="7" s="1"/>
  <c r="Z601" i="7"/>
  <c r="AA601" i="7" s="1"/>
  <c r="T601" i="7"/>
  <c r="BE601" i="7" s="1"/>
  <c r="R601" i="7"/>
  <c r="D601" i="7"/>
  <c r="BH600" i="7"/>
  <c r="BG600" i="7"/>
  <c r="AU600" i="7"/>
  <c r="AP600" i="7"/>
  <c r="AK600" i="7"/>
  <c r="AF600" i="7"/>
  <c r="AG600" i="7" s="1"/>
  <c r="Z600" i="7"/>
  <c r="AA600" i="7" s="1"/>
  <c r="T600" i="7"/>
  <c r="R600" i="7"/>
  <c r="D600" i="7"/>
  <c r="BH599" i="7"/>
  <c r="BG599" i="7"/>
  <c r="AU599" i="7"/>
  <c r="AP599" i="7"/>
  <c r="AK599" i="7"/>
  <c r="AF599" i="7"/>
  <c r="AG599" i="7" s="1"/>
  <c r="Z599" i="7"/>
  <c r="AA599" i="7" s="1"/>
  <c r="T599" i="7"/>
  <c r="U599" i="7" s="1"/>
  <c r="R599" i="7"/>
  <c r="D599" i="7"/>
  <c r="BH598" i="7"/>
  <c r="BG598" i="7"/>
  <c r="AU598" i="7"/>
  <c r="AP598" i="7"/>
  <c r="AK598" i="7"/>
  <c r="AF598" i="7"/>
  <c r="AG598" i="7" s="1"/>
  <c r="Z598" i="7"/>
  <c r="AA598" i="7" s="1"/>
  <c r="T598" i="7"/>
  <c r="D598" i="7"/>
  <c r="BH597" i="7"/>
  <c r="BG597" i="7"/>
  <c r="AU597" i="7"/>
  <c r="AP597" i="7"/>
  <c r="AK597" i="7"/>
  <c r="AF597" i="7"/>
  <c r="AG597" i="7" s="1"/>
  <c r="Z597" i="7"/>
  <c r="T597" i="7"/>
  <c r="D597" i="7"/>
  <c r="BH596" i="7"/>
  <c r="BG596" i="7"/>
  <c r="AU596" i="7"/>
  <c r="AP596" i="7"/>
  <c r="AK596" i="7"/>
  <c r="AF596" i="7"/>
  <c r="AG596" i="7" s="1"/>
  <c r="Z596" i="7"/>
  <c r="AA596" i="7" s="1"/>
  <c r="T596" i="7"/>
  <c r="D596" i="7"/>
  <c r="BH595" i="7"/>
  <c r="BG595" i="7"/>
  <c r="AU595" i="7"/>
  <c r="AF595" i="7"/>
  <c r="AG595" i="7" s="1"/>
  <c r="Z595" i="7"/>
  <c r="T595" i="7"/>
  <c r="D595" i="7"/>
  <c r="BH594" i="7"/>
  <c r="BG594" i="7"/>
  <c r="AU594" i="7"/>
  <c r="AF594" i="7"/>
  <c r="AG594" i="7" s="1"/>
  <c r="Z594" i="7"/>
  <c r="AA594" i="7" s="1"/>
  <c r="T594" i="7"/>
  <c r="U594" i="7" s="1"/>
  <c r="R594" i="7"/>
  <c r="Q594" i="7"/>
  <c r="D594" i="7"/>
  <c r="BH593" i="7"/>
  <c r="BG593" i="7"/>
  <c r="AU593" i="7"/>
  <c r="AG593" i="7"/>
  <c r="Z593" i="7"/>
  <c r="AA593" i="7" s="1"/>
  <c r="T593" i="7"/>
  <c r="U593" i="7" s="1"/>
  <c r="D593" i="7"/>
  <c r="BH592" i="7"/>
  <c r="BG592" i="7"/>
  <c r="AU592" i="7"/>
  <c r="AP592" i="7"/>
  <c r="AF592" i="7"/>
  <c r="AG592" i="7" s="1"/>
  <c r="Z592" i="7"/>
  <c r="AA592" i="7" s="1"/>
  <c r="T592" i="7"/>
  <c r="R592" i="7"/>
  <c r="D592" i="7"/>
  <c r="BH591" i="7"/>
  <c r="BG591" i="7"/>
  <c r="AU591" i="7"/>
  <c r="AP591" i="7"/>
  <c r="AK591" i="7"/>
  <c r="AF591" i="7"/>
  <c r="AG591" i="7" s="1"/>
  <c r="Z591" i="7"/>
  <c r="AA591" i="7" s="1"/>
  <c r="T591" i="7"/>
  <c r="BE591" i="7" s="1"/>
  <c r="R591" i="7"/>
  <c r="D591" i="7"/>
  <c r="BH590" i="7"/>
  <c r="BG590" i="7"/>
  <c r="AU590" i="7"/>
  <c r="AP590" i="7"/>
  <c r="AK590" i="7"/>
  <c r="AF590" i="7"/>
  <c r="AG590" i="7" s="1"/>
  <c r="Z590" i="7"/>
  <c r="AA590" i="7" s="1"/>
  <c r="T590" i="7"/>
  <c r="BE590" i="7" s="1"/>
  <c r="R590" i="7"/>
  <c r="D590" i="7"/>
  <c r="BH589" i="7"/>
  <c r="BG589" i="7"/>
  <c r="AU589" i="7"/>
  <c r="AP589" i="7"/>
  <c r="AK589" i="7"/>
  <c r="AF589" i="7"/>
  <c r="AG589" i="7" s="1"/>
  <c r="Z589" i="7"/>
  <c r="AA589" i="7" s="1"/>
  <c r="T589" i="7"/>
  <c r="BE589" i="7" s="1"/>
  <c r="R589" i="7"/>
  <c r="Q589" i="7" s="1"/>
  <c r="D589" i="7"/>
  <c r="BH588" i="7"/>
  <c r="BG588" i="7"/>
  <c r="AU588" i="7"/>
  <c r="AP588" i="7"/>
  <c r="AK588" i="7"/>
  <c r="AF588" i="7"/>
  <c r="AG588" i="7" s="1"/>
  <c r="Z588" i="7"/>
  <c r="AA588" i="7" s="1"/>
  <c r="T588" i="7"/>
  <c r="BE588" i="7" s="1"/>
  <c r="R588" i="7"/>
  <c r="Q588" i="7" s="1"/>
  <c r="D588" i="7"/>
  <c r="BH587" i="7"/>
  <c r="BG587" i="7"/>
  <c r="AU587" i="7"/>
  <c r="AP587" i="7"/>
  <c r="AK587" i="7"/>
  <c r="AF587" i="7"/>
  <c r="AG587" i="7" s="1"/>
  <c r="Z587" i="7"/>
  <c r="AA587" i="7" s="1"/>
  <c r="T587" i="7"/>
  <c r="U587" i="7" s="1"/>
  <c r="R587" i="7"/>
  <c r="Q587" i="7" s="1"/>
  <c r="D587" i="7"/>
  <c r="BG586" i="7"/>
  <c r="AU586" i="7"/>
  <c r="AP586" i="7"/>
  <c r="AK586" i="7"/>
  <c r="AF586" i="7"/>
  <c r="AG586" i="7" s="1"/>
  <c r="AD586" i="7"/>
  <c r="AC586" i="7"/>
  <c r="Z586" i="7"/>
  <c r="AA586" i="7" s="1"/>
  <c r="T586" i="7"/>
  <c r="BE586" i="7" s="1"/>
  <c r="R586" i="7"/>
  <c r="D586" i="7"/>
  <c r="BG585" i="7"/>
  <c r="AU585" i="7"/>
  <c r="AP585" i="7"/>
  <c r="AK585" i="7"/>
  <c r="AF585" i="7"/>
  <c r="AG585" i="7" s="1"/>
  <c r="AD585" i="7"/>
  <c r="AC585" i="7"/>
  <c r="Z585" i="7"/>
  <c r="AA585" i="7" s="1"/>
  <c r="T585" i="7"/>
  <c r="R585" i="7"/>
  <c r="D585" i="7"/>
  <c r="BH584" i="7"/>
  <c r="BG584" i="7"/>
  <c r="AU584" i="7"/>
  <c r="AP584" i="7"/>
  <c r="AK584" i="7"/>
  <c r="AF584" i="7"/>
  <c r="AG584" i="7" s="1"/>
  <c r="Z584" i="7"/>
  <c r="AA584" i="7" s="1"/>
  <c r="T584" i="7"/>
  <c r="BE584" i="7" s="1"/>
  <c r="R584" i="7"/>
  <c r="Q584" i="7" s="1"/>
  <c r="D584" i="7"/>
  <c r="BH583" i="7"/>
  <c r="BG583" i="7"/>
  <c r="AU583" i="7"/>
  <c r="AP583" i="7"/>
  <c r="AK583" i="7"/>
  <c r="AF583" i="7"/>
  <c r="AG583" i="7" s="1"/>
  <c r="Z583" i="7"/>
  <c r="T583" i="7"/>
  <c r="BE583" i="7" s="1"/>
  <c r="R583" i="7"/>
  <c r="Q583" i="7" s="1"/>
  <c r="D583" i="7"/>
  <c r="BH582" i="7"/>
  <c r="BG582" i="7"/>
  <c r="AU582" i="7"/>
  <c r="AP582" i="7"/>
  <c r="AK582" i="7"/>
  <c r="AF582" i="7"/>
  <c r="AG582" i="7" s="1"/>
  <c r="Z582" i="7"/>
  <c r="AA582" i="7" s="1"/>
  <c r="T582" i="7"/>
  <c r="R582" i="7"/>
  <c r="Q582" i="7" s="1"/>
  <c r="D582" i="7"/>
  <c r="BH581" i="7"/>
  <c r="BG581" i="7"/>
  <c r="AU581" i="7"/>
  <c r="AP581" i="7"/>
  <c r="AK581" i="7"/>
  <c r="AF581" i="7"/>
  <c r="AG581" i="7" s="1"/>
  <c r="Z581" i="7"/>
  <c r="AA581" i="7" s="1"/>
  <c r="T581" i="7"/>
  <c r="U581" i="7" s="1"/>
  <c r="R581" i="7"/>
  <c r="D581" i="7"/>
  <c r="BH580" i="7"/>
  <c r="BG580" i="7"/>
  <c r="AU580" i="7"/>
  <c r="AP580" i="7"/>
  <c r="AK580" i="7"/>
  <c r="AF580" i="7"/>
  <c r="AG580" i="7" s="1"/>
  <c r="Z580" i="7"/>
  <c r="AA580" i="7" s="1"/>
  <c r="T580" i="7"/>
  <c r="R580" i="7"/>
  <c r="D580" i="7"/>
  <c r="BH579" i="7"/>
  <c r="BG579" i="7"/>
  <c r="AU579" i="7"/>
  <c r="AP579" i="7"/>
  <c r="AK579" i="7"/>
  <c r="AF579" i="7"/>
  <c r="AG579" i="7" s="1"/>
  <c r="Z579" i="7"/>
  <c r="AA579" i="7" s="1"/>
  <c r="T579" i="7"/>
  <c r="R579" i="7"/>
  <c r="D579" i="7"/>
  <c r="BH578" i="7"/>
  <c r="BG578" i="7"/>
  <c r="AU578" i="7"/>
  <c r="AP578" i="7"/>
  <c r="AF578" i="7"/>
  <c r="AG578" i="7" s="1"/>
  <c r="Z578" i="7"/>
  <c r="AA578" i="7" s="1"/>
  <c r="T578" i="7"/>
  <c r="BE578" i="7" s="1"/>
  <c r="R578" i="7"/>
  <c r="D578" i="7"/>
  <c r="BH577" i="7"/>
  <c r="BG577" i="7"/>
  <c r="AU577" i="7"/>
  <c r="AP577" i="7"/>
  <c r="AF577" i="7"/>
  <c r="AG577" i="7" s="1"/>
  <c r="Z577" i="7"/>
  <c r="AA577" i="7" s="1"/>
  <c r="T577" i="7"/>
  <c r="BE577" i="7" s="1"/>
  <c r="R577" i="7"/>
  <c r="Q577" i="7" s="1"/>
  <c r="D577" i="7"/>
  <c r="BH576" i="7"/>
  <c r="BG576" i="7"/>
  <c r="AU576" i="7"/>
  <c r="AP576" i="7"/>
  <c r="AK576" i="7"/>
  <c r="AF576" i="7"/>
  <c r="AG576" i="7" s="1"/>
  <c r="Z576" i="7"/>
  <c r="AA576" i="7" s="1"/>
  <c r="T576" i="7"/>
  <c r="BE576" i="7" s="1"/>
  <c r="D576" i="7"/>
  <c r="BH575" i="7"/>
  <c r="BG575" i="7"/>
  <c r="AU575" i="7"/>
  <c r="AP575" i="7"/>
  <c r="AK575" i="7"/>
  <c r="Z575" i="7"/>
  <c r="AA575" i="7" s="1"/>
  <c r="T575" i="7"/>
  <c r="BE575" i="7" s="1"/>
  <c r="R575" i="7"/>
  <c r="D575" i="7"/>
  <c r="BH574" i="7"/>
  <c r="BG574" i="7"/>
  <c r="AU574" i="7"/>
  <c r="AP574" i="7"/>
  <c r="AK574" i="7"/>
  <c r="AF574" i="7"/>
  <c r="AG574" i="7" s="1"/>
  <c r="Z574" i="7"/>
  <c r="AA574" i="7" s="1"/>
  <c r="T574" i="7"/>
  <c r="BE574" i="7" s="1"/>
  <c r="R574" i="7"/>
  <c r="D574" i="7"/>
  <c r="BH573" i="7"/>
  <c r="BG573" i="7"/>
  <c r="AU573" i="7"/>
  <c r="AF573" i="7"/>
  <c r="AG573" i="7" s="1"/>
  <c r="Z573" i="7"/>
  <c r="AA573" i="7" s="1"/>
  <c r="T573" i="7"/>
  <c r="BE573" i="7" s="1"/>
  <c r="R573" i="7"/>
  <c r="D573" i="7"/>
  <c r="BH572" i="7"/>
  <c r="BG572" i="7"/>
  <c r="AU572" i="7"/>
  <c r="AF572" i="7"/>
  <c r="AG572" i="7" s="1"/>
  <c r="Z572" i="7"/>
  <c r="AA572" i="7" s="1"/>
  <c r="T572" i="7"/>
  <c r="BE572" i="7" s="1"/>
  <c r="R572" i="7"/>
  <c r="D572" i="7"/>
  <c r="BH571" i="7"/>
  <c r="BG571" i="7"/>
  <c r="AU571" i="7"/>
  <c r="AF571" i="7"/>
  <c r="AG571" i="7" s="1"/>
  <c r="Z571" i="7"/>
  <c r="AA571" i="7" s="1"/>
  <c r="T571" i="7"/>
  <c r="R571" i="7"/>
  <c r="Q571" i="7" s="1"/>
  <c r="D571" i="7"/>
  <c r="BH570" i="7"/>
  <c r="BG570" i="7"/>
  <c r="AU570" i="7"/>
  <c r="AF570" i="7"/>
  <c r="AG570" i="7" s="1"/>
  <c r="Z570" i="7"/>
  <c r="AA570" i="7" s="1"/>
  <c r="T570" i="7"/>
  <c r="R570" i="7"/>
  <c r="D570" i="7"/>
  <c r="BH569" i="7"/>
  <c r="BG569" i="7"/>
  <c r="AU569" i="7"/>
  <c r="AF569" i="7"/>
  <c r="AG569" i="7" s="1"/>
  <c r="Z569" i="7"/>
  <c r="AA569" i="7" s="1"/>
  <c r="T569" i="7"/>
  <c r="U569" i="7" s="1"/>
  <c r="R569" i="7"/>
  <c r="Q569" i="7" s="1"/>
  <c r="D569" i="7"/>
  <c r="BH568" i="7"/>
  <c r="BG568" i="7"/>
  <c r="AU568" i="7"/>
  <c r="AF568" i="7"/>
  <c r="AG568" i="7" s="1"/>
  <c r="Z568" i="7"/>
  <c r="AA568" i="7" s="1"/>
  <c r="T568" i="7"/>
  <c r="R568" i="7"/>
  <c r="Q568" i="7" s="1"/>
  <c r="D568" i="7"/>
  <c r="BH567" i="7"/>
  <c r="BG567" i="7"/>
  <c r="AU567" i="7"/>
  <c r="AF567" i="7"/>
  <c r="AG567" i="7" s="1"/>
  <c r="Z567" i="7"/>
  <c r="AA567" i="7" s="1"/>
  <c r="T567" i="7"/>
  <c r="U567" i="7" s="1"/>
  <c r="R567" i="7"/>
  <c r="Q567" i="7" s="1"/>
  <c r="D567" i="7"/>
  <c r="BH566" i="7"/>
  <c r="BG566" i="7"/>
  <c r="AU566" i="7"/>
  <c r="AF566" i="7"/>
  <c r="AG566" i="7" s="1"/>
  <c r="Z566" i="7"/>
  <c r="AA566" i="7" s="1"/>
  <c r="T566" i="7"/>
  <c r="BE566" i="7" s="1"/>
  <c r="R566" i="7"/>
  <c r="Q566" i="7" s="1"/>
  <c r="D566" i="7"/>
  <c r="BH565" i="7"/>
  <c r="BG565" i="7"/>
  <c r="AU565" i="7"/>
  <c r="AK565" i="7"/>
  <c r="AF565" i="7"/>
  <c r="AG565" i="7" s="1"/>
  <c r="Z565" i="7"/>
  <c r="AA565" i="7" s="1"/>
  <c r="T565" i="7"/>
  <c r="BE565" i="7" s="1"/>
  <c r="R565" i="7"/>
  <c r="D565" i="7"/>
  <c r="BH564" i="7"/>
  <c r="BG564" i="7"/>
  <c r="AU564" i="7"/>
  <c r="AK564" i="7"/>
  <c r="AF564" i="7"/>
  <c r="AG564" i="7" s="1"/>
  <c r="Z564" i="7"/>
  <c r="AA564" i="7" s="1"/>
  <c r="T564" i="7"/>
  <c r="R564" i="7"/>
  <c r="Q564" i="7" s="1"/>
  <c r="D564" i="7"/>
  <c r="BH563" i="7"/>
  <c r="BG563" i="7"/>
  <c r="AU563" i="7"/>
  <c r="AK563" i="7"/>
  <c r="AF563" i="7"/>
  <c r="AG563" i="7" s="1"/>
  <c r="Z563" i="7"/>
  <c r="AA563" i="7" s="1"/>
  <c r="T563" i="7"/>
  <c r="R563" i="7"/>
  <c r="Q563" i="7" s="1"/>
  <c r="D563" i="7"/>
  <c r="BH562" i="7"/>
  <c r="BG562" i="7"/>
  <c r="AU562" i="7"/>
  <c r="AP562" i="7"/>
  <c r="AK562" i="7"/>
  <c r="AF562" i="7"/>
  <c r="AG562" i="7" s="1"/>
  <c r="Z562" i="7"/>
  <c r="AA562" i="7" s="1"/>
  <c r="T562" i="7"/>
  <c r="R562" i="7"/>
  <c r="Q562" i="7" s="1"/>
  <c r="D562" i="7"/>
  <c r="BH561" i="7"/>
  <c r="BG561" i="7"/>
  <c r="AU561" i="7"/>
  <c r="AP561" i="7"/>
  <c r="AK561" i="7"/>
  <c r="AF561" i="7"/>
  <c r="AG561" i="7" s="1"/>
  <c r="Z561" i="7"/>
  <c r="AA561" i="7" s="1"/>
  <c r="T561" i="7"/>
  <c r="BE561" i="7" s="1"/>
  <c r="D561" i="7"/>
  <c r="BH560" i="7"/>
  <c r="BG560" i="7"/>
  <c r="AU560" i="7"/>
  <c r="AP560" i="7"/>
  <c r="AK560" i="7"/>
  <c r="AF560" i="7"/>
  <c r="AG560" i="7" s="1"/>
  <c r="Z560" i="7"/>
  <c r="AA560" i="7" s="1"/>
  <c r="T560" i="7"/>
  <c r="R560" i="7"/>
  <c r="Q560" i="7" s="1"/>
  <c r="D560" i="7"/>
  <c r="BH559" i="7"/>
  <c r="BG559" i="7"/>
  <c r="AU559" i="7"/>
  <c r="AP559" i="7"/>
  <c r="AK559" i="7"/>
  <c r="AF559" i="7"/>
  <c r="AG559" i="7" s="1"/>
  <c r="Z559" i="7"/>
  <c r="AA559" i="7" s="1"/>
  <c r="T559" i="7"/>
  <c r="U559" i="7" s="1"/>
  <c r="R559" i="7"/>
  <c r="D559" i="7"/>
  <c r="BH558" i="7"/>
  <c r="BG558" i="7"/>
  <c r="AU558" i="7"/>
  <c r="AP558" i="7"/>
  <c r="AK558" i="7"/>
  <c r="AF558" i="7"/>
  <c r="AG558" i="7" s="1"/>
  <c r="Z558" i="7"/>
  <c r="AA558" i="7" s="1"/>
  <c r="T558" i="7"/>
  <c r="BE558" i="7" s="1"/>
  <c r="R558" i="7"/>
  <c r="D558" i="7"/>
  <c r="BH557" i="7"/>
  <c r="BG557" i="7"/>
  <c r="AU557" i="7"/>
  <c r="AP557" i="7"/>
  <c r="AK557" i="7"/>
  <c r="AF557" i="7"/>
  <c r="AG557" i="7" s="1"/>
  <c r="Z557" i="7"/>
  <c r="AA557" i="7" s="1"/>
  <c r="T557" i="7"/>
  <c r="R557" i="7"/>
  <c r="Q557" i="7" s="1"/>
  <c r="D557" i="7"/>
  <c r="BG556" i="7"/>
  <c r="AU556" i="7"/>
  <c r="AP556" i="7"/>
  <c r="AK556" i="7"/>
  <c r="AF556" i="7"/>
  <c r="AG556" i="7" s="1"/>
  <c r="AD556" i="7"/>
  <c r="AC556" i="7"/>
  <c r="Z556" i="7"/>
  <c r="AA556" i="7" s="1"/>
  <c r="T556" i="7"/>
  <c r="BE556" i="7" s="1"/>
  <c r="R556" i="7"/>
  <c r="D556" i="7"/>
  <c r="BG555" i="7"/>
  <c r="AU555" i="7"/>
  <c r="AP555" i="7"/>
  <c r="AK555" i="7"/>
  <c r="AF555" i="7"/>
  <c r="AD555" i="7"/>
  <c r="AC555" i="7"/>
  <c r="Z555" i="7"/>
  <c r="AA555" i="7" s="1"/>
  <c r="T555" i="7"/>
  <c r="U555" i="7" s="1"/>
  <c r="R555" i="7"/>
  <c r="Q555" i="7" s="1"/>
  <c r="D555" i="7"/>
  <c r="BH554" i="7"/>
  <c r="BG554" i="7"/>
  <c r="AU554" i="7"/>
  <c r="AP554" i="7"/>
  <c r="AK554" i="7"/>
  <c r="AF554" i="7"/>
  <c r="Z554" i="7"/>
  <c r="AA554" i="7" s="1"/>
  <c r="T554" i="7"/>
  <c r="U554" i="7" s="1"/>
  <c r="R554" i="7"/>
  <c r="Q554" i="7" s="1"/>
  <c r="D554" i="7"/>
  <c r="BH553" i="7"/>
  <c r="BG553" i="7"/>
  <c r="AU553" i="7"/>
  <c r="AP553" i="7"/>
  <c r="AK553" i="7"/>
  <c r="AF553" i="7"/>
  <c r="AG553" i="7" s="1"/>
  <c r="Z553" i="7"/>
  <c r="AA553" i="7" s="1"/>
  <c r="T553" i="7"/>
  <c r="U553" i="7" s="1"/>
  <c r="R553" i="7"/>
  <c r="Q553" i="7" s="1"/>
  <c r="D553" i="7"/>
  <c r="BH552" i="7"/>
  <c r="BG552" i="7"/>
  <c r="AU552" i="7"/>
  <c r="AP552" i="7"/>
  <c r="AK552" i="7"/>
  <c r="AF552" i="7"/>
  <c r="AG552" i="7" s="1"/>
  <c r="Z552" i="7"/>
  <c r="AA552" i="7" s="1"/>
  <c r="T552" i="7"/>
  <c r="R552" i="7"/>
  <c r="Q552" i="7" s="1"/>
  <c r="D552" i="7"/>
  <c r="BH551" i="7"/>
  <c r="BG551" i="7"/>
  <c r="AU551" i="7"/>
  <c r="AF551" i="7"/>
  <c r="AG551" i="7" s="1"/>
  <c r="Z551" i="7"/>
  <c r="AA551" i="7" s="1"/>
  <c r="T551" i="7"/>
  <c r="U551" i="7" s="1"/>
  <c r="R551" i="7"/>
  <c r="D551" i="7"/>
  <c r="BH550" i="7"/>
  <c r="BG550" i="7"/>
  <c r="AU550" i="7"/>
  <c r="AP550" i="7"/>
  <c r="AK550" i="7"/>
  <c r="AF550" i="7"/>
  <c r="AG550" i="7" s="1"/>
  <c r="Z550" i="7"/>
  <c r="AA550" i="7" s="1"/>
  <c r="T550" i="7"/>
  <c r="U550" i="7" s="1"/>
  <c r="R550" i="7"/>
  <c r="Q550" i="7" s="1"/>
  <c r="D550" i="7"/>
  <c r="BH549" i="7"/>
  <c r="BG549" i="7"/>
  <c r="AU549" i="7"/>
  <c r="AP549" i="7"/>
  <c r="AK549" i="7"/>
  <c r="AF549" i="7"/>
  <c r="AG549" i="7" s="1"/>
  <c r="Z549" i="7"/>
  <c r="AA549" i="7" s="1"/>
  <c r="T549" i="7"/>
  <c r="U549" i="7" s="1"/>
  <c r="D549" i="7"/>
  <c r="BH548" i="7"/>
  <c r="BG548" i="7"/>
  <c r="AU548" i="7"/>
  <c r="AP548" i="7"/>
  <c r="AK548" i="7"/>
  <c r="AF548" i="7"/>
  <c r="AG548" i="7" s="1"/>
  <c r="Z548" i="7"/>
  <c r="AA548" i="7" s="1"/>
  <c r="T548" i="7"/>
  <c r="R548" i="7"/>
  <c r="Q548" i="7" s="1"/>
  <c r="D548" i="7"/>
  <c r="BH547" i="7"/>
  <c r="BG547" i="7"/>
  <c r="AU547" i="7"/>
  <c r="AP547" i="7"/>
  <c r="AK547" i="7"/>
  <c r="AF547" i="7"/>
  <c r="AG547" i="7" s="1"/>
  <c r="Z547" i="7"/>
  <c r="AA547" i="7" s="1"/>
  <c r="T547" i="7"/>
  <c r="R547" i="7"/>
  <c r="Q547" i="7" s="1"/>
  <c r="D547" i="7"/>
  <c r="BH546" i="7"/>
  <c r="BG546" i="7"/>
  <c r="AU546" i="7"/>
  <c r="AP546" i="7"/>
  <c r="AK546" i="7"/>
  <c r="AF546" i="7"/>
  <c r="AG546" i="7" s="1"/>
  <c r="Z546" i="7"/>
  <c r="AA546" i="7" s="1"/>
  <c r="T546" i="7"/>
  <c r="R546" i="7"/>
  <c r="Q546" i="7" s="1"/>
  <c r="D546" i="7"/>
  <c r="BH545" i="7"/>
  <c r="BG545" i="7"/>
  <c r="AU545" i="7"/>
  <c r="AP545" i="7"/>
  <c r="AK545" i="7"/>
  <c r="AF545" i="7"/>
  <c r="AG545" i="7" s="1"/>
  <c r="Z545" i="7"/>
  <c r="AA545" i="7" s="1"/>
  <c r="T545" i="7"/>
  <c r="BE545" i="7" s="1"/>
  <c r="R545" i="7"/>
  <c r="Q545" i="7" s="1"/>
  <c r="D545" i="7"/>
  <c r="BH544" i="7"/>
  <c r="BG544" i="7"/>
  <c r="AU544" i="7"/>
  <c r="AP544" i="7"/>
  <c r="AK544" i="7"/>
  <c r="AF544" i="7"/>
  <c r="AG544" i="7" s="1"/>
  <c r="Z544" i="7"/>
  <c r="AA544" i="7" s="1"/>
  <c r="T544" i="7"/>
  <c r="BE544" i="7" s="1"/>
  <c r="R544" i="7"/>
  <c r="Q544" i="7" s="1"/>
  <c r="D544" i="7"/>
  <c r="BH543" i="7"/>
  <c r="BG543" i="7"/>
  <c r="AU543" i="7"/>
  <c r="AP543" i="7"/>
  <c r="AK543" i="7"/>
  <c r="AF543" i="7"/>
  <c r="AG543" i="7" s="1"/>
  <c r="Z543" i="7"/>
  <c r="AA543" i="7" s="1"/>
  <c r="T543" i="7"/>
  <c r="BE543" i="7" s="1"/>
  <c r="R543" i="7"/>
  <c r="Q543" i="7" s="1"/>
  <c r="D543" i="7"/>
  <c r="BH542" i="7"/>
  <c r="BG542" i="7"/>
  <c r="AU542" i="7"/>
  <c r="AP542" i="7"/>
  <c r="AK542" i="7"/>
  <c r="AF542" i="7"/>
  <c r="AG542" i="7" s="1"/>
  <c r="Z542" i="7"/>
  <c r="AA542" i="7" s="1"/>
  <c r="T542" i="7"/>
  <c r="BE542" i="7" s="1"/>
  <c r="R542" i="7"/>
  <c r="Q542" i="7" s="1"/>
  <c r="D542" i="7"/>
  <c r="BH541" i="7"/>
  <c r="BG541" i="7"/>
  <c r="AU541" i="7"/>
  <c r="AP541" i="7"/>
  <c r="AK541" i="7"/>
  <c r="AF541" i="7"/>
  <c r="AG541" i="7" s="1"/>
  <c r="Z541" i="7"/>
  <c r="AA541" i="7" s="1"/>
  <c r="T541" i="7"/>
  <c r="BE541" i="7" s="1"/>
  <c r="R541" i="7"/>
  <c r="D541" i="7"/>
  <c r="BH540" i="7"/>
  <c r="BG540" i="7"/>
  <c r="AU540" i="7"/>
  <c r="AP540" i="7"/>
  <c r="AK540" i="7"/>
  <c r="AF540" i="7"/>
  <c r="AG540" i="7" s="1"/>
  <c r="Z540" i="7"/>
  <c r="AA540" i="7" s="1"/>
  <c r="T540" i="7"/>
  <c r="R540" i="7"/>
  <c r="Q540" i="7" s="1"/>
  <c r="D540" i="7"/>
  <c r="BH539" i="7"/>
  <c r="BG539" i="7"/>
  <c r="AU539" i="7"/>
  <c r="AP539" i="7"/>
  <c r="AK539" i="7"/>
  <c r="AF539" i="7"/>
  <c r="AG539" i="7" s="1"/>
  <c r="Z539" i="7"/>
  <c r="AA539" i="7" s="1"/>
  <c r="T539" i="7"/>
  <c r="U539" i="7" s="1"/>
  <c r="R539" i="7"/>
  <c r="Q539" i="7" s="1"/>
  <c r="D539" i="7"/>
  <c r="BH538" i="7"/>
  <c r="BG538" i="7"/>
  <c r="AU538" i="7"/>
  <c r="AP538" i="7"/>
  <c r="AK538" i="7"/>
  <c r="AF538" i="7"/>
  <c r="AG538" i="7" s="1"/>
  <c r="Z538" i="7"/>
  <c r="AA538" i="7" s="1"/>
  <c r="T538" i="7"/>
  <c r="BE538" i="7" s="1"/>
  <c r="R538" i="7"/>
  <c r="Q538" i="7" s="1"/>
  <c r="D538" i="7"/>
  <c r="BH537" i="7"/>
  <c r="BG537" i="7"/>
  <c r="AU537" i="7"/>
  <c r="AP537" i="7"/>
  <c r="AK537" i="7"/>
  <c r="AF537" i="7"/>
  <c r="AG537" i="7" s="1"/>
  <c r="Z537" i="7"/>
  <c r="AA537" i="7" s="1"/>
  <c r="T537" i="7"/>
  <c r="U537" i="7" s="1"/>
  <c r="R537" i="7"/>
  <c r="Q537" i="7" s="1"/>
  <c r="D537" i="7"/>
  <c r="BH536" i="7"/>
  <c r="BG536" i="7"/>
  <c r="AU536" i="7"/>
  <c r="AP536" i="7"/>
  <c r="AK536" i="7"/>
  <c r="AF536" i="7"/>
  <c r="AG536" i="7" s="1"/>
  <c r="Z536" i="7"/>
  <c r="AA536" i="7" s="1"/>
  <c r="T536" i="7"/>
  <c r="R536" i="7"/>
  <c r="Q536" i="7" s="1"/>
  <c r="D536" i="7"/>
  <c r="BH535" i="7"/>
  <c r="BG535" i="7"/>
  <c r="AU535" i="7"/>
  <c r="AP535" i="7"/>
  <c r="AK535" i="7"/>
  <c r="AF535" i="7"/>
  <c r="AG535" i="7" s="1"/>
  <c r="Z535" i="7"/>
  <c r="AA535" i="7" s="1"/>
  <c r="T535" i="7"/>
  <c r="BE535" i="7" s="1"/>
  <c r="R535" i="7"/>
  <c r="Q535" i="7" s="1"/>
  <c r="D535" i="7"/>
  <c r="BH534" i="7"/>
  <c r="BG534" i="7"/>
  <c r="AU534" i="7"/>
  <c r="AP534" i="7"/>
  <c r="AK534" i="7"/>
  <c r="AF534" i="7"/>
  <c r="AG534" i="7" s="1"/>
  <c r="Z534" i="7"/>
  <c r="AA534" i="7" s="1"/>
  <c r="T534" i="7"/>
  <c r="U534" i="7" s="1"/>
  <c r="R534" i="7"/>
  <c r="Q534" i="7" s="1"/>
  <c r="D534" i="7"/>
  <c r="BG533" i="7"/>
  <c r="AU533" i="7"/>
  <c r="AP533" i="7"/>
  <c r="AK533" i="7"/>
  <c r="AF533" i="7"/>
  <c r="AG533" i="7" s="1"/>
  <c r="AD533" i="7"/>
  <c r="AC533" i="7"/>
  <c r="BH533" i="7" s="1"/>
  <c r="Z533" i="7"/>
  <c r="AA533" i="7" s="1"/>
  <c r="T533" i="7"/>
  <c r="U533" i="7" s="1"/>
  <c r="R533" i="7"/>
  <c r="D533" i="7"/>
  <c r="BG532" i="7"/>
  <c r="AU532" i="7"/>
  <c r="AP532" i="7"/>
  <c r="AK532" i="7"/>
  <c r="AF532" i="7"/>
  <c r="AG532" i="7" s="1"/>
  <c r="AD532" i="7"/>
  <c r="AC532" i="7"/>
  <c r="Z532" i="7"/>
  <c r="AA532" i="7" s="1"/>
  <c r="T532" i="7"/>
  <c r="R532" i="7"/>
  <c r="Q532" i="7" s="1"/>
  <c r="D532" i="7"/>
  <c r="BH531" i="7"/>
  <c r="BG531" i="7"/>
  <c r="AU531" i="7"/>
  <c r="AP531" i="7"/>
  <c r="AK531" i="7"/>
  <c r="AF531" i="7"/>
  <c r="AG531" i="7" s="1"/>
  <c r="Z531" i="7"/>
  <c r="AA531" i="7" s="1"/>
  <c r="T531" i="7"/>
  <c r="BE531" i="7" s="1"/>
  <c r="R531" i="7"/>
  <c r="D531" i="7"/>
  <c r="BH530" i="7"/>
  <c r="BG530" i="7"/>
  <c r="AU530" i="7"/>
  <c r="AP530" i="7"/>
  <c r="AK530" i="7"/>
  <c r="AF530" i="7"/>
  <c r="AG530" i="7" s="1"/>
  <c r="Z530" i="7"/>
  <c r="AA530" i="7" s="1"/>
  <c r="T530" i="7"/>
  <c r="BE530" i="7" s="1"/>
  <c r="R530" i="7"/>
  <c r="Q530" i="7" s="1"/>
  <c r="D530" i="7"/>
  <c r="BH529" i="7"/>
  <c r="BG529" i="7"/>
  <c r="AU529" i="7"/>
  <c r="AP529" i="7"/>
  <c r="AK529" i="7"/>
  <c r="AF529" i="7"/>
  <c r="AG529" i="7" s="1"/>
  <c r="Z529" i="7"/>
  <c r="AA529" i="7" s="1"/>
  <c r="T529" i="7"/>
  <c r="U529" i="7" s="1"/>
  <c r="R529" i="7"/>
  <c r="D529" i="7"/>
  <c r="BH528" i="7"/>
  <c r="BG528" i="7"/>
  <c r="AU528" i="7"/>
  <c r="AP528" i="7"/>
  <c r="AK528" i="7"/>
  <c r="AF528" i="7"/>
  <c r="AG528" i="7" s="1"/>
  <c r="Z528" i="7"/>
  <c r="AA528" i="7" s="1"/>
  <c r="T528" i="7"/>
  <c r="R528" i="7"/>
  <c r="Q528" i="7" s="1"/>
  <c r="D528" i="7"/>
  <c r="BH527" i="7"/>
  <c r="BG527" i="7"/>
  <c r="AU527" i="7"/>
  <c r="AP527" i="7"/>
  <c r="AK527" i="7"/>
  <c r="AF527" i="7"/>
  <c r="AG527" i="7" s="1"/>
  <c r="Z527" i="7"/>
  <c r="AA527" i="7" s="1"/>
  <c r="T527" i="7"/>
  <c r="BE527" i="7" s="1"/>
  <c r="R527" i="7"/>
  <c r="Q527" i="7" s="1"/>
  <c r="D527" i="7"/>
  <c r="BH526" i="7"/>
  <c r="BG526" i="7"/>
  <c r="AU526" i="7"/>
  <c r="AP526" i="7"/>
  <c r="AK526" i="7"/>
  <c r="AF526" i="7"/>
  <c r="AG526" i="7" s="1"/>
  <c r="Z526" i="7"/>
  <c r="AA526" i="7" s="1"/>
  <c r="T526" i="7"/>
  <c r="BE526" i="7" s="1"/>
  <c r="R526" i="7"/>
  <c r="Q526" i="7" s="1"/>
  <c r="D526" i="7"/>
  <c r="BH525" i="7"/>
  <c r="BG525" i="7"/>
  <c r="AU525" i="7"/>
  <c r="AP525" i="7"/>
  <c r="AK525" i="7"/>
  <c r="AF525" i="7"/>
  <c r="AG525" i="7" s="1"/>
  <c r="Z525" i="7"/>
  <c r="AA525" i="7" s="1"/>
  <c r="T525" i="7"/>
  <c r="U525" i="7" s="1"/>
  <c r="R525" i="7"/>
  <c r="Q525" i="7" s="1"/>
  <c r="D525" i="7"/>
  <c r="BH524" i="7"/>
  <c r="BG524" i="7"/>
  <c r="AU524" i="7"/>
  <c r="AP524" i="7"/>
  <c r="AK524" i="7"/>
  <c r="AF524" i="7"/>
  <c r="AG524" i="7" s="1"/>
  <c r="Z524" i="7"/>
  <c r="AA524" i="7" s="1"/>
  <c r="T524" i="7"/>
  <c r="U524" i="7" s="1"/>
  <c r="R524" i="7"/>
  <c r="Q524" i="7" s="1"/>
  <c r="D524" i="7"/>
  <c r="BH523" i="7"/>
  <c r="BG523" i="7"/>
  <c r="AU523" i="7"/>
  <c r="AP523" i="7"/>
  <c r="AK523" i="7"/>
  <c r="AF523" i="7"/>
  <c r="AG523" i="7" s="1"/>
  <c r="Z523" i="7"/>
  <c r="AA523" i="7" s="1"/>
  <c r="T523" i="7"/>
  <c r="U523" i="7" s="1"/>
  <c r="R523" i="7"/>
  <c r="Q523" i="7" s="1"/>
  <c r="D523" i="7"/>
  <c r="BH522" i="7"/>
  <c r="BG522" i="7"/>
  <c r="AU522" i="7"/>
  <c r="AP522" i="7"/>
  <c r="AK522" i="7"/>
  <c r="AF522" i="7"/>
  <c r="AG522" i="7" s="1"/>
  <c r="Z522" i="7"/>
  <c r="AA522" i="7" s="1"/>
  <c r="T522" i="7"/>
  <c r="U522" i="7" s="1"/>
  <c r="R522" i="7"/>
  <c r="Q522" i="7" s="1"/>
  <c r="D522" i="7"/>
  <c r="BH521" i="7"/>
  <c r="BG521" i="7"/>
  <c r="AU521" i="7"/>
  <c r="AP521" i="7"/>
  <c r="AK521" i="7"/>
  <c r="AF521" i="7"/>
  <c r="AG521" i="7" s="1"/>
  <c r="Z521" i="7"/>
  <c r="AA521" i="7" s="1"/>
  <c r="T521" i="7"/>
  <c r="R521" i="7"/>
  <c r="D521" i="7"/>
  <c r="BH520" i="7"/>
  <c r="BG520" i="7"/>
  <c r="AU520" i="7"/>
  <c r="AP520" i="7"/>
  <c r="AK520" i="7"/>
  <c r="AF520" i="7"/>
  <c r="AG520" i="7" s="1"/>
  <c r="Z520" i="7"/>
  <c r="AA520" i="7" s="1"/>
  <c r="T520" i="7"/>
  <c r="R520" i="7"/>
  <c r="D520" i="7"/>
  <c r="BH519" i="7"/>
  <c r="BG519" i="7"/>
  <c r="AU519" i="7"/>
  <c r="AP519" i="7"/>
  <c r="AK519" i="7"/>
  <c r="AF519" i="7"/>
  <c r="AG519" i="7" s="1"/>
  <c r="Z519" i="7"/>
  <c r="AA519" i="7" s="1"/>
  <c r="T519" i="7"/>
  <c r="BE519" i="7" s="1"/>
  <c r="R519" i="7"/>
  <c r="D519" i="7"/>
  <c r="BH518" i="7"/>
  <c r="BG518" i="7"/>
  <c r="AU518" i="7"/>
  <c r="AP518" i="7"/>
  <c r="AK518" i="7"/>
  <c r="AF518" i="7"/>
  <c r="AG518" i="7" s="1"/>
  <c r="Z518" i="7"/>
  <c r="AA518" i="7" s="1"/>
  <c r="T518" i="7"/>
  <c r="BE518" i="7" s="1"/>
  <c r="R518" i="7"/>
  <c r="Q518" i="7" s="1"/>
  <c r="D518" i="7"/>
  <c r="BH517" i="7"/>
  <c r="BG517" i="7"/>
  <c r="AU517" i="7"/>
  <c r="AP517" i="7"/>
  <c r="AK517" i="7"/>
  <c r="AF517" i="7"/>
  <c r="AG517" i="7" s="1"/>
  <c r="Z517" i="7"/>
  <c r="AA517" i="7" s="1"/>
  <c r="T517" i="7"/>
  <c r="BE517" i="7" s="1"/>
  <c r="R517" i="7"/>
  <c r="Q517" i="7" s="1"/>
  <c r="D517" i="7"/>
  <c r="BH516" i="7"/>
  <c r="BG516" i="7"/>
  <c r="AU516" i="7"/>
  <c r="AP516" i="7"/>
  <c r="AK516" i="7"/>
  <c r="AF516" i="7"/>
  <c r="AG516" i="7" s="1"/>
  <c r="Z516" i="7"/>
  <c r="AA516" i="7" s="1"/>
  <c r="T516" i="7"/>
  <c r="BE516" i="7" s="1"/>
  <c r="R516" i="7"/>
  <c r="D516" i="7"/>
  <c r="BH515" i="7"/>
  <c r="BG515" i="7"/>
  <c r="AU515" i="7"/>
  <c r="AP515" i="7"/>
  <c r="AK515" i="7"/>
  <c r="AF515" i="7"/>
  <c r="AG515" i="7" s="1"/>
  <c r="Z515" i="7"/>
  <c r="AA515" i="7" s="1"/>
  <c r="T515" i="7"/>
  <c r="BE515" i="7" s="1"/>
  <c r="R515" i="7"/>
  <c r="Q515" i="7" s="1"/>
  <c r="D515" i="7"/>
  <c r="BH514" i="7"/>
  <c r="BG514" i="7"/>
  <c r="AU514" i="7"/>
  <c r="AP514" i="7"/>
  <c r="AK514" i="7"/>
  <c r="AF514" i="7"/>
  <c r="AG514" i="7" s="1"/>
  <c r="Z514" i="7"/>
  <c r="AA514" i="7" s="1"/>
  <c r="T514" i="7"/>
  <c r="R514" i="7"/>
  <c r="Q514" i="7" s="1"/>
  <c r="D514" i="7"/>
  <c r="BH513" i="7"/>
  <c r="BG513" i="7"/>
  <c r="AU513" i="7"/>
  <c r="AP513" i="7"/>
  <c r="AK513" i="7"/>
  <c r="AF513" i="7"/>
  <c r="AG513" i="7" s="1"/>
  <c r="Z513" i="7"/>
  <c r="AA513" i="7" s="1"/>
  <c r="T513" i="7"/>
  <c r="U513" i="7" s="1"/>
  <c r="R513" i="7"/>
  <c r="D513" i="7"/>
  <c r="BH512" i="7"/>
  <c r="BG512" i="7"/>
  <c r="AU512" i="7"/>
  <c r="AP512" i="7"/>
  <c r="AK512" i="7"/>
  <c r="AF512" i="7"/>
  <c r="AG512" i="7" s="1"/>
  <c r="Z512" i="7"/>
  <c r="AA512" i="7" s="1"/>
  <c r="T512" i="7"/>
  <c r="R512" i="7"/>
  <c r="Q512" i="7" s="1"/>
  <c r="D512" i="7"/>
  <c r="BH511" i="7"/>
  <c r="BG511" i="7"/>
  <c r="AU511" i="7"/>
  <c r="AP511" i="7"/>
  <c r="AK511" i="7"/>
  <c r="AF511" i="7"/>
  <c r="AG511" i="7" s="1"/>
  <c r="Z511" i="7"/>
  <c r="AA511" i="7" s="1"/>
  <c r="T511" i="7"/>
  <c r="U511" i="7" s="1"/>
  <c r="R511" i="7"/>
  <c r="Q511" i="7" s="1"/>
  <c r="D511" i="7"/>
  <c r="BH510" i="7"/>
  <c r="BG510" i="7"/>
  <c r="AU510" i="7"/>
  <c r="AP510" i="7"/>
  <c r="AK510" i="7"/>
  <c r="AF510" i="7"/>
  <c r="AG510" i="7" s="1"/>
  <c r="Z510" i="7"/>
  <c r="AA510" i="7" s="1"/>
  <c r="T510" i="7"/>
  <c r="BE510" i="7" s="1"/>
  <c r="R510" i="7"/>
  <c r="Q510" i="7" s="1"/>
  <c r="D510" i="7"/>
  <c r="BH509" i="7"/>
  <c r="BG509" i="7"/>
  <c r="AU509" i="7"/>
  <c r="AP509" i="7"/>
  <c r="AK509" i="7"/>
  <c r="AF509" i="7"/>
  <c r="AG509" i="7" s="1"/>
  <c r="Z509" i="7"/>
  <c r="AA509" i="7" s="1"/>
  <c r="T509" i="7"/>
  <c r="R509" i="7"/>
  <c r="Q509" i="7" s="1"/>
  <c r="D509" i="7"/>
  <c r="BH508" i="7"/>
  <c r="BG508" i="7"/>
  <c r="AU508" i="7"/>
  <c r="AP508" i="7"/>
  <c r="AK508" i="7"/>
  <c r="AF508" i="7"/>
  <c r="AG508" i="7" s="1"/>
  <c r="Z508" i="7"/>
  <c r="AA508" i="7" s="1"/>
  <c r="T508" i="7"/>
  <c r="BE508" i="7" s="1"/>
  <c r="D508" i="7"/>
  <c r="BH507" i="7"/>
  <c r="BG507" i="7"/>
  <c r="AU507" i="7"/>
  <c r="AP507" i="7"/>
  <c r="AK507" i="7"/>
  <c r="AF507" i="7"/>
  <c r="AG507" i="7" s="1"/>
  <c r="Z507" i="7"/>
  <c r="AA507" i="7" s="1"/>
  <c r="T507" i="7"/>
  <c r="R507" i="7"/>
  <c r="Q507" i="7" s="1"/>
  <c r="D507" i="7"/>
  <c r="BH506" i="7"/>
  <c r="BG506" i="7"/>
  <c r="AU506" i="7"/>
  <c r="AP506" i="7"/>
  <c r="AK506" i="7"/>
  <c r="AF506" i="7"/>
  <c r="AG506" i="7" s="1"/>
  <c r="Z506" i="7"/>
  <c r="AA506" i="7" s="1"/>
  <c r="T506" i="7"/>
  <c r="U506" i="7" s="1"/>
  <c r="R506" i="7"/>
  <c r="D506" i="7"/>
  <c r="BH505" i="7"/>
  <c r="BG505" i="7"/>
  <c r="AU505" i="7"/>
  <c r="AP505" i="7"/>
  <c r="AK505" i="7"/>
  <c r="AF505" i="7"/>
  <c r="AG505" i="7" s="1"/>
  <c r="Z505" i="7"/>
  <c r="AA505" i="7" s="1"/>
  <c r="T505" i="7"/>
  <c r="BE505" i="7" s="1"/>
  <c r="R505" i="7"/>
  <c r="Q505" i="7" s="1"/>
  <c r="D505" i="7"/>
  <c r="BG504" i="7"/>
  <c r="AU504" i="7"/>
  <c r="AP504" i="7"/>
  <c r="AK504" i="7"/>
  <c r="AF504" i="7"/>
  <c r="AG504" i="7" s="1"/>
  <c r="AD504" i="7"/>
  <c r="AC504" i="7"/>
  <c r="BH504" i="7" s="1"/>
  <c r="Z504" i="7"/>
  <c r="AA504" i="7" s="1"/>
  <c r="T504" i="7"/>
  <c r="BE504" i="7" s="1"/>
  <c r="R504" i="7"/>
  <c r="Q504" i="7" s="1"/>
  <c r="D504" i="7"/>
  <c r="BG503" i="7"/>
  <c r="AU503" i="7"/>
  <c r="AP503" i="7"/>
  <c r="AK503" i="7"/>
  <c r="AF503" i="7"/>
  <c r="AG503" i="7" s="1"/>
  <c r="AD503" i="7"/>
  <c r="AC503" i="7"/>
  <c r="Z503" i="7"/>
  <c r="AA503" i="7" s="1"/>
  <c r="T503" i="7"/>
  <c r="BE503" i="7" s="1"/>
  <c r="R503" i="7"/>
  <c r="Q503" i="7" s="1"/>
  <c r="D503" i="7"/>
  <c r="BH502" i="7"/>
  <c r="BG502" i="7"/>
  <c r="AU502" i="7"/>
  <c r="AP502" i="7"/>
  <c r="AK502" i="7"/>
  <c r="AF502" i="7"/>
  <c r="AG502" i="7" s="1"/>
  <c r="Z502" i="7"/>
  <c r="AA502" i="7" s="1"/>
  <c r="T502" i="7"/>
  <c r="BE502" i="7" s="1"/>
  <c r="R502" i="7"/>
  <c r="D502" i="7"/>
  <c r="BH501" i="7"/>
  <c r="BG501" i="7"/>
  <c r="AU501" i="7"/>
  <c r="AP501" i="7"/>
  <c r="AK501" i="7"/>
  <c r="AF501" i="7"/>
  <c r="AG501" i="7" s="1"/>
  <c r="Z501" i="7"/>
  <c r="AA501" i="7" s="1"/>
  <c r="T501" i="7"/>
  <c r="R501" i="7"/>
  <c r="D501" i="7"/>
  <c r="BH500" i="7"/>
  <c r="BG500" i="7"/>
  <c r="AU500" i="7"/>
  <c r="AP500" i="7"/>
  <c r="AK500" i="7"/>
  <c r="AF500" i="7"/>
  <c r="AG500" i="7" s="1"/>
  <c r="Z500" i="7"/>
  <c r="AA500" i="7" s="1"/>
  <c r="T500" i="7"/>
  <c r="BE500" i="7" s="1"/>
  <c r="R500" i="7"/>
  <c r="Q500" i="7" s="1"/>
  <c r="D500" i="7"/>
  <c r="BH499" i="7"/>
  <c r="BG499" i="7"/>
  <c r="AU499" i="7"/>
  <c r="AP499" i="7"/>
  <c r="AK499" i="7"/>
  <c r="AF499" i="7"/>
  <c r="AG499" i="7" s="1"/>
  <c r="Z499" i="7"/>
  <c r="AA499" i="7" s="1"/>
  <c r="T499" i="7"/>
  <c r="U499" i="7" s="1"/>
  <c r="R499" i="7"/>
  <c r="Q499" i="7" s="1"/>
  <c r="D499" i="7"/>
  <c r="BH498" i="7"/>
  <c r="BG498" i="7"/>
  <c r="AU498" i="7"/>
  <c r="AP498" i="7"/>
  <c r="AK498" i="7"/>
  <c r="AF498" i="7"/>
  <c r="AG498" i="7" s="1"/>
  <c r="Z498" i="7"/>
  <c r="AA498" i="7" s="1"/>
  <c r="T498" i="7"/>
  <c r="BE498" i="7" s="1"/>
  <c r="R498" i="7"/>
  <c r="Q498" i="7" s="1"/>
  <c r="D498" i="7"/>
  <c r="BH497" i="7"/>
  <c r="BG497" i="7"/>
  <c r="AU497" i="7"/>
  <c r="AP497" i="7"/>
  <c r="AK497" i="7"/>
  <c r="AF497" i="7"/>
  <c r="AG497" i="7" s="1"/>
  <c r="Z497" i="7"/>
  <c r="AA497" i="7" s="1"/>
  <c r="T497" i="7"/>
  <c r="R497" i="7"/>
  <c r="Q497" i="7" s="1"/>
  <c r="D497" i="7"/>
  <c r="BH496" i="7"/>
  <c r="BG496" i="7"/>
  <c r="AU496" i="7"/>
  <c r="AP496" i="7"/>
  <c r="AK496" i="7"/>
  <c r="AF496" i="7"/>
  <c r="AG496" i="7" s="1"/>
  <c r="Z496" i="7"/>
  <c r="AA496" i="7" s="1"/>
  <c r="T496" i="7"/>
  <c r="U496" i="7" s="1"/>
  <c r="R496" i="7"/>
  <c r="Q496" i="7" s="1"/>
  <c r="D496" i="7"/>
  <c r="BH495" i="7"/>
  <c r="BG495" i="7"/>
  <c r="AU495" i="7"/>
  <c r="AP495" i="7"/>
  <c r="AK495" i="7"/>
  <c r="AF495" i="7"/>
  <c r="AG495" i="7" s="1"/>
  <c r="Z495" i="7"/>
  <c r="AA495" i="7" s="1"/>
  <c r="T495" i="7"/>
  <c r="BE495" i="7" s="1"/>
  <c r="R495" i="7"/>
  <c r="D495" i="7"/>
  <c r="BH494" i="7"/>
  <c r="BG494" i="7"/>
  <c r="AU494" i="7"/>
  <c r="AP494" i="7"/>
  <c r="AK494" i="7"/>
  <c r="AF494" i="7"/>
  <c r="AG494" i="7" s="1"/>
  <c r="Z494" i="7"/>
  <c r="AA494" i="7" s="1"/>
  <c r="T494" i="7"/>
  <c r="R494" i="7"/>
  <c r="Q494" i="7" s="1"/>
  <c r="D494" i="7"/>
  <c r="BH493" i="7"/>
  <c r="BG493" i="7"/>
  <c r="AU493" i="7"/>
  <c r="AP493" i="7"/>
  <c r="AK493" i="7"/>
  <c r="AF493" i="7"/>
  <c r="AG493" i="7" s="1"/>
  <c r="Z493" i="7"/>
  <c r="AA493" i="7" s="1"/>
  <c r="T493" i="7"/>
  <c r="U493" i="7" s="1"/>
  <c r="R493" i="7"/>
  <c r="Q493" i="7" s="1"/>
  <c r="D493" i="7"/>
  <c r="BH492" i="7"/>
  <c r="BG492" i="7"/>
  <c r="AU492" i="7"/>
  <c r="AP492" i="7"/>
  <c r="AK492" i="7"/>
  <c r="AF492" i="7"/>
  <c r="AG492" i="7" s="1"/>
  <c r="Z492" i="7"/>
  <c r="AA492" i="7" s="1"/>
  <c r="T492" i="7"/>
  <c r="U492" i="7" s="1"/>
  <c r="R492" i="7"/>
  <c r="Q492" i="7" s="1"/>
  <c r="D492" i="7"/>
  <c r="BH491" i="7"/>
  <c r="BG491" i="7"/>
  <c r="AU491" i="7"/>
  <c r="AP491" i="7"/>
  <c r="AK491" i="7"/>
  <c r="AF491" i="7"/>
  <c r="AG491" i="7" s="1"/>
  <c r="Z491" i="7"/>
  <c r="AA491" i="7" s="1"/>
  <c r="T491" i="7"/>
  <c r="R491" i="7"/>
  <c r="D491" i="7"/>
  <c r="BH490" i="7"/>
  <c r="BG490" i="7"/>
  <c r="AU490" i="7"/>
  <c r="AP490" i="7"/>
  <c r="AK490" i="7"/>
  <c r="AF490" i="7"/>
  <c r="AG490" i="7" s="1"/>
  <c r="Z490" i="7"/>
  <c r="AA490" i="7" s="1"/>
  <c r="T490" i="7"/>
  <c r="R490" i="7"/>
  <c r="Q490" i="7" s="1"/>
  <c r="D490" i="7"/>
  <c r="BH489" i="7"/>
  <c r="BG489" i="7"/>
  <c r="AU489" i="7"/>
  <c r="AP489" i="7"/>
  <c r="AK489" i="7"/>
  <c r="AF489" i="7"/>
  <c r="AG489" i="7" s="1"/>
  <c r="Z489" i="7"/>
  <c r="AA489" i="7" s="1"/>
  <c r="T489" i="7"/>
  <c r="BE489" i="7" s="1"/>
  <c r="R489" i="7"/>
  <c r="Q489" i="7" s="1"/>
  <c r="D489" i="7"/>
  <c r="BH488" i="7"/>
  <c r="BG488" i="7"/>
  <c r="AU488" i="7"/>
  <c r="AP488" i="7"/>
  <c r="AK488" i="7"/>
  <c r="AF488" i="7"/>
  <c r="AG488" i="7" s="1"/>
  <c r="Z488" i="7"/>
  <c r="AA488" i="7" s="1"/>
  <c r="T488" i="7"/>
  <c r="R488" i="7"/>
  <c r="Q488" i="7" s="1"/>
  <c r="D488" i="7"/>
  <c r="BH487" i="7"/>
  <c r="BG487" i="7"/>
  <c r="AU487" i="7"/>
  <c r="AP487" i="7"/>
  <c r="AK487" i="7"/>
  <c r="AF487" i="7"/>
  <c r="AG487" i="7" s="1"/>
  <c r="Z487" i="7"/>
  <c r="AA487" i="7" s="1"/>
  <c r="T487" i="7"/>
  <c r="R487" i="7"/>
  <c r="D487" i="7"/>
  <c r="BH486" i="7"/>
  <c r="BG486" i="7"/>
  <c r="AU486" i="7"/>
  <c r="AP486" i="7"/>
  <c r="AK486" i="7"/>
  <c r="AF486" i="7"/>
  <c r="AG486" i="7" s="1"/>
  <c r="Z486" i="7"/>
  <c r="AA486" i="7" s="1"/>
  <c r="T486" i="7"/>
  <c r="BE486" i="7" s="1"/>
  <c r="R486" i="7"/>
  <c r="D486" i="7"/>
  <c r="BH485" i="7"/>
  <c r="BG485" i="7"/>
  <c r="AU485" i="7"/>
  <c r="AP485" i="7"/>
  <c r="AK485" i="7"/>
  <c r="AF485" i="7"/>
  <c r="AG485" i="7" s="1"/>
  <c r="Z485" i="7"/>
  <c r="AA485" i="7" s="1"/>
  <c r="T485" i="7"/>
  <c r="U485" i="7" s="1"/>
  <c r="R485" i="7"/>
  <c r="D485" i="7"/>
  <c r="BH484" i="7"/>
  <c r="BG484" i="7"/>
  <c r="AU484" i="7"/>
  <c r="AP484" i="7"/>
  <c r="AK484" i="7"/>
  <c r="AF484" i="7"/>
  <c r="AG484" i="7" s="1"/>
  <c r="Z484" i="7"/>
  <c r="AA484" i="7" s="1"/>
  <c r="T484" i="7"/>
  <c r="BE484" i="7" s="1"/>
  <c r="R484" i="7"/>
  <c r="D484" i="7"/>
  <c r="BH483" i="7"/>
  <c r="BG483" i="7"/>
  <c r="AU483" i="7"/>
  <c r="AP483" i="7"/>
  <c r="AK483" i="7"/>
  <c r="AF483" i="7"/>
  <c r="AG483" i="7" s="1"/>
  <c r="Z483" i="7"/>
  <c r="AA483" i="7" s="1"/>
  <c r="T483" i="7"/>
  <c r="R483" i="7"/>
  <c r="D483" i="7"/>
  <c r="BH482" i="7"/>
  <c r="BG482" i="7"/>
  <c r="AU482" i="7"/>
  <c r="AP482" i="7"/>
  <c r="AF482" i="7"/>
  <c r="AG482" i="7" s="1"/>
  <c r="Z482" i="7"/>
  <c r="AA482" i="7" s="1"/>
  <c r="T482" i="7"/>
  <c r="U482" i="7" s="1"/>
  <c r="R482" i="7"/>
  <c r="D482" i="7"/>
  <c r="BH481" i="7"/>
  <c r="BG481" i="7"/>
  <c r="AU481" i="7"/>
  <c r="AP481" i="7"/>
  <c r="AF481" i="7"/>
  <c r="AG481" i="7" s="1"/>
  <c r="Z481" i="7"/>
  <c r="AA481" i="7" s="1"/>
  <c r="T481" i="7"/>
  <c r="BE481" i="7" s="1"/>
  <c r="R481" i="7"/>
  <c r="D481" i="7"/>
  <c r="BH480" i="7"/>
  <c r="BG480" i="7"/>
  <c r="AU480" i="7"/>
  <c r="AP480" i="7"/>
  <c r="AF480" i="7"/>
  <c r="AG480" i="7" s="1"/>
  <c r="Z480" i="7"/>
  <c r="AA480" i="7" s="1"/>
  <c r="T480" i="7"/>
  <c r="U480" i="7" s="1"/>
  <c r="R480" i="7"/>
  <c r="D480" i="7"/>
  <c r="BH479" i="7"/>
  <c r="BG479" i="7"/>
  <c r="AU479" i="7"/>
  <c r="AP479" i="7"/>
  <c r="AK479" i="7"/>
  <c r="AF479" i="7"/>
  <c r="AG479" i="7" s="1"/>
  <c r="Z479" i="7"/>
  <c r="AA479" i="7" s="1"/>
  <c r="T479" i="7"/>
  <c r="BE479" i="7" s="1"/>
  <c r="R479" i="7"/>
  <c r="Q479" i="7"/>
  <c r="D479" i="7"/>
  <c r="BH478" i="7"/>
  <c r="BG478" i="7"/>
  <c r="AU478" i="7"/>
  <c r="AP478" i="7"/>
  <c r="AK478" i="7"/>
  <c r="AF478" i="7"/>
  <c r="AG478" i="7" s="1"/>
  <c r="Z478" i="7"/>
  <c r="AA478" i="7" s="1"/>
  <c r="T478" i="7"/>
  <c r="D478" i="7"/>
  <c r="BH477" i="7"/>
  <c r="BG477" i="7"/>
  <c r="AU477" i="7"/>
  <c r="AP477" i="7"/>
  <c r="AK477" i="7"/>
  <c r="AF477" i="7"/>
  <c r="AG477" i="7" s="1"/>
  <c r="Z477" i="7"/>
  <c r="AA477" i="7" s="1"/>
  <c r="T477" i="7"/>
  <c r="BE477" i="7" s="1"/>
  <c r="D477" i="7"/>
  <c r="BH476" i="7"/>
  <c r="BG476" i="7"/>
  <c r="AU476" i="7"/>
  <c r="AP476" i="7"/>
  <c r="AF476" i="7"/>
  <c r="AG476" i="7" s="1"/>
  <c r="Z476" i="7"/>
  <c r="AA476" i="7" s="1"/>
  <c r="T476" i="7"/>
  <c r="U476" i="7" s="1"/>
  <c r="R476" i="7"/>
  <c r="D476" i="7"/>
  <c r="BH475" i="7"/>
  <c r="BG475" i="7"/>
  <c r="AU475" i="7"/>
  <c r="AP475" i="7"/>
  <c r="AF475" i="7"/>
  <c r="AG475" i="7" s="1"/>
  <c r="Z475" i="7"/>
  <c r="AA475" i="7" s="1"/>
  <c r="T475" i="7"/>
  <c r="U475" i="7" s="1"/>
  <c r="R475" i="7"/>
  <c r="D475" i="7"/>
  <c r="BH474" i="7"/>
  <c r="BG474" i="7"/>
  <c r="AU474" i="7"/>
  <c r="AP474" i="7"/>
  <c r="AF474" i="7"/>
  <c r="AG474" i="7" s="1"/>
  <c r="Z474" i="7"/>
  <c r="AA474" i="7" s="1"/>
  <c r="T474" i="7"/>
  <c r="BE474" i="7" s="1"/>
  <c r="R474" i="7"/>
  <c r="D474" i="7"/>
  <c r="BG473" i="7"/>
  <c r="AU473" i="7"/>
  <c r="AP473" i="7"/>
  <c r="AK473" i="7"/>
  <c r="AF473" i="7"/>
  <c r="AG473" i="7" s="1"/>
  <c r="AD473" i="7"/>
  <c r="AC473" i="7"/>
  <c r="BH473" i="7" s="1"/>
  <c r="Z473" i="7"/>
  <c r="AA473" i="7" s="1"/>
  <c r="T473" i="7"/>
  <c r="BE473" i="7" s="1"/>
  <c r="R473" i="7"/>
  <c r="Q473" i="7" s="1"/>
  <c r="D473" i="7"/>
  <c r="BG472" i="7"/>
  <c r="AU472" i="7"/>
  <c r="AP472" i="7"/>
  <c r="AK472" i="7"/>
  <c r="AF472" i="7"/>
  <c r="AG472" i="7" s="1"/>
  <c r="AD472" i="7"/>
  <c r="AC472" i="7"/>
  <c r="BH472" i="7" s="1"/>
  <c r="Z472" i="7"/>
  <c r="AA472" i="7" s="1"/>
  <c r="T472" i="7"/>
  <c r="R472" i="7"/>
  <c r="Q472" i="7" s="1"/>
  <c r="D472" i="7"/>
  <c r="BH471" i="7"/>
  <c r="BG471" i="7"/>
  <c r="AU471" i="7"/>
  <c r="AP471" i="7"/>
  <c r="AK471" i="7"/>
  <c r="AF471" i="7"/>
  <c r="AG471" i="7" s="1"/>
  <c r="Z471" i="7"/>
  <c r="AA471" i="7" s="1"/>
  <c r="T471" i="7"/>
  <c r="BE471" i="7" s="1"/>
  <c r="R471" i="7"/>
  <c r="Q471" i="7" s="1"/>
  <c r="D471" i="7"/>
  <c r="BH470" i="7"/>
  <c r="BG470" i="7"/>
  <c r="AU470" i="7"/>
  <c r="AP470" i="7"/>
  <c r="AK470" i="7"/>
  <c r="AF470" i="7"/>
  <c r="AG470" i="7" s="1"/>
  <c r="Z470" i="7"/>
  <c r="AA470" i="7" s="1"/>
  <c r="T470" i="7"/>
  <c r="U470" i="7" s="1"/>
  <c r="R470" i="7"/>
  <c r="Q470" i="7" s="1"/>
  <c r="D470" i="7"/>
  <c r="BH469" i="7"/>
  <c r="BG469" i="7"/>
  <c r="AU469" i="7"/>
  <c r="AP469" i="7"/>
  <c r="AK469" i="7"/>
  <c r="AF469" i="7"/>
  <c r="AG469" i="7" s="1"/>
  <c r="Z469" i="7"/>
  <c r="AA469" i="7" s="1"/>
  <c r="T469" i="7"/>
  <c r="BE469" i="7" s="1"/>
  <c r="R469" i="7"/>
  <c r="Q469" i="7" s="1"/>
  <c r="D469" i="7"/>
  <c r="BH468" i="7"/>
  <c r="BG468" i="7"/>
  <c r="AU468" i="7"/>
  <c r="AP468" i="7"/>
  <c r="AK468" i="7"/>
  <c r="AF468" i="7"/>
  <c r="AG468" i="7" s="1"/>
  <c r="Z468" i="7"/>
  <c r="AA468" i="7" s="1"/>
  <c r="T468" i="7"/>
  <c r="R468" i="7"/>
  <c r="Q468" i="7" s="1"/>
  <c r="D468" i="7"/>
  <c r="BH467" i="7"/>
  <c r="BG467" i="7"/>
  <c r="AU467" i="7"/>
  <c r="AP467" i="7"/>
  <c r="AK467" i="7"/>
  <c r="AF467" i="7"/>
  <c r="AG467" i="7" s="1"/>
  <c r="Z467" i="7"/>
  <c r="AA467" i="7" s="1"/>
  <c r="T467" i="7"/>
  <c r="BE467" i="7" s="1"/>
  <c r="R467" i="7"/>
  <c r="Q467" i="7" s="1"/>
  <c r="D467" i="7"/>
  <c r="BH466" i="7"/>
  <c r="BG466" i="7"/>
  <c r="AU466" i="7"/>
  <c r="AP466" i="7"/>
  <c r="AK466" i="7"/>
  <c r="AF466" i="7"/>
  <c r="AG466" i="7" s="1"/>
  <c r="Z466" i="7"/>
  <c r="AA466" i="7" s="1"/>
  <c r="T466" i="7"/>
  <c r="R466" i="7"/>
  <c r="Q466" i="7" s="1"/>
  <c r="D466" i="7"/>
  <c r="BH465" i="7"/>
  <c r="BG465" i="7"/>
  <c r="AU465" i="7"/>
  <c r="AP465" i="7"/>
  <c r="AK465" i="7"/>
  <c r="AF465" i="7"/>
  <c r="AG465" i="7" s="1"/>
  <c r="Z465" i="7"/>
  <c r="AA465" i="7" s="1"/>
  <c r="T465" i="7"/>
  <c r="R465" i="7"/>
  <c r="D465" i="7"/>
  <c r="BH464" i="7"/>
  <c r="BG464" i="7"/>
  <c r="AU464" i="7"/>
  <c r="AP464" i="7"/>
  <c r="AK464" i="7"/>
  <c r="AF464" i="7"/>
  <c r="AG464" i="7" s="1"/>
  <c r="Z464" i="7"/>
  <c r="AA464" i="7" s="1"/>
  <c r="T464" i="7"/>
  <c r="R464" i="7"/>
  <c r="Q464" i="7" s="1"/>
  <c r="D464" i="7"/>
  <c r="BH463" i="7"/>
  <c r="BG463" i="7"/>
  <c r="AU463" i="7"/>
  <c r="AP463" i="7"/>
  <c r="AK463" i="7"/>
  <c r="AF463" i="7"/>
  <c r="AG463" i="7" s="1"/>
  <c r="Z463" i="7"/>
  <c r="AA463" i="7" s="1"/>
  <c r="T463" i="7"/>
  <c r="BE463" i="7" s="1"/>
  <c r="R463" i="7"/>
  <c r="Q463" i="7" s="1"/>
  <c r="D463" i="7"/>
  <c r="BH462" i="7"/>
  <c r="BG462" i="7"/>
  <c r="AU462" i="7"/>
  <c r="AP462" i="7"/>
  <c r="AK462" i="7"/>
  <c r="AF462" i="7"/>
  <c r="AG462" i="7" s="1"/>
  <c r="Z462" i="7"/>
  <c r="AA462" i="7" s="1"/>
  <c r="T462" i="7"/>
  <c r="R462" i="7"/>
  <c r="D462" i="7"/>
  <c r="BH461" i="7"/>
  <c r="BG461" i="7"/>
  <c r="AU461" i="7"/>
  <c r="AP461" i="7"/>
  <c r="AK461" i="7"/>
  <c r="AF461" i="7"/>
  <c r="AG461" i="7" s="1"/>
  <c r="Z461" i="7"/>
  <c r="AA461" i="7" s="1"/>
  <c r="T461" i="7"/>
  <c r="R461" i="7"/>
  <c r="D461" i="7"/>
  <c r="BH460" i="7"/>
  <c r="BG460" i="7"/>
  <c r="AU460" i="7"/>
  <c r="AP460" i="7"/>
  <c r="AK460" i="7"/>
  <c r="AF460" i="7"/>
  <c r="AG460" i="7" s="1"/>
  <c r="Z460" i="7"/>
  <c r="AA460" i="7" s="1"/>
  <c r="T460" i="7"/>
  <c r="BE460" i="7" s="1"/>
  <c r="R460" i="7"/>
  <c r="Q460" i="7" s="1"/>
  <c r="D460" i="7"/>
  <c r="BH459" i="7"/>
  <c r="BG459" i="7"/>
  <c r="AU459" i="7"/>
  <c r="AK459" i="7"/>
  <c r="AF459" i="7"/>
  <c r="AG459" i="7" s="1"/>
  <c r="Z459" i="7"/>
  <c r="AA459" i="7" s="1"/>
  <c r="T459" i="7"/>
  <c r="BE459" i="7" s="1"/>
  <c r="D459" i="7"/>
  <c r="BH458" i="7"/>
  <c r="BG458" i="7"/>
  <c r="AU458" i="7"/>
  <c r="AP458" i="7"/>
  <c r="AK458" i="7"/>
  <c r="AF458" i="7"/>
  <c r="AG458" i="7" s="1"/>
  <c r="Z458" i="7"/>
  <c r="AA458" i="7" s="1"/>
  <c r="T458" i="7"/>
  <c r="BE458" i="7" s="1"/>
  <c r="R458" i="7"/>
  <c r="D458" i="7"/>
  <c r="BH457" i="7"/>
  <c r="BG457" i="7"/>
  <c r="AU457" i="7"/>
  <c r="AP457" i="7"/>
  <c r="AK457" i="7"/>
  <c r="AF457" i="7"/>
  <c r="AG457" i="7" s="1"/>
  <c r="Z457" i="7"/>
  <c r="AA457" i="7" s="1"/>
  <c r="T457" i="7"/>
  <c r="BE457" i="7" s="1"/>
  <c r="R457" i="7"/>
  <c r="Q457" i="7" s="1"/>
  <c r="D457" i="7"/>
  <c r="BH456" i="7"/>
  <c r="BG456" i="7"/>
  <c r="AU456" i="7"/>
  <c r="AP456" i="7"/>
  <c r="AK456" i="7"/>
  <c r="AF456" i="7"/>
  <c r="AG456" i="7" s="1"/>
  <c r="Z456" i="7"/>
  <c r="AA456" i="7" s="1"/>
  <c r="T456" i="7"/>
  <c r="BE456" i="7" s="1"/>
  <c r="R456" i="7"/>
  <c r="Q456" i="7" s="1"/>
  <c r="D456" i="7"/>
  <c r="BH455" i="7"/>
  <c r="BG455" i="7"/>
  <c r="AU455" i="7"/>
  <c r="AP455" i="7"/>
  <c r="AK455" i="7"/>
  <c r="AF455" i="7"/>
  <c r="AG455" i="7" s="1"/>
  <c r="Z455" i="7"/>
  <c r="AA455" i="7" s="1"/>
  <c r="T455" i="7"/>
  <c r="BE455" i="7" s="1"/>
  <c r="R455" i="7"/>
  <c r="Q455" i="7" s="1"/>
  <c r="D455" i="7"/>
  <c r="BH454" i="7"/>
  <c r="BG454" i="7"/>
  <c r="AU454" i="7"/>
  <c r="AP454" i="7"/>
  <c r="AK454" i="7"/>
  <c r="AF454" i="7"/>
  <c r="AG454" i="7" s="1"/>
  <c r="Z454" i="7"/>
  <c r="AA454" i="7" s="1"/>
  <c r="T454" i="7"/>
  <c r="BE454" i="7" s="1"/>
  <c r="R454" i="7"/>
  <c r="Q454" i="7" s="1"/>
  <c r="D454" i="7"/>
  <c r="BH453" i="7"/>
  <c r="BG453" i="7"/>
  <c r="AU453" i="7"/>
  <c r="AP453" i="7"/>
  <c r="AK453" i="7"/>
  <c r="AF453" i="7"/>
  <c r="AG453" i="7" s="1"/>
  <c r="Z453" i="7"/>
  <c r="AA453" i="7" s="1"/>
  <c r="T453" i="7"/>
  <c r="BE453" i="7" s="1"/>
  <c r="R453" i="7"/>
  <c r="Q453" i="7" s="1"/>
  <c r="D453" i="7"/>
  <c r="BH452" i="7"/>
  <c r="BG452" i="7"/>
  <c r="AU452" i="7"/>
  <c r="AP452" i="7"/>
  <c r="AK452" i="7"/>
  <c r="AF452" i="7"/>
  <c r="AG452" i="7" s="1"/>
  <c r="Z452" i="7"/>
  <c r="AA452" i="7" s="1"/>
  <c r="T452" i="7"/>
  <c r="BE452" i="7" s="1"/>
  <c r="R452" i="7"/>
  <c r="Q452" i="7" s="1"/>
  <c r="D452" i="7"/>
  <c r="BH451" i="7"/>
  <c r="BG451" i="7"/>
  <c r="AU451" i="7"/>
  <c r="AP451" i="7"/>
  <c r="AK451" i="7"/>
  <c r="AF451" i="7"/>
  <c r="AG451" i="7" s="1"/>
  <c r="Z451" i="7"/>
  <c r="AA451" i="7" s="1"/>
  <c r="T451" i="7"/>
  <c r="R451" i="7"/>
  <c r="Q451" i="7" s="1"/>
  <c r="D451" i="7"/>
  <c r="BI450" i="7"/>
  <c r="BH450" i="7"/>
  <c r="BG450" i="7"/>
  <c r="BF450" i="7"/>
  <c r="BE450" i="7"/>
  <c r="AU450" i="7"/>
  <c r="AP450" i="7"/>
  <c r="AK450" i="7"/>
  <c r="AF450" i="7"/>
  <c r="AG450" i="7" s="1"/>
  <c r="Z450" i="7"/>
  <c r="AA450" i="7" s="1"/>
  <c r="T450" i="7"/>
  <c r="U450" i="7" s="1"/>
  <c r="R450" i="7"/>
  <c r="Q450" i="7" s="1"/>
  <c r="D450" i="7"/>
  <c r="BI449" i="7"/>
  <c r="BH449" i="7"/>
  <c r="BG449" i="7"/>
  <c r="BF449" i="7"/>
  <c r="BE449" i="7"/>
  <c r="AU449" i="7"/>
  <c r="AP449" i="7"/>
  <c r="AK449" i="7"/>
  <c r="AF449" i="7"/>
  <c r="AG449" i="7" s="1"/>
  <c r="Z449" i="7"/>
  <c r="AA449" i="7" s="1"/>
  <c r="T449" i="7"/>
  <c r="U449" i="7" s="1"/>
  <c r="R449" i="7"/>
  <c r="Q449" i="7" s="1"/>
  <c r="D449" i="7"/>
  <c r="BI448" i="7"/>
  <c r="BH448" i="7"/>
  <c r="BG448" i="7"/>
  <c r="BF448" i="7"/>
  <c r="BE448" i="7"/>
  <c r="AU448" i="7"/>
  <c r="AP448" i="7"/>
  <c r="AK448" i="7"/>
  <c r="AF448" i="7"/>
  <c r="AG448" i="7" s="1"/>
  <c r="Z448" i="7"/>
  <c r="AA448" i="7" s="1"/>
  <c r="T448" i="7"/>
  <c r="U448" i="7" s="1"/>
  <c r="R448" i="7"/>
  <c r="Q448" i="7" s="1"/>
  <c r="D448" i="7"/>
  <c r="BI447" i="7"/>
  <c r="BH447" i="7"/>
  <c r="BG447" i="7"/>
  <c r="BF447" i="7"/>
  <c r="BE447" i="7"/>
  <c r="AU447" i="7"/>
  <c r="AP447" i="7"/>
  <c r="AK447" i="7"/>
  <c r="AF447" i="7"/>
  <c r="AG447" i="7" s="1"/>
  <c r="Z447" i="7"/>
  <c r="AA447" i="7" s="1"/>
  <c r="T447" i="7"/>
  <c r="U447" i="7" s="1"/>
  <c r="R447" i="7"/>
  <c r="Q447" i="7" s="1"/>
  <c r="D447" i="7"/>
  <c r="BH446" i="7"/>
  <c r="BG446" i="7"/>
  <c r="AU446" i="7"/>
  <c r="AP446" i="7"/>
  <c r="AK446" i="7"/>
  <c r="AF446" i="7"/>
  <c r="AG446" i="7" s="1"/>
  <c r="Z446" i="7"/>
  <c r="T446" i="7"/>
  <c r="BE446" i="7" s="1"/>
  <c r="R446" i="7"/>
  <c r="Q446" i="7"/>
  <c r="D446" i="7"/>
  <c r="BH445" i="7"/>
  <c r="BG445" i="7"/>
  <c r="AU445" i="7"/>
  <c r="AP445" i="7"/>
  <c r="AK445" i="7"/>
  <c r="AF445" i="7"/>
  <c r="AG445" i="7" s="1"/>
  <c r="Z445" i="7"/>
  <c r="AA445" i="7" s="1"/>
  <c r="T445" i="7"/>
  <c r="BE445" i="7" s="1"/>
  <c r="R445" i="7"/>
  <c r="D445" i="7"/>
  <c r="BI444" i="7"/>
  <c r="BH444" i="7"/>
  <c r="BG444" i="7"/>
  <c r="BF444" i="7"/>
  <c r="BE444" i="7"/>
  <c r="AU444" i="7"/>
  <c r="AP444" i="7"/>
  <c r="AK444" i="7"/>
  <c r="AF444" i="7"/>
  <c r="AG444" i="7" s="1"/>
  <c r="Z444" i="7"/>
  <c r="AA444" i="7" s="1"/>
  <c r="T444" i="7"/>
  <c r="U444" i="7" s="1"/>
  <c r="R444" i="7"/>
  <c r="Q444" i="7" s="1"/>
  <c r="D444" i="7"/>
  <c r="BH443" i="7"/>
  <c r="BG443" i="7"/>
  <c r="AU443" i="7"/>
  <c r="AP443" i="7"/>
  <c r="AF443" i="7"/>
  <c r="AG443" i="7" s="1"/>
  <c r="Z443" i="7"/>
  <c r="AA443" i="7" s="1"/>
  <c r="T443" i="7"/>
  <c r="BE443" i="7" s="1"/>
  <c r="R443" i="7"/>
  <c r="D443" i="7"/>
  <c r="BI442" i="7"/>
  <c r="BH442" i="7"/>
  <c r="BG442" i="7"/>
  <c r="BF442" i="7"/>
  <c r="BE442" i="7"/>
  <c r="AU442" i="7"/>
  <c r="AP442" i="7"/>
  <c r="AK442" i="7"/>
  <c r="AF442" i="7"/>
  <c r="AG442" i="7" s="1"/>
  <c r="Z442" i="7"/>
  <c r="AA442" i="7" s="1"/>
  <c r="T442" i="7"/>
  <c r="U442" i="7" s="1"/>
  <c r="R442" i="7"/>
  <c r="Q442" i="7" s="1"/>
  <c r="D442" i="7"/>
  <c r="BH441" i="7"/>
  <c r="BG441" i="7"/>
  <c r="AU441" i="7"/>
  <c r="AP441" i="7"/>
  <c r="AK441" i="7"/>
  <c r="AF441" i="7"/>
  <c r="AG441" i="7" s="1"/>
  <c r="Z441" i="7"/>
  <c r="AA441" i="7" s="1"/>
  <c r="T441" i="7"/>
  <c r="BE441" i="7" s="1"/>
  <c r="R441" i="7"/>
  <c r="D441" i="7"/>
  <c r="BI440" i="7"/>
  <c r="BH440" i="7"/>
  <c r="BG440" i="7"/>
  <c r="BF440" i="7"/>
  <c r="BE440" i="7"/>
  <c r="AU440" i="7"/>
  <c r="AP440" i="7"/>
  <c r="AK440" i="7"/>
  <c r="AF440" i="7"/>
  <c r="AG440" i="7" s="1"/>
  <c r="Z440" i="7"/>
  <c r="AA440" i="7" s="1"/>
  <c r="T440" i="7"/>
  <c r="U440" i="7" s="1"/>
  <c r="R440" i="7"/>
  <c r="Q440" i="7" s="1"/>
  <c r="D440" i="7"/>
  <c r="BH439" i="7"/>
  <c r="BG439" i="7"/>
  <c r="AU439" i="7"/>
  <c r="AP439" i="7"/>
  <c r="AK439" i="7"/>
  <c r="AF439" i="7"/>
  <c r="AG439" i="7" s="1"/>
  <c r="Z439" i="7"/>
  <c r="AA439" i="7" s="1"/>
  <c r="T439" i="7"/>
  <c r="BE439" i="7" s="1"/>
  <c r="R439" i="7"/>
  <c r="Q439" i="7" s="1"/>
  <c r="D439" i="7"/>
  <c r="BH438" i="7"/>
  <c r="BG438" i="7"/>
  <c r="AU438" i="7"/>
  <c r="AP438" i="7"/>
  <c r="AK438" i="7"/>
  <c r="AF438" i="7"/>
  <c r="AG438" i="7" s="1"/>
  <c r="Z438" i="7"/>
  <c r="AA438" i="7" s="1"/>
  <c r="T438" i="7"/>
  <c r="U438" i="7" s="1"/>
  <c r="R438" i="7"/>
  <c r="D438" i="7"/>
  <c r="BH437" i="7"/>
  <c r="BG437" i="7"/>
  <c r="AU437" i="7"/>
  <c r="AP437" i="7"/>
  <c r="AK437" i="7"/>
  <c r="AF437" i="7"/>
  <c r="AG437" i="7" s="1"/>
  <c r="Z437" i="7"/>
  <c r="T437" i="7"/>
  <c r="R437" i="7"/>
  <c r="Q437" i="7" s="1"/>
  <c r="D437" i="7"/>
  <c r="BH436" i="7"/>
  <c r="BG436" i="7"/>
  <c r="AU436" i="7"/>
  <c r="AP436" i="7"/>
  <c r="AK436" i="7"/>
  <c r="AF436" i="7"/>
  <c r="AG436" i="7" s="1"/>
  <c r="Z436" i="7"/>
  <c r="AA436" i="7" s="1"/>
  <c r="T436" i="7"/>
  <c r="R436" i="7"/>
  <c r="Q436" i="7" s="1"/>
  <c r="D436" i="7"/>
  <c r="BH435" i="7"/>
  <c r="BG435" i="7"/>
  <c r="AU435" i="7"/>
  <c r="AP435" i="7"/>
  <c r="AK435" i="7"/>
  <c r="AF435" i="7"/>
  <c r="AG435" i="7" s="1"/>
  <c r="Z435" i="7"/>
  <c r="AA435" i="7" s="1"/>
  <c r="T435" i="7"/>
  <c r="R435" i="7"/>
  <c r="Q435" i="7" s="1"/>
  <c r="D435" i="7"/>
  <c r="BH434" i="7"/>
  <c r="BG434" i="7"/>
  <c r="AU434" i="7"/>
  <c r="AP434" i="7"/>
  <c r="AK434" i="7"/>
  <c r="AF434" i="7"/>
  <c r="AG434" i="7" s="1"/>
  <c r="Z434" i="7"/>
  <c r="AA434" i="7" s="1"/>
  <c r="T434" i="7"/>
  <c r="U434" i="7" s="1"/>
  <c r="R434" i="7"/>
  <c r="D434" i="7"/>
  <c r="BH433" i="7"/>
  <c r="BG433" i="7"/>
  <c r="AU433" i="7"/>
  <c r="AP433" i="7"/>
  <c r="AK433" i="7"/>
  <c r="AF433" i="7"/>
  <c r="AG433" i="7" s="1"/>
  <c r="Z433" i="7"/>
  <c r="AA433" i="7" s="1"/>
  <c r="T433" i="7"/>
  <c r="R433" i="7"/>
  <c r="D433" i="7"/>
  <c r="BH432" i="7"/>
  <c r="BG432" i="7"/>
  <c r="AU432" i="7"/>
  <c r="AP432" i="7"/>
  <c r="AK432" i="7"/>
  <c r="AF432" i="7"/>
  <c r="AG432" i="7" s="1"/>
  <c r="Z432" i="7"/>
  <c r="AA432" i="7" s="1"/>
  <c r="T432" i="7"/>
  <c r="U432" i="7" s="1"/>
  <c r="R432" i="7"/>
  <c r="Q432" i="7" s="1"/>
  <c r="D432" i="7"/>
  <c r="BH431" i="7"/>
  <c r="BG431" i="7"/>
  <c r="AU431" i="7"/>
  <c r="AP431" i="7"/>
  <c r="AK431" i="7"/>
  <c r="AF431" i="7"/>
  <c r="AG431" i="7" s="1"/>
  <c r="Z431" i="7"/>
  <c r="AA431" i="7" s="1"/>
  <c r="T431" i="7"/>
  <c r="R431" i="7"/>
  <c r="D431" i="7"/>
  <c r="BH430" i="7"/>
  <c r="BG430" i="7"/>
  <c r="AU430" i="7"/>
  <c r="AP430" i="7"/>
  <c r="AK430" i="7"/>
  <c r="AF430" i="7"/>
  <c r="AG430" i="7" s="1"/>
  <c r="Z430" i="7"/>
  <c r="AA430" i="7" s="1"/>
  <c r="T430" i="7"/>
  <c r="D430" i="7"/>
  <c r="BH429" i="7"/>
  <c r="BG429" i="7"/>
  <c r="AU429" i="7"/>
  <c r="AP429" i="7"/>
  <c r="AK429" i="7"/>
  <c r="AF429" i="7"/>
  <c r="AG429" i="7" s="1"/>
  <c r="Z429" i="7"/>
  <c r="AA429" i="7" s="1"/>
  <c r="T429" i="7"/>
  <c r="BE429" i="7" s="1"/>
  <c r="R429" i="7"/>
  <c r="D429" i="7"/>
  <c r="BH428" i="7"/>
  <c r="BG428" i="7"/>
  <c r="AU428" i="7"/>
  <c r="AP428" i="7"/>
  <c r="AK428" i="7"/>
  <c r="AF428" i="7"/>
  <c r="AG428" i="7" s="1"/>
  <c r="Z428" i="7"/>
  <c r="AA428" i="7" s="1"/>
  <c r="T428" i="7"/>
  <c r="R428" i="7"/>
  <c r="D428" i="7"/>
  <c r="BH427" i="7"/>
  <c r="BG427" i="7"/>
  <c r="AU427" i="7"/>
  <c r="AP427" i="7"/>
  <c r="AK427" i="7"/>
  <c r="AF427" i="7"/>
  <c r="AG427" i="7" s="1"/>
  <c r="Z427" i="7"/>
  <c r="AA427" i="7" s="1"/>
  <c r="T427" i="7"/>
  <c r="R427" i="7"/>
  <c r="D427" i="7"/>
  <c r="BI426" i="7"/>
  <c r="BH426" i="7"/>
  <c r="BG426" i="7"/>
  <c r="BF426" i="7"/>
  <c r="BE426" i="7"/>
  <c r="AU426" i="7"/>
  <c r="AP426" i="7"/>
  <c r="AK426" i="7"/>
  <c r="AF426" i="7"/>
  <c r="AG426" i="7" s="1"/>
  <c r="Z426" i="7"/>
  <c r="AA426" i="7" s="1"/>
  <c r="T426" i="7"/>
  <c r="U426" i="7" s="1"/>
  <c r="R426" i="7"/>
  <c r="Q426" i="7" s="1"/>
  <c r="D426" i="7"/>
  <c r="BI425" i="7"/>
  <c r="BH425" i="7"/>
  <c r="BG425" i="7"/>
  <c r="BF425" i="7"/>
  <c r="BE425" i="7"/>
  <c r="AU425" i="7"/>
  <c r="AP425" i="7"/>
  <c r="AK425" i="7"/>
  <c r="AF425" i="7"/>
  <c r="AG425" i="7" s="1"/>
  <c r="Z425" i="7"/>
  <c r="AA425" i="7" s="1"/>
  <c r="T425" i="7"/>
  <c r="U425" i="7" s="1"/>
  <c r="R425" i="7"/>
  <c r="Q425" i="7" s="1"/>
  <c r="D425" i="7"/>
  <c r="BI424" i="7"/>
  <c r="BH424" i="7"/>
  <c r="BG424" i="7"/>
  <c r="BF424" i="7"/>
  <c r="BE424" i="7"/>
  <c r="AU424" i="7"/>
  <c r="AP424" i="7"/>
  <c r="AK424" i="7"/>
  <c r="AF424" i="7"/>
  <c r="AG424" i="7" s="1"/>
  <c r="Z424" i="7"/>
  <c r="AA424" i="7" s="1"/>
  <c r="T424" i="7"/>
  <c r="U424" i="7" s="1"/>
  <c r="R424" i="7"/>
  <c r="Q424" i="7" s="1"/>
  <c r="D424" i="7"/>
  <c r="BI423" i="7"/>
  <c r="BH423" i="7"/>
  <c r="BG423" i="7"/>
  <c r="BF423" i="7"/>
  <c r="BE423" i="7"/>
  <c r="AU423" i="7"/>
  <c r="AP423" i="7"/>
  <c r="AK423" i="7"/>
  <c r="AF423" i="7"/>
  <c r="AG423" i="7" s="1"/>
  <c r="Z423" i="7"/>
  <c r="AA423" i="7" s="1"/>
  <c r="T423" i="7"/>
  <c r="U423" i="7" s="1"/>
  <c r="R423" i="7"/>
  <c r="Q423" i="7" s="1"/>
  <c r="D423" i="7"/>
  <c r="BH422" i="7"/>
  <c r="BG422" i="7"/>
  <c r="AU422" i="7"/>
  <c r="AP422" i="7"/>
  <c r="AK422" i="7"/>
  <c r="AF422" i="7"/>
  <c r="AG422" i="7" s="1"/>
  <c r="Z422" i="7"/>
  <c r="AA422" i="7" s="1"/>
  <c r="T422" i="7"/>
  <c r="R422" i="7"/>
  <c r="D422" i="7"/>
  <c r="BH421" i="7"/>
  <c r="BG421" i="7"/>
  <c r="AU421" i="7"/>
  <c r="AP421" i="7"/>
  <c r="AK421" i="7"/>
  <c r="AF421" i="7"/>
  <c r="AG421" i="7" s="1"/>
  <c r="Z421" i="7"/>
  <c r="AA421" i="7" s="1"/>
  <c r="T421" i="7"/>
  <c r="R421" i="7"/>
  <c r="Q421" i="7" s="1"/>
  <c r="D421" i="7"/>
  <c r="BH420" i="7"/>
  <c r="BG420" i="7"/>
  <c r="AU420" i="7"/>
  <c r="AP420" i="7"/>
  <c r="AK420" i="7"/>
  <c r="AF420" i="7"/>
  <c r="AG420" i="7" s="1"/>
  <c r="Z420" i="7"/>
  <c r="AA420" i="7" s="1"/>
  <c r="T420" i="7"/>
  <c r="R420" i="7"/>
  <c r="Q420" i="7" s="1"/>
  <c r="D420" i="7"/>
  <c r="BG419" i="7"/>
  <c r="AU419" i="7"/>
  <c r="AP419" i="7"/>
  <c r="AK419" i="7"/>
  <c r="AF419" i="7"/>
  <c r="AG419" i="7" s="1"/>
  <c r="AD419" i="7"/>
  <c r="AC419" i="7"/>
  <c r="Z419" i="7"/>
  <c r="AA419" i="7" s="1"/>
  <c r="T419" i="7"/>
  <c r="U419" i="7" s="1"/>
  <c r="R419" i="7"/>
  <c r="Q419" i="7" s="1"/>
  <c r="D419" i="7"/>
  <c r="BG418" i="7"/>
  <c r="AU418" i="7"/>
  <c r="AP418" i="7"/>
  <c r="AK418" i="7"/>
  <c r="AF418" i="7"/>
  <c r="AG418" i="7" s="1"/>
  <c r="AD418" i="7"/>
  <c r="AC418" i="7"/>
  <c r="Z418" i="7"/>
  <c r="AA418" i="7" s="1"/>
  <c r="T418" i="7"/>
  <c r="U418" i="7" s="1"/>
  <c r="R418" i="7"/>
  <c r="Q418" i="7" s="1"/>
  <c r="D418" i="7"/>
  <c r="BH417" i="7"/>
  <c r="BG417" i="7"/>
  <c r="AU417" i="7"/>
  <c r="AP417" i="7"/>
  <c r="AK417" i="7"/>
  <c r="AF417" i="7"/>
  <c r="AG417" i="7" s="1"/>
  <c r="Z417" i="7"/>
  <c r="AA417" i="7" s="1"/>
  <c r="T417" i="7"/>
  <c r="U417" i="7" s="1"/>
  <c r="R417" i="7"/>
  <c r="Q417" i="7" s="1"/>
  <c r="D417" i="7"/>
  <c r="BH416" i="7"/>
  <c r="BG416" i="7"/>
  <c r="AU416" i="7"/>
  <c r="AP416" i="7"/>
  <c r="AK416" i="7"/>
  <c r="AF416" i="7"/>
  <c r="AG416" i="7" s="1"/>
  <c r="Z416" i="7"/>
  <c r="AA416" i="7" s="1"/>
  <c r="T416" i="7"/>
  <c r="U416" i="7" s="1"/>
  <c r="R416" i="7"/>
  <c r="Q416" i="7" s="1"/>
  <c r="D416" i="7"/>
  <c r="BH415" i="7"/>
  <c r="BG415" i="7"/>
  <c r="AU415" i="7"/>
  <c r="AP415" i="7"/>
  <c r="AK415" i="7"/>
  <c r="AF415" i="7"/>
  <c r="AG415" i="7" s="1"/>
  <c r="Z415" i="7"/>
  <c r="AA415" i="7" s="1"/>
  <c r="T415" i="7"/>
  <c r="BE415" i="7" s="1"/>
  <c r="R415" i="7"/>
  <c r="Q415" i="7" s="1"/>
  <c r="D415" i="7"/>
  <c r="BH414" i="7"/>
  <c r="BG414" i="7"/>
  <c r="AU414" i="7"/>
  <c r="AP414" i="7"/>
  <c r="AK414" i="7"/>
  <c r="AF414" i="7"/>
  <c r="AG414" i="7" s="1"/>
  <c r="Z414" i="7"/>
  <c r="AA414" i="7" s="1"/>
  <c r="T414" i="7"/>
  <c r="BE414" i="7" s="1"/>
  <c r="R414" i="7"/>
  <c r="Q414" i="7" s="1"/>
  <c r="D414" i="7"/>
  <c r="BH413" i="7"/>
  <c r="BG413" i="7"/>
  <c r="AU413" i="7"/>
  <c r="AP413" i="7"/>
  <c r="AK413" i="7"/>
  <c r="AF413" i="7"/>
  <c r="AG413" i="7" s="1"/>
  <c r="Z413" i="7"/>
  <c r="AA413" i="7" s="1"/>
  <c r="T413" i="7"/>
  <c r="U413" i="7" s="1"/>
  <c r="R413" i="7"/>
  <c r="Q413" i="7" s="1"/>
  <c r="D413" i="7"/>
  <c r="BH412" i="7"/>
  <c r="BG412" i="7"/>
  <c r="AU412" i="7"/>
  <c r="AP412" i="7"/>
  <c r="AK412" i="7"/>
  <c r="AF412" i="7"/>
  <c r="AG412" i="7" s="1"/>
  <c r="Z412" i="7"/>
  <c r="AA412" i="7" s="1"/>
  <c r="T412" i="7"/>
  <c r="U412" i="7" s="1"/>
  <c r="R412" i="7"/>
  <c r="Q412" i="7" s="1"/>
  <c r="D412" i="7"/>
  <c r="BH411" i="7"/>
  <c r="BG411" i="7"/>
  <c r="AU411" i="7"/>
  <c r="AP411" i="7"/>
  <c r="AK411" i="7"/>
  <c r="AF411" i="7"/>
  <c r="AG411" i="7" s="1"/>
  <c r="Z411" i="7"/>
  <c r="AA411" i="7" s="1"/>
  <c r="T411" i="7"/>
  <c r="R411" i="7"/>
  <c r="D411" i="7"/>
  <c r="BH410" i="7"/>
  <c r="BG410" i="7"/>
  <c r="AU410" i="7"/>
  <c r="AP410" i="7"/>
  <c r="AK410" i="7"/>
  <c r="AF410" i="7"/>
  <c r="AG410" i="7" s="1"/>
  <c r="Z410" i="7"/>
  <c r="AA410" i="7" s="1"/>
  <c r="T410" i="7"/>
  <c r="U410" i="7" s="1"/>
  <c r="R410" i="7"/>
  <c r="Q410" i="7" s="1"/>
  <c r="D410" i="7"/>
  <c r="BH409" i="7"/>
  <c r="BG409" i="7"/>
  <c r="AU409" i="7"/>
  <c r="AP409" i="7"/>
  <c r="AK409" i="7"/>
  <c r="AF409" i="7"/>
  <c r="AG409" i="7" s="1"/>
  <c r="Z409" i="7"/>
  <c r="AA409" i="7" s="1"/>
  <c r="T409" i="7"/>
  <c r="U409" i="7" s="1"/>
  <c r="R409" i="7"/>
  <c r="Q409" i="7" s="1"/>
  <c r="D409" i="7"/>
  <c r="BH408" i="7"/>
  <c r="BG408" i="7"/>
  <c r="AU408" i="7"/>
  <c r="AP408" i="7"/>
  <c r="AK408" i="7"/>
  <c r="AF408" i="7"/>
  <c r="AG408" i="7" s="1"/>
  <c r="Z408" i="7"/>
  <c r="AA408" i="7" s="1"/>
  <c r="T408" i="7"/>
  <c r="U408" i="7" s="1"/>
  <c r="R408" i="7"/>
  <c r="Q408" i="7" s="1"/>
  <c r="D408" i="7"/>
  <c r="BH407" i="7"/>
  <c r="BG407" i="7"/>
  <c r="AU407" i="7"/>
  <c r="AP407" i="7"/>
  <c r="AK407" i="7"/>
  <c r="AF407" i="7"/>
  <c r="AG407" i="7" s="1"/>
  <c r="Z407" i="7"/>
  <c r="AA407" i="7" s="1"/>
  <c r="T407" i="7"/>
  <c r="U407" i="7" s="1"/>
  <c r="R407" i="7"/>
  <c r="Q407" i="7" s="1"/>
  <c r="D407" i="7"/>
  <c r="BH406" i="7"/>
  <c r="BG406" i="7"/>
  <c r="AU406" i="7"/>
  <c r="AP406" i="7"/>
  <c r="AK406" i="7"/>
  <c r="AF406" i="7"/>
  <c r="AG406" i="7" s="1"/>
  <c r="Z406" i="7"/>
  <c r="AA406" i="7" s="1"/>
  <c r="T406" i="7"/>
  <c r="R406" i="7"/>
  <c r="Q406" i="7" s="1"/>
  <c r="D406" i="7"/>
  <c r="BG405" i="7"/>
  <c r="AU405" i="7"/>
  <c r="AP405" i="7"/>
  <c r="AK405" i="7"/>
  <c r="AF405" i="7"/>
  <c r="AG405" i="7" s="1"/>
  <c r="AD405" i="7"/>
  <c r="AC405" i="7"/>
  <c r="Z405" i="7"/>
  <c r="AA405" i="7" s="1"/>
  <c r="T405" i="7"/>
  <c r="U405" i="7" s="1"/>
  <c r="R405" i="7"/>
  <c r="Q405" i="7" s="1"/>
  <c r="D405" i="7"/>
  <c r="BG404" i="7"/>
  <c r="AU404" i="7"/>
  <c r="AP404" i="7"/>
  <c r="AK404" i="7"/>
  <c r="AF404" i="7"/>
  <c r="AG404" i="7" s="1"/>
  <c r="AD404" i="7"/>
  <c r="AC404" i="7"/>
  <c r="BH404" i="7" s="1"/>
  <c r="Z404" i="7"/>
  <c r="AA404" i="7" s="1"/>
  <c r="T404" i="7"/>
  <c r="U404" i="7" s="1"/>
  <c r="R404" i="7"/>
  <c r="D404" i="7"/>
  <c r="BH403" i="7"/>
  <c r="BG403" i="7"/>
  <c r="AU403" i="7"/>
  <c r="AP403" i="7"/>
  <c r="AK403" i="7"/>
  <c r="AF403" i="7"/>
  <c r="AG403" i="7" s="1"/>
  <c r="Z403" i="7"/>
  <c r="AA403" i="7" s="1"/>
  <c r="T403" i="7"/>
  <c r="U403" i="7" s="1"/>
  <c r="R403" i="7"/>
  <c r="Q403" i="7" s="1"/>
  <c r="D403" i="7"/>
  <c r="BH402" i="7"/>
  <c r="BG402" i="7"/>
  <c r="AU402" i="7"/>
  <c r="AP402" i="7"/>
  <c r="AK402" i="7"/>
  <c r="AF402" i="7"/>
  <c r="AG402" i="7" s="1"/>
  <c r="Z402" i="7"/>
  <c r="AA402" i="7" s="1"/>
  <c r="T402" i="7"/>
  <c r="BE402" i="7" s="1"/>
  <c r="R402" i="7"/>
  <c r="Q402" i="7" s="1"/>
  <c r="D402" i="7"/>
  <c r="BH401" i="7"/>
  <c r="BG401" i="7"/>
  <c r="AU401" i="7"/>
  <c r="AP401" i="7"/>
  <c r="AK401" i="7"/>
  <c r="AF401" i="7"/>
  <c r="AG401" i="7" s="1"/>
  <c r="Z401" i="7"/>
  <c r="AA401" i="7" s="1"/>
  <c r="T401" i="7"/>
  <c r="U401" i="7" s="1"/>
  <c r="R401" i="7"/>
  <c r="Q401" i="7" s="1"/>
  <c r="D401" i="7"/>
  <c r="BH400" i="7"/>
  <c r="BG400" i="7"/>
  <c r="AU400" i="7"/>
  <c r="AP400" i="7"/>
  <c r="AK400" i="7"/>
  <c r="AF400" i="7"/>
  <c r="AG400" i="7" s="1"/>
  <c r="Z400" i="7"/>
  <c r="AA400" i="7" s="1"/>
  <c r="T400" i="7"/>
  <c r="BE400" i="7" s="1"/>
  <c r="R400" i="7"/>
  <c r="D400" i="7"/>
  <c r="BH399" i="7"/>
  <c r="BG399" i="7"/>
  <c r="AU399" i="7"/>
  <c r="AP399" i="7"/>
  <c r="AK399" i="7"/>
  <c r="AF399" i="7"/>
  <c r="AG399" i="7" s="1"/>
  <c r="Z399" i="7"/>
  <c r="AA399" i="7" s="1"/>
  <c r="T399" i="7"/>
  <c r="BE399" i="7" s="1"/>
  <c r="R399" i="7"/>
  <c r="Q399" i="7" s="1"/>
  <c r="D399" i="7"/>
  <c r="BH398" i="7"/>
  <c r="BG398" i="7"/>
  <c r="AU398" i="7"/>
  <c r="AP398" i="7"/>
  <c r="AK398" i="7"/>
  <c r="AF398" i="7"/>
  <c r="AG398" i="7" s="1"/>
  <c r="Z398" i="7"/>
  <c r="AA398" i="7" s="1"/>
  <c r="T398" i="7"/>
  <c r="BE398" i="7" s="1"/>
  <c r="R398" i="7"/>
  <c r="Q398" i="7" s="1"/>
  <c r="D398" i="7"/>
  <c r="BH397" i="7"/>
  <c r="BG397" i="7"/>
  <c r="AU397" i="7"/>
  <c r="AP397" i="7"/>
  <c r="AK397" i="7"/>
  <c r="AF397" i="7"/>
  <c r="AG397" i="7" s="1"/>
  <c r="Z397" i="7"/>
  <c r="AA397" i="7" s="1"/>
  <c r="T397" i="7"/>
  <c r="U397" i="7" s="1"/>
  <c r="R397" i="7"/>
  <c r="Q397" i="7" s="1"/>
  <c r="D397" i="7"/>
  <c r="BH396" i="7"/>
  <c r="BG396" i="7"/>
  <c r="AU396" i="7"/>
  <c r="AP396" i="7"/>
  <c r="AK396" i="7"/>
  <c r="AF396" i="7"/>
  <c r="AG396" i="7" s="1"/>
  <c r="Z396" i="7"/>
  <c r="AA396" i="7" s="1"/>
  <c r="T396" i="7"/>
  <c r="U396" i="7" s="1"/>
  <c r="R396" i="7"/>
  <c r="Q396" i="7" s="1"/>
  <c r="D396" i="7"/>
  <c r="BH395" i="7"/>
  <c r="BG395" i="7"/>
  <c r="AU395" i="7"/>
  <c r="AP395" i="7"/>
  <c r="AK395" i="7"/>
  <c r="AF395" i="7"/>
  <c r="AG395" i="7" s="1"/>
  <c r="Z395" i="7"/>
  <c r="AA395" i="7" s="1"/>
  <c r="T395" i="7"/>
  <c r="BE395" i="7" s="1"/>
  <c r="R395" i="7"/>
  <c r="D395" i="7"/>
  <c r="BH394" i="7"/>
  <c r="BG394" i="7"/>
  <c r="AU394" i="7"/>
  <c r="AP394" i="7"/>
  <c r="AK394" i="7"/>
  <c r="AF394" i="7"/>
  <c r="AG394" i="7" s="1"/>
  <c r="Z394" i="7"/>
  <c r="AA394" i="7" s="1"/>
  <c r="T394" i="7"/>
  <c r="R394" i="7"/>
  <c r="D394" i="7"/>
  <c r="BH393" i="7"/>
  <c r="BG393" i="7"/>
  <c r="AU393" i="7"/>
  <c r="AP393" i="7"/>
  <c r="AK393" i="7"/>
  <c r="AF393" i="7"/>
  <c r="AG393" i="7" s="1"/>
  <c r="Z393" i="7"/>
  <c r="AA393" i="7" s="1"/>
  <c r="T393" i="7"/>
  <c r="BE393" i="7" s="1"/>
  <c r="R393" i="7"/>
  <c r="D393" i="7"/>
  <c r="BH392" i="7"/>
  <c r="BG392" i="7"/>
  <c r="AU392" i="7"/>
  <c r="AP392" i="7"/>
  <c r="AK392" i="7"/>
  <c r="AF392" i="7"/>
  <c r="AG392" i="7" s="1"/>
  <c r="Z392" i="7"/>
  <c r="AA392" i="7" s="1"/>
  <c r="T392" i="7"/>
  <c r="BE392" i="7" s="1"/>
  <c r="R392" i="7"/>
  <c r="D392" i="7"/>
  <c r="BH391" i="7"/>
  <c r="BG391" i="7"/>
  <c r="AU391" i="7"/>
  <c r="AP391" i="7"/>
  <c r="AK391" i="7"/>
  <c r="AF391" i="7"/>
  <c r="AG391" i="7" s="1"/>
  <c r="Z391" i="7"/>
  <c r="AA391" i="7" s="1"/>
  <c r="T391" i="7"/>
  <c r="BE391" i="7" s="1"/>
  <c r="R391" i="7"/>
  <c r="D391" i="7"/>
  <c r="BH390" i="7"/>
  <c r="BG390" i="7"/>
  <c r="AU390" i="7"/>
  <c r="AP390" i="7"/>
  <c r="AK390" i="7"/>
  <c r="AF390" i="7"/>
  <c r="AG390" i="7" s="1"/>
  <c r="Z390" i="7"/>
  <c r="AA390" i="7" s="1"/>
  <c r="T390" i="7"/>
  <c r="BE390" i="7" s="1"/>
  <c r="R390" i="7"/>
  <c r="Q390" i="7" s="1"/>
  <c r="D390" i="7"/>
  <c r="BH389" i="7"/>
  <c r="BG389" i="7"/>
  <c r="AU389" i="7"/>
  <c r="AP389" i="7"/>
  <c r="AK389" i="7"/>
  <c r="AF389" i="7"/>
  <c r="AG389" i="7" s="1"/>
  <c r="Z389" i="7"/>
  <c r="AA389" i="7" s="1"/>
  <c r="T389" i="7"/>
  <c r="BE389" i="7" s="1"/>
  <c r="R389" i="7"/>
  <c r="D389" i="7"/>
  <c r="BH388" i="7"/>
  <c r="BG388" i="7"/>
  <c r="AU388" i="7"/>
  <c r="AP388" i="7"/>
  <c r="AK388" i="7"/>
  <c r="AF388" i="7"/>
  <c r="AG388" i="7" s="1"/>
  <c r="Z388" i="7"/>
  <c r="AA388" i="7" s="1"/>
  <c r="T388" i="7"/>
  <c r="BE388" i="7" s="1"/>
  <c r="R388" i="7"/>
  <c r="D388" i="7"/>
  <c r="BH387" i="7"/>
  <c r="BG387" i="7"/>
  <c r="AU387" i="7"/>
  <c r="AP387" i="7"/>
  <c r="AK387" i="7"/>
  <c r="AF387" i="7"/>
  <c r="AG387" i="7" s="1"/>
  <c r="Z387" i="7"/>
  <c r="AA387" i="7" s="1"/>
  <c r="T387" i="7"/>
  <c r="BE387" i="7" s="1"/>
  <c r="R387" i="7"/>
  <c r="Q387" i="7" s="1"/>
  <c r="D387" i="7"/>
  <c r="BH386" i="7"/>
  <c r="BG386" i="7"/>
  <c r="AU386" i="7"/>
  <c r="AP386" i="7"/>
  <c r="AK386" i="7"/>
  <c r="AF386" i="7"/>
  <c r="AG386" i="7" s="1"/>
  <c r="Z386" i="7"/>
  <c r="AA386" i="7" s="1"/>
  <c r="T386" i="7"/>
  <c r="BE386" i="7" s="1"/>
  <c r="R386" i="7"/>
  <c r="Q386" i="7" s="1"/>
  <c r="D386" i="7"/>
  <c r="BH385" i="7"/>
  <c r="BG385" i="7"/>
  <c r="AU385" i="7"/>
  <c r="AP385" i="7"/>
  <c r="AK385" i="7"/>
  <c r="AF385" i="7"/>
  <c r="AG385" i="7" s="1"/>
  <c r="Z385" i="7"/>
  <c r="AA385" i="7" s="1"/>
  <c r="T385" i="7"/>
  <c r="BE385" i="7" s="1"/>
  <c r="R385" i="7"/>
  <c r="Q385" i="7" s="1"/>
  <c r="D385" i="7"/>
  <c r="BH384" i="7"/>
  <c r="BG384" i="7"/>
  <c r="AU384" i="7"/>
  <c r="AP384" i="7"/>
  <c r="AK384" i="7"/>
  <c r="AF384" i="7"/>
  <c r="AG384" i="7" s="1"/>
  <c r="Z384" i="7"/>
  <c r="AA384" i="7" s="1"/>
  <c r="T384" i="7"/>
  <c r="BE384" i="7" s="1"/>
  <c r="D384" i="7"/>
  <c r="BG383" i="7"/>
  <c r="AU383" i="7"/>
  <c r="AP383" i="7"/>
  <c r="AK383" i="7"/>
  <c r="AF383" i="7"/>
  <c r="AG383" i="7" s="1"/>
  <c r="AD383" i="7"/>
  <c r="AC383" i="7"/>
  <c r="Z383" i="7"/>
  <c r="AA383" i="7" s="1"/>
  <c r="T383" i="7"/>
  <c r="BE383" i="7" s="1"/>
  <c r="R383" i="7"/>
  <c r="D383" i="7"/>
  <c r="BH382" i="7"/>
  <c r="BG382" i="7"/>
  <c r="AU382" i="7"/>
  <c r="AP382" i="7"/>
  <c r="AK382" i="7"/>
  <c r="AF382" i="7"/>
  <c r="AG382" i="7" s="1"/>
  <c r="Z382" i="7"/>
  <c r="AA382" i="7" s="1"/>
  <c r="T382" i="7"/>
  <c r="BE382" i="7" s="1"/>
  <c r="R382" i="7"/>
  <c r="Q382" i="7" s="1"/>
  <c r="D382" i="7"/>
  <c r="BH381" i="7"/>
  <c r="BG381" i="7"/>
  <c r="AU381" i="7"/>
  <c r="AP381" i="7"/>
  <c r="AK381" i="7"/>
  <c r="AF381" i="7"/>
  <c r="AG381" i="7" s="1"/>
  <c r="Z381" i="7"/>
  <c r="AA381" i="7" s="1"/>
  <c r="T381" i="7"/>
  <c r="U381" i="7" s="1"/>
  <c r="R381" i="7"/>
  <c r="Q381" i="7" s="1"/>
  <c r="D381" i="7"/>
  <c r="BH380" i="7"/>
  <c r="BG380" i="7"/>
  <c r="AU380" i="7"/>
  <c r="AP380" i="7"/>
  <c r="AK380" i="7"/>
  <c r="AF380" i="7"/>
  <c r="AG380" i="7" s="1"/>
  <c r="Z380" i="7"/>
  <c r="AA380" i="7" s="1"/>
  <c r="T380" i="7"/>
  <c r="BE380" i="7" s="1"/>
  <c r="R380" i="7"/>
  <c r="Q380" i="7" s="1"/>
  <c r="D380" i="7"/>
  <c r="BG379" i="7"/>
  <c r="AU379" i="7"/>
  <c r="AP379" i="7"/>
  <c r="AK379" i="7"/>
  <c r="AF379" i="7"/>
  <c r="AG379" i="7" s="1"/>
  <c r="AD379" i="7"/>
  <c r="AC379" i="7"/>
  <c r="Z379" i="7"/>
  <c r="AA379" i="7" s="1"/>
  <c r="T379" i="7"/>
  <c r="U379" i="7" s="1"/>
  <c r="R379" i="7"/>
  <c r="Q379" i="7" s="1"/>
  <c r="D379" i="7"/>
  <c r="BH378" i="7"/>
  <c r="BG378" i="7"/>
  <c r="AU378" i="7"/>
  <c r="AP378" i="7"/>
  <c r="AK378" i="7"/>
  <c r="AF378" i="7"/>
  <c r="AG378" i="7" s="1"/>
  <c r="Z378" i="7"/>
  <c r="AA378" i="7" s="1"/>
  <c r="T378" i="7"/>
  <c r="BE378" i="7" s="1"/>
  <c r="R378" i="7"/>
  <c r="D378" i="7"/>
  <c r="BH377" i="7"/>
  <c r="BG377" i="7"/>
  <c r="AU377" i="7"/>
  <c r="AP377" i="7"/>
  <c r="AK377" i="7"/>
  <c r="AF377" i="7"/>
  <c r="AG377" i="7" s="1"/>
  <c r="Z377" i="7"/>
  <c r="AA377" i="7" s="1"/>
  <c r="T377" i="7"/>
  <c r="U377" i="7" s="1"/>
  <c r="R377" i="7"/>
  <c r="D377" i="7"/>
  <c r="BH376" i="7"/>
  <c r="BG376" i="7"/>
  <c r="AU376" i="7"/>
  <c r="AP376" i="7"/>
  <c r="AK376" i="7"/>
  <c r="AF376" i="7"/>
  <c r="AG376" i="7" s="1"/>
  <c r="Z376" i="7"/>
  <c r="AA376" i="7" s="1"/>
  <c r="T376" i="7"/>
  <c r="U376" i="7" s="1"/>
  <c r="R376" i="7"/>
  <c r="Q376" i="7" s="1"/>
  <c r="D376" i="7"/>
  <c r="BH375" i="7"/>
  <c r="BG375" i="7"/>
  <c r="AU375" i="7"/>
  <c r="AP375" i="7"/>
  <c r="AK375" i="7"/>
  <c r="AF375" i="7"/>
  <c r="AG375" i="7" s="1"/>
  <c r="Z375" i="7"/>
  <c r="AA375" i="7" s="1"/>
  <c r="T375" i="7"/>
  <c r="R375" i="7"/>
  <c r="Q375" i="7" s="1"/>
  <c r="D375" i="7"/>
  <c r="BH374" i="7"/>
  <c r="BG374" i="7"/>
  <c r="AU374" i="7"/>
  <c r="AP374" i="7"/>
  <c r="AK374" i="7"/>
  <c r="AF374" i="7"/>
  <c r="AG374" i="7" s="1"/>
  <c r="Z374" i="7"/>
  <c r="AA374" i="7" s="1"/>
  <c r="T374" i="7"/>
  <c r="BE374" i="7" s="1"/>
  <c r="R374" i="7"/>
  <c r="Q374" i="7" s="1"/>
  <c r="D374" i="7"/>
  <c r="BH373" i="7"/>
  <c r="BG373" i="7"/>
  <c r="AU373" i="7"/>
  <c r="AP373" i="7"/>
  <c r="AK373" i="7"/>
  <c r="AF373" i="7"/>
  <c r="AG373" i="7" s="1"/>
  <c r="Z373" i="7"/>
  <c r="AA373" i="7" s="1"/>
  <c r="T373" i="7"/>
  <c r="U373" i="7" s="1"/>
  <c r="R373" i="7"/>
  <c r="Q373" i="7" s="1"/>
  <c r="D373" i="7"/>
  <c r="BH372" i="7"/>
  <c r="BG372" i="7"/>
  <c r="AU372" i="7"/>
  <c r="AP372" i="7"/>
  <c r="AK372" i="7"/>
  <c r="AF372" i="7"/>
  <c r="AG372" i="7" s="1"/>
  <c r="Z372" i="7"/>
  <c r="AA372" i="7" s="1"/>
  <c r="T372" i="7"/>
  <c r="BE372" i="7" s="1"/>
  <c r="R372" i="7"/>
  <c r="Q372" i="7" s="1"/>
  <c r="D372" i="7"/>
  <c r="BH371" i="7"/>
  <c r="BG371" i="7"/>
  <c r="AU371" i="7"/>
  <c r="AP371" i="7"/>
  <c r="AK371" i="7"/>
  <c r="AF371" i="7"/>
  <c r="AG371" i="7" s="1"/>
  <c r="Z371" i="7"/>
  <c r="AA371" i="7" s="1"/>
  <c r="T371" i="7"/>
  <c r="BE371" i="7" s="1"/>
  <c r="R371" i="7"/>
  <c r="D371" i="7"/>
  <c r="BH370" i="7"/>
  <c r="BG370" i="7"/>
  <c r="AU370" i="7"/>
  <c r="AP370" i="7"/>
  <c r="AK370" i="7"/>
  <c r="AF370" i="7"/>
  <c r="AG370" i="7" s="1"/>
  <c r="Z370" i="7"/>
  <c r="AA370" i="7" s="1"/>
  <c r="T370" i="7"/>
  <c r="BE370" i="7" s="1"/>
  <c r="R370" i="7"/>
  <c r="D370" i="7"/>
  <c r="BH369" i="7"/>
  <c r="BG369" i="7"/>
  <c r="AU369" i="7"/>
  <c r="AP369" i="7"/>
  <c r="AK369" i="7"/>
  <c r="AF369" i="7"/>
  <c r="AG369" i="7" s="1"/>
  <c r="Z369" i="7"/>
  <c r="AA369" i="7" s="1"/>
  <c r="T369" i="7"/>
  <c r="R369" i="7"/>
  <c r="Q369" i="7" s="1"/>
  <c r="D369" i="7"/>
  <c r="BH368" i="7"/>
  <c r="BG368" i="7"/>
  <c r="AU368" i="7"/>
  <c r="AP368" i="7"/>
  <c r="AK368" i="7"/>
  <c r="AF368" i="7"/>
  <c r="AG368" i="7" s="1"/>
  <c r="Z368" i="7"/>
  <c r="AA368" i="7" s="1"/>
  <c r="T368" i="7"/>
  <c r="BE368" i="7" s="1"/>
  <c r="R368" i="7"/>
  <c r="Q368" i="7" s="1"/>
  <c r="D368" i="7"/>
  <c r="BH367" i="7"/>
  <c r="BG367" i="7"/>
  <c r="AU367" i="7"/>
  <c r="AP367" i="7"/>
  <c r="AK367" i="7"/>
  <c r="AF367" i="7"/>
  <c r="AG367" i="7" s="1"/>
  <c r="Z367" i="7"/>
  <c r="AA367" i="7" s="1"/>
  <c r="T367" i="7"/>
  <c r="R367" i="7"/>
  <c r="D367" i="7"/>
  <c r="BH366" i="7"/>
  <c r="BG366" i="7"/>
  <c r="AF366" i="7"/>
  <c r="AG366" i="7" s="1"/>
  <c r="Z366" i="7"/>
  <c r="AA366" i="7" s="1"/>
  <c r="T366" i="7"/>
  <c r="R366" i="7"/>
  <c r="D366" i="7"/>
  <c r="BH365" i="7"/>
  <c r="BG365" i="7"/>
  <c r="AF365" i="7"/>
  <c r="AG365" i="7" s="1"/>
  <c r="Z365" i="7"/>
  <c r="AA365" i="7" s="1"/>
  <c r="T365" i="7"/>
  <c r="BE365" i="7" s="1"/>
  <c r="R365" i="7"/>
  <c r="D365" i="7"/>
  <c r="BH364" i="7"/>
  <c r="BG364" i="7"/>
  <c r="AF364" i="7"/>
  <c r="AG364" i="7" s="1"/>
  <c r="Z364" i="7"/>
  <c r="AA364" i="7" s="1"/>
  <c r="T364" i="7"/>
  <c r="BE364" i="7" s="1"/>
  <c r="R364" i="7"/>
  <c r="D364" i="7"/>
  <c r="BH363" i="7"/>
  <c r="BG363" i="7"/>
  <c r="AU363" i="7"/>
  <c r="AP363" i="7"/>
  <c r="AK363" i="7"/>
  <c r="AF363" i="7"/>
  <c r="AG363" i="7" s="1"/>
  <c r="Z363" i="7"/>
  <c r="AA363" i="7" s="1"/>
  <c r="T363" i="7"/>
  <c r="R363" i="7"/>
  <c r="D363" i="7"/>
  <c r="BH362" i="7"/>
  <c r="BG362" i="7"/>
  <c r="AU362" i="7"/>
  <c r="AP362" i="7"/>
  <c r="AK362" i="7"/>
  <c r="AF362" i="7"/>
  <c r="AG362" i="7" s="1"/>
  <c r="Z362" i="7"/>
  <c r="AA362" i="7" s="1"/>
  <c r="T362" i="7"/>
  <c r="R362" i="7"/>
  <c r="D362" i="7"/>
  <c r="BH361" i="7"/>
  <c r="BG361" i="7"/>
  <c r="AU361" i="7"/>
  <c r="AP361" i="7"/>
  <c r="AK361" i="7"/>
  <c r="AF361" i="7"/>
  <c r="AG361" i="7" s="1"/>
  <c r="Z361" i="7"/>
  <c r="AA361" i="7" s="1"/>
  <c r="T361" i="7"/>
  <c r="BE361" i="7" s="1"/>
  <c r="R361" i="7"/>
  <c r="D361" i="7"/>
  <c r="BH360" i="7"/>
  <c r="BG360" i="7"/>
  <c r="AU360" i="7"/>
  <c r="AP360" i="7"/>
  <c r="AK360" i="7"/>
  <c r="AF360" i="7"/>
  <c r="AG360" i="7" s="1"/>
  <c r="Z360" i="7"/>
  <c r="AA360" i="7" s="1"/>
  <c r="T360" i="7"/>
  <c r="BE360" i="7" s="1"/>
  <c r="R360" i="7"/>
  <c r="D360" i="7"/>
  <c r="BH359" i="7"/>
  <c r="BG359" i="7"/>
  <c r="AU359" i="7"/>
  <c r="AP359" i="7"/>
  <c r="AK359" i="7"/>
  <c r="AF359" i="7"/>
  <c r="AG359" i="7" s="1"/>
  <c r="Z359" i="7"/>
  <c r="AA359" i="7" s="1"/>
  <c r="T359" i="7"/>
  <c r="BE359" i="7" s="1"/>
  <c r="R359" i="7"/>
  <c r="D359" i="7"/>
  <c r="BH358" i="7"/>
  <c r="BG358" i="7"/>
  <c r="AU358" i="7"/>
  <c r="AP358" i="7"/>
  <c r="AK358" i="7"/>
  <c r="AF358" i="7"/>
  <c r="AG358" i="7" s="1"/>
  <c r="Z358" i="7"/>
  <c r="AA358" i="7" s="1"/>
  <c r="T358" i="7"/>
  <c r="BE358" i="7" s="1"/>
  <c r="R358" i="7"/>
  <c r="D358" i="7"/>
  <c r="BH357" i="7"/>
  <c r="BG357" i="7"/>
  <c r="AU357" i="7"/>
  <c r="AP357" i="7"/>
  <c r="AK357" i="7"/>
  <c r="AF357" i="7"/>
  <c r="AG357" i="7" s="1"/>
  <c r="Z357" i="7"/>
  <c r="AA357" i="7" s="1"/>
  <c r="T357" i="7"/>
  <c r="U357" i="7" s="1"/>
  <c r="D357" i="7"/>
  <c r="BH356" i="7"/>
  <c r="BG356" i="7"/>
  <c r="AU356" i="7"/>
  <c r="AP356" i="7"/>
  <c r="AK356" i="7"/>
  <c r="AF356" i="7"/>
  <c r="AG356" i="7" s="1"/>
  <c r="Z356" i="7"/>
  <c r="AA356" i="7" s="1"/>
  <c r="T356" i="7"/>
  <c r="BE356" i="7" s="1"/>
  <c r="D356" i="7"/>
  <c r="BH355" i="7"/>
  <c r="BG355" i="7"/>
  <c r="AU355" i="7"/>
  <c r="AP355" i="7"/>
  <c r="AK355" i="7"/>
  <c r="AF355" i="7"/>
  <c r="AG355" i="7" s="1"/>
  <c r="Z355" i="7"/>
  <c r="AA355" i="7" s="1"/>
  <c r="T355" i="7"/>
  <c r="BE355" i="7" s="1"/>
  <c r="D355" i="7"/>
  <c r="BH354" i="7"/>
  <c r="BG354" i="7"/>
  <c r="AU354" i="7"/>
  <c r="AP354" i="7"/>
  <c r="AF354" i="7"/>
  <c r="AG354" i="7" s="1"/>
  <c r="Z354" i="7"/>
  <c r="AA354" i="7" s="1"/>
  <c r="T354" i="7"/>
  <c r="BE354" i="7" s="1"/>
  <c r="R354" i="7"/>
  <c r="D354" i="7"/>
  <c r="BH353" i="7"/>
  <c r="BG353" i="7"/>
  <c r="AU353" i="7"/>
  <c r="AP353" i="7"/>
  <c r="AF353" i="7"/>
  <c r="AG353" i="7" s="1"/>
  <c r="Z353" i="7"/>
  <c r="AA353" i="7" s="1"/>
  <c r="T353" i="7"/>
  <c r="U353" i="7" s="1"/>
  <c r="R353" i="7"/>
  <c r="D353" i="7"/>
  <c r="BH352" i="7"/>
  <c r="BG352" i="7"/>
  <c r="AU352" i="7"/>
  <c r="AP352" i="7"/>
  <c r="AF352" i="7"/>
  <c r="AG352" i="7" s="1"/>
  <c r="Z352" i="7"/>
  <c r="AA352" i="7" s="1"/>
  <c r="T352" i="7"/>
  <c r="U352" i="7" s="1"/>
  <c r="R352" i="7"/>
  <c r="D352" i="7"/>
  <c r="BH351" i="7"/>
  <c r="BG351" i="7"/>
  <c r="AU351" i="7"/>
  <c r="AP351" i="7"/>
  <c r="AK351" i="7"/>
  <c r="AF351" i="7"/>
  <c r="AG351" i="7" s="1"/>
  <c r="Z351" i="7"/>
  <c r="AA351" i="7" s="1"/>
  <c r="T351" i="7"/>
  <c r="U351" i="7" s="1"/>
  <c r="R351" i="7"/>
  <c r="Q351" i="7" s="1"/>
  <c r="D351" i="7"/>
  <c r="BH350" i="7"/>
  <c r="BG350" i="7"/>
  <c r="AU350" i="7"/>
  <c r="AP350" i="7"/>
  <c r="AK350" i="7"/>
  <c r="AF350" i="7"/>
  <c r="AG350" i="7" s="1"/>
  <c r="Z350" i="7"/>
  <c r="AA350" i="7" s="1"/>
  <c r="T350" i="7"/>
  <c r="BE350" i="7" s="1"/>
  <c r="R350" i="7"/>
  <c r="D350" i="7"/>
  <c r="BH349" i="7"/>
  <c r="BG349" i="7"/>
  <c r="AU349" i="7"/>
  <c r="AP349" i="7"/>
  <c r="AK349" i="7"/>
  <c r="AF349" i="7"/>
  <c r="AG349" i="7" s="1"/>
  <c r="Z349" i="7"/>
  <c r="AA349" i="7" s="1"/>
  <c r="T349" i="7"/>
  <c r="BE349" i="7" s="1"/>
  <c r="R349" i="7"/>
  <c r="Q349" i="7" s="1"/>
  <c r="D349" i="7"/>
  <c r="BH348" i="7"/>
  <c r="BG348" i="7"/>
  <c r="AU348" i="7"/>
  <c r="AP348" i="7"/>
  <c r="AK348" i="7"/>
  <c r="AF348" i="7"/>
  <c r="AG348" i="7" s="1"/>
  <c r="Z348" i="7"/>
  <c r="AA348" i="7" s="1"/>
  <c r="T348" i="7"/>
  <c r="U348" i="7" s="1"/>
  <c r="R348" i="7"/>
  <c r="Q348" i="7" s="1"/>
  <c r="D348" i="7"/>
  <c r="BH347" i="7"/>
  <c r="BG347" i="7"/>
  <c r="AU347" i="7"/>
  <c r="AP347" i="7"/>
  <c r="AK347" i="7"/>
  <c r="AF347" i="7"/>
  <c r="AG347" i="7" s="1"/>
  <c r="Z347" i="7"/>
  <c r="AA347" i="7" s="1"/>
  <c r="T347" i="7"/>
  <c r="R347" i="7"/>
  <c r="Q347" i="7" s="1"/>
  <c r="D347" i="7"/>
  <c r="BH346" i="7"/>
  <c r="BG346" i="7"/>
  <c r="AU346" i="7"/>
  <c r="AP346" i="7"/>
  <c r="AK346" i="7"/>
  <c r="AF346" i="7"/>
  <c r="AG346" i="7" s="1"/>
  <c r="Z346" i="7"/>
  <c r="AA346" i="7" s="1"/>
  <c r="T346" i="7"/>
  <c r="U346" i="7" s="1"/>
  <c r="R346" i="7"/>
  <c r="Q346" i="7" s="1"/>
  <c r="D346" i="7"/>
  <c r="BG345" i="7"/>
  <c r="AU345" i="7"/>
  <c r="AP345" i="7"/>
  <c r="AK345" i="7"/>
  <c r="AF345" i="7"/>
  <c r="AG345" i="7" s="1"/>
  <c r="AD345" i="7"/>
  <c r="AC345" i="7"/>
  <c r="Z345" i="7"/>
  <c r="AA345" i="7" s="1"/>
  <c r="T345" i="7"/>
  <c r="BE345" i="7" s="1"/>
  <c r="R345" i="7"/>
  <c r="Q345" i="7" s="1"/>
  <c r="D345" i="7"/>
  <c r="BG344" i="7"/>
  <c r="AU344" i="7"/>
  <c r="AP344" i="7"/>
  <c r="AK344" i="7"/>
  <c r="AF344" i="7"/>
  <c r="AG344" i="7" s="1"/>
  <c r="AD344" i="7"/>
  <c r="AC344" i="7"/>
  <c r="Z344" i="7"/>
  <c r="AA344" i="7" s="1"/>
  <c r="T344" i="7"/>
  <c r="BE344" i="7" s="1"/>
  <c r="R344" i="7"/>
  <c r="Q344" i="7" s="1"/>
  <c r="D344" i="7"/>
  <c r="BH343" i="7"/>
  <c r="BG343" i="7"/>
  <c r="AU343" i="7"/>
  <c r="AP343" i="7"/>
  <c r="AK343" i="7"/>
  <c r="AF343" i="7"/>
  <c r="AG343" i="7" s="1"/>
  <c r="Z343" i="7"/>
  <c r="AA343" i="7" s="1"/>
  <c r="T343" i="7"/>
  <c r="BE343" i="7" s="1"/>
  <c r="R343" i="7"/>
  <c r="Q343" i="7" s="1"/>
  <c r="D343" i="7"/>
  <c r="BH342" i="7"/>
  <c r="BG342" i="7"/>
  <c r="AU342" i="7"/>
  <c r="AP342" i="7"/>
  <c r="AK342" i="7"/>
  <c r="AF342" i="7"/>
  <c r="AG342" i="7" s="1"/>
  <c r="Z342" i="7"/>
  <c r="AA342" i="7" s="1"/>
  <c r="T342" i="7"/>
  <c r="BE342" i="7" s="1"/>
  <c r="R342" i="7"/>
  <c r="Q342" i="7" s="1"/>
  <c r="D342" i="7"/>
  <c r="BH341" i="7"/>
  <c r="BG341" i="7"/>
  <c r="AU341" i="7"/>
  <c r="AP341" i="7"/>
  <c r="AK341" i="7"/>
  <c r="AF341" i="7"/>
  <c r="AG341" i="7" s="1"/>
  <c r="Z341" i="7"/>
  <c r="AA341" i="7" s="1"/>
  <c r="T341" i="7"/>
  <c r="BE341" i="7" s="1"/>
  <c r="R341" i="7"/>
  <c r="Q341" i="7" s="1"/>
  <c r="D341" i="7"/>
  <c r="BH340" i="7"/>
  <c r="BG340" i="7"/>
  <c r="AU340" i="7"/>
  <c r="AP340" i="7"/>
  <c r="AK340" i="7"/>
  <c r="AF340" i="7"/>
  <c r="AG340" i="7" s="1"/>
  <c r="Z340" i="7"/>
  <c r="AA340" i="7" s="1"/>
  <c r="T340" i="7"/>
  <c r="U340" i="7" s="1"/>
  <c r="R340" i="7"/>
  <c r="Q340" i="7" s="1"/>
  <c r="D340" i="7"/>
  <c r="BH339" i="7"/>
  <c r="BG339" i="7"/>
  <c r="AU339" i="7"/>
  <c r="AP339" i="7"/>
  <c r="AK339" i="7"/>
  <c r="AF339" i="7"/>
  <c r="AG339" i="7" s="1"/>
  <c r="Z339" i="7"/>
  <c r="AA339" i="7" s="1"/>
  <c r="T339" i="7"/>
  <c r="U339" i="7" s="1"/>
  <c r="R339" i="7"/>
  <c r="Q339" i="7" s="1"/>
  <c r="D339" i="7"/>
  <c r="BH338" i="7"/>
  <c r="BG338" i="7"/>
  <c r="AU338" i="7"/>
  <c r="AP338" i="7"/>
  <c r="AK338" i="7"/>
  <c r="AF338" i="7"/>
  <c r="AG338" i="7" s="1"/>
  <c r="Z338" i="7"/>
  <c r="AA338" i="7" s="1"/>
  <c r="T338" i="7"/>
  <c r="BE338" i="7" s="1"/>
  <c r="R338" i="7"/>
  <c r="Q338" i="7" s="1"/>
  <c r="D338" i="7"/>
  <c r="BH337" i="7"/>
  <c r="BG337" i="7"/>
  <c r="AU337" i="7"/>
  <c r="AP337" i="7"/>
  <c r="AK337" i="7"/>
  <c r="AF337" i="7"/>
  <c r="Z337" i="7"/>
  <c r="AA337" i="7" s="1"/>
  <c r="T337" i="7"/>
  <c r="BE337" i="7" s="1"/>
  <c r="R337" i="7"/>
  <c r="Q337" i="7" s="1"/>
  <c r="D337" i="7"/>
  <c r="BH336" i="7"/>
  <c r="BG336" i="7"/>
  <c r="AU336" i="7"/>
  <c r="AP336" i="7"/>
  <c r="AK336" i="7"/>
  <c r="AF336" i="7"/>
  <c r="AG336" i="7" s="1"/>
  <c r="Z336" i="7"/>
  <c r="AA336" i="7" s="1"/>
  <c r="T336" i="7"/>
  <c r="BE336" i="7" s="1"/>
  <c r="R336" i="7"/>
  <c r="Q336" i="7" s="1"/>
  <c r="D336" i="7"/>
  <c r="BH335" i="7"/>
  <c r="BG335" i="7"/>
  <c r="AU335" i="7"/>
  <c r="AP335" i="7"/>
  <c r="AK335" i="7"/>
  <c r="AF335" i="7"/>
  <c r="AG335" i="7" s="1"/>
  <c r="Z335" i="7"/>
  <c r="AA335" i="7" s="1"/>
  <c r="T335" i="7"/>
  <c r="U335" i="7" s="1"/>
  <c r="D335" i="7"/>
  <c r="BH334" i="7"/>
  <c r="BG334" i="7"/>
  <c r="AU334" i="7"/>
  <c r="AP334" i="7"/>
  <c r="AK334" i="7"/>
  <c r="AF334" i="7"/>
  <c r="AG334" i="7" s="1"/>
  <c r="Z334" i="7"/>
  <c r="AA334" i="7" s="1"/>
  <c r="T334" i="7"/>
  <c r="U334" i="7" s="1"/>
  <c r="R334" i="7"/>
  <c r="D334" i="7"/>
  <c r="BH333" i="7"/>
  <c r="BG333" i="7"/>
  <c r="AU333" i="7"/>
  <c r="AP333" i="7"/>
  <c r="AK333" i="7"/>
  <c r="AF333" i="7"/>
  <c r="AG333" i="7" s="1"/>
  <c r="Z333" i="7"/>
  <c r="AA333" i="7" s="1"/>
  <c r="T333" i="7"/>
  <c r="U333" i="7" s="1"/>
  <c r="R333" i="7"/>
  <c r="D333" i="7"/>
  <c r="BH332" i="7"/>
  <c r="BG332" i="7"/>
  <c r="AF332" i="7"/>
  <c r="AG332" i="7" s="1"/>
  <c r="Z332" i="7"/>
  <c r="AA332" i="7" s="1"/>
  <c r="T332" i="7"/>
  <c r="R332" i="7"/>
  <c r="D332" i="7"/>
  <c r="BH331" i="7"/>
  <c r="BG331" i="7"/>
  <c r="AF331" i="7"/>
  <c r="AG331" i="7" s="1"/>
  <c r="Z331" i="7"/>
  <c r="AA331" i="7" s="1"/>
  <c r="T331" i="7"/>
  <c r="BE331" i="7" s="1"/>
  <c r="R331" i="7"/>
  <c r="D331" i="7"/>
  <c r="BH330" i="7"/>
  <c r="BG330" i="7"/>
  <c r="AF330" i="7"/>
  <c r="AG330" i="7" s="1"/>
  <c r="Z330" i="7"/>
  <c r="T330" i="7"/>
  <c r="U330" i="7" s="1"/>
  <c r="R330" i="7"/>
  <c r="D330" i="7"/>
  <c r="BH329" i="7"/>
  <c r="BG329" i="7"/>
  <c r="AU329" i="7"/>
  <c r="AP329" i="7"/>
  <c r="AK329" i="7"/>
  <c r="AF329" i="7"/>
  <c r="AG329" i="7" s="1"/>
  <c r="Z329" i="7"/>
  <c r="AA329" i="7" s="1"/>
  <c r="T329" i="7"/>
  <c r="U329" i="7" s="1"/>
  <c r="R329" i="7"/>
  <c r="Q329" i="7"/>
  <c r="D329" i="7"/>
  <c r="BH328" i="7"/>
  <c r="BG328" i="7"/>
  <c r="AU328" i="7"/>
  <c r="AP328" i="7"/>
  <c r="AK328" i="7"/>
  <c r="AF328" i="7"/>
  <c r="Z328" i="7"/>
  <c r="AA328" i="7" s="1"/>
  <c r="T328" i="7"/>
  <c r="U328" i="7" s="1"/>
  <c r="R328" i="7"/>
  <c r="Q328" i="7"/>
  <c r="D328" i="7"/>
  <c r="BH327" i="7"/>
  <c r="BG327" i="7"/>
  <c r="AU327" i="7"/>
  <c r="AP327" i="7"/>
  <c r="AK327" i="7"/>
  <c r="AF327" i="7"/>
  <c r="AG327" i="7" s="1"/>
  <c r="Z327" i="7"/>
  <c r="AA327" i="7" s="1"/>
  <c r="T327" i="7"/>
  <c r="R327" i="7"/>
  <c r="Q327" i="7" s="1"/>
  <c r="D327" i="7"/>
  <c r="BH326" i="7"/>
  <c r="BG326" i="7"/>
  <c r="AU326" i="7"/>
  <c r="AP326" i="7"/>
  <c r="AK326" i="7"/>
  <c r="AF326" i="7"/>
  <c r="AG326" i="7" s="1"/>
  <c r="Z326" i="7"/>
  <c r="AA326" i="7" s="1"/>
  <c r="T326" i="7"/>
  <c r="U326" i="7" s="1"/>
  <c r="R326" i="7"/>
  <c r="Q326" i="7" s="1"/>
  <c r="D326" i="7"/>
  <c r="BH325" i="7"/>
  <c r="BG325" i="7"/>
  <c r="AU325" i="7"/>
  <c r="AP325" i="7"/>
  <c r="AK325" i="7"/>
  <c r="AF325" i="7"/>
  <c r="AG325" i="7" s="1"/>
  <c r="Z325" i="7"/>
  <c r="AA325" i="7" s="1"/>
  <c r="T325" i="7"/>
  <c r="BE325" i="7" s="1"/>
  <c r="R325" i="7"/>
  <c r="Q325" i="7" s="1"/>
  <c r="D325" i="7"/>
  <c r="BH324" i="7"/>
  <c r="BG324" i="7"/>
  <c r="AU324" i="7"/>
  <c r="AP324" i="7"/>
  <c r="AK324" i="7"/>
  <c r="AF324" i="7"/>
  <c r="AG324" i="7" s="1"/>
  <c r="Z324" i="7"/>
  <c r="AA324" i="7" s="1"/>
  <c r="T324" i="7"/>
  <c r="R324" i="7"/>
  <c r="D324" i="7"/>
  <c r="BH323" i="7"/>
  <c r="BG323" i="7"/>
  <c r="AU323" i="7"/>
  <c r="AP323" i="7"/>
  <c r="AK323" i="7"/>
  <c r="AF323" i="7"/>
  <c r="AG323" i="7" s="1"/>
  <c r="Z323" i="7"/>
  <c r="AA323" i="7" s="1"/>
  <c r="T323" i="7"/>
  <c r="U323" i="7" s="1"/>
  <c r="R323" i="7"/>
  <c r="D323" i="7"/>
  <c r="BH322" i="7"/>
  <c r="BG322" i="7"/>
  <c r="AU322" i="7"/>
  <c r="AP322" i="7"/>
  <c r="AK322" i="7"/>
  <c r="AF322" i="7"/>
  <c r="AG322" i="7" s="1"/>
  <c r="Z322" i="7"/>
  <c r="AA322" i="7" s="1"/>
  <c r="T322" i="7"/>
  <c r="R322" i="7"/>
  <c r="Q322" i="7" s="1"/>
  <c r="D322" i="7"/>
  <c r="BH321" i="7"/>
  <c r="BG321" i="7"/>
  <c r="AU321" i="7"/>
  <c r="AP321" i="7"/>
  <c r="AK321" i="7"/>
  <c r="AF321" i="7"/>
  <c r="AG321" i="7" s="1"/>
  <c r="Z321" i="7"/>
  <c r="AA321" i="7" s="1"/>
  <c r="T321" i="7"/>
  <c r="R321" i="7"/>
  <c r="D321" i="7"/>
  <c r="BH320" i="7"/>
  <c r="BG320" i="7"/>
  <c r="AU320" i="7"/>
  <c r="AP320" i="7"/>
  <c r="AK320" i="7"/>
  <c r="AF320" i="7"/>
  <c r="AG320" i="7" s="1"/>
  <c r="Z320" i="7"/>
  <c r="AA320" i="7" s="1"/>
  <c r="T320" i="7"/>
  <c r="U320" i="7" s="1"/>
  <c r="R320" i="7"/>
  <c r="D320" i="7"/>
  <c r="BH319" i="7"/>
  <c r="BG319" i="7"/>
  <c r="AU319" i="7"/>
  <c r="AP319" i="7"/>
  <c r="AK319" i="7"/>
  <c r="AF319" i="7"/>
  <c r="AG319" i="7" s="1"/>
  <c r="Z319" i="7"/>
  <c r="AA319" i="7" s="1"/>
  <c r="T319" i="7"/>
  <c r="U319" i="7" s="1"/>
  <c r="R319" i="7"/>
  <c r="D319" i="7"/>
  <c r="BH318" i="7"/>
  <c r="BG318" i="7"/>
  <c r="AU318" i="7"/>
  <c r="AP318" i="7"/>
  <c r="AK318" i="7"/>
  <c r="AF318" i="7"/>
  <c r="AG318" i="7" s="1"/>
  <c r="Z318" i="7"/>
  <c r="AA318" i="7" s="1"/>
  <c r="T318" i="7"/>
  <c r="BE318" i="7" s="1"/>
  <c r="R318" i="7"/>
  <c r="D318" i="7"/>
  <c r="BH317" i="7"/>
  <c r="BG317" i="7"/>
  <c r="AU317" i="7"/>
  <c r="AP317" i="7"/>
  <c r="AK317" i="7"/>
  <c r="AF317" i="7"/>
  <c r="AG317" i="7" s="1"/>
  <c r="Z317" i="7"/>
  <c r="AA317" i="7" s="1"/>
  <c r="T317" i="7"/>
  <c r="BE317" i="7" s="1"/>
  <c r="R317" i="7"/>
  <c r="D317" i="7"/>
  <c r="BH316" i="7"/>
  <c r="BG316" i="7"/>
  <c r="AU316" i="7"/>
  <c r="AP316" i="7"/>
  <c r="AK316" i="7"/>
  <c r="AF316" i="7"/>
  <c r="AG316" i="7" s="1"/>
  <c r="Z316" i="7"/>
  <c r="AA316" i="7" s="1"/>
  <c r="T316" i="7"/>
  <c r="BE316" i="7" s="1"/>
  <c r="R316" i="7"/>
  <c r="D316" i="7"/>
  <c r="BH315" i="7"/>
  <c r="BG315" i="7"/>
  <c r="AU315" i="7"/>
  <c r="AP315" i="7"/>
  <c r="AK315" i="7"/>
  <c r="AF315" i="7"/>
  <c r="AG315" i="7" s="1"/>
  <c r="Z315" i="7"/>
  <c r="AA315" i="7" s="1"/>
  <c r="T315" i="7"/>
  <c r="BE315" i="7" s="1"/>
  <c r="R315" i="7"/>
  <c r="D315" i="7"/>
  <c r="BH314" i="7"/>
  <c r="BG314" i="7"/>
  <c r="AU314" i="7"/>
  <c r="AP314" i="7"/>
  <c r="AK314" i="7"/>
  <c r="AF314" i="7"/>
  <c r="AG314" i="7" s="1"/>
  <c r="Z314" i="7"/>
  <c r="AA314" i="7" s="1"/>
  <c r="T314" i="7"/>
  <c r="R314" i="7"/>
  <c r="D314" i="7"/>
  <c r="BH313" i="7"/>
  <c r="BG313" i="7"/>
  <c r="AU313" i="7"/>
  <c r="AP313" i="7"/>
  <c r="AK313" i="7"/>
  <c r="AF313" i="7"/>
  <c r="AG313" i="7" s="1"/>
  <c r="Z313" i="7"/>
  <c r="AA313" i="7" s="1"/>
  <c r="T313" i="7"/>
  <c r="BE313" i="7" s="1"/>
  <c r="R313" i="7"/>
  <c r="D313" i="7"/>
  <c r="BH312" i="7"/>
  <c r="BG312" i="7"/>
  <c r="AU312" i="7"/>
  <c r="AP312" i="7"/>
  <c r="AK312" i="7"/>
  <c r="AF312" i="7"/>
  <c r="AG312" i="7" s="1"/>
  <c r="Z312" i="7"/>
  <c r="AA312" i="7" s="1"/>
  <c r="T312" i="7"/>
  <c r="U312" i="7" s="1"/>
  <c r="R312" i="7"/>
  <c r="D312" i="7"/>
  <c r="BH311" i="7"/>
  <c r="BG311" i="7"/>
  <c r="AU311" i="7"/>
  <c r="AP311" i="7"/>
  <c r="AK311" i="7"/>
  <c r="AF311" i="7"/>
  <c r="AG311" i="7" s="1"/>
  <c r="Z311" i="7"/>
  <c r="AA311" i="7" s="1"/>
  <c r="T311" i="7"/>
  <c r="R311" i="7"/>
  <c r="D311" i="7"/>
  <c r="BH310" i="7"/>
  <c r="BG310" i="7"/>
  <c r="AU310" i="7"/>
  <c r="AP310" i="7"/>
  <c r="AK310" i="7"/>
  <c r="AF310" i="7"/>
  <c r="AG310" i="7" s="1"/>
  <c r="Z310" i="7"/>
  <c r="AA310" i="7" s="1"/>
  <c r="T310" i="7"/>
  <c r="BE310" i="7" s="1"/>
  <c r="R310" i="7"/>
  <c r="D310" i="7"/>
  <c r="BH309" i="7"/>
  <c r="BG309" i="7"/>
  <c r="AU309" i="7"/>
  <c r="AP309" i="7"/>
  <c r="AK309" i="7"/>
  <c r="AF309" i="7"/>
  <c r="AG309" i="7" s="1"/>
  <c r="Z309" i="7"/>
  <c r="AA309" i="7" s="1"/>
  <c r="T309" i="7"/>
  <c r="BE309" i="7" s="1"/>
  <c r="R309" i="7"/>
  <c r="Q309" i="7" s="1"/>
  <c r="D309" i="7"/>
  <c r="BH308" i="7"/>
  <c r="BG308" i="7"/>
  <c r="AU308" i="7"/>
  <c r="AP308" i="7"/>
  <c r="AK308" i="7"/>
  <c r="AF308" i="7"/>
  <c r="AG308" i="7" s="1"/>
  <c r="Z308" i="7"/>
  <c r="AA308" i="7" s="1"/>
  <c r="T308" i="7"/>
  <c r="R308" i="7"/>
  <c r="Q308" i="7" s="1"/>
  <c r="D308" i="7"/>
  <c r="BH307" i="7"/>
  <c r="BG307" i="7"/>
  <c r="AU307" i="7"/>
  <c r="AP307" i="7"/>
  <c r="AK307" i="7"/>
  <c r="AF307" i="7"/>
  <c r="AG307" i="7" s="1"/>
  <c r="Z307" i="7"/>
  <c r="AA307" i="7" s="1"/>
  <c r="T307" i="7"/>
  <c r="R307" i="7"/>
  <c r="D307" i="7"/>
  <c r="BH306" i="7"/>
  <c r="BG306" i="7"/>
  <c r="AU306" i="7"/>
  <c r="AP306" i="7"/>
  <c r="AK306" i="7"/>
  <c r="AF306" i="7"/>
  <c r="AG306" i="7" s="1"/>
  <c r="Z306" i="7"/>
  <c r="AA306" i="7" s="1"/>
  <c r="T306" i="7"/>
  <c r="U306" i="7" s="1"/>
  <c r="D306" i="7"/>
  <c r="BH305" i="7"/>
  <c r="BG305" i="7"/>
  <c r="AU305" i="7"/>
  <c r="AP305" i="7"/>
  <c r="AK305" i="7"/>
  <c r="AF305" i="7"/>
  <c r="AG305" i="7" s="1"/>
  <c r="Z305" i="7"/>
  <c r="AA305" i="7" s="1"/>
  <c r="T305" i="7"/>
  <c r="D305" i="7"/>
  <c r="BH304" i="7"/>
  <c r="BG304" i="7"/>
  <c r="AU304" i="7"/>
  <c r="AP304" i="7"/>
  <c r="AK304" i="7"/>
  <c r="AF304" i="7"/>
  <c r="AG304" i="7" s="1"/>
  <c r="Z304" i="7"/>
  <c r="AA304" i="7" s="1"/>
  <c r="T304" i="7"/>
  <c r="R304" i="7"/>
  <c r="D304" i="7"/>
  <c r="BG303" i="7"/>
  <c r="AU303" i="7"/>
  <c r="AP303" i="7"/>
  <c r="AK303" i="7"/>
  <c r="AF303" i="7"/>
  <c r="AG303" i="7" s="1"/>
  <c r="AD303" i="7"/>
  <c r="AC303" i="7"/>
  <c r="Z303" i="7"/>
  <c r="AA303" i="7" s="1"/>
  <c r="T303" i="7"/>
  <c r="R303" i="7"/>
  <c r="D303" i="7"/>
  <c r="BG302" i="7"/>
  <c r="AU302" i="7"/>
  <c r="AP302" i="7"/>
  <c r="AK302" i="7"/>
  <c r="AF302" i="7"/>
  <c r="AG302" i="7" s="1"/>
  <c r="AD302" i="7"/>
  <c r="AC302" i="7"/>
  <c r="BH302" i="7" s="1"/>
  <c r="Z302" i="7"/>
  <c r="AA302" i="7" s="1"/>
  <c r="T302" i="7"/>
  <c r="R302" i="7"/>
  <c r="D302" i="7"/>
  <c r="BH301" i="7"/>
  <c r="BG301" i="7"/>
  <c r="AU301" i="7"/>
  <c r="AP301" i="7"/>
  <c r="AK301" i="7"/>
  <c r="AF301" i="7"/>
  <c r="AG301" i="7" s="1"/>
  <c r="Z301" i="7"/>
  <c r="AA301" i="7" s="1"/>
  <c r="T301" i="7"/>
  <c r="R301" i="7"/>
  <c r="D301" i="7"/>
  <c r="BH300" i="7"/>
  <c r="BG300" i="7"/>
  <c r="AU300" i="7"/>
  <c r="AP300" i="7"/>
  <c r="AK300" i="7"/>
  <c r="AF300" i="7"/>
  <c r="AG300" i="7" s="1"/>
  <c r="Z300" i="7"/>
  <c r="AA300" i="7" s="1"/>
  <c r="T300" i="7"/>
  <c r="BE300" i="7" s="1"/>
  <c r="R300" i="7"/>
  <c r="D300" i="7"/>
  <c r="BH299" i="7"/>
  <c r="BG299" i="7"/>
  <c r="AU299" i="7"/>
  <c r="AP299" i="7"/>
  <c r="AK299" i="7"/>
  <c r="AF299" i="7"/>
  <c r="AG299" i="7" s="1"/>
  <c r="Z299" i="7"/>
  <c r="AA299" i="7" s="1"/>
  <c r="T299" i="7"/>
  <c r="BE299" i="7" s="1"/>
  <c r="R299" i="7"/>
  <c r="D299" i="7"/>
  <c r="BH298" i="7"/>
  <c r="BG298" i="7"/>
  <c r="AU298" i="7"/>
  <c r="AP298" i="7"/>
  <c r="AK298" i="7"/>
  <c r="AF298" i="7"/>
  <c r="AG298" i="7" s="1"/>
  <c r="Z298" i="7"/>
  <c r="AA298" i="7" s="1"/>
  <c r="T298" i="7"/>
  <c r="BE298" i="7" s="1"/>
  <c r="R298" i="7"/>
  <c r="Q298" i="7" s="1"/>
  <c r="D298" i="7"/>
  <c r="BH297" i="7"/>
  <c r="BG297" i="7"/>
  <c r="AU297" i="7"/>
  <c r="AP297" i="7"/>
  <c r="AK297" i="7"/>
  <c r="AF297" i="7"/>
  <c r="AG297" i="7" s="1"/>
  <c r="Z297" i="7"/>
  <c r="AA297" i="7" s="1"/>
  <c r="T297" i="7"/>
  <c r="BE297" i="7" s="1"/>
  <c r="R297" i="7"/>
  <c r="Q297" i="7" s="1"/>
  <c r="D297" i="7"/>
  <c r="BH296" i="7"/>
  <c r="BG296" i="7"/>
  <c r="AU296" i="7"/>
  <c r="AP296" i="7"/>
  <c r="AK296" i="7"/>
  <c r="AF296" i="7"/>
  <c r="AG296" i="7" s="1"/>
  <c r="Z296" i="7"/>
  <c r="AA296" i="7" s="1"/>
  <c r="T296" i="7"/>
  <c r="U296" i="7" s="1"/>
  <c r="R296" i="7"/>
  <c r="Q296" i="7" s="1"/>
  <c r="D296" i="7"/>
  <c r="BG295" i="7"/>
  <c r="AU295" i="7"/>
  <c r="AP295" i="7"/>
  <c r="AK295" i="7"/>
  <c r="AF295" i="7"/>
  <c r="AG295" i="7" s="1"/>
  <c r="AD295" i="7"/>
  <c r="AC295" i="7"/>
  <c r="Z295" i="7"/>
  <c r="AA295" i="7" s="1"/>
  <c r="T295" i="7"/>
  <c r="BE295" i="7" s="1"/>
  <c r="R295" i="7"/>
  <c r="Q295" i="7" s="1"/>
  <c r="D295" i="7"/>
  <c r="BG294" i="7"/>
  <c r="AU294" i="7"/>
  <c r="AP294" i="7"/>
  <c r="AK294" i="7"/>
  <c r="AF294" i="7"/>
  <c r="AG294" i="7" s="1"/>
  <c r="AD294" i="7"/>
  <c r="AC294" i="7"/>
  <c r="Z294" i="7"/>
  <c r="AA294" i="7" s="1"/>
  <c r="T294" i="7"/>
  <c r="BE294" i="7" s="1"/>
  <c r="R294" i="7"/>
  <c r="D294" i="7"/>
  <c r="BH293" i="7"/>
  <c r="BG293" i="7"/>
  <c r="AU293" i="7"/>
  <c r="AP293" i="7"/>
  <c r="AK293" i="7"/>
  <c r="AF293" i="7"/>
  <c r="AG293" i="7" s="1"/>
  <c r="Z293" i="7"/>
  <c r="AA293" i="7" s="1"/>
  <c r="T293" i="7"/>
  <c r="U293" i="7" s="1"/>
  <c r="R293" i="7"/>
  <c r="D293" i="7"/>
  <c r="BH292" i="7"/>
  <c r="BG292" i="7"/>
  <c r="AU292" i="7"/>
  <c r="AP292" i="7"/>
  <c r="AK292" i="7"/>
  <c r="AF292" i="7"/>
  <c r="AG292" i="7" s="1"/>
  <c r="Z292" i="7"/>
  <c r="AA292" i="7" s="1"/>
  <c r="T292" i="7"/>
  <c r="U292" i="7" s="1"/>
  <c r="R292" i="7"/>
  <c r="D292" i="7"/>
  <c r="BH291" i="7"/>
  <c r="BG291" i="7"/>
  <c r="AU291" i="7"/>
  <c r="AP291" i="7"/>
  <c r="AK291" i="7"/>
  <c r="AF291" i="7"/>
  <c r="AG291" i="7" s="1"/>
  <c r="Z291" i="7"/>
  <c r="AA291" i="7" s="1"/>
  <c r="T291" i="7"/>
  <c r="U291" i="7" s="1"/>
  <c r="R291" i="7"/>
  <c r="D291" i="7"/>
  <c r="BH290" i="7"/>
  <c r="BG290" i="7"/>
  <c r="AU290" i="7"/>
  <c r="AP290" i="7"/>
  <c r="AK290" i="7"/>
  <c r="AF290" i="7"/>
  <c r="AG290" i="7" s="1"/>
  <c r="Z290" i="7"/>
  <c r="AA290" i="7" s="1"/>
  <c r="T290" i="7"/>
  <c r="R290" i="7"/>
  <c r="Q290" i="7" s="1"/>
  <c r="D290" i="7"/>
  <c r="BH289" i="7"/>
  <c r="BG289" i="7"/>
  <c r="AU289" i="7"/>
  <c r="AP289" i="7"/>
  <c r="AK289" i="7"/>
  <c r="AF289" i="7"/>
  <c r="AG289" i="7" s="1"/>
  <c r="Z289" i="7"/>
  <c r="AA289" i="7" s="1"/>
  <c r="T289" i="7"/>
  <c r="BE289" i="7" s="1"/>
  <c r="R289" i="7"/>
  <c r="Q289" i="7" s="1"/>
  <c r="D289" i="7"/>
  <c r="BH288" i="7"/>
  <c r="BG288" i="7"/>
  <c r="AU288" i="7"/>
  <c r="AP288" i="7"/>
  <c r="AK288" i="7"/>
  <c r="AF288" i="7"/>
  <c r="AG288" i="7" s="1"/>
  <c r="Z288" i="7"/>
  <c r="AA288" i="7" s="1"/>
  <c r="T288" i="7"/>
  <c r="BE288" i="7" s="1"/>
  <c r="R288" i="7"/>
  <c r="Q288" i="7" s="1"/>
  <c r="D288" i="7"/>
  <c r="BH287" i="7"/>
  <c r="BG287" i="7"/>
  <c r="AU287" i="7"/>
  <c r="AP287" i="7"/>
  <c r="AK287" i="7"/>
  <c r="AF287" i="7"/>
  <c r="AG287" i="7" s="1"/>
  <c r="Z287" i="7"/>
  <c r="AA287" i="7" s="1"/>
  <c r="T287" i="7"/>
  <c r="BE287" i="7" s="1"/>
  <c r="R287" i="7"/>
  <c r="Q287" i="7"/>
  <c r="D287" i="7"/>
  <c r="BH286" i="7"/>
  <c r="BG286" i="7"/>
  <c r="AU286" i="7"/>
  <c r="AP286" i="7"/>
  <c r="AK286" i="7"/>
  <c r="AF286" i="7"/>
  <c r="AG286" i="7" s="1"/>
  <c r="Z286" i="7"/>
  <c r="AA286" i="7" s="1"/>
  <c r="T286" i="7"/>
  <c r="BE286" i="7" s="1"/>
  <c r="R286" i="7"/>
  <c r="D286" i="7"/>
  <c r="BH285" i="7"/>
  <c r="BG285" i="7"/>
  <c r="AU285" i="7"/>
  <c r="AP285" i="7"/>
  <c r="AK285" i="7"/>
  <c r="AF285" i="7"/>
  <c r="AG285" i="7" s="1"/>
  <c r="Z285" i="7"/>
  <c r="AA285" i="7" s="1"/>
  <c r="T285" i="7"/>
  <c r="R285" i="7"/>
  <c r="Q285" i="7" s="1"/>
  <c r="D285" i="7"/>
  <c r="BH284" i="7"/>
  <c r="BG284" i="7"/>
  <c r="AU284" i="7"/>
  <c r="AP284" i="7"/>
  <c r="AK284" i="7"/>
  <c r="AF284" i="7"/>
  <c r="AG284" i="7" s="1"/>
  <c r="Z284" i="7"/>
  <c r="AA284" i="7" s="1"/>
  <c r="T284" i="7"/>
  <c r="BE284" i="7" s="1"/>
  <c r="R284" i="7"/>
  <c r="Q284" i="7" s="1"/>
  <c r="D284" i="7"/>
  <c r="BH283" i="7"/>
  <c r="BG283" i="7"/>
  <c r="AU283" i="7"/>
  <c r="AP283" i="7"/>
  <c r="AK283" i="7"/>
  <c r="AF283" i="7"/>
  <c r="AG283" i="7" s="1"/>
  <c r="Z283" i="7"/>
  <c r="AA283" i="7" s="1"/>
  <c r="T283" i="7"/>
  <c r="BE283" i="7" s="1"/>
  <c r="R283" i="7"/>
  <c r="Q283" i="7" s="1"/>
  <c r="D283" i="7"/>
  <c r="BH282" i="7"/>
  <c r="BG282" i="7"/>
  <c r="AU282" i="7"/>
  <c r="AP282" i="7"/>
  <c r="AK282" i="7"/>
  <c r="AF282" i="7"/>
  <c r="AG282" i="7" s="1"/>
  <c r="Z282" i="7"/>
  <c r="AA282" i="7" s="1"/>
  <c r="T282" i="7"/>
  <c r="R282" i="7"/>
  <c r="Q282" i="7"/>
  <c r="D282" i="7"/>
  <c r="BH281" i="7"/>
  <c r="BG281" i="7"/>
  <c r="AU281" i="7"/>
  <c r="AP281" i="7"/>
  <c r="AK281" i="7"/>
  <c r="AF281" i="7"/>
  <c r="AG281" i="7" s="1"/>
  <c r="Z281" i="7"/>
  <c r="AA281" i="7" s="1"/>
  <c r="T281" i="7"/>
  <c r="BE281" i="7" s="1"/>
  <c r="R281" i="7"/>
  <c r="Q281" i="7"/>
  <c r="D281" i="7"/>
  <c r="BH280" i="7"/>
  <c r="BG280" i="7"/>
  <c r="AU280" i="7"/>
  <c r="AP280" i="7"/>
  <c r="AK280" i="7"/>
  <c r="AF280" i="7"/>
  <c r="AG280" i="7" s="1"/>
  <c r="Z280" i="7"/>
  <c r="AA280" i="7" s="1"/>
  <c r="T280" i="7"/>
  <c r="BE280" i="7" s="1"/>
  <c r="R280" i="7"/>
  <c r="Q280" i="7"/>
  <c r="D280" i="7"/>
  <c r="BH279" i="7"/>
  <c r="BG279" i="7"/>
  <c r="AU279" i="7"/>
  <c r="AP279" i="7"/>
  <c r="AK279" i="7"/>
  <c r="AF279" i="7"/>
  <c r="AG279" i="7" s="1"/>
  <c r="Z279" i="7"/>
  <c r="AA279" i="7" s="1"/>
  <c r="T279" i="7"/>
  <c r="U279" i="7" s="1"/>
  <c r="R279" i="7"/>
  <c r="Q279" i="7"/>
  <c r="D279" i="7"/>
  <c r="BH278" i="7"/>
  <c r="BG278" i="7"/>
  <c r="AU278" i="7"/>
  <c r="AP278" i="7"/>
  <c r="AK278" i="7"/>
  <c r="AF278" i="7"/>
  <c r="AG278" i="7" s="1"/>
  <c r="Z278" i="7"/>
  <c r="AA278" i="7" s="1"/>
  <c r="T278" i="7"/>
  <c r="U278" i="7" s="1"/>
  <c r="R278" i="7"/>
  <c r="D278" i="7"/>
  <c r="BH277" i="7"/>
  <c r="BG277" i="7"/>
  <c r="AU277" i="7"/>
  <c r="AP277" i="7"/>
  <c r="AK277" i="7"/>
  <c r="AF277" i="7"/>
  <c r="Z277" i="7"/>
  <c r="AA277" i="7" s="1"/>
  <c r="T277" i="7"/>
  <c r="U277" i="7" s="1"/>
  <c r="R277" i="7"/>
  <c r="Q277" i="7" s="1"/>
  <c r="D277" i="7"/>
  <c r="BH276" i="7"/>
  <c r="BG276" i="7"/>
  <c r="AU276" i="7"/>
  <c r="AP276" i="7"/>
  <c r="AK276" i="7"/>
  <c r="AF276" i="7"/>
  <c r="AG276" i="7" s="1"/>
  <c r="Z276" i="7"/>
  <c r="AA276" i="7" s="1"/>
  <c r="T276" i="7"/>
  <c r="BE276" i="7" s="1"/>
  <c r="R276" i="7"/>
  <c r="Q276" i="7" s="1"/>
  <c r="D276" i="7"/>
  <c r="BH275" i="7"/>
  <c r="BG275" i="7"/>
  <c r="AU275" i="7"/>
  <c r="AP275" i="7"/>
  <c r="AK275" i="7"/>
  <c r="AF275" i="7"/>
  <c r="AG275" i="7" s="1"/>
  <c r="Z275" i="7"/>
  <c r="AA275" i="7" s="1"/>
  <c r="T275" i="7"/>
  <c r="U275" i="7" s="1"/>
  <c r="R275" i="7"/>
  <c r="Q275" i="7" s="1"/>
  <c r="D275" i="7"/>
  <c r="BH274" i="7"/>
  <c r="BG274" i="7"/>
  <c r="AU274" i="7"/>
  <c r="AP274" i="7"/>
  <c r="AK274" i="7"/>
  <c r="AF274" i="7"/>
  <c r="AG274" i="7" s="1"/>
  <c r="Z274" i="7"/>
  <c r="AA274" i="7" s="1"/>
  <c r="T274" i="7"/>
  <c r="R274" i="7"/>
  <c r="Q274" i="7" s="1"/>
  <c r="D274" i="7"/>
  <c r="BH273" i="7"/>
  <c r="BG273" i="7"/>
  <c r="AU273" i="7"/>
  <c r="AP273" i="7"/>
  <c r="AK273" i="7"/>
  <c r="AF273" i="7"/>
  <c r="AG273" i="7" s="1"/>
  <c r="Z273" i="7"/>
  <c r="AA273" i="7" s="1"/>
  <c r="T273" i="7"/>
  <c r="BE273" i="7" s="1"/>
  <c r="R273" i="7"/>
  <c r="D273" i="7"/>
  <c r="BH272" i="7"/>
  <c r="BG272" i="7"/>
  <c r="AU272" i="7"/>
  <c r="AP272" i="7"/>
  <c r="AK272" i="7"/>
  <c r="AF272" i="7"/>
  <c r="AG272" i="7" s="1"/>
  <c r="Z272" i="7"/>
  <c r="AA272" i="7" s="1"/>
  <c r="T272" i="7"/>
  <c r="BE272" i="7" s="1"/>
  <c r="R272" i="7"/>
  <c r="D272" i="7"/>
  <c r="BH271" i="7"/>
  <c r="BG271" i="7"/>
  <c r="AU271" i="7"/>
  <c r="AP271" i="7"/>
  <c r="AK271" i="7"/>
  <c r="AF271" i="7"/>
  <c r="AG271" i="7" s="1"/>
  <c r="Z271" i="7"/>
  <c r="AA271" i="7" s="1"/>
  <c r="T271" i="7"/>
  <c r="BE271" i="7" s="1"/>
  <c r="R271" i="7"/>
  <c r="Q271" i="7" s="1"/>
  <c r="D271" i="7"/>
  <c r="BH270" i="7"/>
  <c r="BG270" i="7"/>
  <c r="AU270" i="7"/>
  <c r="AP270" i="7"/>
  <c r="AK270" i="7"/>
  <c r="AF270" i="7"/>
  <c r="AG270" i="7" s="1"/>
  <c r="Z270" i="7"/>
  <c r="AA270" i="7" s="1"/>
  <c r="T270" i="7"/>
  <c r="R270" i="7"/>
  <c r="D270" i="7"/>
  <c r="BH269" i="7"/>
  <c r="BG269" i="7"/>
  <c r="AU269" i="7"/>
  <c r="AP269" i="7"/>
  <c r="AK269" i="7"/>
  <c r="AF269" i="7"/>
  <c r="AG269" i="7" s="1"/>
  <c r="Z269" i="7"/>
  <c r="AA269" i="7" s="1"/>
  <c r="T269" i="7"/>
  <c r="R269" i="7"/>
  <c r="Q269" i="7" s="1"/>
  <c r="D269" i="7"/>
  <c r="BH268" i="7"/>
  <c r="BG268" i="7"/>
  <c r="AU268" i="7"/>
  <c r="AP268" i="7"/>
  <c r="AK268" i="7"/>
  <c r="AF268" i="7"/>
  <c r="AG268" i="7" s="1"/>
  <c r="Z268" i="7"/>
  <c r="AA268" i="7" s="1"/>
  <c r="T268" i="7"/>
  <c r="BE268" i="7" s="1"/>
  <c r="R268" i="7"/>
  <c r="Q268" i="7" s="1"/>
  <c r="D268" i="7"/>
  <c r="BH267" i="7"/>
  <c r="BG267" i="7"/>
  <c r="AU267" i="7"/>
  <c r="AP267" i="7"/>
  <c r="AK267" i="7"/>
  <c r="AF267" i="7"/>
  <c r="AG267" i="7" s="1"/>
  <c r="Z267" i="7"/>
  <c r="AA267" i="7" s="1"/>
  <c r="T267" i="7"/>
  <c r="BE267" i="7" s="1"/>
  <c r="R267" i="7"/>
  <c r="Q267" i="7" s="1"/>
  <c r="D267" i="7"/>
  <c r="BH266" i="7"/>
  <c r="BG266" i="7"/>
  <c r="AU266" i="7"/>
  <c r="AP266" i="7"/>
  <c r="AK266" i="7"/>
  <c r="AF266" i="7"/>
  <c r="AG266" i="7" s="1"/>
  <c r="Z266" i="7"/>
  <c r="AA266" i="7" s="1"/>
  <c r="T266" i="7"/>
  <c r="R266" i="7"/>
  <c r="Q266" i="7" s="1"/>
  <c r="D266" i="7"/>
  <c r="BH265" i="7"/>
  <c r="BG265" i="7"/>
  <c r="AU265" i="7"/>
  <c r="AP265" i="7"/>
  <c r="AK265" i="7"/>
  <c r="AF265" i="7"/>
  <c r="AG265" i="7" s="1"/>
  <c r="Z265" i="7"/>
  <c r="AA265" i="7" s="1"/>
  <c r="T265" i="7"/>
  <c r="U265" i="7" s="1"/>
  <c r="R265" i="7"/>
  <c r="Q265" i="7" s="1"/>
  <c r="D265" i="7"/>
  <c r="BH264" i="7"/>
  <c r="BG264" i="7"/>
  <c r="AU264" i="7"/>
  <c r="AP264" i="7"/>
  <c r="AK264" i="7"/>
  <c r="AF264" i="7"/>
  <c r="AG264" i="7" s="1"/>
  <c r="Z264" i="7"/>
  <c r="AA264" i="7" s="1"/>
  <c r="T264" i="7"/>
  <c r="BE264" i="7" s="1"/>
  <c r="R264" i="7"/>
  <c r="Q264" i="7" s="1"/>
  <c r="D264" i="7"/>
  <c r="BH263" i="7"/>
  <c r="BG263" i="7"/>
  <c r="AU263" i="7"/>
  <c r="AP263" i="7"/>
  <c r="AK263" i="7"/>
  <c r="AF263" i="7"/>
  <c r="AG263" i="7" s="1"/>
  <c r="Z263" i="7"/>
  <c r="AA263" i="7" s="1"/>
  <c r="T263" i="7"/>
  <c r="U263" i="7" s="1"/>
  <c r="R263" i="7"/>
  <c r="Q263" i="7" s="1"/>
  <c r="D263" i="7"/>
  <c r="BH262" i="7"/>
  <c r="BG262" i="7"/>
  <c r="AU262" i="7"/>
  <c r="AP262" i="7"/>
  <c r="AK262" i="7"/>
  <c r="AF262" i="7"/>
  <c r="AG262" i="7" s="1"/>
  <c r="Z262" i="7"/>
  <c r="AA262" i="7" s="1"/>
  <c r="T262" i="7"/>
  <c r="R262" i="7"/>
  <c r="D262" i="7"/>
  <c r="BH261" i="7"/>
  <c r="BG261" i="7"/>
  <c r="AU261" i="7"/>
  <c r="AP261" i="7"/>
  <c r="AK261" i="7"/>
  <c r="AF261" i="7"/>
  <c r="AG261" i="7" s="1"/>
  <c r="Z261" i="7"/>
  <c r="T261" i="7"/>
  <c r="R261" i="7"/>
  <c r="Q261" i="7" s="1"/>
  <c r="D261" i="7"/>
  <c r="BH260" i="7"/>
  <c r="BG260" i="7"/>
  <c r="AU260" i="7"/>
  <c r="AP260" i="7"/>
  <c r="AK260" i="7"/>
  <c r="AF260" i="7"/>
  <c r="AG260" i="7" s="1"/>
  <c r="Z260" i="7"/>
  <c r="AA260" i="7" s="1"/>
  <c r="T260" i="7"/>
  <c r="BE260" i="7" s="1"/>
  <c r="R260" i="7"/>
  <c r="Q260" i="7" s="1"/>
  <c r="D260" i="7"/>
  <c r="BH259" i="7"/>
  <c r="BG259" i="7"/>
  <c r="AU259" i="7"/>
  <c r="AP259" i="7"/>
  <c r="AK259" i="7"/>
  <c r="AF259" i="7"/>
  <c r="AG259" i="7" s="1"/>
  <c r="Z259" i="7"/>
  <c r="AA259" i="7" s="1"/>
  <c r="T259" i="7"/>
  <c r="U259" i="7" s="1"/>
  <c r="R259" i="7"/>
  <c r="D259" i="7"/>
  <c r="BH258" i="7"/>
  <c r="BG258" i="7"/>
  <c r="AU258" i="7"/>
  <c r="AP258" i="7"/>
  <c r="AK258" i="7"/>
  <c r="AF258" i="7"/>
  <c r="AG258" i="7" s="1"/>
  <c r="Z258" i="7"/>
  <c r="AA258" i="7" s="1"/>
  <c r="T258" i="7"/>
  <c r="R258" i="7"/>
  <c r="D258" i="7"/>
  <c r="BH257" i="7"/>
  <c r="BG257" i="7"/>
  <c r="AU257" i="7"/>
  <c r="AP257" i="7"/>
  <c r="AK257" i="7"/>
  <c r="AF257" i="7"/>
  <c r="AG257" i="7" s="1"/>
  <c r="Z257" i="7"/>
  <c r="AA257" i="7" s="1"/>
  <c r="T257" i="7"/>
  <c r="BE257" i="7" s="1"/>
  <c r="R257" i="7"/>
  <c r="D257" i="7"/>
  <c r="BH256" i="7"/>
  <c r="BG256" i="7"/>
  <c r="AU256" i="7"/>
  <c r="AP256" i="7"/>
  <c r="AK256" i="7"/>
  <c r="AF256" i="7"/>
  <c r="AG256" i="7" s="1"/>
  <c r="Z256" i="7"/>
  <c r="AA256" i="7" s="1"/>
  <c r="T256" i="7"/>
  <c r="R256" i="7"/>
  <c r="Q256" i="7" s="1"/>
  <c r="D256" i="7"/>
  <c r="BH255" i="7"/>
  <c r="BG255" i="7"/>
  <c r="AU255" i="7"/>
  <c r="AP255" i="7"/>
  <c r="AK255" i="7"/>
  <c r="AF255" i="7"/>
  <c r="AG255" i="7" s="1"/>
  <c r="Z255" i="7"/>
  <c r="AA255" i="7" s="1"/>
  <c r="T255" i="7"/>
  <c r="R255" i="7"/>
  <c r="Q255" i="7" s="1"/>
  <c r="D255" i="7"/>
  <c r="BH254" i="7"/>
  <c r="BG254" i="7"/>
  <c r="AU254" i="7"/>
  <c r="AP254" i="7"/>
  <c r="AK254" i="7"/>
  <c r="AF254" i="7"/>
  <c r="AG254" i="7" s="1"/>
  <c r="Z254" i="7"/>
  <c r="AA254" i="7" s="1"/>
  <c r="T254" i="7"/>
  <c r="BE254" i="7" s="1"/>
  <c r="R254" i="7"/>
  <c r="Q254" i="7" s="1"/>
  <c r="D254" i="7"/>
  <c r="BH253" i="7"/>
  <c r="BG253" i="7"/>
  <c r="AU253" i="7"/>
  <c r="AP253" i="7"/>
  <c r="AK253" i="7"/>
  <c r="AF253" i="7"/>
  <c r="AG253" i="7" s="1"/>
  <c r="Z253" i="7"/>
  <c r="AA253" i="7" s="1"/>
  <c r="T253" i="7"/>
  <c r="BE253" i="7" s="1"/>
  <c r="R253" i="7"/>
  <c r="Q253" i="7" s="1"/>
  <c r="D253" i="7"/>
  <c r="BH252" i="7"/>
  <c r="BG252" i="7"/>
  <c r="AU252" i="7"/>
  <c r="AP252" i="7"/>
  <c r="AK252" i="7"/>
  <c r="AF252" i="7"/>
  <c r="AG252" i="7" s="1"/>
  <c r="Z252" i="7"/>
  <c r="AA252" i="7" s="1"/>
  <c r="T252" i="7"/>
  <c r="U252" i="7" s="1"/>
  <c r="R252" i="7"/>
  <c r="Q252" i="7" s="1"/>
  <c r="D252" i="7"/>
  <c r="BH251" i="7"/>
  <c r="BG251" i="7"/>
  <c r="AU251" i="7"/>
  <c r="AP251" i="7"/>
  <c r="AK251" i="7"/>
  <c r="AF251" i="7"/>
  <c r="AG251" i="7" s="1"/>
  <c r="Z251" i="7"/>
  <c r="AA251" i="7" s="1"/>
  <c r="T251" i="7"/>
  <c r="BE251" i="7" s="1"/>
  <c r="R251" i="7"/>
  <c r="Q251" i="7" s="1"/>
  <c r="D251" i="7"/>
  <c r="BH250" i="7"/>
  <c r="BG250" i="7"/>
  <c r="AU250" i="7"/>
  <c r="AP250" i="7"/>
  <c r="AK250" i="7"/>
  <c r="AF250" i="7"/>
  <c r="AG250" i="7" s="1"/>
  <c r="Z250" i="7"/>
  <c r="AA250" i="7" s="1"/>
  <c r="T250" i="7"/>
  <c r="R250" i="7"/>
  <c r="Q250" i="7" s="1"/>
  <c r="D250" i="7"/>
  <c r="BH249" i="7"/>
  <c r="BG249" i="7"/>
  <c r="AU249" i="7"/>
  <c r="AP249" i="7"/>
  <c r="AK249" i="7"/>
  <c r="AF249" i="7"/>
  <c r="AG249" i="7" s="1"/>
  <c r="Z249" i="7"/>
  <c r="AA249" i="7" s="1"/>
  <c r="T249" i="7"/>
  <c r="U249" i="7" s="1"/>
  <c r="R249" i="7"/>
  <c r="Q249" i="7" s="1"/>
  <c r="D249" i="7"/>
  <c r="BH248" i="7"/>
  <c r="BG248" i="7"/>
  <c r="AU248" i="7"/>
  <c r="AP248" i="7"/>
  <c r="AK248" i="7"/>
  <c r="AF248" i="7"/>
  <c r="AG248" i="7" s="1"/>
  <c r="Z248" i="7"/>
  <c r="AA248" i="7" s="1"/>
  <c r="T248" i="7"/>
  <c r="U248" i="7" s="1"/>
  <c r="R248" i="7"/>
  <c r="Q248" i="7" s="1"/>
  <c r="D248" i="7"/>
  <c r="BH247" i="7"/>
  <c r="BG247" i="7"/>
  <c r="AU247" i="7"/>
  <c r="AF247" i="7"/>
  <c r="AG247" i="7" s="1"/>
  <c r="Z247" i="7"/>
  <c r="T247" i="7"/>
  <c r="R247" i="7"/>
  <c r="D247" i="7"/>
  <c r="BH246" i="7"/>
  <c r="BG246" i="7"/>
  <c r="AU246" i="7"/>
  <c r="AP246" i="7"/>
  <c r="AK246" i="7"/>
  <c r="AF246" i="7"/>
  <c r="Z246" i="7"/>
  <c r="AA246" i="7" s="1"/>
  <c r="T246" i="7"/>
  <c r="U246" i="7" s="1"/>
  <c r="R246" i="7"/>
  <c r="Q246" i="7" s="1"/>
  <c r="D246" i="7"/>
  <c r="BH245" i="7"/>
  <c r="BG245" i="7"/>
  <c r="AU245" i="7"/>
  <c r="AP245" i="7"/>
  <c r="AK245" i="7"/>
  <c r="AF245" i="7"/>
  <c r="Z245" i="7"/>
  <c r="AA245" i="7" s="1"/>
  <c r="T245" i="7"/>
  <c r="R245" i="7"/>
  <c r="D245" i="7"/>
  <c r="BH244" i="7"/>
  <c r="BG244" i="7"/>
  <c r="AU244" i="7"/>
  <c r="AF244" i="7"/>
  <c r="AG244" i="7" s="1"/>
  <c r="Z244" i="7"/>
  <c r="AA244" i="7" s="1"/>
  <c r="T244" i="7"/>
  <c r="U244" i="7" s="1"/>
  <c r="R244" i="7"/>
  <c r="D244" i="7"/>
  <c r="BH243" i="7"/>
  <c r="BG243" i="7"/>
  <c r="AU243" i="7"/>
  <c r="AF243" i="7"/>
  <c r="AG243" i="7" s="1"/>
  <c r="Z243" i="7"/>
  <c r="AA243" i="7" s="1"/>
  <c r="T243" i="7"/>
  <c r="R243" i="7"/>
  <c r="D243" i="7"/>
  <c r="BH242" i="7"/>
  <c r="BG242" i="7"/>
  <c r="AU242" i="7"/>
  <c r="AF242" i="7"/>
  <c r="AG242" i="7" s="1"/>
  <c r="Z242" i="7"/>
  <c r="AA242" i="7" s="1"/>
  <c r="T242" i="7"/>
  <c r="R242" i="7"/>
  <c r="D242" i="7"/>
  <c r="BH241" i="7"/>
  <c r="BG241" i="7"/>
  <c r="AU241" i="7"/>
  <c r="AF241" i="7"/>
  <c r="AG241" i="7" s="1"/>
  <c r="Z241" i="7"/>
  <c r="AA241" i="7" s="1"/>
  <c r="T241" i="7"/>
  <c r="R241" i="7"/>
  <c r="D241" i="7"/>
  <c r="BH240" i="7"/>
  <c r="BG240" i="7"/>
  <c r="AU240" i="7"/>
  <c r="AF240" i="7"/>
  <c r="AG240" i="7" s="1"/>
  <c r="Z240" i="7"/>
  <c r="AA240" i="7" s="1"/>
  <c r="T240" i="7"/>
  <c r="R240" i="7"/>
  <c r="D240" i="7"/>
  <c r="BH239" i="7"/>
  <c r="BG239" i="7"/>
  <c r="AU239" i="7"/>
  <c r="AF239" i="7"/>
  <c r="AG239" i="7" s="1"/>
  <c r="Z239" i="7"/>
  <c r="AA239" i="7" s="1"/>
  <c r="T239" i="7"/>
  <c r="BE239" i="7" s="1"/>
  <c r="R239" i="7"/>
  <c r="D239" i="7"/>
  <c r="BH238" i="7"/>
  <c r="BG238" i="7"/>
  <c r="AU238" i="7"/>
  <c r="AP238" i="7"/>
  <c r="AK238" i="7"/>
  <c r="AF238" i="7"/>
  <c r="AG238" i="7" s="1"/>
  <c r="Z238" i="7"/>
  <c r="T238" i="7"/>
  <c r="R238" i="7"/>
  <c r="Q238" i="7" s="1"/>
  <c r="D238" i="7"/>
  <c r="BH237" i="7"/>
  <c r="BG237" i="7"/>
  <c r="AF237" i="7"/>
  <c r="AG237" i="7" s="1"/>
  <c r="Z237" i="7"/>
  <c r="T237" i="7"/>
  <c r="BE237" i="7" s="1"/>
  <c r="R237" i="7"/>
  <c r="D237" i="7"/>
  <c r="BG236" i="7"/>
  <c r="AU236" i="7"/>
  <c r="AP236" i="7"/>
  <c r="AK236" i="7"/>
  <c r="AF236" i="7"/>
  <c r="AG236" i="7" s="1"/>
  <c r="AD236" i="7"/>
  <c r="AC236" i="7"/>
  <c r="BH236" i="7" s="1"/>
  <c r="Z236" i="7"/>
  <c r="AA236" i="7" s="1"/>
  <c r="T236" i="7"/>
  <c r="U236" i="7" s="1"/>
  <c r="R236" i="7"/>
  <c r="Q236" i="7" s="1"/>
  <c r="D236" i="7"/>
  <c r="BG235" i="7"/>
  <c r="AU235" i="7"/>
  <c r="AP235" i="7"/>
  <c r="AK235" i="7"/>
  <c r="AF235" i="7"/>
  <c r="AG235" i="7" s="1"/>
  <c r="AD235" i="7"/>
  <c r="AC235" i="7"/>
  <c r="Z235" i="7"/>
  <c r="AA235" i="7" s="1"/>
  <c r="T235" i="7"/>
  <c r="U235" i="7" s="1"/>
  <c r="R235" i="7"/>
  <c r="Q235" i="7" s="1"/>
  <c r="D235" i="7"/>
  <c r="BG234" i="7"/>
  <c r="AU234" i="7"/>
  <c r="AP234" i="7"/>
  <c r="AK234" i="7"/>
  <c r="AF234" i="7"/>
  <c r="AG234" i="7" s="1"/>
  <c r="AD234" i="7"/>
  <c r="AC234" i="7"/>
  <c r="Z234" i="7"/>
  <c r="AA234" i="7" s="1"/>
  <c r="T234" i="7"/>
  <c r="U234" i="7" s="1"/>
  <c r="R234" i="7"/>
  <c r="Q234" i="7" s="1"/>
  <c r="D234" i="7"/>
  <c r="BG233" i="7"/>
  <c r="AU233" i="7"/>
  <c r="AP233" i="7"/>
  <c r="AK233" i="7"/>
  <c r="AF233" i="7"/>
  <c r="AG233" i="7" s="1"/>
  <c r="AD233" i="7"/>
  <c r="AC233" i="7"/>
  <c r="Z233" i="7"/>
  <c r="AA233" i="7" s="1"/>
  <c r="T233" i="7"/>
  <c r="U233" i="7" s="1"/>
  <c r="R233" i="7"/>
  <c r="Q233" i="7" s="1"/>
  <c r="D233" i="7"/>
  <c r="BG232" i="7"/>
  <c r="AU232" i="7"/>
  <c r="AP232" i="7"/>
  <c r="AK232" i="7"/>
  <c r="AF232" i="7"/>
  <c r="AG232" i="7" s="1"/>
  <c r="AD232" i="7"/>
  <c r="AC232" i="7"/>
  <c r="Z232" i="7"/>
  <c r="AA232" i="7" s="1"/>
  <c r="T232" i="7"/>
  <c r="R232" i="7"/>
  <c r="Q232" i="7" s="1"/>
  <c r="D232" i="7"/>
  <c r="BG231" i="7"/>
  <c r="AU231" i="7"/>
  <c r="AP231" i="7"/>
  <c r="AK231" i="7"/>
  <c r="AF231" i="7"/>
  <c r="AG231" i="7" s="1"/>
  <c r="AD231" i="7"/>
  <c r="AC231" i="7"/>
  <c r="Z231" i="7"/>
  <c r="T231" i="7"/>
  <c r="BE231" i="7" s="1"/>
  <c r="R231" i="7"/>
  <c r="D231" i="7"/>
  <c r="BG230" i="7"/>
  <c r="AU230" i="7"/>
  <c r="AP230" i="7"/>
  <c r="AK230" i="7"/>
  <c r="AF230" i="7"/>
  <c r="AG230" i="7" s="1"/>
  <c r="AD230" i="7"/>
  <c r="AC230" i="7"/>
  <c r="BH230" i="7" s="1"/>
  <c r="Z230" i="7"/>
  <c r="AA230" i="7" s="1"/>
  <c r="T230" i="7"/>
  <c r="BE230" i="7" s="1"/>
  <c r="R230" i="7"/>
  <c r="D230" i="7"/>
  <c r="BG229" i="7"/>
  <c r="AU229" i="7"/>
  <c r="AP229" i="7"/>
  <c r="AK229" i="7"/>
  <c r="AF229" i="7"/>
  <c r="AG229" i="7" s="1"/>
  <c r="AD229" i="7"/>
  <c r="AC229" i="7"/>
  <c r="BH229" i="7" s="1"/>
  <c r="Z229" i="7"/>
  <c r="AA229" i="7" s="1"/>
  <c r="T229" i="7"/>
  <c r="R229" i="7"/>
  <c r="D229" i="7"/>
  <c r="BG228" i="7"/>
  <c r="AU228" i="7"/>
  <c r="AP228" i="7"/>
  <c r="AK228" i="7"/>
  <c r="AF228" i="7"/>
  <c r="AG228" i="7" s="1"/>
  <c r="AD228" i="7"/>
  <c r="AC228" i="7"/>
  <c r="BH228" i="7" s="1"/>
  <c r="Z228" i="7"/>
  <c r="AA228" i="7" s="1"/>
  <c r="T228" i="7"/>
  <c r="R228" i="7"/>
  <c r="D228" i="7"/>
  <c r="BG227" i="7"/>
  <c r="AU227" i="7"/>
  <c r="AP227" i="7"/>
  <c r="AK227" i="7"/>
  <c r="AF227" i="7"/>
  <c r="AG227" i="7" s="1"/>
  <c r="AD227" i="7"/>
  <c r="AC227" i="7"/>
  <c r="Z227" i="7"/>
  <c r="AA227" i="7" s="1"/>
  <c r="T227" i="7"/>
  <c r="BE227" i="7" s="1"/>
  <c r="R227" i="7"/>
  <c r="D227" i="7"/>
  <c r="BG226" i="7"/>
  <c r="AU226" i="7"/>
  <c r="AP226" i="7"/>
  <c r="AK226" i="7"/>
  <c r="AF226" i="7"/>
  <c r="AG226" i="7" s="1"/>
  <c r="AD226" i="7"/>
  <c r="AC226" i="7"/>
  <c r="Z226" i="7"/>
  <c r="AA226" i="7" s="1"/>
  <c r="T226" i="7"/>
  <c r="BE226" i="7" s="1"/>
  <c r="R226" i="7"/>
  <c r="D226" i="7"/>
  <c r="BG225" i="7"/>
  <c r="AU225" i="7"/>
  <c r="AP225" i="7"/>
  <c r="AK225" i="7"/>
  <c r="AF225" i="7"/>
  <c r="AG225" i="7" s="1"/>
  <c r="AD225" i="7"/>
  <c r="AC225" i="7"/>
  <c r="BH225" i="7" s="1"/>
  <c r="Z225" i="7"/>
  <c r="AA225" i="7" s="1"/>
  <c r="T225" i="7"/>
  <c r="U225" i="7" s="1"/>
  <c r="R225" i="7"/>
  <c r="Q225" i="7" s="1"/>
  <c r="D225" i="7"/>
  <c r="BG224" i="7"/>
  <c r="AU224" i="7"/>
  <c r="AP224" i="7"/>
  <c r="AK224" i="7"/>
  <c r="AF224" i="7"/>
  <c r="AG224" i="7" s="1"/>
  <c r="AD224" i="7"/>
  <c r="AC224" i="7"/>
  <c r="Z224" i="7"/>
  <c r="AA224" i="7" s="1"/>
  <c r="T224" i="7"/>
  <c r="R224" i="7"/>
  <c r="Q224" i="7" s="1"/>
  <c r="D224" i="7"/>
  <c r="BG223" i="7"/>
  <c r="AU223" i="7"/>
  <c r="AP223" i="7"/>
  <c r="AK223" i="7"/>
  <c r="AF223" i="7"/>
  <c r="AG223" i="7" s="1"/>
  <c r="AD223" i="7"/>
  <c r="AC223" i="7"/>
  <c r="Z223" i="7"/>
  <c r="AA223" i="7" s="1"/>
  <c r="T223" i="7"/>
  <c r="U223" i="7" s="1"/>
  <c r="R223" i="7"/>
  <c r="D223" i="7"/>
  <c r="BG222" i="7"/>
  <c r="AU222" i="7"/>
  <c r="AP222" i="7"/>
  <c r="AK222" i="7"/>
  <c r="AF222" i="7"/>
  <c r="AG222" i="7" s="1"/>
  <c r="AD222" i="7"/>
  <c r="AC222" i="7"/>
  <c r="Z222" i="7"/>
  <c r="AA222" i="7" s="1"/>
  <c r="T222" i="7"/>
  <c r="BE222" i="7" s="1"/>
  <c r="R222" i="7"/>
  <c r="D222" i="7"/>
  <c r="BG221" i="7"/>
  <c r="AU221" i="7"/>
  <c r="AP221" i="7"/>
  <c r="AK221" i="7"/>
  <c r="AF221" i="7"/>
  <c r="AG221" i="7" s="1"/>
  <c r="AD221" i="7"/>
  <c r="AC221" i="7"/>
  <c r="Z221" i="7"/>
  <c r="AA221" i="7" s="1"/>
  <c r="T221" i="7"/>
  <c r="R221" i="7"/>
  <c r="D221" i="7"/>
  <c r="BI220" i="7"/>
  <c r="BH220" i="7"/>
  <c r="BG220" i="7"/>
  <c r="BF220" i="7"/>
  <c r="BE220" i="7"/>
  <c r="AU220" i="7"/>
  <c r="AP220" i="7"/>
  <c r="AK220" i="7"/>
  <c r="AF220" i="7"/>
  <c r="AG220" i="7" s="1"/>
  <c r="AD220" i="7"/>
  <c r="AC220" i="7"/>
  <c r="Z220" i="7"/>
  <c r="AA220" i="7" s="1"/>
  <c r="T220" i="7"/>
  <c r="U220" i="7" s="1"/>
  <c r="R220" i="7"/>
  <c r="Q220" i="7" s="1"/>
  <c r="D220" i="7"/>
  <c r="BH219" i="7"/>
  <c r="BG219" i="7"/>
  <c r="AU219" i="7"/>
  <c r="AP219" i="7"/>
  <c r="AK219" i="7"/>
  <c r="AF219" i="7"/>
  <c r="AG219" i="7" s="1"/>
  <c r="Z219" i="7"/>
  <c r="AA219" i="7" s="1"/>
  <c r="T219" i="7"/>
  <c r="U219" i="7" s="1"/>
  <c r="R219" i="7"/>
  <c r="D219" i="7"/>
  <c r="BH218" i="7"/>
  <c r="BG218" i="7"/>
  <c r="AU218" i="7"/>
  <c r="AP218" i="7"/>
  <c r="AK218" i="7"/>
  <c r="AF218" i="7"/>
  <c r="AG218" i="7" s="1"/>
  <c r="Z218" i="7"/>
  <c r="AA218" i="7" s="1"/>
  <c r="T218" i="7"/>
  <c r="R218" i="7"/>
  <c r="D218" i="7"/>
  <c r="BH217" i="7"/>
  <c r="BG217" i="7"/>
  <c r="AU217" i="7"/>
  <c r="AP217" i="7"/>
  <c r="AK217" i="7"/>
  <c r="AF217" i="7"/>
  <c r="AG217" i="7" s="1"/>
  <c r="Z217" i="7"/>
  <c r="AA217" i="7" s="1"/>
  <c r="T217" i="7"/>
  <c r="U217" i="7" s="1"/>
  <c r="R217" i="7"/>
  <c r="D217" i="7"/>
  <c r="BH216" i="7"/>
  <c r="BG216" i="7"/>
  <c r="AU216" i="7"/>
  <c r="AP216" i="7"/>
  <c r="AK216" i="7"/>
  <c r="AF216" i="7"/>
  <c r="AG216" i="7" s="1"/>
  <c r="Z216" i="7"/>
  <c r="AA216" i="7" s="1"/>
  <c r="T216" i="7"/>
  <c r="BE216" i="7" s="1"/>
  <c r="R216" i="7"/>
  <c r="D216" i="7"/>
  <c r="BH215" i="7"/>
  <c r="BG215" i="7"/>
  <c r="AU215" i="7"/>
  <c r="AP215" i="7"/>
  <c r="AK215" i="7"/>
  <c r="AF215" i="7"/>
  <c r="AG215" i="7" s="1"/>
  <c r="Z215" i="7"/>
  <c r="AA215" i="7" s="1"/>
  <c r="T215" i="7"/>
  <c r="U215" i="7" s="1"/>
  <c r="R215" i="7"/>
  <c r="D215" i="7"/>
  <c r="BH214" i="7"/>
  <c r="BG214" i="7"/>
  <c r="AU214" i="7"/>
  <c r="AP214" i="7"/>
  <c r="AK214" i="7"/>
  <c r="AF214" i="7"/>
  <c r="AG214" i="7" s="1"/>
  <c r="Z214" i="7"/>
  <c r="AA214" i="7" s="1"/>
  <c r="T214" i="7"/>
  <c r="U214" i="7" s="1"/>
  <c r="R214" i="7"/>
  <c r="D214" i="7"/>
  <c r="BG213" i="7"/>
  <c r="AU213" i="7"/>
  <c r="AP213" i="7"/>
  <c r="AK213" i="7"/>
  <c r="AF213" i="7"/>
  <c r="AG213" i="7" s="1"/>
  <c r="AD213" i="7"/>
  <c r="AC213" i="7"/>
  <c r="Z213" i="7"/>
  <c r="AA213" i="7" s="1"/>
  <c r="T213" i="7"/>
  <c r="R213" i="7"/>
  <c r="D213" i="7"/>
  <c r="BG212" i="7"/>
  <c r="AU212" i="7"/>
  <c r="AP212" i="7"/>
  <c r="AK212" i="7"/>
  <c r="AF212" i="7"/>
  <c r="AG212" i="7" s="1"/>
  <c r="AD212" i="7"/>
  <c r="AC212" i="7"/>
  <c r="BH212" i="7" s="1"/>
  <c r="Z212" i="7"/>
  <c r="AA212" i="7" s="1"/>
  <c r="T212" i="7"/>
  <c r="U212" i="7" s="1"/>
  <c r="R212" i="7"/>
  <c r="D212" i="7"/>
  <c r="BH211" i="7"/>
  <c r="BG211" i="7"/>
  <c r="AU211" i="7"/>
  <c r="AP211" i="7"/>
  <c r="AK211" i="7"/>
  <c r="AF211" i="7"/>
  <c r="AG211" i="7" s="1"/>
  <c r="Z211" i="7"/>
  <c r="AA211" i="7" s="1"/>
  <c r="T211" i="7"/>
  <c r="R211" i="7"/>
  <c r="D211" i="7"/>
  <c r="BH210" i="7"/>
  <c r="BG210" i="7"/>
  <c r="AU210" i="7"/>
  <c r="AP210" i="7"/>
  <c r="AK210" i="7"/>
  <c r="AF210" i="7"/>
  <c r="AG210" i="7" s="1"/>
  <c r="Z210" i="7"/>
  <c r="AA210" i="7" s="1"/>
  <c r="T210" i="7"/>
  <c r="BE210" i="7" s="1"/>
  <c r="R210" i="7"/>
  <c r="D210" i="7"/>
  <c r="BH209" i="7"/>
  <c r="BG209" i="7"/>
  <c r="AU209" i="7"/>
  <c r="AP209" i="7"/>
  <c r="AK209" i="7"/>
  <c r="AF209" i="7"/>
  <c r="AG209" i="7" s="1"/>
  <c r="Z209" i="7"/>
  <c r="AA209" i="7" s="1"/>
  <c r="T209" i="7"/>
  <c r="BE209" i="7" s="1"/>
  <c r="R209" i="7"/>
  <c r="D209" i="7"/>
  <c r="BH208" i="7"/>
  <c r="BG208" i="7"/>
  <c r="AU208" i="7"/>
  <c r="AP208" i="7"/>
  <c r="AK208" i="7"/>
  <c r="AF208" i="7"/>
  <c r="AG208" i="7" s="1"/>
  <c r="Z208" i="7"/>
  <c r="AA208" i="7" s="1"/>
  <c r="T208" i="7"/>
  <c r="U208" i="7" s="1"/>
  <c r="R208" i="7"/>
  <c r="D208" i="7"/>
  <c r="BH207" i="7"/>
  <c r="BG207" i="7"/>
  <c r="AU207" i="7"/>
  <c r="AF207" i="7"/>
  <c r="AG207" i="7" s="1"/>
  <c r="Z207" i="7"/>
  <c r="AA207" i="7" s="1"/>
  <c r="T207" i="7"/>
  <c r="U207" i="7" s="1"/>
  <c r="R207" i="7"/>
  <c r="D207" i="7"/>
  <c r="BH206" i="7"/>
  <c r="BG206" i="7"/>
  <c r="AU206" i="7"/>
  <c r="AP206" i="7"/>
  <c r="AF206" i="7"/>
  <c r="AG206" i="7" s="1"/>
  <c r="Z206" i="7"/>
  <c r="AA206" i="7" s="1"/>
  <c r="T206" i="7"/>
  <c r="BE206" i="7" s="1"/>
  <c r="R206" i="7"/>
  <c r="D206" i="7"/>
  <c r="BH205" i="7"/>
  <c r="BG205" i="7"/>
  <c r="AU205" i="7"/>
  <c r="AP205" i="7"/>
  <c r="AF205" i="7"/>
  <c r="AG205" i="7" s="1"/>
  <c r="Z205" i="7"/>
  <c r="AA205" i="7" s="1"/>
  <c r="T205" i="7"/>
  <c r="U205" i="7" s="1"/>
  <c r="R205" i="7"/>
  <c r="Q205" i="7" s="1"/>
  <c r="D205" i="7"/>
  <c r="BH204" i="7"/>
  <c r="BG204" i="7"/>
  <c r="AU204" i="7"/>
  <c r="AP204" i="7"/>
  <c r="AK204" i="7"/>
  <c r="AF204" i="7"/>
  <c r="AG204" i="7" s="1"/>
  <c r="Z204" i="7"/>
  <c r="AA204" i="7" s="1"/>
  <c r="T204" i="7"/>
  <c r="U204" i="7" s="1"/>
  <c r="D204" i="7"/>
  <c r="BH203" i="7"/>
  <c r="BG203" i="7"/>
  <c r="AU203" i="7"/>
  <c r="AP203" i="7"/>
  <c r="AK203" i="7"/>
  <c r="AF203" i="7"/>
  <c r="AG203" i="7" s="1"/>
  <c r="Z203" i="7"/>
  <c r="AA203" i="7" s="1"/>
  <c r="T203" i="7"/>
  <c r="U203" i="7" s="1"/>
  <c r="R203" i="7"/>
  <c r="D203" i="7"/>
  <c r="BH202" i="7"/>
  <c r="BG202" i="7"/>
  <c r="AU202" i="7"/>
  <c r="AP202" i="7"/>
  <c r="AK202" i="7"/>
  <c r="AF202" i="7"/>
  <c r="AG202" i="7" s="1"/>
  <c r="Z202" i="7"/>
  <c r="AA202" i="7" s="1"/>
  <c r="T202" i="7"/>
  <c r="U202" i="7" s="1"/>
  <c r="D202" i="7"/>
  <c r="BH201" i="7"/>
  <c r="BG201" i="7"/>
  <c r="AU201" i="7"/>
  <c r="AP201" i="7"/>
  <c r="AK201" i="7"/>
  <c r="AF201" i="7"/>
  <c r="AG201" i="7" s="1"/>
  <c r="Z201" i="7"/>
  <c r="AA201" i="7" s="1"/>
  <c r="T201" i="7"/>
  <c r="U201" i="7" s="1"/>
  <c r="R201" i="7"/>
  <c r="Q201" i="7" s="1"/>
  <c r="D201" i="7"/>
  <c r="BH200" i="7"/>
  <c r="BG200" i="7"/>
  <c r="AU200" i="7"/>
  <c r="AP200" i="7"/>
  <c r="AK200" i="7"/>
  <c r="AF200" i="7"/>
  <c r="AG200" i="7" s="1"/>
  <c r="Z200" i="7"/>
  <c r="AA200" i="7" s="1"/>
  <c r="T200" i="7"/>
  <c r="BE200" i="7" s="1"/>
  <c r="R200" i="7"/>
  <c r="Q200" i="7" s="1"/>
  <c r="D200" i="7"/>
  <c r="BH199" i="7"/>
  <c r="BG199" i="7"/>
  <c r="AU199" i="7"/>
  <c r="AP199" i="7"/>
  <c r="AK199" i="7"/>
  <c r="AF199" i="7"/>
  <c r="AG199" i="7" s="1"/>
  <c r="Z199" i="7"/>
  <c r="AA199" i="7" s="1"/>
  <c r="T199" i="7"/>
  <c r="R199" i="7"/>
  <c r="D199" i="7"/>
  <c r="BH198" i="7"/>
  <c r="BG198" i="7"/>
  <c r="AU198" i="7"/>
  <c r="AP198" i="7"/>
  <c r="AK198" i="7"/>
  <c r="AF198" i="7"/>
  <c r="AG198" i="7" s="1"/>
  <c r="Z198" i="7"/>
  <c r="AA198" i="7" s="1"/>
  <c r="T198" i="7"/>
  <c r="BE198" i="7" s="1"/>
  <c r="R198" i="7"/>
  <c r="Q198" i="7" s="1"/>
  <c r="D198" i="7"/>
  <c r="BH197" i="7"/>
  <c r="BG197" i="7"/>
  <c r="AU197" i="7"/>
  <c r="AP197" i="7"/>
  <c r="AK197" i="7"/>
  <c r="AF197" i="7"/>
  <c r="AG197" i="7" s="1"/>
  <c r="Z197" i="7"/>
  <c r="AA197" i="7" s="1"/>
  <c r="T197" i="7"/>
  <c r="BE197" i="7" s="1"/>
  <c r="R197" i="7"/>
  <c r="Q197" i="7" s="1"/>
  <c r="D197" i="7"/>
  <c r="BH196" i="7"/>
  <c r="BG196" i="7"/>
  <c r="AU196" i="7"/>
  <c r="AP196" i="7"/>
  <c r="AK196" i="7"/>
  <c r="AF196" i="7"/>
  <c r="AG196" i="7" s="1"/>
  <c r="Z196" i="7"/>
  <c r="AA196" i="7" s="1"/>
  <c r="T196" i="7"/>
  <c r="BE196" i="7" s="1"/>
  <c r="R196" i="7"/>
  <c r="Q196" i="7" s="1"/>
  <c r="D196" i="7"/>
  <c r="BH195" i="7"/>
  <c r="BG195" i="7"/>
  <c r="AU195" i="7"/>
  <c r="AP195" i="7"/>
  <c r="AK195" i="7"/>
  <c r="AF195" i="7"/>
  <c r="AG195" i="7" s="1"/>
  <c r="Z195" i="7"/>
  <c r="AA195" i="7" s="1"/>
  <c r="T195" i="7"/>
  <c r="R195" i="7"/>
  <c r="D195" i="7"/>
  <c r="BH194" i="7"/>
  <c r="BG194" i="7"/>
  <c r="AU194" i="7"/>
  <c r="AP194" i="7"/>
  <c r="AK194" i="7"/>
  <c r="AF194" i="7"/>
  <c r="AG194" i="7" s="1"/>
  <c r="Z194" i="7"/>
  <c r="AA194" i="7" s="1"/>
  <c r="T194" i="7"/>
  <c r="BE194" i="7" s="1"/>
  <c r="R194" i="7"/>
  <c r="Q194" i="7" s="1"/>
  <c r="D194" i="7"/>
  <c r="BH193" i="7"/>
  <c r="BG193" i="7"/>
  <c r="AU193" i="7"/>
  <c r="AP193" i="7"/>
  <c r="AK193" i="7"/>
  <c r="AF193" i="7"/>
  <c r="AG193" i="7" s="1"/>
  <c r="Z193" i="7"/>
  <c r="AA193" i="7" s="1"/>
  <c r="T193" i="7"/>
  <c r="U193" i="7" s="1"/>
  <c r="R193" i="7"/>
  <c r="Q193" i="7" s="1"/>
  <c r="D193" i="7"/>
  <c r="BH192" i="7"/>
  <c r="BG192" i="7"/>
  <c r="AU192" i="7"/>
  <c r="AP192" i="7"/>
  <c r="AK192" i="7"/>
  <c r="AF192" i="7"/>
  <c r="AG192" i="7" s="1"/>
  <c r="Z192" i="7"/>
  <c r="AA192" i="7" s="1"/>
  <c r="T192" i="7"/>
  <c r="U192" i="7" s="1"/>
  <c r="R192" i="7"/>
  <c r="D192" i="7"/>
  <c r="BH191" i="7"/>
  <c r="BG191" i="7"/>
  <c r="AU191" i="7"/>
  <c r="AP191" i="7"/>
  <c r="AK191" i="7"/>
  <c r="AF191" i="7"/>
  <c r="AG191" i="7" s="1"/>
  <c r="Z191" i="7"/>
  <c r="AA191" i="7" s="1"/>
  <c r="T191" i="7"/>
  <c r="R191" i="7"/>
  <c r="Q191" i="7" s="1"/>
  <c r="D191" i="7"/>
  <c r="BH190" i="7"/>
  <c r="BG190" i="7"/>
  <c r="AU190" i="7"/>
  <c r="AP190" i="7"/>
  <c r="AK190" i="7"/>
  <c r="AF190" i="7"/>
  <c r="AG190" i="7" s="1"/>
  <c r="Z190" i="7"/>
  <c r="AA190" i="7" s="1"/>
  <c r="T190" i="7"/>
  <c r="U190" i="7" s="1"/>
  <c r="R190" i="7"/>
  <c r="Q190" i="7" s="1"/>
  <c r="D190" i="7"/>
  <c r="BH189" i="7"/>
  <c r="BG189" i="7"/>
  <c r="AU189" i="7"/>
  <c r="AP189" i="7"/>
  <c r="AK189" i="7"/>
  <c r="AF189" i="7"/>
  <c r="AG189" i="7" s="1"/>
  <c r="Z189" i="7"/>
  <c r="AA189" i="7" s="1"/>
  <c r="T189" i="7"/>
  <c r="U189" i="7" s="1"/>
  <c r="R189" i="7"/>
  <c r="Q189" i="7" s="1"/>
  <c r="D189" i="7"/>
  <c r="BH188" i="7"/>
  <c r="BG188" i="7"/>
  <c r="AU188" i="7"/>
  <c r="AP188" i="7"/>
  <c r="AK188" i="7"/>
  <c r="AF188" i="7"/>
  <c r="AG188" i="7" s="1"/>
  <c r="Z188" i="7"/>
  <c r="AA188" i="7" s="1"/>
  <c r="T188" i="7"/>
  <c r="BE188" i="7" s="1"/>
  <c r="R188" i="7"/>
  <c r="D188" i="7"/>
  <c r="BH187" i="7"/>
  <c r="BG187" i="7"/>
  <c r="AU187" i="7"/>
  <c r="AP187" i="7"/>
  <c r="AK187" i="7"/>
  <c r="AF187" i="7"/>
  <c r="AG187" i="7" s="1"/>
  <c r="Z187" i="7"/>
  <c r="AA187" i="7" s="1"/>
  <c r="T187" i="7"/>
  <c r="U187" i="7" s="1"/>
  <c r="R187" i="7"/>
  <c r="D187" i="7"/>
  <c r="BH186" i="7"/>
  <c r="BG186" i="7"/>
  <c r="AU186" i="7"/>
  <c r="AP186" i="7"/>
  <c r="AK186" i="7"/>
  <c r="AF186" i="7"/>
  <c r="AG186" i="7" s="1"/>
  <c r="Z186" i="7"/>
  <c r="AA186" i="7" s="1"/>
  <c r="T186" i="7"/>
  <c r="U186" i="7" s="1"/>
  <c r="D186" i="7"/>
  <c r="BH185" i="7"/>
  <c r="BG185" i="7"/>
  <c r="AU185" i="7"/>
  <c r="AF185" i="7"/>
  <c r="AG185" i="7" s="1"/>
  <c r="Z185" i="7"/>
  <c r="AA185" i="7" s="1"/>
  <c r="T185" i="7"/>
  <c r="BE185" i="7" s="1"/>
  <c r="R185" i="7"/>
  <c r="D185" i="7"/>
  <c r="BH184" i="7"/>
  <c r="BG184" i="7"/>
  <c r="AU184" i="7"/>
  <c r="AP184" i="7"/>
  <c r="AK184" i="7"/>
  <c r="AF184" i="7"/>
  <c r="AG184" i="7" s="1"/>
  <c r="Z184" i="7"/>
  <c r="AA184" i="7" s="1"/>
  <c r="T184" i="7"/>
  <c r="BE184" i="7" s="1"/>
  <c r="R184" i="7"/>
  <c r="Q184" i="7" s="1"/>
  <c r="D184" i="7"/>
  <c r="BH183" i="7"/>
  <c r="BG183" i="7"/>
  <c r="AU183" i="7"/>
  <c r="AP183" i="7"/>
  <c r="AK183" i="7"/>
  <c r="AF183" i="7"/>
  <c r="AG183" i="7" s="1"/>
  <c r="Z183" i="7"/>
  <c r="AA183" i="7" s="1"/>
  <c r="T183" i="7"/>
  <c r="R183" i="7"/>
  <c r="D183" i="7"/>
  <c r="BH182" i="7"/>
  <c r="BG182" i="7"/>
  <c r="AU182" i="7"/>
  <c r="AP182" i="7"/>
  <c r="AK182" i="7"/>
  <c r="AF182" i="7"/>
  <c r="AG182" i="7" s="1"/>
  <c r="Z182" i="7"/>
  <c r="AA182" i="7" s="1"/>
  <c r="T182" i="7"/>
  <c r="U182" i="7" s="1"/>
  <c r="R182" i="7"/>
  <c r="Q182" i="7" s="1"/>
  <c r="D182" i="7"/>
  <c r="BH181" i="7"/>
  <c r="BG181" i="7"/>
  <c r="AU181" i="7"/>
  <c r="AP181" i="7"/>
  <c r="AK181" i="7"/>
  <c r="AF181" i="7"/>
  <c r="AG181" i="7" s="1"/>
  <c r="Z181" i="7"/>
  <c r="AA181" i="7" s="1"/>
  <c r="T181" i="7"/>
  <c r="BE181" i="7" s="1"/>
  <c r="R181" i="7"/>
  <c r="D181" i="7"/>
  <c r="BH180" i="7"/>
  <c r="BG180" i="7"/>
  <c r="AU180" i="7"/>
  <c r="AP180" i="7"/>
  <c r="AK180" i="7"/>
  <c r="AF180" i="7"/>
  <c r="AG180" i="7" s="1"/>
  <c r="Z180" i="7"/>
  <c r="AA180" i="7" s="1"/>
  <c r="T180" i="7"/>
  <c r="U180" i="7" s="1"/>
  <c r="R180" i="7"/>
  <c r="Q180" i="7" s="1"/>
  <c r="D180" i="7"/>
  <c r="BH179" i="7"/>
  <c r="BG179" i="7"/>
  <c r="AU179" i="7"/>
  <c r="AF179" i="7"/>
  <c r="AG179" i="7" s="1"/>
  <c r="Z179" i="7"/>
  <c r="AA179" i="7" s="1"/>
  <c r="T179" i="7"/>
  <c r="R179" i="7"/>
  <c r="D179" i="7"/>
  <c r="BH178" i="7"/>
  <c r="BG178" i="7"/>
  <c r="AU178" i="7"/>
  <c r="AP178" i="7"/>
  <c r="AK178" i="7"/>
  <c r="AF178" i="7"/>
  <c r="AG178" i="7" s="1"/>
  <c r="Z178" i="7"/>
  <c r="AA178" i="7" s="1"/>
  <c r="T178" i="7"/>
  <c r="BE178" i="7" s="1"/>
  <c r="R178" i="7"/>
  <c r="Q178" i="7" s="1"/>
  <c r="D178" i="7"/>
  <c r="BH177" i="7"/>
  <c r="BG177" i="7"/>
  <c r="AU177" i="7"/>
  <c r="AF177" i="7"/>
  <c r="AG177" i="7" s="1"/>
  <c r="Z177" i="7"/>
  <c r="AA177" i="7" s="1"/>
  <c r="T177" i="7"/>
  <c r="BE177" i="7" s="1"/>
  <c r="R177" i="7"/>
  <c r="D177" i="7"/>
  <c r="BI176" i="7"/>
  <c r="BH176" i="7"/>
  <c r="BG176" i="7"/>
  <c r="BF176" i="7"/>
  <c r="BE176" i="7"/>
  <c r="AU176" i="7"/>
  <c r="AP176" i="7"/>
  <c r="AK176" i="7"/>
  <c r="AF176" i="7"/>
  <c r="AG176" i="7" s="1"/>
  <c r="Z176" i="7"/>
  <c r="AA176" i="7" s="1"/>
  <c r="T176" i="7"/>
  <c r="U176" i="7" s="1"/>
  <c r="R176" i="7"/>
  <c r="Q176" i="7" s="1"/>
  <c r="D176" i="7"/>
  <c r="BH175" i="7"/>
  <c r="BG175" i="7"/>
  <c r="AU175" i="7"/>
  <c r="AP175" i="7"/>
  <c r="AK175" i="7"/>
  <c r="AF175" i="7"/>
  <c r="AG175" i="7" s="1"/>
  <c r="Z175" i="7"/>
  <c r="AA175" i="7" s="1"/>
  <c r="T175" i="7"/>
  <c r="D175" i="7"/>
  <c r="BH174" i="7"/>
  <c r="BG174" i="7"/>
  <c r="AU174" i="7"/>
  <c r="AP174" i="7"/>
  <c r="AK174" i="7"/>
  <c r="AF174" i="7"/>
  <c r="AG174" i="7" s="1"/>
  <c r="Z174" i="7"/>
  <c r="AA174" i="7" s="1"/>
  <c r="T174" i="7"/>
  <c r="U174" i="7" s="1"/>
  <c r="R174" i="7"/>
  <c r="D174" i="7"/>
  <c r="BH173" i="7"/>
  <c r="BG173" i="7"/>
  <c r="AU173" i="7"/>
  <c r="AP173" i="7"/>
  <c r="AK173" i="7"/>
  <c r="AF173" i="7"/>
  <c r="AG173" i="7" s="1"/>
  <c r="Z173" i="7"/>
  <c r="AA173" i="7" s="1"/>
  <c r="T173" i="7"/>
  <c r="U173" i="7" s="1"/>
  <c r="R173" i="7"/>
  <c r="Q173" i="7"/>
  <c r="D173" i="7"/>
  <c r="BH172" i="7"/>
  <c r="BG172" i="7"/>
  <c r="AU172" i="7"/>
  <c r="AP172" i="7"/>
  <c r="AK172" i="7"/>
  <c r="AF172" i="7"/>
  <c r="AG172" i="7" s="1"/>
  <c r="Z172" i="7"/>
  <c r="AA172" i="7" s="1"/>
  <c r="T172" i="7"/>
  <c r="BE172" i="7" s="1"/>
  <c r="R172" i="7"/>
  <c r="Q172" i="7"/>
  <c r="D172" i="7"/>
  <c r="BH171" i="7"/>
  <c r="BG171" i="7"/>
  <c r="AU171" i="7"/>
  <c r="AP171" i="7"/>
  <c r="AK171" i="7"/>
  <c r="AF171" i="7"/>
  <c r="AG171" i="7" s="1"/>
  <c r="Z171" i="7"/>
  <c r="AA171" i="7" s="1"/>
  <c r="T171" i="7"/>
  <c r="U171" i="7" s="1"/>
  <c r="R171" i="7"/>
  <c r="Q171" i="7"/>
  <c r="D171" i="7"/>
  <c r="BH170" i="7"/>
  <c r="BG170" i="7"/>
  <c r="AU170" i="7"/>
  <c r="AP170" i="7"/>
  <c r="AK170" i="7"/>
  <c r="AF170" i="7"/>
  <c r="AG170" i="7" s="1"/>
  <c r="Z170" i="7"/>
  <c r="AA170" i="7" s="1"/>
  <c r="T170" i="7"/>
  <c r="U170" i="7" s="1"/>
  <c r="R170" i="7"/>
  <c r="D170" i="7"/>
  <c r="BH169" i="7"/>
  <c r="BG169" i="7"/>
  <c r="AU169" i="7"/>
  <c r="AP169" i="7"/>
  <c r="AK169" i="7"/>
  <c r="AF169" i="7"/>
  <c r="AG169" i="7" s="1"/>
  <c r="Z169" i="7"/>
  <c r="AA169" i="7" s="1"/>
  <c r="T169" i="7"/>
  <c r="U169" i="7" s="1"/>
  <c r="R169" i="7"/>
  <c r="D169" i="7"/>
  <c r="BH168" i="7"/>
  <c r="BG168" i="7"/>
  <c r="AU168" i="7"/>
  <c r="AP168" i="7"/>
  <c r="AK168" i="7"/>
  <c r="AF168" i="7"/>
  <c r="AG168" i="7" s="1"/>
  <c r="Z168" i="7"/>
  <c r="AA168" i="7" s="1"/>
  <c r="T168" i="7"/>
  <c r="BE168" i="7" s="1"/>
  <c r="R168" i="7"/>
  <c r="D168" i="7"/>
  <c r="BH167" i="7"/>
  <c r="BG167" i="7"/>
  <c r="AU167" i="7"/>
  <c r="AP167" i="7"/>
  <c r="AK167" i="7"/>
  <c r="AG167" i="7"/>
  <c r="Z167" i="7"/>
  <c r="AA167" i="7" s="1"/>
  <c r="T167" i="7"/>
  <c r="BE167" i="7" s="1"/>
  <c r="R167" i="7"/>
  <c r="D167" i="7"/>
  <c r="BH166" i="7"/>
  <c r="BG166" i="7"/>
  <c r="AU166" i="7"/>
  <c r="AP166" i="7"/>
  <c r="AK166" i="7"/>
  <c r="AF166" i="7"/>
  <c r="AG166" i="7" s="1"/>
  <c r="Z166" i="7"/>
  <c r="AA166" i="7" s="1"/>
  <c r="T166" i="7"/>
  <c r="R166" i="7"/>
  <c r="D166" i="7"/>
  <c r="BH165" i="7"/>
  <c r="BG165" i="7"/>
  <c r="AU165" i="7"/>
  <c r="AP165" i="7"/>
  <c r="AK165" i="7"/>
  <c r="AG165" i="7"/>
  <c r="Z165" i="7"/>
  <c r="AA165" i="7" s="1"/>
  <c r="T165" i="7"/>
  <c r="U165" i="7" s="1"/>
  <c r="R165" i="7"/>
  <c r="Q165" i="7" s="1"/>
  <c r="D165" i="7"/>
  <c r="BH164" i="7"/>
  <c r="BG164" i="7"/>
  <c r="AU164" i="7"/>
  <c r="AP164" i="7"/>
  <c r="AK164" i="7"/>
  <c r="AG164" i="7"/>
  <c r="Z164" i="7"/>
  <c r="AA164" i="7" s="1"/>
  <c r="T164" i="7"/>
  <c r="U164" i="7" s="1"/>
  <c r="R164" i="7"/>
  <c r="Q164" i="7" s="1"/>
  <c r="D164" i="7"/>
  <c r="BH163" i="7"/>
  <c r="BG163" i="7"/>
  <c r="AU163" i="7"/>
  <c r="AP163" i="7"/>
  <c r="AK163" i="7"/>
  <c r="AF163" i="7"/>
  <c r="AG163" i="7" s="1"/>
  <c r="Z163" i="7"/>
  <c r="AA163" i="7" s="1"/>
  <c r="T163" i="7"/>
  <c r="R163" i="7"/>
  <c r="Q163" i="7" s="1"/>
  <c r="D163" i="7"/>
  <c r="BH162" i="7"/>
  <c r="BG162" i="7"/>
  <c r="AU162" i="7"/>
  <c r="AP162" i="7"/>
  <c r="AK162" i="7"/>
  <c r="AF162" i="7"/>
  <c r="AG162" i="7" s="1"/>
  <c r="Z162" i="7"/>
  <c r="AA162" i="7" s="1"/>
  <c r="T162" i="7"/>
  <c r="BE162" i="7" s="1"/>
  <c r="R162" i="7"/>
  <c r="Q162" i="7" s="1"/>
  <c r="D162" i="7"/>
  <c r="BH161" i="7"/>
  <c r="BG161" i="7"/>
  <c r="AU161" i="7"/>
  <c r="AP161" i="7"/>
  <c r="AK161" i="7"/>
  <c r="AG161" i="7"/>
  <c r="Z161" i="7"/>
  <c r="AA161" i="7" s="1"/>
  <c r="T161" i="7"/>
  <c r="U161" i="7" s="1"/>
  <c r="R161" i="7"/>
  <c r="Q161" i="7" s="1"/>
  <c r="D161" i="7"/>
  <c r="BH160" i="7"/>
  <c r="BG160" i="7"/>
  <c r="AU160" i="7"/>
  <c r="AP160" i="7"/>
  <c r="AK160" i="7"/>
  <c r="AF160" i="7"/>
  <c r="AG160" i="7" s="1"/>
  <c r="Z160" i="7"/>
  <c r="AA160" i="7" s="1"/>
  <c r="T160" i="7"/>
  <c r="BE160" i="7" s="1"/>
  <c r="R160" i="7"/>
  <c r="D160" i="7"/>
  <c r="BH159" i="7"/>
  <c r="BG159" i="7"/>
  <c r="AU159" i="7"/>
  <c r="AP159" i="7"/>
  <c r="AK159" i="7"/>
  <c r="AF159" i="7"/>
  <c r="AG159" i="7" s="1"/>
  <c r="Z159" i="7"/>
  <c r="AA159" i="7" s="1"/>
  <c r="T159" i="7"/>
  <c r="R159" i="7"/>
  <c r="D159" i="7"/>
  <c r="BH158" i="7"/>
  <c r="BG158" i="7"/>
  <c r="AU158" i="7"/>
  <c r="AP158" i="7"/>
  <c r="AK158" i="7"/>
  <c r="AF158" i="7"/>
  <c r="AG158" i="7" s="1"/>
  <c r="Z158" i="7"/>
  <c r="AA158" i="7" s="1"/>
  <c r="T158" i="7"/>
  <c r="U158" i="7" s="1"/>
  <c r="R158" i="7"/>
  <c r="Q158" i="7" s="1"/>
  <c r="D158" i="7"/>
  <c r="BH157" i="7"/>
  <c r="BG157" i="7"/>
  <c r="AU157" i="7"/>
  <c r="AP157" i="7"/>
  <c r="AK157" i="7"/>
  <c r="AG157" i="7"/>
  <c r="Z157" i="7"/>
  <c r="AA157" i="7" s="1"/>
  <c r="T157" i="7"/>
  <c r="U157" i="7" s="1"/>
  <c r="R157" i="7"/>
  <c r="Q157" i="7" s="1"/>
  <c r="D157" i="7"/>
  <c r="BH156" i="7"/>
  <c r="BG156" i="7"/>
  <c r="AU156" i="7"/>
  <c r="AP156" i="7"/>
  <c r="AK156" i="7"/>
  <c r="AG156" i="7"/>
  <c r="Z156" i="7"/>
  <c r="AA156" i="7" s="1"/>
  <c r="T156" i="7"/>
  <c r="BE156" i="7" s="1"/>
  <c r="R156" i="7"/>
  <c r="Q156" i="7" s="1"/>
  <c r="D156" i="7"/>
  <c r="BG155" i="7"/>
  <c r="AU155" i="7"/>
  <c r="AP155" i="7"/>
  <c r="AK155" i="7"/>
  <c r="AF155" i="7"/>
  <c r="AG155" i="7" s="1"/>
  <c r="AD155" i="7"/>
  <c r="AC155" i="7"/>
  <c r="BH155" i="7" s="1"/>
  <c r="Z155" i="7"/>
  <c r="AA155" i="7" s="1"/>
  <c r="T155" i="7"/>
  <c r="U155" i="7" s="1"/>
  <c r="R155" i="7"/>
  <c r="Q155" i="7" s="1"/>
  <c r="D155" i="7"/>
  <c r="BH154" i="7"/>
  <c r="BG154" i="7"/>
  <c r="AU154" i="7"/>
  <c r="AP154" i="7"/>
  <c r="AK154" i="7"/>
  <c r="AF154" i="7"/>
  <c r="AG154" i="7" s="1"/>
  <c r="Z154" i="7"/>
  <c r="AA154" i="7" s="1"/>
  <c r="T154" i="7"/>
  <c r="BE154" i="7" s="1"/>
  <c r="R154" i="7"/>
  <c r="D154" i="7"/>
  <c r="BH153" i="7"/>
  <c r="BG153" i="7"/>
  <c r="AU153" i="7"/>
  <c r="AP153" i="7"/>
  <c r="AK153" i="7"/>
  <c r="AF153" i="7"/>
  <c r="AG153" i="7" s="1"/>
  <c r="Z153" i="7"/>
  <c r="AA153" i="7" s="1"/>
  <c r="T153" i="7"/>
  <c r="U153" i="7" s="1"/>
  <c r="R153" i="7"/>
  <c r="D153" i="7"/>
  <c r="BH152" i="7"/>
  <c r="BG152" i="7"/>
  <c r="AU152" i="7"/>
  <c r="AP152" i="7"/>
  <c r="AK152" i="7"/>
  <c r="AF152" i="7"/>
  <c r="AG152" i="7" s="1"/>
  <c r="Z152" i="7"/>
  <c r="AA152" i="7" s="1"/>
  <c r="T152" i="7"/>
  <c r="U152" i="7" s="1"/>
  <c r="R152" i="7"/>
  <c r="D152" i="7"/>
  <c r="BH151" i="7"/>
  <c r="BG151" i="7"/>
  <c r="AU151" i="7"/>
  <c r="AP151" i="7"/>
  <c r="AK151" i="7"/>
  <c r="AF151" i="7"/>
  <c r="AG151" i="7" s="1"/>
  <c r="Z151" i="7"/>
  <c r="AA151" i="7" s="1"/>
  <c r="T151" i="7"/>
  <c r="R151" i="7"/>
  <c r="D151" i="7"/>
  <c r="BH150" i="7"/>
  <c r="BG150" i="7"/>
  <c r="AU150" i="7"/>
  <c r="AP150" i="7"/>
  <c r="AK150" i="7"/>
  <c r="AF150" i="7"/>
  <c r="AG150" i="7" s="1"/>
  <c r="Z150" i="7"/>
  <c r="AA150" i="7" s="1"/>
  <c r="T150" i="7"/>
  <c r="BE150" i="7" s="1"/>
  <c r="R150" i="7"/>
  <c r="Q150" i="7" s="1"/>
  <c r="D150" i="7"/>
  <c r="BH149" i="7"/>
  <c r="BG149" i="7"/>
  <c r="AU149" i="7"/>
  <c r="AP149" i="7"/>
  <c r="AK149" i="7"/>
  <c r="AF149" i="7"/>
  <c r="AG149" i="7" s="1"/>
  <c r="Z149" i="7"/>
  <c r="AA149" i="7" s="1"/>
  <c r="T149" i="7"/>
  <c r="U149" i="7" s="1"/>
  <c r="R149" i="7"/>
  <c r="Q149" i="7" s="1"/>
  <c r="D149" i="7"/>
  <c r="BH148" i="7"/>
  <c r="BG148" i="7"/>
  <c r="AU148" i="7"/>
  <c r="AP148" i="7"/>
  <c r="AK148" i="7"/>
  <c r="AF148" i="7"/>
  <c r="AG148" i="7" s="1"/>
  <c r="Z148" i="7"/>
  <c r="AA148" i="7" s="1"/>
  <c r="T148" i="7"/>
  <c r="BE148" i="7" s="1"/>
  <c r="R148" i="7"/>
  <c r="Q148" i="7" s="1"/>
  <c r="D148" i="7"/>
  <c r="BH147" i="7"/>
  <c r="BG147" i="7"/>
  <c r="AU147" i="7"/>
  <c r="AP147" i="7"/>
  <c r="AK147" i="7"/>
  <c r="AF147" i="7"/>
  <c r="AG147" i="7" s="1"/>
  <c r="Z147" i="7"/>
  <c r="AA147" i="7" s="1"/>
  <c r="T147" i="7"/>
  <c r="R147" i="7"/>
  <c r="D147" i="7"/>
  <c r="BH146" i="7"/>
  <c r="BG146" i="7"/>
  <c r="AU146" i="7"/>
  <c r="AP146" i="7"/>
  <c r="AK146" i="7"/>
  <c r="AF146" i="7"/>
  <c r="AG146" i="7" s="1"/>
  <c r="Z146" i="7"/>
  <c r="AA146" i="7" s="1"/>
  <c r="T146" i="7"/>
  <c r="U146" i="7" s="1"/>
  <c r="R146" i="7"/>
  <c r="D146" i="7"/>
  <c r="BG145" i="7"/>
  <c r="AU145" i="7"/>
  <c r="AP145" i="7"/>
  <c r="AK145" i="7"/>
  <c r="AF145" i="7"/>
  <c r="AG145" i="7" s="1"/>
  <c r="AD145" i="7"/>
  <c r="AC145" i="7"/>
  <c r="Z145" i="7"/>
  <c r="AA145" i="7" s="1"/>
  <c r="T145" i="7"/>
  <c r="R145" i="7"/>
  <c r="Q145" i="7" s="1"/>
  <c r="D145" i="7"/>
  <c r="BG144" i="7"/>
  <c r="AU144" i="7"/>
  <c r="AP144" i="7"/>
  <c r="AK144" i="7"/>
  <c r="AF144" i="7"/>
  <c r="AG144" i="7" s="1"/>
  <c r="AD144" i="7"/>
  <c r="AC144" i="7"/>
  <c r="Z144" i="7"/>
  <c r="AA144" i="7" s="1"/>
  <c r="T144" i="7"/>
  <c r="U144" i="7" s="1"/>
  <c r="R144" i="7"/>
  <c r="Q144" i="7" s="1"/>
  <c r="D144" i="7"/>
  <c r="BG143" i="7"/>
  <c r="AU143" i="7"/>
  <c r="AP143" i="7"/>
  <c r="AK143" i="7"/>
  <c r="AF143" i="7"/>
  <c r="AG143" i="7" s="1"/>
  <c r="AD143" i="7"/>
  <c r="AC143" i="7"/>
  <c r="BH143" i="7" s="1"/>
  <c r="Z143" i="7"/>
  <c r="AA143" i="7" s="1"/>
  <c r="T143" i="7"/>
  <c r="R143" i="7"/>
  <c r="Q143" i="7" s="1"/>
  <c r="D143" i="7"/>
  <c r="BG142" i="7"/>
  <c r="AU142" i="7"/>
  <c r="AP142" i="7"/>
  <c r="AK142" i="7"/>
  <c r="AF142" i="7"/>
  <c r="AG142" i="7" s="1"/>
  <c r="AD142" i="7"/>
  <c r="AC142" i="7"/>
  <c r="Z142" i="7"/>
  <c r="AA142" i="7" s="1"/>
  <c r="T142" i="7"/>
  <c r="BE142" i="7" s="1"/>
  <c r="R142" i="7"/>
  <c r="D142" i="7"/>
  <c r="BG141" i="7"/>
  <c r="AU141" i="7"/>
  <c r="AP141" i="7"/>
  <c r="AK141" i="7"/>
  <c r="AF141" i="7"/>
  <c r="AG141" i="7" s="1"/>
  <c r="AD141" i="7"/>
  <c r="AC141" i="7"/>
  <c r="Z141" i="7"/>
  <c r="AA141" i="7" s="1"/>
  <c r="T141" i="7"/>
  <c r="BE141" i="7" s="1"/>
  <c r="R141" i="7"/>
  <c r="D141" i="7"/>
  <c r="BG140" i="7"/>
  <c r="AU140" i="7"/>
  <c r="AP140" i="7"/>
  <c r="AK140" i="7"/>
  <c r="AF140" i="7"/>
  <c r="AG140" i="7" s="1"/>
  <c r="AD140" i="7"/>
  <c r="AC140" i="7"/>
  <c r="Z140" i="7"/>
  <c r="AA140" i="7" s="1"/>
  <c r="T140" i="7"/>
  <c r="U140" i="7" s="1"/>
  <c r="R140" i="7"/>
  <c r="Q140" i="7" s="1"/>
  <c r="D140" i="7"/>
  <c r="BG139" i="7"/>
  <c r="AU139" i="7"/>
  <c r="AP139" i="7"/>
  <c r="AK139" i="7"/>
  <c r="AF139" i="7"/>
  <c r="AG139" i="7" s="1"/>
  <c r="AD139" i="7"/>
  <c r="AC139" i="7"/>
  <c r="Z139" i="7"/>
  <c r="AA139" i="7" s="1"/>
  <c r="T139" i="7"/>
  <c r="BE139" i="7" s="1"/>
  <c r="R139" i="7"/>
  <c r="Q139" i="7" s="1"/>
  <c r="D139" i="7"/>
  <c r="BG138" i="7"/>
  <c r="AU138" i="7"/>
  <c r="AP138" i="7"/>
  <c r="AK138" i="7"/>
  <c r="AF138" i="7"/>
  <c r="AG138" i="7" s="1"/>
  <c r="AD138" i="7"/>
  <c r="AC138" i="7"/>
  <c r="Z138" i="7"/>
  <c r="AA138" i="7" s="1"/>
  <c r="T138" i="7"/>
  <c r="BE138" i="7" s="1"/>
  <c r="R138" i="7"/>
  <c r="Q138" i="7" s="1"/>
  <c r="D138" i="7"/>
  <c r="BG137" i="7"/>
  <c r="AU137" i="7"/>
  <c r="AP137" i="7"/>
  <c r="AK137" i="7"/>
  <c r="AF137" i="7"/>
  <c r="AG137" i="7" s="1"/>
  <c r="AD137" i="7"/>
  <c r="AC137" i="7"/>
  <c r="Z137" i="7"/>
  <c r="AA137" i="7" s="1"/>
  <c r="T137" i="7"/>
  <c r="U137" i="7" s="1"/>
  <c r="R137" i="7"/>
  <c r="Q137" i="7" s="1"/>
  <c r="D137" i="7"/>
  <c r="BH136" i="7"/>
  <c r="BG136" i="7"/>
  <c r="AU136" i="7"/>
  <c r="AP136" i="7"/>
  <c r="AK136" i="7"/>
  <c r="AF136" i="7"/>
  <c r="AG136" i="7" s="1"/>
  <c r="Z136" i="7"/>
  <c r="AA136" i="7" s="1"/>
  <c r="T136" i="7"/>
  <c r="BE136" i="7" s="1"/>
  <c r="R136" i="7"/>
  <c r="Q136" i="7" s="1"/>
  <c r="D136" i="7"/>
  <c r="BH135" i="7"/>
  <c r="BG135" i="7"/>
  <c r="AU135" i="7"/>
  <c r="AP135" i="7"/>
  <c r="AK135" i="7"/>
  <c r="AF135" i="7"/>
  <c r="AG135" i="7" s="1"/>
  <c r="Z135" i="7"/>
  <c r="AA135" i="7" s="1"/>
  <c r="T135" i="7"/>
  <c r="BE135" i="7" s="1"/>
  <c r="R135" i="7"/>
  <c r="D135" i="7"/>
  <c r="BH134" i="7"/>
  <c r="BG134" i="7"/>
  <c r="AU134" i="7"/>
  <c r="AP134" i="7"/>
  <c r="AK134" i="7"/>
  <c r="AF134" i="7"/>
  <c r="AG134" i="7" s="1"/>
  <c r="Z134" i="7"/>
  <c r="AA134" i="7" s="1"/>
  <c r="T134" i="7"/>
  <c r="R134" i="7"/>
  <c r="Q134" i="7" s="1"/>
  <c r="D134" i="7"/>
  <c r="BH133" i="7"/>
  <c r="BG133" i="7"/>
  <c r="AU133" i="7"/>
  <c r="AP133" i="7"/>
  <c r="AK133" i="7"/>
  <c r="AF133" i="7"/>
  <c r="AG133" i="7" s="1"/>
  <c r="Z133" i="7"/>
  <c r="AA133" i="7" s="1"/>
  <c r="T133" i="7"/>
  <c r="BE133" i="7" s="1"/>
  <c r="R133" i="7"/>
  <c r="D133" i="7"/>
  <c r="BH132" i="7"/>
  <c r="BG132" i="7"/>
  <c r="AU132" i="7"/>
  <c r="AP132" i="7"/>
  <c r="AK132" i="7"/>
  <c r="AF132" i="7"/>
  <c r="AG132" i="7" s="1"/>
  <c r="Z132" i="7"/>
  <c r="AA132" i="7" s="1"/>
  <c r="T132" i="7"/>
  <c r="BE132" i="7" s="1"/>
  <c r="R132" i="7"/>
  <c r="Q132" i="7" s="1"/>
  <c r="D132" i="7"/>
  <c r="BH131" i="7"/>
  <c r="BG131" i="7"/>
  <c r="AU131" i="7"/>
  <c r="AP131" i="7"/>
  <c r="AK131" i="7"/>
  <c r="AF131" i="7"/>
  <c r="AG131" i="7" s="1"/>
  <c r="Z131" i="7"/>
  <c r="AA131" i="7" s="1"/>
  <c r="T131" i="7"/>
  <c r="BE131" i="7" s="1"/>
  <c r="R131" i="7"/>
  <c r="Q131" i="7" s="1"/>
  <c r="D131" i="7"/>
  <c r="BH130" i="7"/>
  <c r="BG130" i="7"/>
  <c r="AU130" i="7"/>
  <c r="AP130" i="7"/>
  <c r="AK130" i="7"/>
  <c r="AF130" i="7"/>
  <c r="AG130" i="7" s="1"/>
  <c r="Z130" i="7"/>
  <c r="AA130" i="7" s="1"/>
  <c r="T130" i="7"/>
  <c r="U130" i="7" s="1"/>
  <c r="R130" i="7"/>
  <c r="Q130" i="7" s="1"/>
  <c r="D130" i="7"/>
  <c r="BH129" i="7"/>
  <c r="BG129" i="7"/>
  <c r="AU129" i="7"/>
  <c r="AP129" i="7"/>
  <c r="AK129" i="7"/>
  <c r="AF129" i="7"/>
  <c r="AG129" i="7" s="1"/>
  <c r="Z129" i="7"/>
  <c r="AA129" i="7" s="1"/>
  <c r="T129" i="7"/>
  <c r="R129" i="7"/>
  <c r="Q129" i="7" s="1"/>
  <c r="D129" i="7"/>
  <c r="BH128" i="7"/>
  <c r="BG128" i="7"/>
  <c r="AU128" i="7"/>
  <c r="AP128" i="7"/>
  <c r="AK128" i="7"/>
  <c r="AF128" i="7"/>
  <c r="AG128" i="7" s="1"/>
  <c r="Z128" i="7"/>
  <c r="AA128" i="7" s="1"/>
  <c r="T128" i="7"/>
  <c r="U128" i="7" s="1"/>
  <c r="R128" i="7"/>
  <c r="Q128" i="7" s="1"/>
  <c r="D128" i="7"/>
  <c r="BH127" i="7"/>
  <c r="BG127" i="7"/>
  <c r="AU127" i="7"/>
  <c r="AP127" i="7"/>
  <c r="AK127" i="7"/>
  <c r="AF127" i="7"/>
  <c r="AG127" i="7" s="1"/>
  <c r="Z127" i="7"/>
  <c r="AA127" i="7" s="1"/>
  <c r="T127" i="7"/>
  <c r="BE127" i="7" s="1"/>
  <c r="R127" i="7"/>
  <c r="Q127" i="7" s="1"/>
  <c r="D127" i="7"/>
  <c r="BH126" i="7"/>
  <c r="BG126" i="7"/>
  <c r="AU126" i="7"/>
  <c r="AP126" i="7"/>
  <c r="AK126" i="7"/>
  <c r="AF126" i="7"/>
  <c r="AG126" i="7" s="1"/>
  <c r="Z126" i="7"/>
  <c r="AA126" i="7" s="1"/>
  <c r="T126" i="7"/>
  <c r="R126" i="7"/>
  <c r="Q126" i="7" s="1"/>
  <c r="D126" i="7"/>
  <c r="BH125" i="7"/>
  <c r="BG125" i="7"/>
  <c r="AU125" i="7"/>
  <c r="AP125" i="7"/>
  <c r="AK125" i="7"/>
  <c r="AF125" i="7"/>
  <c r="AG125" i="7" s="1"/>
  <c r="Z125" i="7"/>
  <c r="AA125" i="7" s="1"/>
  <c r="T125" i="7"/>
  <c r="BE125" i="7" s="1"/>
  <c r="R125" i="7"/>
  <c r="Q125" i="7" s="1"/>
  <c r="D125" i="7"/>
  <c r="BH124" i="7"/>
  <c r="BG124" i="7"/>
  <c r="AU124" i="7"/>
  <c r="AP124" i="7"/>
  <c r="AK124" i="7"/>
  <c r="AF124" i="7"/>
  <c r="AG124" i="7" s="1"/>
  <c r="Z124" i="7"/>
  <c r="AA124" i="7" s="1"/>
  <c r="T124" i="7"/>
  <c r="R124" i="7"/>
  <c r="D124" i="7"/>
  <c r="BH123" i="7"/>
  <c r="BG123" i="7"/>
  <c r="AU123" i="7"/>
  <c r="AP123" i="7"/>
  <c r="AK123" i="7"/>
  <c r="AF123" i="7"/>
  <c r="AG123" i="7" s="1"/>
  <c r="Z123" i="7"/>
  <c r="T123" i="7"/>
  <c r="U123" i="7" s="1"/>
  <c r="R123" i="7"/>
  <c r="D123" i="7"/>
  <c r="BH122" i="7"/>
  <c r="BG122" i="7"/>
  <c r="AU122" i="7"/>
  <c r="AP122" i="7"/>
  <c r="AK122" i="7"/>
  <c r="AF122" i="7"/>
  <c r="AG122" i="7" s="1"/>
  <c r="Z122" i="7"/>
  <c r="AA122" i="7" s="1"/>
  <c r="T122" i="7"/>
  <c r="BE122" i="7" s="1"/>
  <c r="R122" i="7"/>
  <c r="D122" i="7"/>
  <c r="BH121" i="7"/>
  <c r="BG121" i="7"/>
  <c r="AU121" i="7"/>
  <c r="AP121" i="7"/>
  <c r="AK121" i="7"/>
  <c r="AF121" i="7"/>
  <c r="AG121" i="7" s="1"/>
  <c r="Z121" i="7"/>
  <c r="AA121" i="7" s="1"/>
  <c r="T121" i="7"/>
  <c r="R121" i="7"/>
  <c r="D121" i="7"/>
  <c r="BH120" i="7"/>
  <c r="BG120" i="7"/>
  <c r="AU120" i="7"/>
  <c r="AP120" i="7"/>
  <c r="AK120" i="7"/>
  <c r="AF120" i="7"/>
  <c r="AG120" i="7" s="1"/>
  <c r="Z120" i="7"/>
  <c r="T120" i="7"/>
  <c r="BE120" i="7" s="1"/>
  <c r="R120" i="7"/>
  <c r="D120" i="7"/>
  <c r="BH119" i="7"/>
  <c r="BG119" i="7"/>
  <c r="AU119" i="7"/>
  <c r="AP119" i="7"/>
  <c r="AK119" i="7"/>
  <c r="AF119" i="7"/>
  <c r="AG119" i="7" s="1"/>
  <c r="Z119" i="7"/>
  <c r="AA119" i="7" s="1"/>
  <c r="T119" i="7"/>
  <c r="U119" i="7" s="1"/>
  <c r="R119" i="7"/>
  <c r="D119" i="7"/>
  <c r="BH118" i="7"/>
  <c r="BG118" i="7"/>
  <c r="AU118" i="7"/>
  <c r="AP118" i="7"/>
  <c r="AK118" i="7"/>
  <c r="AF118" i="7"/>
  <c r="AG118" i="7" s="1"/>
  <c r="Z118" i="7"/>
  <c r="AA118" i="7" s="1"/>
  <c r="T118" i="7"/>
  <c r="R118" i="7"/>
  <c r="D118" i="7"/>
  <c r="BH117" i="7"/>
  <c r="BG117" i="7"/>
  <c r="AU117" i="7"/>
  <c r="AP117" i="7"/>
  <c r="AK117" i="7"/>
  <c r="AF117" i="7"/>
  <c r="AG117" i="7" s="1"/>
  <c r="Z117" i="7"/>
  <c r="AA117" i="7" s="1"/>
  <c r="T117" i="7"/>
  <c r="BE117" i="7" s="1"/>
  <c r="R117" i="7"/>
  <c r="D117" i="7"/>
  <c r="BH116" i="7"/>
  <c r="BG116" i="7"/>
  <c r="AU116" i="7"/>
  <c r="AF116" i="7"/>
  <c r="AG116" i="7" s="1"/>
  <c r="Z116" i="7"/>
  <c r="AA116" i="7" s="1"/>
  <c r="T116" i="7"/>
  <c r="BE116" i="7" s="1"/>
  <c r="R116" i="7"/>
  <c r="D116" i="7"/>
  <c r="BH115" i="7"/>
  <c r="BG115" i="7"/>
  <c r="AU115" i="7"/>
  <c r="AP115" i="7"/>
  <c r="AK115" i="7"/>
  <c r="AF115" i="7"/>
  <c r="AG115" i="7" s="1"/>
  <c r="Z115" i="7"/>
  <c r="AA115" i="7" s="1"/>
  <c r="T115" i="7"/>
  <c r="BE115" i="7" s="1"/>
  <c r="R115" i="7"/>
  <c r="D115" i="7"/>
  <c r="BH114" i="7"/>
  <c r="BG114" i="7"/>
  <c r="AU114" i="7"/>
  <c r="AP114" i="7"/>
  <c r="AK114" i="7"/>
  <c r="AF114" i="7"/>
  <c r="AG114" i="7" s="1"/>
  <c r="Z114" i="7"/>
  <c r="AA114" i="7" s="1"/>
  <c r="T114" i="7"/>
  <c r="U114" i="7" s="1"/>
  <c r="R114" i="7"/>
  <c r="Q114" i="7" s="1"/>
  <c r="D114" i="7"/>
  <c r="BH113" i="7"/>
  <c r="BG113" i="7"/>
  <c r="AU113" i="7"/>
  <c r="AP113" i="7"/>
  <c r="AK113" i="7"/>
  <c r="AF113" i="7"/>
  <c r="AG113" i="7" s="1"/>
  <c r="Z113" i="7"/>
  <c r="AA113" i="7" s="1"/>
  <c r="T113" i="7"/>
  <c r="BE113" i="7" s="1"/>
  <c r="R113" i="7"/>
  <c r="Q113" i="7" s="1"/>
  <c r="D113" i="7"/>
  <c r="BH112" i="7"/>
  <c r="BG112" i="7"/>
  <c r="AU112" i="7"/>
  <c r="AP112" i="7"/>
  <c r="AK112" i="7"/>
  <c r="AF112" i="7"/>
  <c r="AG112" i="7" s="1"/>
  <c r="Z112" i="7"/>
  <c r="T112" i="7"/>
  <c r="BE112" i="7" s="1"/>
  <c r="R112" i="7"/>
  <c r="Q112" i="7" s="1"/>
  <c r="D112" i="7"/>
  <c r="BH111" i="7"/>
  <c r="BG111" i="7"/>
  <c r="AU111" i="7"/>
  <c r="AP111" i="7"/>
  <c r="AK111" i="7"/>
  <c r="AF111" i="7"/>
  <c r="AG111" i="7" s="1"/>
  <c r="Z111" i="7"/>
  <c r="AA111" i="7" s="1"/>
  <c r="T111" i="7"/>
  <c r="U111" i="7" s="1"/>
  <c r="R111" i="7"/>
  <c r="Q111" i="7" s="1"/>
  <c r="D111" i="7"/>
  <c r="BH110" i="7"/>
  <c r="BG110" i="7"/>
  <c r="AU110" i="7"/>
  <c r="AP110" i="7"/>
  <c r="AK110" i="7"/>
  <c r="AF110" i="7"/>
  <c r="AG110" i="7" s="1"/>
  <c r="Z110" i="7"/>
  <c r="AA110" i="7" s="1"/>
  <c r="T110" i="7"/>
  <c r="U110" i="7" s="1"/>
  <c r="R110" i="7"/>
  <c r="Q110" i="7" s="1"/>
  <c r="D110" i="7"/>
  <c r="BH109" i="7"/>
  <c r="BG109" i="7"/>
  <c r="AU109" i="7"/>
  <c r="AP109" i="7"/>
  <c r="AK109" i="7"/>
  <c r="AF109" i="7"/>
  <c r="AG109" i="7" s="1"/>
  <c r="Z109" i="7"/>
  <c r="AA109" i="7" s="1"/>
  <c r="T109" i="7"/>
  <c r="U109" i="7" s="1"/>
  <c r="R109" i="7"/>
  <c r="Q109" i="7" s="1"/>
  <c r="D109" i="7"/>
  <c r="BH108" i="7"/>
  <c r="BG108" i="7"/>
  <c r="AU108" i="7"/>
  <c r="AP108" i="7"/>
  <c r="AK108" i="7"/>
  <c r="AF108" i="7"/>
  <c r="AG108" i="7" s="1"/>
  <c r="Z108" i="7"/>
  <c r="AA108" i="7" s="1"/>
  <c r="T108" i="7"/>
  <c r="U108" i="7" s="1"/>
  <c r="R108" i="7"/>
  <c r="Q108" i="7" s="1"/>
  <c r="D108" i="7"/>
  <c r="BH107" i="7"/>
  <c r="BG107" i="7"/>
  <c r="AU107" i="7"/>
  <c r="AP107" i="7"/>
  <c r="AK107" i="7"/>
  <c r="AF107" i="7"/>
  <c r="AG107" i="7" s="1"/>
  <c r="Z107" i="7"/>
  <c r="AA107" i="7" s="1"/>
  <c r="T107" i="7"/>
  <c r="BE107" i="7" s="1"/>
  <c r="R107" i="7"/>
  <c r="Q107" i="7" s="1"/>
  <c r="D107" i="7"/>
  <c r="BH106" i="7"/>
  <c r="BG106" i="7"/>
  <c r="AU106" i="7"/>
  <c r="AP106" i="7"/>
  <c r="AK106" i="7"/>
  <c r="AF106" i="7"/>
  <c r="AG106" i="7" s="1"/>
  <c r="Z106" i="7"/>
  <c r="AA106" i="7" s="1"/>
  <c r="T106" i="7"/>
  <c r="BE106" i="7" s="1"/>
  <c r="R106" i="7"/>
  <c r="Q106" i="7" s="1"/>
  <c r="D106" i="7"/>
  <c r="BH105" i="7"/>
  <c r="BG105" i="7"/>
  <c r="AU105" i="7"/>
  <c r="AP105" i="7"/>
  <c r="AK105" i="7"/>
  <c r="AF105" i="7"/>
  <c r="AG105" i="7" s="1"/>
  <c r="Z105" i="7"/>
  <c r="AA105" i="7" s="1"/>
  <c r="T105" i="7"/>
  <c r="U105" i="7" s="1"/>
  <c r="R105" i="7"/>
  <c r="Q105" i="7" s="1"/>
  <c r="D105" i="7"/>
  <c r="BH104" i="7"/>
  <c r="BG104" i="7"/>
  <c r="AU104" i="7"/>
  <c r="AP104" i="7"/>
  <c r="AK104" i="7"/>
  <c r="AF104" i="7"/>
  <c r="AG104" i="7" s="1"/>
  <c r="Z104" i="7"/>
  <c r="AA104" i="7" s="1"/>
  <c r="T104" i="7"/>
  <c r="BE104" i="7" s="1"/>
  <c r="R104" i="7"/>
  <c r="Q104" i="7" s="1"/>
  <c r="D104" i="7"/>
  <c r="BH103" i="7"/>
  <c r="BG103" i="7"/>
  <c r="AU103" i="7"/>
  <c r="AP103" i="7"/>
  <c r="AK103" i="7"/>
  <c r="AF103" i="7"/>
  <c r="AG103" i="7" s="1"/>
  <c r="Z103" i="7"/>
  <c r="AA103" i="7" s="1"/>
  <c r="T103" i="7"/>
  <c r="U103" i="7" s="1"/>
  <c r="R103" i="7"/>
  <c r="Q103" i="7" s="1"/>
  <c r="D103" i="7"/>
  <c r="BH102" i="7"/>
  <c r="BG102" i="7"/>
  <c r="AU102" i="7"/>
  <c r="AK102" i="7"/>
  <c r="AF102" i="7"/>
  <c r="AG102" i="7" s="1"/>
  <c r="Z102" i="7"/>
  <c r="AA102" i="7" s="1"/>
  <c r="T102" i="7"/>
  <c r="BE102" i="7" s="1"/>
  <c r="R102" i="7"/>
  <c r="D102" i="7"/>
  <c r="BH101" i="7"/>
  <c r="BG101" i="7"/>
  <c r="AU101" i="7"/>
  <c r="AK101" i="7"/>
  <c r="AF101" i="7"/>
  <c r="AG101" i="7" s="1"/>
  <c r="Z101" i="7"/>
  <c r="AA101" i="7" s="1"/>
  <c r="T101" i="7"/>
  <c r="BE101" i="7" s="1"/>
  <c r="R101" i="7"/>
  <c r="D101" i="7"/>
  <c r="BH100" i="7"/>
  <c r="BG100" i="7"/>
  <c r="AU100" i="7"/>
  <c r="AK100" i="7"/>
  <c r="AF100" i="7"/>
  <c r="AG100" i="7" s="1"/>
  <c r="Z100" i="7"/>
  <c r="AA100" i="7" s="1"/>
  <c r="T100" i="7"/>
  <c r="U100" i="7" s="1"/>
  <c r="R100" i="7"/>
  <c r="D100" i="7"/>
  <c r="BH99" i="7"/>
  <c r="BG99" i="7"/>
  <c r="AU99" i="7"/>
  <c r="AK99" i="7"/>
  <c r="AF99" i="7"/>
  <c r="AG99" i="7" s="1"/>
  <c r="Z99" i="7"/>
  <c r="AA99" i="7" s="1"/>
  <c r="T99" i="7"/>
  <c r="BE99" i="7" s="1"/>
  <c r="R99" i="7"/>
  <c r="D99" i="7"/>
  <c r="BH98" i="7"/>
  <c r="BG98" i="7"/>
  <c r="AU98" i="7"/>
  <c r="AK98" i="7"/>
  <c r="AF98" i="7"/>
  <c r="AG98" i="7" s="1"/>
  <c r="Z98" i="7"/>
  <c r="AA98" i="7" s="1"/>
  <c r="T98" i="7"/>
  <c r="U98" i="7" s="1"/>
  <c r="R98" i="7"/>
  <c r="D98" i="7"/>
  <c r="BH97" i="7"/>
  <c r="BG97" i="7"/>
  <c r="AU97" i="7"/>
  <c r="AK97" i="7"/>
  <c r="AF97" i="7"/>
  <c r="AG97" i="7" s="1"/>
  <c r="Z97" i="7"/>
  <c r="AA97" i="7" s="1"/>
  <c r="T97" i="7"/>
  <c r="R97" i="7"/>
  <c r="D97" i="7"/>
  <c r="BH96" i="7"/>
  <c r="BG96" i="7"/>
  <c r="AU96" i="7"/>
  <c r="AP96" i="7"/>
  <c r="AK96" i="7"/>
  <c r="AF96" i="7"/>
  <c r="AG96" i="7" s="1"/>
  <c r="Z96" i="7"/>
  <c r="AA96" i="7" s="1"/>
  <c r="T96" i="7"/>
  <c r="U96" i="7" s="1"/>
  <c r="R96" i="7"/>
  <c r="Q96" i="7" s="1"/>
  <c r="D96" i="7"/>
  <c r="BH95" i="7"/>
  <c r="BG95" i="7"/>
  <c r="AU95" i="7"/>
  <c r="AP95" i="7"/>
  <c r="AK95" i="7"/>
  <c r="AF95" i="7"/>
  <c r="AG95" i="7" s="1"/>
  <c r="Z95" i="7"/>
  <c r="AA95" i="7" s="1"/>
  <c r="T95" i="7"/>
  <c r="U95" i="7" s="1"/>
  <c r="R95" i="7"/>
  <c r="D95" i="7"/>
  <c r="BH94" i="7"/>
  <c r="BG94" i="7"/>
  <c r="AU94" i="7"/>
  <c r="AP94" i="7"/>
  <c r="AK94" i="7"/>
  <c r="AF94" i="7"/>
  <c r="AG94" i="7" s="1"/>
  <c r="Z94" i="7"/>
  <c r="AA94" i="7" s="1"/>
  <c r="T94" i="7"/>
  <c r="U94" i="7" s="1"/>
  <c r="R94" i="7"/>
  <c r="Q94" i="7" s="1"/>
  <c r="D94" i="7"/>
  <c r="BH93" i="7"/>
  <c r="BG93" i="7"/>
  <c r="AU93" i="7"/>
  <c r="AP93" i="7"/>
  <c r="AK93" i="7"/>
  <c r="AF93" i="7"/>
  <c r="AG93" i="7" s="1"/>
  <c r="Z93" i="7"/>
  <c r="AA93" i="7" s="1"/>
  <c r="T93" i="7"/>
  <c r="U93" i="7" s="1"/>
  <c r="R93" i="7"/>
  <c r="Q93" i="7" s="1"/>
  <c r="D93" i="7"/>
  <c r="BH92" i="7"/>
  <c r="BG92" i="7"/>
  <c r="AU92" i="7"/>
  <c r="AP92" i="7"/>
  <c r="AK92" i="7"/>
  <c r="AF92" i="7"/>
  <c r="AG92" i="7" s="1"/>
  <c r="Z92" i="7"/>
  <c r="AA92" i="7" s="1"/>
  <c r="T92" i="7"/>
  <c r="U92" i="7" s="1"/>
  <c r="R92" i="7"/>
  <c r="Q92" i="7" s="1"/>
  <c r="D92" i="7"/>
  <c r="BH91" i="7"/>
  <c r="BG91" i="7"/>
  <c r="AU91" i="7"/>
  <c r="AP91" i="7"/>
  <c r="AK91" i="7"/>
  <c r="AF91" i="7"/>
  <c r="AG91" i="7" s="1"/>
  <c r="Z91" i="7"/>
  <c r="AA91" i="7" s="1"/>
  <c r="T91" i="7"/>
  <c r="BE91" i="7" s="1"/>
  <c r="R91" i="7"/>
  <c r="Q91" i="7" s="1"/>
  <c r="D91" i="7"/>
  <c r="BH90" i="7"/>
  <c r="BG90" i="7"/>
  <c r="AU90" i="7"/>
  <c r="AP90" i="7"/>
  <c r="AK90" i="7"/>
  <c r="AF90" i="7"/>
  <c r="AG90" i="7" s="1"/>
  <c r="Z90" i="7"/>
  <c r="AA90" i="7" s="1"/>
  <c r="T90" i="7"/>
  <c r="BE90" i="7" s="1"/>
  <c r="R90" i="7"/>
  <c r="Q90" i="7" s="1"/>
  <c r="D90" i="7"/>
  <c r="BH89" i="7"/>
  <c r="BG89" i="7"/>
  <c r="AU89" i="7"/>
  <c r="AF89" i="7"/>
  <c r="AG89" i="7" s="1"/>
  <c r="Z89" i="7"/>
  <c r="AA89" i="7" s="1"/>
  <c r="T89" i="7"/>
  <c r="BE89" i="7" s="1"/>
  <c r="R89" i="7"/>
  <c r="D89" i="7"/>
  <c r="BH88" i="7"/>
  <c r="BG88" i="7"/>
  <c r="AU88" i="7"/>
  <c r="AF88" i="7"/>
  <c r="AG88" i="7" s="1"/>
  <c r="Z88" i="7"/>
  <c r="AA88" i="7" s="1"/>
  <c r="T88" i="7"/>
  <c r="U88" i="7" s="1"/>
  <c r="R88" i="7"/>
  <c r="D88" i="7"/>
  <c r="BH87" i="7"/>
  <c r="BG87" i="7"/>
  <c r="AU87" i="7"/>
  <c r="AF87" i="7"/>
  <c r="AG87" i="7" s="1"/>
  <c r="Z87" i="7"/>
  <c r="AA87" i="7" s="1"/>
  <c r="T87" i="7"/>
  <c r="BE87" i="7" s="1"/>
  <c r="R87" i="7"/>
  <c r="D87" i="7"/>
  <c r="BH86" i="7"/>
  <c r="BG86" i="7"/>
  <c r="AU86" i="7"/>
  <c r="AP86" i="7"/>
  <c r="AK86" i="7"/>
  <c r="AF86" i="7"/>
  <c r="AG86" i="7" s="1"/>
  <c r="Z86" i="7"/>
  <c r="AA86" i="7" s="1"/>
  <c r="T86" i="7"/>
  <c r="BE86" i="7" s="1"/>
  <c r="R86" i="7"/>
  <c r="Q86" i="7" s="1"/>
  <c r="D86" i="7"/>
  <c r="BH85" i="7"/>
  <c r="BG85" i="7"/>
  <c r="AU85" i="7"/>
  <c r="AP85" i="7"/>
  <c r="AK85" i="7"/>
  <c r="AF85" i="7"/>
  <c r="AG85" i="7" s="1"/>
  <c r="Z85" i="7"/>
  <c r="AA85" i="7" s="1"/>
  <c r="T85" i="7"/>
  <c r="U85" i="7" s="1"/>
  <c r="R85" i="7"/>
  <c r="Q85" i="7" s="1"/>
  <c r="D85" i="7"/>
  <c r="BH84" i="7"/>
  <c r="BG84" i="7"/>
  <c r="AU84" i="7"/>
  <c r="AP84" i="7"/>
  <c r="AK84" i="7"/>
  <c r="AF84" i="7"/>
  <c r="AG84" i="7" s="1"/>
  <c r="Z84" i="7"/>
  <c r="AA84" i="7" s="1"/>
  <c r="T84" i="7"/>
  <c r="U84" i="7" s="1"/>
  <c r="R84" i="7"/>
  <c r="Q84" i="7" s="1"/>
  <c r="D84" i="7"/>
  <c r="BH83" i="7"/>
  <c r="BG83" i="7"/>
  <c r="AU83" i="7"/>
  <c r="AP83" i="7"/>
  <c r="AK83" i="7"/>
  <c r="AF83" i="7"/>
  <c r="AG83" i="7" s="1"/>
  <c r="Z83" i="7"/>
  <c r="AA83" i="7" s="1"/>
  <c r="T83" i="7"/>
  <c r="U83" i="7" s="1"/>
  <c r="R83" i="7"/>
  <c r="Q83" i="7" s="1"/>
  <c r="D83" i="7"/>
  <c r="BH82" i="7"/>
  <c r="BG82" i="7"/>
  <c r="AU82" i="7"/>
  <c r="AP82" i="7"/>
  <c r="AK82" i="7"/>
  <c r="AF82" i="7"/>
  <c r="AG82" i="7" s="1"/>
  <c r="Z82" i="7"/>
  <c r="AA82" i="7" s="1"/>
  <c r="T82" i="7"/>
  <c r="BE82" i="7" s="1"/>
  <c r="R82" i="7"/>
  <c r="Q82" i="7" s="1"/>
  <c r="D82" i="7"/>
  <c r="BH81" i="7"/>
  <c r="BG81" i="7"/>
  <c r="AU81" i="7"/>
  <c r="AP81" i="7"/>
  <c r="AK81" i="7"/>
  <c r="AF81" i="7"/>
  <c r="AG81" i="7" s="1"/>
  <c r="Z81" i="7"/>
  <c r="AA81" i="7" s="1"/>
  <c r="T81" i="7"/>
  <c r="U81" i="7" s="1"/>
  <c r="R81" i="7"/>
  <c r="Q81" i="7" s="1"/>
  <c r="D81" i="7"/>
  <c r="BH80" i="7"/>
  <c r="BG80" i="7"/>
  <c r="AU80" i="7"/>
  <c r="AP80" i="7"/>
  <c r="AK80" i="7"/>
  <c r="AF80" i="7"/>
  <c r="AG80" i="7" s="1"/>
  <c r="Z80" i="7"/>
  <c r="AA80" i="7" s="1"/>
  <c r="T80" i="7"/>
  <c r="U80" i="7" s="1"/>
  <c r="R80" i="7"/>
  <c r="D80" i="7"/>
  <c r="BH79" i="7"/>
  <c r="BG79" i="7"/>
  <c r="AU79" i="7"/>
  <c r="AP79" i="7"/>
  <c r="AK79" i="7"/>
  <c r="AF79" i="7"/>
  <c r="AG79" i="7" s="1"/>
  <c r="Z79" i="7"/>
  <c r="AA79" i="7" s="1"/>
  <c r="T79" i="7"/>
  <c r="U79" i="7" s="1"/>
  <c r="R79" i="7"/>
  <c r="Q79" i="7" s="1"/>
  <c r="D79" i="7"/>
  <c r="BH78" i="7"/>
  <c r="BG78" i="7"/>
  <c r="AU78" i="7"/>
  <c r="AP78" i="7"/>
  <c r="AK78" i="7"/>
  <c r="AF78" i="7"/>
  <c r="AG78" i="7" s="1"/>
  <c r="Z78" i="7"/>
  <c r="AA78" i="7" s="1"/>
  <c r="T78" i="7"/>
  <c r="U78" i="7" s="1"/>
  <c r="R78" i="7"/>
  <c r="Q78" i="7" s="1"/>
  <c r="D78" i="7"/>
  <c r="BH77" i="7"/>
  <c r="BG77" i="7"/>
  <c r="AU77" i="7"/>
  <c r="AP77" i="7"/>
  <c r="AK77" i="7"/>
  <c r="AF77" i="7"/>
  <c r="AG77" i="7" s="1"/>
  <c r="Z77" i="7"/>
  <c r="AA77" i="7" s="1"/>
  <c r="T77" i="7"/>
  <c r="U77" i="7" s="1"/>
  <c r="R77" i="7"/>
  <c r="Q77" i="7" s="1"/>
  <c r="D77" i="7"/>
  <c r="BH76" i="7"/>
  <c r="BG76" i="7"/>
  <c r="AU76" i="7"/>
  <c r="AP76" i="7"/>
  <c r="AK76" i="7"/>
  <c r="AF76" i="7"/>
  <c r="AG76" i="7" s="1"/>
  <c r="Z76" i="7"/>
  <c r="AA76" i="7" s="1"/>
  <c r="T76" i="7"/>
  <c r="BE76" i="7" s="1"/>
  <c r="R76" i="7"/>
  <c r="Q76" i="7" s="1"/>
  <c r="D76" i="7"/>
  <c r="BH75" i="7"/>
  <c r="BG75" i="7"/>
  <c r="AU75" i="7"/>
  <c r="AP75" i="7"/>
  <c r="AK75" i="7"/>
  <c r="AF75" i="7"/>
  <c r="AG75" i="7" s="1"/>
  <c r="Z75" i="7"/>
  <c r="AA75" i="7" s="1"/>
  <c r="T75" i="7"/>
  <c r="BE75" i="7" s="1"/>
  <c r="R75" i="7"/>
  <c r="Q75" i="7" s="1"/>
  <c r="D75" i="7"/>
  <c r="BH74" i="7"/>
  <c r="BG74" i="7"/>
  <c r="AU74" i="7"/>
  <c r="AP74" i="7"/>
  <c r="AK74" i="7"/>
  <c r="AF74" i="7"/>
  <c r="AG74" i="7" s="1"/>
  <c r="Z74" i="7"/>
  <c r="AA74" i="7" s="1"/>
  <c r="T74" i="7"/>
  <c r="BE74" i="7" s="1"/>
  <c r="R74" i="7"/>
  <c r="D74" i="7"/>
  <c r="BH73" i="7"/>
  <c r="BG73" i="7"/>
  <c r="AU73" i="7"/>
  <c r="AP73" i="7"/>
  <c r="AK73" i="7"/>
  <c r="AF73" i="7"/>
  <c r="AG73" i="7" s="1"/>
  <c r="Z73" i="7"/>
  <c r="AA73" i="7" s="1"/>
  <c r="T73" i="7"/>
  <c r="BE73" i="7" s="1"/>
  <c r="R73" i="7"/>
  <c r="Q73" i="7" s="1"/>
  <c r="D73" i="7"/>
  <c r="BH72" i="7"/>
  <c r="BG72" i="7"/>
  <c r="AU72" i="7"/>
  <c r="AP72" i="7"/>
  <c r="AK72" i="7"/>
  <c r="AF72" i="7"/>
  <c r="AG72" i="7" s="1"/>
  <c r="Z72" i="7"/>
  <c r="AA72" i="7" s="1"/>
  <c r="T72" i="7"/>
  <c r="BE72" i="7" s="1"/>
  <c r="R72" i="7"/>
  <c r="Q72" i="7" s="1"/>
  <c r="D72" i="7"/>
  <c r="BH71" i="7"/>
  <c r="BG71" i="7"/>
  <c r="AU71" i="7"/>
  <c r="AP71" i="7"/>
  <c r="AK71" i="7"/>
  <c r="AF71" i="7"/>
  <c r="AG71" i="7" s="1"/>
  <c r="Z71" i="7"/>
  <c r="AA71" i="7" s="1"/>
  <c r="T71" i="7"/>
  <c r="BE71" i="7" s="1"/>
  <c r="R71" i="7"/>
  <c r="D71" i="7"/>
  <c r="BH70" i="7"/>
  <c r="BG70" i="7"/>
  <c r="AU70" i="7"/>
  <c r="AP70" i="7"/>
  <c r="AK70" i="7"/>
  <c r="AF70" i="7"/>
  <c r="AG70" i="7" s="1"/>
  <c r="Z70" i="7"/>
  <c r="AA70" i="7" s="1"/>
  <c r="T70" i="7"/>
  <c r="BE70" i="7" s="1"/>
  <c r="R70" i="7"/>
  <c r="D70" i="7"/>
  <c r="BH69" i="7"/>
  <c r="BG69" i="7"/>
  <c r="AU69" i="7"/>
  <c r="AP69" i="7"/>
  <c r="AK69" i="7"/>
  <c r="AF69" i="7"/>
  <c r="AG69" i="7" s="1"/>
  <c r="Z69" i="7"/>
  <c r="AA69" i="7" s="1"/>
  <c r="T69" i="7"/>
  <c r="U69" i="7" s="1"/>
  <c r="R69" i="7"/>
  <c r="Q69" i="7" s="1"/>
  <c r="D69" i="7"/>
  <c r="BH68" i="7"/>
  <c r="BG68" i="7"/>
  <c r="AU68" i="7"/>
  <c r="AF68" i="7"/>
  <c r="AG68" i="7" s="1"/>
  <c r="Z68" i="7"/>
  <c r="AA68" i="7" s="1"/>
  <c r="T68" i="7"/>
  <c r="BE68" i="7" s="1"/>
  <c r="R68" i="7"/>
  <c r="D68" i="7"/>
  <c r="BH67" i="7"/>
  <c r="BG67" i="7"/>
  <c r="AU67" i="7"/>
  <c r="AP67" i="7"/>
  <c r="AK67" i="7"/>
  <c r="AF67" i="7"/>
  <c r="AG67" i="7" s="1"/>
  <c r="Z67" i="7"/>
  <c r="AA67" i="7" s="1"/>
  <c r="T67" i="7"/>
  <c r="U67" i="7" s="1"/>
  <c r="R67" i="7"/>
  <c r="Q67" i="7" s="1"/>
  <c r="D67" i="7"/>
  <c r="BH66" i="7"/>
  <c r="BG66" i="7"/>
  <c r="AU66" i="7"/>
  <c r="AP66" i="7"/>
  <c r="AK66" i="7"/>
  <c r="AF66" i="7"/>
  <c r="AG66" i="7" s="1"/>
  <c r="Z66" i="7"/>
  <c r="AA66" i="7" s="1"/>
  <c r="T66" i="7"/>
  <c r="BE66" i="7" s="1"/>
  <c r="R66" i="7"/>
  <c r="D66" i="7"/>
  <c r="BH65" i="7"/>
  <c r="BG65" i="7"/>
  <c r="AU65" i="7"/>
  <c r="AP65" i="7"/>
  <c r="AK65" i="7"/>
  <c r="AF65" i="7"/>
  <c r="AG65" i="7" s="1"/>
  <c r="Z65" i="7"/>
  <c r="AA65" i="7" s="1"/>
  <c r="T65" i="7"/>
  <c r="U65" i="7" s="1"/>
  <c r="R65" i="7"/>
  <c r="Q65" i="7" s="1"/>
  <c r="D65" i="7"/>
  <c r="BH64" i="7"/>
  <c r="BG64" i="7"/>
  <c r="AU64" i="7"/>
  <c r="AP64" i="7"/>
  <c r="AK64" i="7"/>
  <c r="AF64" i="7"/>
  <c r="AG64" i="7" s="1"/>
  <c r="Z64" i="7"/>
  <c r="AA64" i="7" s="1"/>
  <c r="T64" i="7"/>
  <c r="BE64" i="7" s="1"/>
  <c r="R64" i="7"/>
  <c r="Q64" i="7" s="1"/>
  <c r="D64" i="7"/>
  <c r="BH63" i="7"/>
  <c r="BG63" i="7"/>
  <c r="AU63" i="7"/>
  <c r="AP63" i="7"/>
  <c r="AK63" i="7"/>
  <c r="AF63" i="7"/>
  <c r="AG63" i="7" s="1"/>
  <c r="Z63" i="7"/>
  <c r="AA63" i="7" s="1"/>
  <c r="T63" i="7"/>
  <c r="U63" i="7" s="1"/>
  <c r="R63" i="7"/>
  <c r="Q63" i="7" s="1"/>
  <c r="D63" i="7"/>
  <c r="BH62" i="7"/>
  <c r="BG62" i="7"/>
  <c r="AU62" i="7"/>
  <c r="AP62" i="7"/>
  <c r="AK62" i="7"/>
  <c r="AF62" i="7"/>
  <c r="AG62" i="7" s="1"/>
  <c r="Z62" i="7"/>
  <c r="AA62" i="7" s="1"/>
  <c r="T62" i="7"/>
  <c r="R62" i="7"/>
  <c r="Q62" i="7" s="1"/>
  <c r="D62" i="7"/>
  <c r="BH61" i="7"/>
  <c r="BG61" i="7"/>
  <c r="AU61" i="7"/>
  <c r="AP61" i="7"/>
  <c r="AK61" i="7"/>
  <c r="AF61" i="7"/>
  <c r="AG61" i="7" s="1"/>
  <c r="Z61" i="7"/>
  <c r="AA61" i="7" s="1"/>
  <c r="T61" i="7"/>
  <c r="U61" i="7" s="1"/>
  <c r="D61" i="7"/>
  <c r="BH60" i="7"/>
  <c r="BG60" i="7"/>
  <c r="AU60" i="7"/>
  <c r="AP60" i="7"/>
  <c r="AK60" i="7"/>
  <c r="AF60" i="7"/>
  <c r="AG60" i="7" s="1"/>
  <c r="Z60" i="7"/>
  <c r="AA60" i="7" s="1"/>
  <c r="T60" i="7"/>
  <c r="U60" i="7" s="1"/>
  <c r="R60" i="7"/>
  <c r="Q60" i="7" s="1"/>
  <c r="D60" i="7"/>
  <c r="BH59" i="7"/>
  <c r="BG59" i="7"/>
  <c r="AU59" i="7"/>
  <c r="AP59" i="7"/>
  <c r="AK59" i="7"/>
  <c r="AF59" i="7"/>
  <c r="AG59" i="7" s="1"/>
  <c r="Z59" i="7"/>
  <c r="AA59" i="7" s="1"/>
  <c r="T59" i="7"/>
  <c r="BE59" i="7" s="1"/>
  <c r="R59" i="7"/>
  <c r="Q59" i="7" s="1"/>
  <c r="D59" i="7"/>
  <c r="BH58" i="7"/>
  <c r="BG58" i="7"/>
  <c r="AU58" i="7"/>
  <c r="AP58" i="7"/>
  <c r="AK58" i="7"/>
  <c r="AF58" i="7"/>
  <c r="AG58" i="7" s="1"/>
  <c r="Z58" i="7"/>
  <c r="AA58" i="7" s="1"/>
  <c r="T58" i="7"/>
  <c r="BE58" i="7" s="1"/>
  <c r="R58" i="7"/>
  <c r="Q58" i="7" s="1"/>
  <c r="D58" i="7"/>
  <c r="BH57" i="7"/>
  <c r="BG57" i="7"/>
  <c r="AU57" i="7"/>
  <c r="AP57" i="7"/>
  <c r="AK57" i="7"/>
  <c r="AF57" i="7"/>
  <c r="AG57" i="7" s="1"/>
  <c r="Z57" i="7"/>
  <c r="AA57" i="7" s="1"/>
  <c r="T57" i="7"/>
  <c r="BE57" i="7" s="1"/>
  <c r="D57" i="7"/>
  <c r="BH56" i="7"/>
  <c r="BG56" i="7"/>
  <c r="AU56" i="7"/>
  <c r="AP56" i="7"/>
  <c r="AK56" i="7"/>
  <c r="AF56" i="7"/>
  <c r="AG56" i="7" s="1"/>
  <c r="Z56" i="7"/>
  <c r="AA56" i="7" s="1"/>
  <c r="T56" i="7"/>
  <c r="BE56" i="7" s="1"/>
  <c r="D56" i="7"/>
  <c r="BH55" i="7"/>
  <c r="BG55" i="7"/>
  <c r="AU55" i="7"/>
  <c r="AP55" i="7"/>
  <c r="AK55" i="7"/>
  <c r="AF55" i="7"/>
  <c r="AG55" i="7" s="1"/>
  <c r="Z55" i="7"/>
  <c r="AA55" i="7" s="1"/>
  <c r="T55" i="7"/>
  <c r="BE55" i="7" s="1"/>
  <c r="R55" i="7"/>
  <c r="D55" i="7"/>
  <c r="BH54" i="7"/>
  <c r="BG54" i="7"/>
  <c r="AU54" i="7"/>
  <c r="AP54" i="7"/>
  <c r="AK54" i="7"/>
  <c r="AF54" i="7"/>
  <c r="AG54" i="7" s="1"/>
  <c r="Z54" i="7"/>
  <c r="AA54" i="7" s="1"/>
  <c r="T54" i="7"/>
  <c r="BE54" i="7" s="1"/>
  <c r="R54" i="7"/>
  <c r="Q54" i="7" s="1"/>
  <c r="D54" i="7"/>
  <c r="BH53" i="7"/>
  <c r="BG53" i="7"/>
  <c r="AU53" i="7"/>
  <c r="AP53" i="7"/>
  <c r="AK53" i="7"/>
  <c r="AF53" i="7"/>
  <c r="AG53" i="7" s="1"/>
  <c r="Z53" i="7"/>
  <c r="AA53" i="7" s="1"/>
  <c r="T53" i="7"/>
  <c r="BE53" i="7" s="1"/>
  <c r="R53" i="7"/>
  <c r="Q53" i="7" s="1"/>
  <c r="D53" i="7"/>
  <c r="BH52" i="7"/>
  <c r="BG52" i="7"/>
  <c r="AU52" i="7"/>
  <c r="AP52" i="7"/>
  <c r="AK52" i="7"/>
  <c r="AF52" i="7"/>
  <c r="AG52" i="7" s="1"/>
  <c r="Z52" i="7"/>
  <c r="AA52" i="7" s="1"/>
  <c r="T52" i="7"/>
  <c r="BE52" i="7" s="1"/>
  <c r="R52" i="7"/>
  <c r="Q52" i="7" s="1"/>
  <c r="D52" i="7"/>
  <c r="BH51" i="7"/>
  <c r="BG51" i="7"/>
  <c r="AU51" i="7"/>
  <c r="AP51" i="7"/>
  <c r="AK51" i="7"/>
  <c r="AF51" i="7"/>
  <c r="AG51" i="7" s="1"/>
  <c r="Z51" i="7"/>
  <c r="AA51" i="7" s="1"/>
  <c r="T51" i="7"/>
  <c r="U51" i="7" s="1"/>
  <c r="R51" i="7"/>
  <c r="D51" i="7"/>
  <c r="BH50" i="7"/>
  <c r="BG50" i="7"/>
  <c r="AU50" i="7"/>
  <c r="AP50" i="7"/>
  <c r="AK50" i="7"/>
  <c r="AF50" i="7"/>
  <c r="AG50" i="7" s="1"/>
  <c r="Z50" i="7"/>
  <c r="AA50" i="7" s="1"/>
  <c r="T50" i="7"/>
  <c r="R50" i="7"/>
  <c r="Q50" i="7" s="1"/>
  <c r="D50" i="7"/>
  <c r="BH49" i="7"/>
  <c r="BG49" i="7"/>
  <c r="AU49" i="7"/>
  <c r="AP49" i="7"/>
  <c r="AK49" i="7"/>
  <c r="AF49" i="7"/>
  <c r="AG49" i="7" s="1"/>
  <c r="Z49" i="7"/>
  <c r="AA49" i="7" s="1"/>
  <c r="T49" i="7"/>
  <c r="U49" i="7" s="1"/>
  <c r="R49" i="7"/>
  <c r="Q49" i="7" s="1"/>
  <c r="D49" i="7"/>
  <c r="BH48" i="7"/>
  <c r="BG48" i="7"/>
  <c r="AU48" i="7"/>
  <c r="AP48" i="7"/>
  <c r="AK48" i="7"/>
  <c r="AF48" i="7"/>
  <c r="AG48" i="7" s="1"/>
  <c r="Z48" i="7"/>
  <c r="AA48" i="7" s="1"/>
  <c r="T48" i="7"/>
  <c r="U48" i="7" s="1"/>
  <c r="R48" i="7"/>
  <c r="Q48" i="7" s="1"/>
  <c r="D48" i="7"/>
  <c r="BH47" i="7"/>
  <c r="BG47" i="7"/>
  <c r="AU47" i="7"/>
  <c r="AF47" i="7"/>
  <c r="AG47" i="7" s="1"/>
  <c r="Z47" i="7"/>
  <c r="AA47" i="7" s="1"/>
  <c r="T47" i="7"/>
  <c r="U47" i="7" s="1"/>
  <c r="R47" i="7"/>
  <c r="D47" i="7"/>
  <c r="BH46" i="7"/>
  <c r="BG46" i="7"/>
  <c r="AU46" i="7"/>
  <c r="AF46" i="7"/>
  <c r="AG46" i="7" s="1"/>
  <c r="Z46" i="7"/>
  <c r="AA46" i="7" s="1"/>
  <c r="T46" i="7"/>
  <c r="U46" i="7" s="1"/>
  <c r="R46" i="7"/>
  <c r="D46" i="7"/>
  <c r="BH45" i="7"/>
  <c r="BG45" i="7"/>
  <c r="AU45" i="7"/>
  <c r="AP45" i="7"/>
  <c r="AK45" i="7"/>
  <c r="AF45" i="7"/>
  <c r="AG45" i="7" s="1"/>
  <c r="Z45" i="7"/>
  <c r="AA45" i="7" s="1"/>
  <c r="T45" i="7"/>
  <c r="R45" i="7"/>
  <c r="Q45" i="7" s="1"/>
  <c r="D45" i="7"/>
  <c r="BH44" i="7"/>
  <c r="BG44" i="7"/>
  <c r="AU44" i="7"/>
  <c r="AP44" i="7"/>
  <c r="AK44" i="7"/>
  <c r="AF44" i="7"/>
  <c r="AG44" i="7" s="1"/>
  <c r="Z44" i="7"/>
  <c r="AA44" i="7" s="1"/>
  <c r="T44" i="7"/>
  <c r="BE44" i="7" s="1"/>
  <c r="R44" i="7"/>
  <c r="Q44" i="7" s="1"/>
  <c r="D44" i="7"/>
  <c r="BH43" i="7"/>
  <c r="BG43" i="7"/>
  <c r="AU43" i="7"/>
  <c r="AP43" i="7"/>
  <c r="AK43" i="7"/>
  <c r="AF43" i="7"/>
  <c r="AG43" i="7" s="1"/>
  <c r="Z43" i="7"/>
  <c r="AA43" i="7" s="1"/>
  <c r="T43" i="7"/>
  <c r="BE43" i="7" s="1"/>
  <c r="R43" i="7"/>
  <c r="Q43" i="7" s="1"/>
  <c r="D43" i="7"/>
  <c r="BH42" i="7"/>
  <c r="BG42" i="7"/>
  <c r="AU42" i="7"/>
  <c r="AP42" i="7"/>
  <c r="AK42" i="7"/>
  <c r="AF42" i="7"/>
  <c r="AG42" i="7" s="1"/>
  <c r="Z42" i="7"/>
  <c r="AA42" i="7" s="1"/>
  <c r="T42" i="7"/>
  <c r="BE42" i="7" s="1"/>
  <c r="R42" i="7"/>
  <c r="Q42" i="7" s="1"/>
  <c r="D42" i="7"/>
  <c r="BH41" i="7"/>
  <c r="BG41" i="7"/>
  <c r="AU41" i="7"/>
  <c r="AP41" i="7"/>
  <c r="AK41" i="7"/>
  <c r="AF41" i="7"/>
  <c r="AG41" i="7" s="1"/>
  <c r="Z41" i="7"/>
  <c r="AA41" i="7" s="1"/>
  <c r="T41" i="7"/>
  <c r="BE41" i="7" s="1"/>
  <c r="R41" i="7"/>
  <c r="Q41" i="7" s="1"/>
  <c r="D41" i="7"/>
  <c r="BH40" i="7"/>
  <c r="BG40" i="7"/>
  <c r="AU40" i="7"/>
  <c r="AF40" i="7"/>
  <c r="AG40" i="7" s="1"/>
  <c r="Z40" i="7"/>
  <c r="AA40" i="7" s="1"/>
  <c r="T40" i="7"/>
  <c r="U40" i="7" s="1"/>
  <c r="R40" i="7"/>
  <c r="D40" i="7"/>
  <c r="BH39" i="7"/>
  <c r="BG39" i="7"/>
  <c r="AU39" i="7"/>
  <c r="AP39" i="7"/>
  <c r="AK39" i="7"/>
  <c r="AF39" i="7"/>
  <c r="AG39" i="7" s="1"/>
  <c r="Z39" i="7"/>
  <c r="AA39" i="7" s="1"/>
  <c r="T39" i="7"/>
  <c r="BE39" i="7" s="1"/>
  <c r="R39" i="7"/>
  <c r="D39" i="7"/>
  <c r="BH38" i="7"/>
  <c r="BG38" i="7"/>
  <c r="AU38" i="7"/>
  <c r="AP38" i="7"/>
  <c r="AK38" i="7"/>
  <c r="AF38" i="7"/>
  <c r="AG38" i="7" s="1"/>
  <c r="Z38" i="7"/>
  <c r="AA38" i="7" s="1"/>
  <c r="T38" i="7"/>
  <c r="BE38" i="7" s="1"/>
  <c r="R38" i="7"/>
  <c r="Q38" i="7" s="1"/>
  <c r="D38" i="7"/>
  <c r="BH37" i="7"/>
  <c r="BG37" i="7"/>
  <c r="AU37" i="7"/>
  <c r="AK37" i="7"/>
  <c r="AF37" i="7"/>
  <c r="AG37" i="7" s="1"/>
  <c r="Z37" i="7"/>
  <c r="AA37" i="7" s="1"/>
  <c r="T37" i="7"/>
  <c r="U37" i="7" s="1"/>
  <c r="R37" i="7"/>
  <c r="Q37" i="7" s="1"/>
  <c r="D37" i="7"/>
  <c r="BH36" i="7"/>
  <c r="BG36" i="7"/>
  <c r="AU36" i="7"/>
  <c r="AP36" i="7"/>
  <c r="AK36" i="7"/>
  <c r="AF36" i="7"/>
  <c r="AG36" i="7" s="1"/>
  <c r="Z36" i="7"/>
  <c r="AA36" i="7" s="1"/>
  <c r="T36" i="7"/>
  <c r="U36" i="7" s="1"/>
  <c r="R36" i="7"/>
  <c r="D36" i="7"/>
  <c r="BH35" i="7"/>
  <c r="BG35" i="7"/>
  <c r="AU35" i="7"/>
  <c r="AP35" i="7"/>
  <c r="AK35" i="7"/>
  <c r="AF35" i="7"/>
  <c r="AG35" i="7" s="1"/>
  <c r="Z35" i="7"/>
  <c r="AA35" i="7" s="1"/>
  <c r="T35" i="7"/>
  <c r="U35" i="7" s="1"/>
  <c r="R35" i="7"/>
  <c r="Q35" i="7" s="1"/>
  <c r="D35" i="7"/>
  <c r="BH34" i="7"/>
  <c r="BG34" i="7"/>
  <c r="AU34" i="7"/>
  <c r="AP34" i="7"/>
  <c r="AK34" i="7"/>
  <c r="AF34" i="7"/>
  <c r="AG34" i="7" s="1"/>
  <c r="Z34" i="7"/>
  <c r="AA34" i="7" s="1"/>
  <c r="T34" i="7"/>
  <c r="BE34" i="7" s="1"/>
  <c r="R34" i="7"/>
  <c r="Q34" i="7" s="1"/>
  <c r="D34" i="7"/>
  <c r="BH33" i="7"/>
  <c r="BG33" i="7"/>
  <c r="AU33" i="7"/>
  <c r="AP33" i="7"/>
  <c r="AK33" i="7"/>
  <c r="AF33" i="7"/>
  <c r="AG33" i="7" s="1"/>
  <c r="Z33" i="7"/>
  <c r="AA33" i="7" s="1"/>
  <c r="T33" i="7"/>
  <c r="U33" i="7" s="1"/>
  <c r="R33" i="7"/>
  <c r="Q33" i="7" s="1"/>
  <c r="D33" i="7"/>
  <c r="BH32" i="7"/>
  <c r="BG32" i="7"/>
  <c r="AU32" i="7"/>
  <c r="AP32" i="7"/>
  <c r="AK32" i="7"/>
  <c r="AF32" i="7"/>
  <c r="AG32" i="7" s="1"/>
  <c r="Z32" i="7"/>
  <c r="AA32" i="7" s="1"/>
  <c r="T32" i="7"/>
  <c r="BE32" i="7" s="1"/>
  <c r="R32" i="7"/>
  <c r="Q32" i="7" s="1"/>
  <c r="D32" i="7"/>
  <c r="BH31" i="7"/>
  <c r="BG31" i="7"/>
  <c r="AU31" i="7"/>
  <c r="AP31" i="7"/>
  <c r="AF31" i="7"/>
  <c r="AG31" i="7" s="1"/>
  <c r="Z31" i="7"/>
  <c r="AA31" i="7" s="1"/>
  <c r="T31" i="7"/>
  <c r="U31" i="7" s="1"/>
  <c r="R31" i="7"/>
  <c r="D31" i="7"/>
  <c r="BH30" i="7"/>
  <c r="BG30" i="7"/>
  <c r="AU30" i="7"/>
  <c r="AP30" i="7"/>
  <c r="AK30" i="7"/>
  <c r="AF30" i="7"/>
  <c r="AG30" i="7" s="1"/>
  <c r="Z30" i="7"/>
  <c r="AA30" i="7" s="1"/>
  <c r="T30" i="7"/>
  <c r="U30" i="7" s="1"/>
  <c r="R30" i="7"/>
  <c r="Q30" i="7" s="1"/>
  <c r="D30" i="7"/>
  <c r="BH29" i="7"/>
  <c r="BG29" i="7"/>
  <c r="AU29" i="7"/>
  <c r="AP29" i="7"/>
  <c r="AK29" i="7"/>
  <c r="AF29" i="7"/>
  <c r="AG29" i="7" s="1"/>
  <c r="Z29" i="7"/>
  <c r="AA29" i="7" s="1"/>
  <c r="T29" i="7"/>
  <c r="R29" i="7"/>
  <c r="Q29" i="7" s="1"/>
  <c r="D29" i="7"/>
  <c r="BH28" i="7"/>
  <c r="BG28" i="7"/>
  <c r="AU28" i="7"/>
  <c r="AP28" i="7"/>
  <c r="AK28" i="7"/>
  <c r="AF28" i="7"/>
  <c r="AG28" i="7" s="1"/>
  <c r="Z28" i="7"/>
  <c r="AA28" i="7" s="1"/>
  <c r="T28" i="7"/>
  <c r="U28" i="7" s="1"/>
  <c r="R28" i="7"/>
  <c r="Q28" i="7" s="1"/>
  <c r="D28" i="7"/>
  <c r="BH27" i="7"/>
  <c r="BG27" i="7"/>
  <c r="AU27" i="7"/>
  <c r="AK27" i="7"/>
  <c r="AF27" i="7"/>
  <c r="AG27" i="7" s="1"/>
  <c r="Z27" i="7"/>
  <c r="AA27" i="7" s="1"/>
  <c r="T27" i="7"/>
  <c r="BE27" i="7" s="1"/>
  <c r="R27" i="7"/>
  <c r="Q27" i="7" s="1"/>
  <c r="D27" i="7"/>
  <c r="BH26" i="7"/>
  <c r="BG26" i="7"/>
  <c r="AU26" i="7"/>
  <c r="AP26" i="7"/>
  <c r="AK26" i="7"/>
  <c r="AF26" i="7"/>
  <c r="AG26" i="7" s="1"/>
  <c r="Z26" i="7"/>
  <c r="AA26" i="7" s="1"/>
  <c r="T26" i="7"/>
  <c r="BE26" i="7" s="1"/>
  <c r="R26" i="7"/>
  <c r="Q26" i="7" s="1"/>
  <c r="D26" i="7"/>
  <c r="BH25" i="7"/>
  <c r="BG25" i="7"/>
  <c r="AU25" i="7"/>
  <c r="AK25" i="7"/>
  <c r="AF25" i="7"/>
  <c r="AG25" i="7" s="1"/>
  <c r="Z25" i="7"/>
  <c r="AA25" i="7" s="1"/>
  <c r="T25" i="7"/>
  <c r="BE25" i="7" s="1"/>
  <c r="D25" i="7"/>
  <c r="BH24" i="7"/>
  <c r="BG24" i="7"/>
  <c r="AU24" i="7"/>
  <c r="AP24" i="7"/>
  <c r="AK24" i="7"/>
  <c r="AF24" i="7"/>
  <c r="AG24" i="7" s="1"/>
  <c r="Z24" i="7"/>
  <c r="AA24" i="7" s="1"/>
  <c r="T24" i="7"/>
  <c r="BE24" i="7" s="1"/>
  <c r="D24" i="7"/>
  <c r="BH23" i="7"/>
  <c r="BG23" i="7"/>
  <c r="AU23" i="7"/>
  <c r="AK23" i="7"/>
  <c r="AF23" i="7"/>
  <c r="AG23" i="7" s="1"/>
  <c r="Z23" i="7"/>
  <c r="AA23" i="7" s="1"/>
  <c r="T23" i="7"/>
  <c r="BE23" i="7" s="1"/>
  <c r="R23" i="7"/>
  <c r="D23" i="7"/>
  <c r="BH22" i="7"/>
  <c r="BG22" i="7"/>
  <c r="AU22" i="7"/>
  <c r="AP22" i="7"/>
  <c r="AK22" i="7"/>
  <c r="AF22" i="7"/>
  <c r="AG22" i="7" s="1"/>
  <c r="Z22" i="7"/>
  <c r="AA22" i="7" s="1"/>
  <c r="T22" i="7"/>
  <c r="BE22" i="7" s="1"/>
  <c r="R22" i="7"/>
  <c r="Q22" i="7" s="1"/>
  <c r="D22" i="7"/>
  <c r="BH21" i="7"/>
  <c r="BG21" i="7"/>
  <c r="AU21" i="7"/>
  <c r="AP21" i="7"/>
  <c r="AK21" i="7"/>
  <c r="AF21" i="7"/>
  <c r="AG21" i="7" s="1"/>
  <c r="Z21" i="7"/>
  <c r="AA21" i="7" s="1"/>
  <c r="T21" i="7"/>
  <c r="U21" i="7" s="1"/>
  <c r="R21" i="7"/>
  <c r="D21" i="7"/>
  <c r="BH20" i="7"/>
  <c r="BG20" i="7"/>
  <c r="AU20" i="7"/>
  <c r="AP20" i="7"/>
  <c r="AF20" i="7"/>
  <c r="AG20" i="7" s="1"/>
  <c r="Z20" i="7"/>
  <c r="AA20" i="7" s="1"/>
  <c r="T20" i="7"/>
  <c r="BE20" i="7" s="1"/>
  <c r="R20" i="7"/>
  <c r="D20" i="7"/>
  <c r="BH19" i="7"/>
  <c r="BG19" i="7"/>
  <c r="AU19" i="7"/>
  <c r="AP19" i="7"/>
  <c r="AK19" i="7"/>
  <c r="AF19" i="7"/>
  <c r="AG19" i="7" s="1"/>
  <c r="Z19" i="7"/>
  <c r="AA19" i="7" s="1"/>
  <c r="T19" i="7"/>
  <c r="U19" i="7" s="1"/>
  <c r="R19" i="7"/>
  <c r="Q19" i="7" s="1"/>
  <c r="D19" i="7"/>
  <c r="BH18" i="7"/>
  <c r="BG18" i="7"/>
  <c r="AU18" i="7"/>
  <c r="AP18" i="7"/>
  <c r="AK18" i="7"/>
  <c r="AF18" i="7"/>
  <c r="AG18" i="7" s="1"/>
  <c r="Z18" i="7"/>
  <c r="AA18" i="7" s="1"/>
  <c r="T18" i="7"/>
  <c r="U18" i="7" s="1"/>
  <c r="R18" i="7"/>
  <c r="Q18" i="7" s="1"/>
  <c r="D18" i="7"/>
  <c r="BH17" i="7"/>
  <c r="BG17" i="7"/>
  <c r="AU17" i="7"/>
  <c r="AK17" i="7"/>
  <c r="AF17" i="7"/>
  <c r="AG17" i="7" s="1"/>
  <c r="Z17" i="7"/>
  <c r="AA17" i="7" s="1"/>
  <c r="T17" i="7"/>
  <c r="U17" i="7" s="1"/>
  <c r="R17" i="7"/>
  <c r="Q17" i="7" s="1"/>
  <c r="D17" i="7"/>
  <c r="BH16" i="7"/>
  <c r="BG16" i="7"/>
  <c r="AU16" i="7"/>
  <c r="AP16" i="7"/>
  <c r="AK16" i="7"/>
  <c r="AF16" i="7"/>
  <c r="AG16" i="7" s="1"/>
  <c r="Z16" i="7"/>
  <c r="AA16" i="7" s="1"/>
  <c r="T16" i="7"/>
  <c r="BE16" i="7" s="1"/>
  <c r="R16" i="7"/>
  <c r="Q16" i="7" s="1"/>
  <c r="D16" i="7"/>
  <c r="BH15" i="7"/>
  <c r="BG15" i="7"/>
  <c r="AU15" i="7"/>
  <c r="AF15" i="7"/>
  <c r="AG15" i="7" s="1"/>
  <c r="Z15" i="7"/>
  <c r="AA15" i="7" s="1"/>
  <c r="T15" i="7"/>
  <c r="U15" i="7" s="1"/>
  <c r="R15" i="7"/>
  <c r="D15" i="7"/>
  <c r="BH14" i="7"/>
  <c r="BG14" i="7"/>
  <c r="AU14" i="7"/>
  <c r="AP14" i="7"/>
  <c r="AK14" i="7"/>
  <c r="AF14" i="7"/>
  <c r="AG14" i="7" s="1"/>
  <c r="Z14" i="7"/>
  <c r="AA14" i="7" s="1"/>
  <c r="T14" i="7"/>
  <c r="U14" i="7" s="1"/>
  <c r="R14" i="7"/>
  <c r="Q14" i="7" s="1"/>
  <c r="D14" i="7"/>
  <c r="BH13" i="7"/>
  <c r="BG13" i="7"/>
  <c r="AU13" i="7"/>
  <c r="AK13" i="7"/>
  <c r="AF13" i="7"/>
  <c r="AG13" i="7" s="1"/>
  <c r="Z13" i="7"/>
  <c r="AA13" i="7" s="1"/>
  <c r="T13" i="7"/>
  <c r="R13" i="7"/>
  <c r="Q13" i="7" s="1"/>
  <c r="D13" i="7"/>
  <c r="BH12" i="7"/>
  <c r="BG12" i="7"/>
  <c r="AU12" i="7"/>
  <c r="AP12" i="7"/>
  <c r="AK12" i="7"/>
  <c r="AF12" i="7"/>
  <c r="AG12" i="7" s="1"/>
  <c r="Z12" i="7"/>
  <c r="AA12" i="7" s="1"/>
  <c r="T12" i="7"/>
  <c r="BE12" i="7" s="1"/>
  <c r="R12" i="7"/>
  <c r="Q12" i="7" s="1"/>
  <c r="D12" i="7"/>
  <c r="BH11" i="7"/>
  <c r="BG11" i="7"/>
  <c r="AU11" i="7"/>
  <c r="AP11" i="7"/>
  <c r="AK11" i="7"/>
  <c r="AF11" i="7"/>
  <c r="AG11" i="7" s="1"/>
  <c r="Z11" i="7"/>
  <c r="AA11" i="7" s="1"/>
  <c r="T11" i="7"/>
  <c r="BE11" i="7" s="1"/>
  <c r="R11" i="7"/>
  <c r="Q11" i="7" s="1"/>
  <c r="D11" i="7"/>
  <c r="BH10" i="7"/>
  <c r="BG10" i="7"/>
  <c r="AU10" i="7"/>
  <c r="AP10" i="7"/>
  <c r="AK10" i="7"/>
  <c r="AF10" i="7"/>
  <c r="AG10" i="7" s="1"/>
  <c r="Z10" i="7"/>
  <c r="AA10" i="7" s="1"/>
  <c r="T10" i="7"/>
  <c r="BE10" i="7" s="1"/>
  <c r="R10" i="7"/>
  <c r="Q10" i="7" s="1"/>
  <c r="D10" i="7"/>
  <c r="BH9" i="7"/>
  <c r="BG9" i="7"/>
  <c r="AU9" i="7"/>
  <c r="AP9" i="7"/>
  <c r="AK9" i="7"/>
  <c r="AF9" i="7"/>
  <c r="AG9" i="7" s="1"/>
  <c r="Z9" i="7"/>
  <c r="AA9" i="7" s="1"/>
  <c r="T9" i="7"/>
  <c r="U9" i="7" s="1"/>
  <c r="R9" i="7"/>
  <c r="Q9" i="7" s="1"/>
  <c r="D9" i="7"/>
  <c r="BH8" i="7"/>
  <c r="BG8" i="7"/>
  <c r="AU8" i="7"/>
  <c r="AP8" i="7"/>
  <c r="AK8" i="7"/>
  <c r="AF8" i="7"/>
  <c r="AG8" i="7" s="1"/>
  <c r="Z8" i="7"/>
  <c r="AA8" i="7" s="1"/>
  <c r="T8" i="7"/>
  <c r="BE8" i="7" s="1"/>
  <c r="R8" i="7"/>
  <c r="Q8" i="7" s="1"/>
  <c r="D8" i="7"/>
  <c r="BH7" i="7"/>
  <c r="BG7" i="7"/>
  <c r="AU7" i="7"/>
  <c r="AP7" i="7"/>
  <c r="AK7" i="7"/>
  <c r="AF7" i="7"/>
  <c r="AG7" i="7" s="1"/>
  <c r="Z7" i="7"/>
  <c r="AA7" i="7" s="1"/>
  <c r="T7" i="7"/>
  <c r="BE7" i="7" s="1"/>
  <c r="R7" i="7"/>
  <c r="D7" i="7"/>
  <c r="BH6" i="7"/>
  <c r="BG6" i="7"/>
  <c r="AU6" i="7"/>
  <c r="AP6" i="7"/>
  <c r="AK6" i="7"/>
  <c r="AF6" i="7"/>
  <c r="AG6" i="7" s="1"/>
  <c r="Z6" i="7"/>
  <c r="AA6" i="7" s="1"/>
  <c r="T6" i="7"/>
  <c r="BE6" i="7" s="1"/>
  <c r="R6" i="7"/>
  <c r="Q6" i="7" s="1"/>
  <c r="D6" i="7"/>
  <c r="BH5" i="7"/>
  <c r="BG5" i="7"/>
  <c r="AU5" i="7"/>
  <c r="AP5" i="7"/>
  <c r="AK5" i="7"/>
  <c r="AF5" i="7"/>
  <c r="AG5" i="7" s="1"/>
  <c r="Z5" i="7"/>
  <c r="AA5" i="7" s="1"/>
  <c r="T5" i="7"/>
  <c r="R5" i="7"/>
  <c r="Q5" i="7" s="1"/>
  <c r="D5" i="7"/>
  <c r="BH4" i="7"/>
  <c r="BG4" i="7"/>
  <c r="AU4" i="7"/>
  <c r="AP4" i="7"/>
  <c r="AK4" i="7"/>
  <c r="AF4" i="7"/>
  <c r="AG4" i="7" s="1"/>
  <c r="Z4" i="7"/>
  <c r="AA4" i="7" s="1"/>
  <c r="T4" i="7"/>
  <c r="BE4" i="7" s="1"/>
  <c r="R4" i="7"/>
  <c r="Q4" i="7" s="1"/>
  <c r="D4" i="7"/>
  <c r="BH3" i="7"/>
  <c r="BG3" i="7"/>
  <c r="AU3" i="7"/>
  <c r="AP3" i="7"/>
  <c r="AK3" i="7"/>
  <c r="AF3" i="7"/>
  <c r="AG3" i="7" s="1"/>
  <c r="Z3" i="7"/>
  <c r="AA3" i="7" s="1"/>
  <c r="T3" i="7"/>
  <c r="U3" i="7" s="1"/>
  <c r="R3" i="7"/>
  <c r="D3" i="7"/>
  <c r="A45" i="4" a="1"/>
  <c r="A3" i="1" a="1"/>
  <c r="A4" i="2" a="1"/>
  <c r="A5" i="1" a="1"/>
  <c r="A4" i="4" a="1"/>
  <c r="A4" i="3" a="1"/>
  <c r="A48" i="1" a="1"/>
  <c r="Q597" i="7" l="1"/>
  <c r="Q596" i="7"/>
  <c r="Q595" i="7"/>
  <c r="Q598" i="7"/>
  <c r="Q477" i="7"/>
  <c r="Q478" i="7"/>
  <c r="Q355" i="7"/>
  <c r="Q61" i="7"/>
  <c r="Q713" i="7"/>
  <c r="BF713" i="7" s="1"/>
  <c r="Q711" i="7"/>
  <c r="BF711" i="7" s="1"/>
  <c r="Q706" i="7"/>
  <c r="BF706" i="7" s="1"/>
  <c r="Q702" i="7"/>
  <c r="BF702" i="7" s="1"/>
  <c r="Q699" i="7"/>
  <c r="BF699" i="7" s="1"/>
  <c r="Q714" i="7"/>
  <c r="BF714" i="7" s="1"/>
  <c r="Q709" i="7"/>
  <c r="BF709" i="7" s="1"/>
  <c r="Q705" i="7"/>
  <c r="BF705" i="7" s="1"/>
  <c r="Q703" i="7"/>
  <c r="BF703" i="7" s="1"/>
  <c r="Q700" i="7"/>
  <c r="BF700" i="7" s="1"/>
  <c r="Q712" i="7"/>
  <c r="BF712" i="7" s="1"/>
  <c r="Q708" i="7"/>
  <c r="BF708" i="7" s="1"/>
  <c r="Q707" i="7"/>
  <c r="BF707" i="7" s="1"/>
  <c r="Q704" i="7"/>
  <c r="BF704" i="7" s="1"/>
  <c r="Q701" i="7"/>
  <c r="BF701" i="7" s="1"/>
  <c r="Q698" i="7"/>
  <c r="BF698" i="7" s="1"/>
  <c r="Q609" i="7"/>
  <c r="BF609" i="7" s="1"/>
  <c r="Q608" i="7"/>
  <c r="BF608" i="7" s="1"/>
  <c r="Q607" i="7"/>
  <c r="BF607" i="7" s="1"/>
  <c r="Q592" i="7"/>
  <c r="BF592" i="7" s="1"/>
  <c r="Q484" i="7"/>
  <c r="BF484" i="7" s="1"/>
  <c r="Q480" i="7"/>
  <c r="BF480" i="7" s="1"/>
  <c r="Q476" i="7"/>
  <c r="BF476" i="7" s="1"/>
  <c r="Q475" i="7"/>
  <c r="BF475" i="7" s="1"/>
  <c r="Q474" i="7"/>
  <c r="BF474" i="7" s="1"/>
  <c r="Q367" i="7"/>
  <c r="BF367" i="7" s="1"/>
  <c r="Q365" i="7"/>
  <c r="BF365" i="7" s="1"/>
  <c r="Q364" i="7"/>
  <c r="BF364" i="7" s="1"/>
  <c r="Q352" i="7"/>
  <c r="BF352" i="7" s="1"/>
  <c r="Q334" i="7"/>
  <c r="BF334" i="7" s="1"/>
  <c r="Q333" i="7"/>
  <c r="BF333" i="7" s="1"/>
  <c r="Q332" i="7"/>
  <c r="BF332" i="7" s="1"/>
  <c r="Q331" i="7"/>
  <c r="BF331" i="7" s="1"/>
  <c r="Q330" i="7"/>
  <c r="BF330" i="7" s="1"/>
  <c r="Q321" i="7"/>
  <c r="BF321" i="7" s="1"/>
  <c r="Q320" i="7"/>
  <c r="BF320" i="7" s="1"/>
  <c r="Q318" i="7"/>
  <c r="BF318" i="7" s="1"/>
  <c r="Q317" i="7"/>
  <c r="BF317" i="7" s="1"/>
  <c r="Q314" i="7"/>
  <c r="BF314" i="7" s="1"/>
  <c r="Q313" i="7"/>
  <c r="BF313" i="7" s="1"/>
  <c r="Q312" i="7"/>
  <c r="BF312" i="7" s="1"/>
  <c r="Q311" i="7"/>
  <c r="BF311" i="7" s="1"/>
  <c r="Q310" i="7"/>
  <c r="BF310" i="7" s="1"/>
  <c r="Q303" i="7"/>
  <c r="BF303" i="7" s="1"/>
  <c r="Q302" i="7"/>
  <c r="BF302" i="7" s="1"/>
  <c r="Q245" i="7"/>
  <c r="BF245" i="7" s="1"/>
  <c r="Q243" i="7"/>
  <c r="BF243" i="7" s="1"/>
  <c r="Q241" i="7"/>
  <c r="BF241" i="7" s="1"/>
  <c r="Q239" i="7"/>
  <c r="BF239" i="7" s="1"/>
  <c r="Q231" i="7"/>
  <c r="BF231" i="7" s="1"/>
  <c r="Q228" i="7"/>
  <c r="BF228" i="7" s="1"/>
  <c r="Q227" i="7"/>
  <c r="BF227" i="7" s="1"/>
  <c r="Q226" i="7"/>
  <c r="BF226" i="7" s="1"/>
  <c r="Q222" i="7"/>
  <c r="BF222" i="7" s="1"/>
  <c r="Q221" i="7"/>
  <c r="BF221" i="7" s="1"/>
  <c r="Q219" i="7"/>
  <c r="BF219" i="7" s="1"/>
  <c r="Q218" i="7"/>
  <c r="BF218" i="7" s="1"/>
  <c r="Q217" i="7"/>
  <c r="BF217" i="7" s="1"/>
  <c r="Q216" i="7"/>
  <c r="BF216" i="7" s="1"/>
  <c r="Q213" i="7"/>
  <c r="BF213" i="7" s="1"/>
  <c r="Q207" i="7"/>
  <c r="BF207" i="7" s="1"/>
  <c r="Q206" i="7"/>
  <c r="BF206" i="7" s="1"/>
  <c r="AP241" i="7"/>
  <c r="D14" i="17"/>
  <c r="J14" i="17" s="1"/>
  <c r="AK241" i="7"/>
  <c r="AP242" i="7"/>
  <c r="AK242" i="7"/>
  <c r="D13" i="17"/>
  <c r="J13" i="17" s="1"/>
  <c r="AP240" i="7"/>
  <c r="AK240" i="7"/>
  <c r="AP239" i="7"/>
  <c r="AK239" i="7"/>
  <c r="AK608" i="7"/>
  <c r="AP608" i="7"/>
  <c r="AU608" i="7"/>
  <c r="AK609" i="7"/>
  <c r="AP609" i="7"/>
  <c r="AP365" i="7"/>
  <c r="AK364" i="7"/>
  <c r="AP364" i="7"/>
  <c r="AU364" i="7"/>
  <c r="AK724" i="7"/>
  <c r="AP717" i="7"/>
  <c r="AP716" i="7"/>
  <c r="AK715" i="7"/>
  <c r="AP724" i="7"/>
  <c r="AU716" i="7"/>
  <c r="AU715" i="7"/>
  <c r="AU724" i="7"/>
  <c r="AU717" i="7"/>
  <c r="AK365" i="7"/>
  <c r="AP715" i="7"/>
  <c r="AU609" i="7"/>
  <c r="AU365" i="7"/>
  <c r="AK366" i="7"/>
  <c r="AK716" i="7"/>
  <c r="AP366" i="7"/>
  <c r="AK607" i="7"/>
  <c r="AU366" i="7"/>
  <c r="AU607" i="7"/>
  <c r="AU237" i="7"/>
  <c r="AP237" i="7"/>
  <c r="AK243" i="7"/>
  <c r="AP243" i="7"/>
  <c r="AK205" i="7"/>
  <c r="BF205" i="7" s="1"/>
  <c r="AP207" i="7"/>
  <c r="AK207" i="7"/>
  <c r="AK206" i="7"/>
  <c r="AK332" i="7"/>
  <c r="AK331" i="7"/>
  <c r="AK330" i="7"/>
  <c r="AP331" i="7"/>
  <c r="AP330" i="7"/>
  <c r="AP332" i="7"/>
  <c r="AU332" i="7"/>
  <c r="AU331" i="7"/>
  <c r="AU330" i="7"/>
  <c r="AK476" i="7"/>
  <c r="AK475" i="7"/>
  <c r="AK474" i="7"/>
  <c r="D88" i="17"/>
  <c r="J88" i="17" s="1"/>
  <c r="AP610" i="7"/>
  <c r="Q384" i="7"/>
  <c r="BF384" i="7" s="1"/>
  <c r="Q56" i="7"/>
  <c r="BF56" i="7" s="1"/>
  <c r="Q57" i="7"/>
  <c r="BF57" i="7" s="1"/>
  <c r="Q723" i="7"/>
  <c r="BF723" i="7" s="1"/>
  <c r="Q718" i="7"/>
  <c r="BF718" i="7" s="1"/>
  <c r="Q697" i="7"/>
  <c r="BF697" i="7" s="1"/>
  <c r="Q722" i="7"/>
  <c r="BF722" i="7" s="1"/>
  <c r="Q721" i="7"/>
  <c r="BF721" i="7" s="1"/>
  <c r="Q719" i="7"/>
  <c r="BF719" i="7" s="1"/>
  <c r="Q605" i="7"/>
  <c r="BF605" i="7" s="1"/>
  <c r="Q604" i="7"/>
  <c r="BF604" i="7" s="1"/>
  <c r="Q603" i="7"/>
  <c r="BF603" i="7" s="1"/>
  <c r="Q601" i="7"/>
  <c r="BF601" i="7" s="1"/>
  <c r="Q599" i="7"/>
  <c r="BF599" i="7" s="1"/>
  <c r="Q483" i="7"/>
  <c r="BF483" i="7" s="1"/>
  <c r="Q482" i="7"/>
  <c r="Q481" i="7"/>
  <c r="Q363" i="7"/>
  <c r="BF363" i="7" s="1"/>
  <c r="Q362" i="7"/>
  <c r="BF362" i="7" s="1"/>
  <c r="Q361" i="7"/>
  <c r="BF361" i="7" s="1"/>
  <c r="Q360" i="7"/>
  <c r="BF360" i="7" s="1"/>
  <c r="Q359" i="7"/>
  <c r="BF359" i="7" s="1"/>
  <c r="Q358" i="7"/>
  <c r="BF358" i="7" s="1"/>
  <c r="Q354" i="7"/>
  <c r="BF354" i="7" s="1"/>
  <c r="Q353" i="7"/>
  <c r="Q237" i="7"/>
  <c r="BF237" i="7" s="1"/>
  <c r="Q124" i="7"/>
  <c r="BF124" i="7" s="1"/>
  <c r="Q123" i="7"/>
  <c r="BF123" i="7" s="1"/>
  <c r="Q120" i="7"/>
  <c r="BF120" i="7" s="1"/>
  <c r="Q117" i="7"/>
  <c r="BF117" i="7" s="1"/>
  <c r="Q116" i="7"/>
  <c r="BF116" i="7" s="1"/>
  <c r="Q70" i="7"/>
  <c r="BF70" i="7" s="1"/>
  <c r="R356" i="7"/>
  <c r="Q356" i="7" s="1"/>
  <c r="BF356" i="7" s="1"/>
  <c r="R357" i="7"/>
  <c r="Q357" i="7" s="1"/>
  <c r="BF357" i="7" s="1"/>
  <c r="AP720" i="7"/>
  <c r="AK720" i="7"/>
  <c r="AK719" i="7"/>
  <c r="AP719" i="7"/>
  <c r="AK594" i="7"/>
  <c r="BF594" i="7" s="1"/>
  <c r="AK592" i="7"/>
  <c r="AP594" i="7"/>
  <c r="D85" i="17"/>
  <c r="J85" i="17" s="1"/>
  <c r="AK595" i="7"/>
  <c r="BF595" i="7" s="1"/>
  <c r="AK482" i="7"/>
  <c r="AK481" i="7"/>
  <c r="BF481" i="7" s="1"/>
  <c r="AK480" i="7"/>
  <c r="D72" i="17"/>
  <c r="J72" i="17" s="1"/>
  <c r="AP696" i="7"/>
  <c r="BF696" i="7" s="1"/>
  <c r="D70" i="17"/>
  <c r="J70" i="17" s="1"/>
  <c r="Q726" i="7"/>
  <c r="BF726" i="7" s="1"/>
  <c r="AK718" i="7"/>
  <c r="D71" i="17"/>
  <c r="J71" i="17" s="1"/>
  <c r="Q727" i="7"/>
  <c r="BF727" i="7" s="1"/>
  <c r="D33" i="17"/>
  <c r="J33" i="17" s="1"/>
  <c r="AK354" i="7"/>
  <c r="AK353" i="7"/>
  <c r="E35" i="10"/>
  <c r="AP102" i="7"/>
  <c r="BF102" i="7" s="1"/>
  <c r="AP101" i="7"/>
  <c r="BF101" i="7" s="1"/>
  <c r="AP100" i="7"/>
  <c r="BF100" i="7" s="1"/>
  <c r="AP99" i="7"/>
  <c r="BF99" i="7" s="1"/>
  <c r="AP98" i="7"/>
  <c r="BF98" i="7" s="1"/>
  <c r="AP97" i="7"/>
  <c r="BF97" i="7" s="1"/>
  <c r="D116" i="17"/>
  <c r="J116" i="17" s="1"/>
  <c r="AP607" i="7"/>
  <c r="D21" i="17"/>
  <c r="J21" i="17" s="1"/>
  <c r="AP116" i="7"/>
  <c r="AK116" i="7"/>
  <c r="BH555" i="7"/>
  <c r="U727" i="7"/>
  <c r="BE714" i="7"/>
  <c r="U714" i="7"/>
  <c r="U707" i="7"/>
  <c r="BE707" i="7"/>
  <c r="BE626" i="7"/>
  <c r="U626" i="7"/>
  <c r="BE616" i="7"/>
  <c r="U616" i="7"/>
  <c r="BE604" i="7"/>
  <c r="U604" i="7"/>
  <c r="BE598" i="7"/>
  <c r="U598" i="7"/>
  <c r="BE570" i="7"/>
  <c r="U570" i="7"/>
  <c r="BE514" i="7"/>
  <c r="U514" i="7"/>
  <c r="BE507" i="7"/>
  <c r="U507" i="7"/>
  <c r="BE501" i="7"/>
  <c r="U501" i="7"/>
  <c r="U497" i="7"/>
  <c r="BE497" i="7"/>
  <c r="BE491" i="7"/>
  <c r="U491" i="7"/>
  <c r="BE490" i="7"/>
  <c r="U490" i="7"/>
  <c r="BE451" i="7"/>
  <c r="U451" i="7"/>
  <c r="BE332" i="7"/>
  <c r="U332" i="7"/>
  <c r="U324" i="7"/>
  <c r="BE324" i="7"/>
  <c r="BE304" i="7"/>
  <c r="U304" i="7"/>
  <c r="BE262" i="7"/>
  <c r="U262" i="7"/>
  <c r="U241" i="7"/>
  <c r="BE241" i="7"/>
  <c r="U238" i="7"/>
  <c r="BE238" i="7"/>
  <c r="U229" i="7"/>
  <c r="BE229" i="7"/>
  <c r="U228" i="7"/>
  <c r="BE228" i="7"/>
  <c r="U224" i="7"/>
  <c r="BE224" i="7"/>
  <c r="U218" i="7"/>
  <c r="BE218" i="7"/>
  <c r="BE163" i="7"/>
  <c r="U163" i="7"/>
  <c r="BE124" i="7"/>
  <c r="U124" i="7"/>
  <c r="BE121" i="7"/>
  <c r="U121" i="7"/>
  <c r="BE97" i="7"/>
  <c r="U97" i="7"/>
  <c r="U62" i="7"/>
  <c r="BE62" i="7"/>
  <c r="BE50" i="7"/>
  <c r="U50" i="7"/>
  <c r="U45" i="7"/>
  <c r="BE45" i="7"/>
  <c r="U13" i="7"/>
  <c r="BE13" i="7"/>
  <c r="U210" i="7"/>
  <c r="U505" i="7"/>
  <c r="BE553" i="7"/>
  <c r="BE594" i="7"/>
  <c r="U694" i="7"/>
  <c r="U519" i="7"/>
  <c r="BE33" i="7"/>
  <c r="U135" i="7"/>
  <c r="U382" i="7"/>
  <c r="U558" i="7"/>
  <c r="U713" i="7"/>
  <c r="BE30" i="7"/>
  <c r="BE234" i="7"/>
  <c r="BE416" i="7"/>
  <c r="BE496" i="7"/>
  <c r="BE593" i="7"/>
  <c r="BE275" i="7"/>
  <c r="BE539" i="7"/>
  <c r="BE611" i="7"/>
  <c r="BE92" i="7"/>
  <c r="U280" i="7"/>
  <c r="BE329" i="7"/>
  <c r="U331" i="7"/>
  <c r="U342" i="7"/>
  <c r="BE346" i="7"/>
  <c r="U457" i="7"/>
  <c r="U297" i="7"/>
  <c r="BE419" i="7"/>
  <c r="BE587" i="7"/>
  <c r="BE627" i="7"/>
  <c r="BE37" i="7"/>
  <c r="BE84" i="7"/>
  <c r="BE161" i="7"/>
  <c r="BE328" i="7"/>
  <c r="BE529" i="7"/>
  <c r="BE554" i="7"/>
  <c r="BE252" i="7"/>
  <c r="U473" i="7"/>
  <c r="U711" i="7"/>
  <c r="BE480" i="7"/>
  <c r="U545" i="7"/>
  <c r="U661" i="7"/>
  <c r="BE214" i="7"/>
  <c r="U286" i="7"/>
  <c r="BE413" i="7"/>
  <c r="U542" i="7"/>
  <c r="U663" i="7"/>
  <c r="U669" i="7"/>
  <c r="BH714" i="7"/>
  <c r="BE334" i="7"/>
  <c r="U495" i="7"/>
  <c r="BE524" i="7"/>
  <c r="U479" i="7"/>
  <c r="BE567" i="7"/>
  <c r="U578" i="7"/>
  <c r="U610" i="7"/>
  <c r="U642" i="7"/>
  <c r="BH645" i="7"/>
  <c r="U687" i="7"/>
  <c r="BE81" i="7"/>
  <c r="U107" i="7"/>
  <c r="BE111" i="7"/>
  <c r="U113" i="7"/>
  <c r="BE140" i="7"/>
  <c r="BE533" i="7"/>
  <c r="U538" i="7"/>
  <c r="BE108" i="7"/>
  <c r="BE169" i="7"/>
  <c r="BE499" i="7"/>
  <c r="BE722" i="7"/>
  <c r="BE333" i="7"/>
  <c r="U583" i="7"/>
  <c r="U613" i="7"/>
  <c r="U656" i="7"/>
  <c r="BE672" i="7"/>
  <c r="U177" i="7"/>
  <c r="BE248" i="7"/>
  <c r="BE353" i="7"/>
  <c r="U385" i="7"/>
  <c r="BH405" i="7"/>
  <c r="BE409" i="7"/>
  <c r="BE511" i="7"/>
  <c r="BE550" i="7"/>
  <c r="U686" i="7"/>
  <c r="BE698" i="7"/>
  <c r="BE77" i="7"/>
  <c r="U156" i="7"/>
  <c r="BE204" i="7"/>
  <c r="BH232" i="7"/>
  <c r="U358" i="7"/>
  <c r="BE476" i="7"/>
  <c r="U561" i="7"/>
  <c r="U683" i="7"/>
  <c r="BE80" i="7"/>
  <c r="BE259" i="7"/>
  <c r="BE326" i="7"/>
  <c r="BH641" i="7"/>
  <c r="BH686" i="7"/>
  <c r="BE716" i="7"/>
  <c r="BH221" i="7"/>
  <c r="U227" i="7"/>
  <c r="BH235" i="7"/>
  <c r="BE434" i="7"/>
  <c r="U481" i="7"/>
  <c r="U484" i="7"/>
  <c r="U658" i="7"/>
  <c r="U4" i="7"/>
  <c r="BE236" i="7"/>
  <c r="U287" i="7"/>
  <c r="U354" i="7"/>
  <c r="U395" i="7"/>
  <c r="BE475" i="7"/>
  <c r="BE525" i="7"/>
  <c r="U527" i="7"/>
  <c r="BE555" i="7"/>
  <c r="BE650" i="7"/>
  <c r="BE689" i="7"/>
  <c r="U178" i="7"/>
  <c r="BH227" i="7"/>
  <c r="U260" i="7"/>
  <c r="U368" i="7"/>
  <c r="BE18" i="7"/>
  <c r="BE130" i="7"/>
  <c r="U196" i="7"/>
  <c r="BE306" i="7"/>
  <c r="BE335" i="7"/>
  <c r="U543" i="7"/>
  <c r="U705" i="7"/>
  <c r="BE21" i="7"/>
  <c r="U34" i="7"/>
  <c r="BE100" i="7"/>
  <c r="BE174" i="7"/>
  <c r="U489" i="7"/>
  <c r="BE506" i="7"/>
  <c r="BE513" i="7"/>
  <c r="U20" i="7"/>
  <c r="BE109" i="7"/>
  <c r="U254" i="7"/>
  <c r="U294" i="7"/>
  <c r="BE348" i="7"/>
  <c r="U350" i="7"/>
  <c r="U16" i="7"/>
  <c r="BE46" i="7"/>
  <c r="BH295" i="7"/>
  <c r="U298" i="7"/>
  <c r="BE351" i="7"/>
  <c r="BE397" i="7"/>
  <c r="BE403" i="7"/>
  <c r="BE407" i="7"/>
  <c r="BE418" i="7"/>
  <c r="U618" i="7"/>
  <c r="BE699" i="7"/>
  <c r="BE702" i="7"/>
  <c r="U66" i="7"/>
  <c r="U99" i="7"/>
  <c r="BE180" i="7"/>
  <c r="BE149" i="7"/>
  <c r="BE152" i="7"/>
  <c r="BE279" i="7"/>
  <c r="BE296" i="7"/>
  <c r="BE17" i="7"/>
  <c r="BE69" i="7"/>
  <c r="U71" i="7"/>
  <c r="BE93" i="7"/>
  <c r="BE233" i="7"/>
  <c r="U288" i="7"/>
  <c r="BE377" i="7"/>
  <c r="U384" i="7"/>
  <c r="U387" i="7"/>
  <c r="BE438" i="7"/>
  <c r="U441" i="7"/>
  <c r="U459" i="7"/>
  <c r="U515" i="7"/>
  <c r="U518" i="7"/>
  <c r="BE523" i="7"/>
  <c r="BE534" i="7"/>
  <c r="BE569" i="7"/>
  <c r="BE599" i="7"/>
  <c r="U682" i="7"/>
  <c r="BE60" i="7"/>
  <c r="BE63" i="7"/>
  <c r="BE85" i="7"/>
  <c r="BH141" i="7"/>
  <c r="BE155" i="7"/>
  <c r="BE278" i="7"/>
  <c r="BH294" i="7"/>
  <c r="BE381" i="7"/>
  <c r="U601" i="7"/>
  <c r="BE632" i="7"/>
  <c r="U634" i="7"/>
  <c r="BE648" i="7"/>
  <c r="U717" i="7"/>
  <c r="BE718" i="7"/>
  <c r="BE193" i="7"/>
  <c r="BE320" i="7"/>
  <c r="BE340" i="7"/>
  <c r="BE373" i="7"/>
  <c r="BE638" i="7"/>
  <c r="BE654" i="7"/>
  <c r="U32" i="7"/>
  <c r="U53" i="7"/>
  <c r="U76" i="7"/>
  <c r="BE190" i="7"/>
  <c r="U253" i="7"/>
  <c r="U284" i="7"/>
  <c r="U325" i="7"/>
  <c r="BE330" i="7"/>
  <c r="U336" i="7"/>
  <c r="BE410" i="7"/>
  <c r="BH213" i="7"/>
  <c r="BH223" i="7"/>
  <c r="BH231" i="7"/>
  <c r="U575" i="7"/>
  <c r="BE602" i="7"/>
  <c r="BE628" i="7"/>
  <c r="BH345" i="7"/>
  <c r="U510" i="7"/>
  <c r="U617" i="7"/>
  <c r="BE647" i="7"/>
  <c r="U378" i="7"/>
  <c r="BH383" i="7"/>
  <c r="U439" i="7"/>
  <c r="U455" i="7"/>
  <c r="U674" i="7"/>
  <c r="U206" i="7"/>
  <c r="U209" i="7"/>
  <c r="BE704" i="7"/>
  <c r="BE47" i="7"/>
  <c r="BE119" i="7"/>
  <c r="U139" i="7"/>
  <c r="BE189" i="7"/>
  <c r="BH226" i="7"/>
  <c r="BH303" i="7"/>
  <c r="U359" i="7"/>
  <c r="U374" i="7"/>
  <c r="BH418" i="7"/>
  <c r="U498" i="7"/>
  <c r="BE15" i="7"/>
  <c r="BE244" i="7"/>
  <c r="U112" i="7"/>
  <c r="U115" i="7"/>
  <c r="BH139" i="7"/>
  <c r="BE223" i="7"/>
  <c r="U237" i="7"/>
  <c r="U264" i="7"/>
  <c r="BE265" i="7"/>
  <c r="U355" i="7"/>
  <c r="BE412" i="7"/>
  <c r="U667" i="7"/>
  <c r="BE352" i="7"/>
  <c r="BE408" i="7"/>
  <c r="BE470" i="7"/>
  <c r="BH606" i="7"/>
  <c r="U39" i="7"/>
  <c r="BE404" i="7"/>
  <c r="U120" i="7"/>
  <c r="U509" i="7"/>
  <c r="BE509" i="7"/>
  <c r="U568" i="7"/>
  <c r="BE568" i="7"/>
  <c r="U657" i="7"/>
  <c r="U541" i="7"/>
  <c r="U677" i="7"/>
  <c r="U172" i="7"/>
  <c r="U231" i="7"/>
  <c r="U338" i="7"/>
  <c r="U106" i="7"/>
  <c r="U150" i="7"/>
  <c r="U276" i="7"/>
  <c r="U281" i="7"/>
  <c r="BE49" i="7"/>
  <c r="U55" i="7"/>
  <c r="BE98" i="7"/>
  <c r="U101" i="7"/>
  <c r="U127" i="7"/>
  <c r="BE144" i="7"/>
  <c r="BE339" i="7"/>
  <c r="U361" i="7"/>
  <c r="BE367" i="7"/>
  <c r="U367" i="7"/>
  <c r="U584" i="7"/>
  <c r="U349" i="7"/>
  <c r="U154" i="7"/>
  <c r="BE186" i="7"/>
  <c r="U188" i="7"/>
  <c r="U198" i="7"/>
  <c r="U272" i="7"/>
  <c r="BE277" i="7"/>
  <c r="BE292" i="7"/>
  <c r="U309" i="7"/>
  <c r="U341" i="7"/>
  <c r="U364" i="7"/>
  <c r="BE396" i="7"/>
  <c r="BE493" i="7"/>
  <c r="U87" i="7"/>
  <c r="U216" i="7"/>
  <c r="U52" i="7"/>
  <c r="U102" i="7"/>
  <c r="U313" i="7"/>
  <c r="BE5" i="7"/>
  <c r="U5" i="7"/>
  <c r="U64" i="7"/>
  <c r="BE103" i="7"/>
  <c r="U44" i="7"/>
  <c r="U68" i="7"/>
  <c r="BE79" i="7"/>
  <c r="U82" i="7"/>
  <c r="BE128" i="7"/>
  <c r="BE173" i="7"/>
  <c r="U185" i="7"/>
  <c r="U230" i="7"/>
  <c r="BE246" i="7"/>
  <c r="BE263" i="7"/>
  <c r="BE323" i="7"/>
  <c r="U337" i="7"/>
  <c r="BE435" i="7"/>
  <c r="U435" i="7"/>
  <c r="U500" i="7"/>
  <c r="U504" i="7"/>
  <c r="U552" i="7"/>
  <c r="BE552" i="7"/>
  <c r="U565" i="7"/>
  <c r="BE600" i="7"/>
  <c r="U600" i="7"/>
  <c r="U630" i="7"/>
  <c r="U138" i="7"/>
  <c r="U273" i="7"/>
  <c r="BE36" i="7"/>
  <c r="BE61" i="7"/>
  <c r="BH142" i="7"/>
  <c r="U160" i="7"/>
  <c r="BE165" i="7"/>
  <c r="BE205" i="7"/>
  <c r="U251" i="7"/>
  <c r="BE379" i="7"/>
  <c r="BE417" i="7"/>
  <c r="BE420" i="7"/>
  <c r="U420" i="7"/>
  <c r="U310" i="7"/>
  <c r="U12" i="7"/>
  <c r="U23" i="7"/>
  <c r="BE28" i="7"/>
  <c r="BE48" i="7"/>
  <c r="BE65" i="7"/>
  <c r="BE96" i="7"/>
  <c r="U141" i="7"/>
  <c r="BE212" i="7"/>
  <c r="BH224" i="7"/>
  <c r="BE291" i="7"/>
  <c r="U356" i="7"/>
  <c r="U360" i="7"/>
  <c r="U391" i="7"/>
  <c r="U415" i="7"/>
  <c r="U477" i="7"/>
  <c r="BE536" i="7"/>
  <c r="U536" i="7"/>
  <c r="BE562" i="7"/>
  <c r="U562" i="7"/>
  <c r="BE596" i="7"/>
  <c r="U596" i="7"/>
  <c r="U406" i="7"/>
  <c r="BE406" i="7"/>
  <c r="BE95" i="7"/>
  <c r="BE123" i="7"/>
  <c r="BE182" i="7"/>
  <c r="U494" i="7"/>
  <c r="BE494" i="7"/>
  <c r="BE521" i="7"/>
  <c r="U521" i="7"/>
  <c r="BE31" i="7"/>
  <c r="U7" i="7"/>
  <c r="BE78" i="7"/>
  <c r="U104" i="7"/>
  <c r="BH145" i="7"/>
  <c r="BE146" i="7"/>
  <c r="BH233" i="7"/>
  <c r="U247" i="7"/>
  <c r="BE247" i="7"/>
  <c r="U283" i="7"/>
  <c r="U411" i="7"/>
  <c r="BE411" i="7"/>
  <c r="U445" i="7"/>
  <c r="BE668" i="7"/>
  <c r="U668" i="7"/>
  <c r="BE311" i="7"/>
  <c r="U311" i="7"/>
  <c r="U465" i="7"/>
  <c r="BE465" i="7"/>
  <c r="BH532" i="7"/>
  <c r="BE137" i="7"/>
  <c r="U125" i="7"/>
  <c r="BE201" i="7"/>
  <c r="BE225" i="7"/>
  <c r="U232" i="7"/>
  <c r="BE232" i="7"/>
  <c r="BE312" i="7"/>
  <c r="U380" i="7"/>
  <c r="U700" i="7"/>
  <c r="BE700" i="7"/>
  <c r="U29" i="7"/>
  <c r="BE29" i="7"/>
  <c r="BH140" i="7"/>
  <c r="BH144" i="7"/>
  <c r="BE157" i="7"/>
  <c r="U213" i="7"/>
  <c r="BE213" i="7"/>
  <c r="U243" i="7"/>
  <c r="BE243" i="7"/>
  <c r="BE362" i="7"/>
  <c r="U362" i="7"/>
  <c r="U468" i="7"/>
  <c r="BE468" i="7"/>
  <c r="U483" i="7"/>
  <c r="BE483" i="7"/>
  <c r="BE14" i="7"/>
  <c r="BE94" i="7"/>
  <c r="BE256" i="7"/>
  <c r="U256" i="7"/>
  <c r="U267" i="7"/>
  <c r="U531" i="7"/>
  <c r="U664" i="7"/>
  <c r="BH585" i="7"/>
  <c r="BE695" i="7"/>
  <c r="BE581" i="7"/>
  <c r="BH682" i="7"/>
  <c r="U576" i="7"/>
  <c r="U588" i="7"/>
  <c r="BE612" i="7"/>
  <c r="BE679" i="7"/>
  <c r="BE710" i="7"/>
  <c r="BH379" i="7"/>
  <c r="U526" i="7"/>
  <c r="BE706" i="7"/>
  <c r="U591" i="7"/>
  <c r="U608" i="7"/>
  <c r="BE622" i="7"/>
  <c r="U629" i="7"/>
  <c r="U633" i="7"/>
  <c r="BH344" i="7"/>
  <c r="U453" i="7"/>
  <c r="U467" i="7"/>
  <c r="U471" i="7"/>
  <c r="U503" i="7"/>
  <c r="U508" i="7"/>
  <c r="U535" i="7"/>
  <c r="BE549" i="7"/>
  <c r="BE559" i="7"/>
  <c r="BE606" i="7"/>
  <c r="U624" i="7"/>
  <c r="U640" i="7"/>
  <c r="U675" i="7"/>
  <c r="BE678" i="7"/>
  <c r="BI689" i="7"/>
  <c r="U703" i="7"/>
  <c r="BE522" i="7"/>
  <c r="BE537" i="7"/>
  <c r="BI608" i="7"/>
  <c r="BH222" i="7"/>
  <c r="U393" i="7"/>
  <c r="U556" i="7"/>
  <c r="BE625" i="7"/>
  <c r="U684" i="7"/>
  <c r="U586" i="7"/>
  <c r="BE609" i="7"/>
  <c r="BE720" i="7"/>
  <c r="BE641" i="7"/>
  <c r="BE551" i="7"/>
  <c r="U566" i="7"/>
  <c r="U574" i="7"/>
  <c r="U691" i="7"/>
  <c r="BE217" i="7"/>
  <c r="BH234" i="7"/>
  <c r="U299" i="7"/>
  <c r="U392" i="7"/>
  <c r="BE401" i="7"/>
  <c r="BE405" i="7"/>
  <c r="U446" i="7"/>
  <c r="BE492" i="7"/>
  <c r="BH602" i="7"/>
  <c r="U665" i="7"/>
  <c r="U670" i="7"/>
  <c r="BE655" i="7"/>
  <c r="BE671" i="7"/>
  <c r="BE719" i="7"/>
  <c r="BE723" i="7"/>
  <c r="Q153" i="7"/>
  <c r="AP564" i="7"/>
  <c r="Q581" i="7"/>
  <c r="Q459" i="7"/>
  <c r="Q25" i="7"/>
  <c r="Q549" i="7"/>
  <c r="BF549" i="7" s="1"/>
  <c r="Q508" i="7"/>
  <c r="BF508" i="7" s="1"/>
  <c r="AK89" i="7"/>
  <c r="AP89" i="7"/>
  <c r="Q458" i="7"/>
  <c r="Q88" i="7"/>
  <c r="Q170" i="7"/>
  <c r="BF170" i="7" s="1"/>
  <c r="AK20" i="7"/>
  <c r="Q185" i="7"/>
  <c r="Q46" i="7"/>
  <c r="AP459" i="7"/>
  <c r="Q36" i="7"/>
  <c r="BF36" i="7" s="1"/>
  <c r="AK179" i="7"/>
  <c r="BI188" i="7"/>
  <c r="Q210" i="7"/>
  <c r="BF210" i="7" s="1"/>
  <c r="Q215" i="7"/>
  <c r="BF215" i="7" s="1"/>
  <c r="AK578" i="7"/>
  <c r="Q585" i="7"/>
  <c r="BF585" i="7" s="1"/>
  <c r="AP563" i="7"/>
  <c r="AK40" i="7"/>
  <c r="AP47" i="7"/>
  <c r="AK88" i="7"/>
  <c r="Q154" i="7"/>
  <c r="BF154" i="7" s="1"/>
  <c r="Q244" i="7"/>
  <c r="Q47" i="7"/>
  <c r="Q40" i="7"/>
  <c r="AP40" i="7"/>
  <c r="AP88" i="7"/>
  <c r="Q177" i="7"/>
  <c r="AK185" i="7"/>
  <c r="Q214" i="7"/>
  <c r="BF214" i="7" s="1"/>
  <c r="Q66" i="7"/>
  <c r="BF66" i="7" s="1"/>
  <c r="AP179" i="7"/>
  <c r="AP185" i="7"/>
  <c r="BF185" i="7" s="1"/>
  <c r="E54" i="10"/>
  <c r="G54" i="10" s="1"/>
  <c r="H54" i="10" s="1"/>
  <c r="Q169" i="7"/>
  <c r="BF169" i="7" s="1"/>
  <c r="AP25" i="7"/>
  <c r="BF25" i="7" s="1"/>
  <c r="Q68" i="7"/>
  <c r="Q209" i="7"/>
  <c r="BF209" i="7" s="1"/>
  <c r="Q21" i="7"/>
  <c r="BF21" i="7" s="1"/>
  <c r="AK46" i="7"/>
  <c r="E5" i="10"/>
  <c r="G5" i="10" s="1"/>
  <c r="H5" i="10" s="1"/>
  <c r="E24" i="10"/>
  <c r="G24" i="10" s="1"/>
  <c r="H24" i="10" s="1"/>
  <c r="AP15" i="7"/>
  <c r="Q212" i="7"/>
  <c r="BF212" i="7" s="1"/>
  <c r="Q579" i="7"/>
  <c r="BF579" i="7" s="1"/>
  <c r="AK47" i="7"/>
  <c r="Q74" i="7"/>
  <c r="BF74" i="7" s="1"/>
  <c r="Q89" i="7"/>
  <c r="AP46" i="7"/>
  <c r="BF46" i="7" s="1"/>
  <c r="AK87" i="7"/>
  <c r="AP87" i="7"/>
  <c r="AK177" i="7"/>
  <c r="Q20" i="7"/>
  <c r="BF20" i="7" s="1"/>
  <c r="AK68" i="7"/>
  <c r="AP177" i="7"/>
  <c r="Q208" i="7"/>
  <c r="BF208" i="7" s="1"/>
  <c r="AK244" i="7"/>
  <c r="E27" i="10"/>
  <c r="AP68" i="7"/>
  <c r="AP244" i="7"/>
  <c r="Q502" i="7"/>
  <c r="BF502" i="7" s="1"/>
  <c r="BI321" i="7"/>
  <c r="BI324" i="7"/>
  <c r="Q292" i="7"/>
  <c r="BF292" i="7" s="1"/>
  <c r="AK247" i="7"/>
  <c r="AP13" i="7"/>
  <c r="BF13" i="7" s="1"/>
  <c r="AP247" i="7"/>
  <c r="BI380" i="7"/>
  <c r="AK443" i="7"/>
  <c r="BI479" i="7"/>
  <c r="Q31" i="7"/>
  <c r="AP17" i="7"/>
  <c r="BF17" i="7" s="1"/>
  <c r="AP27" i="7"/>
  <c r="BF27" i="7" s="1"/>
  <c r="BI181" i="7"/>
  <c r="AK31" i="7"/>
  <c r="Q15" i="7"/>
  <c r="Q293" i="7"/>
  <c r="BF293" i="7" s="1"/>
  <c r="AP37" i="7"/>
  <c r="BF37" i="7" s="1"/>
  <c r="E12" i="10"/>
  <c r="E39" i="10"/>
  <c r="Q146" i="7"/>
  <c r="BF146" i="7" s="1"/>
  <c r="BF267" i="7"/>
  <c r="Q291" i="7"/>
  <c r="BF291" i="7" s="1"/>
  <c r="AK15" i="7"/>
  <c r="Q294" i="7"/>
  <c r="BF294" i="7" s="1"/>
  <c r="BI108" i="7"/>
  <c r="Q118" i="7"/>
  <c r="BF118" i="7" s="1"/>
  <c r="Q247" i="7"/>
  <c r="AP23" i="7"/>
  <c r="Q121" i="7"/>
  <c r="BF121" i="7" s="1"/>
  <c r="BI549" i="7"/>
  <c r="BI102" i="7"/>
  <c r="BF72" i="7"/>
  <c r="BI144" i="7"/>
  <c r="BF274" i="7"/>
  <c r="BI270" i="7"/>
  <c r="BI258" i="7"/>
  <c r="BI725" i="7"/>
  <c r="BI99" i="7"/>
  <c r="BI100" i="7"/>
  <c r="BI217" i="7"/>
  <c r="BI497" i="7"/>
  <c r="BI429" i="7"/>
  <c r="Q181" i="7"/>
  <c r="BF181" i="7" s="1"/>
  <c r="BI451" i="7"/>
  <c r="AK717" i="7"/>
  <c r="E4" i="10"/>
  <c r="G4" i="10" s="1"/>
  <c r="H4" i="10" s="1"/>
  <c r="BI80" i="7"/>
  <c r="BI695" i="7"/>
  <c r="BI672" i="7"/>
  <c r="BI36" i="7"/>
  <c r="BF11" i="7"/>
  <c r="BI368" i="7"/>
  <c r="BI3" i="7"/>
  <c r="Q80" i="7"/>
  <c r="BF80" i="7" s="1"/>
  <c r="BI374" i="7"/>
  <c r="BI522" i="7"/>
  <c r="BI569" i="7"/>
  <c r="BI574" i="7"/>
  <c r="E16" i="10"/>
  <c r="G16" i="10" s="1"/>
  <c r="H16" i="10" s="1"/>
  <c r="E40" i="10"/>
  <c r="G40" i="10" s="1"/>
  <c r="H40" i="10" s="1"/>
  <c r="E8" i="10"/>
  <c r="F8" i="10" s="1"/>
  <c r="E59" i="10"/>
  <c r="G59" i="10" s="1"/>
  <c r="H59" i="10" s="1"/>
  <c r="BF654" i="7"/>
  <c r="BI253" i="7"/>
  <c r="BI546" i="7"/>
  <c r="BI552" i="7"/>
  <c r="BI475" i="7"/>
  <c r="BI16" i="7"/>
  <c r="BF656" i="7"/>
  <c r="BI702" i="7"/>
  <c r="BI48" i="7"/>
  <c r="BI84" i="7"/>
  <c r="BI551" i="7"/>
  <c r="BF611" i="7"/>
  <c r="E65" i="10"/>
  <c r="BI252" i="7"/>
  <c r="BF53" i="7"/>
  <c r="BF129" i="7"/>
  <c r="BI272" i="7"/>
  <c r="BI333" i="7"/>
  <c r="BF469" i="7"/>
  <c r="BI535" i="7"/>
  <c r="BI571" i="7"/>
  <c r="BI633" i="7"/>
  <c r="BI648" i="7"/>
  <c r="BI719" i="7"/>
  <c r="BI128" i="7"/>
  <c r="BI228" i="7"/>
  <c r="E34" i="10"/>
  <c r="G34" i="10" s="1"/>
  <c r="H34" i="10" s="1"/>
  <c r="E57" i="10"/>
  <c r="BF134" i="7"/>
  <c r="BI214" i="7"/>
  <c r="BI329" i="7"/>
  <c r="BF8" i="7"/>
  <c r="BI119" i="7"/>
  <c r="BI213" i="7"/>
  <c r="BI282" i="7"/>
  <c r="BI411" i="7"/>
  <c r="BI600" i="7"/>
  <c r="BI722" i="7"/>
  <c r="BF44" i="7"/>
  <c r="BI8" i="7"/>
  <c r="BF4" i="7"/>
  <c r="BI167" i="7"/>
  <c r="BF415" i="7"/>
  <c r="BI543" i="7"/>
  <c r="BI97" i="7"/>
  <c r="BF466" i="7"/>
  <c r="BF684" i="7"/>
  <c r="BI150" i="7"/>
  <c r="BF297" i="7"/>
  <c r="BI305" i="7"/>
  <c r="BI352" i="7"/>
  <c r="BF569" i="7"/>
  <c r="BI572" i="7"/>
  <c r="BF518" i="7"/>
  <c r="BI716" i="7"/>
  <c r="Q3" i="7"/>
  <c r="BF3" i="7" s="1"/>
  <c r="BI68" i="7"/>
  <c r="BI157" i="7"/>
  <c r="BI233" i="7"/>
  <c r="BI414" i="7"/>
  <c r="BI465" i="7"/>
  <c r="BI644" i="7"/>
  <c r="F21" i="10"/>
  <c r="F42" i="10"/>
  <c r="BI49" i="7"/>
  <c r="BI325" i="7"/>
  <c r="BI354" i="7"/>
  <c r="BI85" i="7"/>
  <c r="BI142" i="7"/>
  <c r="BI216" i="7"/>
  <c r="BI370" i="7"/>
  <c r="BI379" i="7"/>
  <c r="BI395" i="7"/>
  <c r="BF419" i="7"/>
  <c r="BF472" i="7"/>
  <c r="BF497" i="7"/>
  <c r="BF571" i="7"/>
  <c r="E41" i="10"/>
  <c r="F41" i="10" s="1"/>
  <c r="BI37" i="7"/>
  <c r="BI199" i="7"/>
  <c r="BI229" i="7"/>
  <c r="BI319" i="7"/>
  <c r="E49" i="10"/>
  <c r="G49" i="10" s="1"/>
  <c r="H49" i="10" s="1"/>
  <c r="BI25" i="7"/>
  <c r="BI75" i="7"/>
  <c r="BF92" i="7"/>
  <c r="BI101" i="7"/>
  <c r="BI35" i="7"/>
  <c r="BF345" i="7"/>
  <c r="BI537" i="7"/>
  <c r="BF630" i="7"/>
  <c r="BI715" i="7"/>
  <c r="F53" i="10"/>
  <c r="Q24" i="7"/>
  <c r="BF24" i="7" s="1"/>
  <c r="Q175" i="7"/>
  <c r="BF175" i="7" s="1"/>
  <c r="Q204" i="7"/>
  <c r="BF204" i="7" s="1"/>
  <c r="Q306" i="7"/>
  <c r="BF306" i="7" s="1"/>
  <c r="Q576" i="7"/>
  <c r="BF576" i="7" s="1"/>
  <c r="BI96" i="7"/>
  <c r="BI323" i="7"/>
  <c r="BF82" i="7"/>
  <c r="BI342" i="7"/>
  <c r="AK551" i="7"/>
  <c r="BI697" i="7"/>
  <c r="BI721" i="7"/>
  <c r="E11" i="10"/>
  <c r="G11" i="10" s="1"/>
  <c r="H11" i="10" s="1"/>
  <c r="BI33" i="7"/>
  <c r="BI44" i="7"/>
  <c r="BI43" i="7"/>
  <c r="BI207" i="7"/>
  <c r="BI435" i="7"/>
  <c r="BI141" i="7"/>
  <c r="BI436" i="7"/>
  <c r="BI506" i="7"/>
  <c r="BI508" i="7"/>
  <c r="AK577" i="7"/>
  <c r="BF577" i="7" s="1"/>
  <c r="BI64" i="7"/>
  <c r="BI135" i="7"/>
  <c r="BI149" i="7"/>
  <c r="BI221" i="7"/>
  <c r="BI222" i="7"/>
  <c r="BI308" i="7"/>
  <c r="BF560" i="7"/>
  <c r="Q616" i="7"/>
  <c r="BF616" i="7" s="1"/>
  <c r="AP618" i="7"/>
  <c r="BI628" i="7"/>
  <c r="BI654" i="7"/>
  <c r="BI17" i="7"/>
  <c r="BI32" i="7"/>
  <c r="BF45" i="7"/>
  <c r="BI77" i="7"/>
  <c r="BI98" i="7"/>
  <c r="BI312" i="7"/>
  <c r="BI394" i="7"/>
  <c r="BI417" i="7"/>
  <c r="BI494" i="7"/>
  <c r="BI534" i="7"/>
  <c r="BI545" i="7"/>
  <c r="BI154" i="7"/>
  <c r="BI191" i="7"/>
  <c r="BI412" i="7"/>
  <c r="BI483" i="7"/>
  <c r="BF338" i="7"/>
  <c r="BI373" i="7"/>
  <c r="F60" i="10"/>
  <c r="BI612" i="7"/>
  <c r="BI717" i="7"/>
  <c r="BI289" i="7"/>
  <c r="BI322" i="7"/>
  <c r="BI474" i="7"/>
  <c r="BI649" i="7"/>
  <c r="S21" i="10"/>
  <c r="BI255" i="7"/>
  <c r="BI402" i="7"/>
  <c r="BI488" i="7"/>
  <c r="BI12" i="7"/>
  <c r="BI152" i="7"/>
  <c r="BI153" i="7"/>
  <c r="BI162" i="7"/>
  <c r="BI169" i="7"/>
  <c r="BI223" i="7"/>
  <c r="Q305" i="7"/>
  <c r="BF305" i="7" s="1"/>
  <c r="BF327" i="7"/>
  <c r="BI349" i="7"/>
  <c r="BI468" i="7"/>
  <c r="Q574" i="7"/>
  <c r="BF574" i="7" s="1"/>
  <c r="BI615" i="7"/>
  <c r="BI704" i="7"/>
  <c r="BI38" i="7"/>
  <c r="BI473" i="7"/>
  <c r="BI553" i="7"/>
  <c r="BI703" i="7"/>
  <c r="BI5" i="7"/>
  <c r="BF59" i="7"/>
  <c r="BF91" i="7"/>
  <c r="BI158" i="7"/>
  <c r="Q188" i="7"/>
  <c r="BF188" i="7" s="1"/>
  <c r="BI197" i="7"/>
  <c r="BF347" i="7"/>
  <c r="BI399" i="7"/>
  <c r="BI404" i="7"/>
  <c r="BF471" i="7"/>
  <c r="Q551" i="7"/>
  <c r="BI566" i="7"/>
  <c r="BI201" i="7"/>
  <c r="E74" i="10"/>
  <c r="F74" i="10" s="1"/>
  <c r="BF78" i="7"/>
  <c r="BF127" i="7"/>
  <c r="BF279" i="7"/>
  <c r="BF339" i="7"/>
  <c r="BF396" i="7"/>
  <c r="BF686" i="7"/>
  <c r="F44" i="10"/>
  <c r="BF164" i="7"/>
  <c r="BF30" i="7"/>
  <c r="BF32" i="7"/>
  <c r="BF145" i="7"/>
  <c r="BF283" i="7"/>
  <c r="BF346" i="7"/>
  <c r="BF348" i="7"/>
  <c r="BF546" i="7"/>
  <c r="BF42" i="7"/>
  <c r="BF94" i="7"/>
  <c r="BF96" i="7"/>
  <c r="BF114" i="7"/>
  <c r="BF526" i="7"/>
  <c r="BF528" i="7"/>
  <c r="J55" i="17"/>
  <c r="BF48" i="7"/>
  <c r="BF436" i="7"/>
  <c r="BF635" i="7"/>
  <c r="BF690" i="7"/>
  <c r="F26" i="10"/>
  <c r="S26" i="10" s="1"/>
  <c r="BF58" i="7"/>
  <c r="BF355" i="7"/>
  <c r="BF77" i="7"/>
  <c r="BF172" i="7"/>
  <c r="BF252" i="7"/>
  <c r="BF399" i="7"/>
  <c r="BF403" i="7"/>
  <c r="BF550" i="7"/>
  <c r="BF61" i="7"/>
  <c r="BF67" i="7"/>
  <c r="BF268" i="7"/>
  <c r="BF454" i="7"/>
  <c r="BF29" i="7"/>
  <c r="BF110" i="7"/>
  <c r="BF271" i="7"/>
  <c r="BF464" i="7"/>
  <c r="BF671" i="7"/>
  <c r="BF689" i="7"/>
  <c r="BF416" i="7"/>
  <c r="F3" i="10"/>
  <c r="BF76" i="7"/>
  <c r="BF534" i="7"/>
  <c r="BF12" i="7"/>
  <c r="BF28" i="7"/>
  <c r="BF60" i="7"/>
  <c r="BF65" i="7"/>
  <c r="BF86" i="7"/>
  <c r="BF109" i="7"/>
  <c r="BF190" i="7"/>
  <c r="BF263" i="7"/>
  <c r="BF336" i="7"/>
  <c r="BF375" i="7"/>
  <c r="BF470" i="7"/>
  <c r="BF479" i="7"/>
  <c r="BF500" i="7"/>
  <c r="BF548" i="7"/>
  <c r="BF653" i="7"/>
  <c r="BF69" i="7"/>
  <c r="BF288" i="7"/>
  <c r="BF368" i="7"/>
  <c r="BF372" i="7"/>
  <c r="BF374" i="7"/>
  <c r="BF492" i="7"/>
  <c r="BF161" i="7"/>
  <c r="BF284" i="7"/>
  <c r="BF376" i="7"/>
  <c r="BF405" i="7"/>
  <c r="BF417" i="7"/>
  <c r="BF467" i="7"/>
  <c r="BF532" i="7"/>
  <c r="BF547" i="7"/>
  <c r="BF619" i="7"/>
  <c r="BF623" i="7"/>
  <c r="BF93" i="7"/>
  <c r="BF535" i="7"/>
  <c r="BF538" i="7"/>
  <c r="F28" i="10"/>
  <c r="S28" i="10" s="1"/>
  <c r="BF103" i="7"/>
  <c r="BF196" i="7"/>
  <c r="BF254" i="7"/>
  <c r="BF309" i="7"/>
  <c r="BF478" i="7"/>
  <c r="BF509" i="7"/>
  <c r="BF581" i="7"/>
  <c r="BF644" i="7"/>
  <c r="BF691" i="7"/>
  <c r="F23" i="10"/>
  <c r="S23" i="10" s="1"/>
  <c r="F69" i="10"/>
  <c r="BF5" i="7"/>
  <c r="BF26" i="7"/>
  <c r="BI31" i="7"/>
  <c r="BF63" i="7"/>
  <c r="BI67" i="7"/>
  <c r="BI13" i="7"/>
  <c r="BF18" i="7"/>
  <c r="BI54" i="7"/>
  <c r="BF84" i="7"/>
  <c r="BF162" i="7"/>
  <c r="BI170" i="7"/>
  <c r="BF255" i="7"/>
  <c r="Q272" i="7"/>
  <c r="BF272" i="7" s="1"/>
  <c r="BI274" i="7"/>
  <c r="BI279" i="7"/>
  <c r="BI386" i="7"/>
  <c r="BF406" i="7"/>
  <c r="Q411" i="7"/>
  <c r="BF411" i="7" s="1"/>
  <c r="BI420" i="7"/>
  <c r="BF439" i="7"/>
  <c r="BI457" i="7"/>
  <c r="BI489" i="7"/>
  <c r="BI492" i="7"/>
  <c r="BI588" i="7"/>
  <c r="Q600" i="7"/>
  <c r="BF600" i="7" s="1"/>
  <c r="BI617" i="7"/>
  <c r="Q648" i="7"/>
  <c r="BF648" i="7" s="1"/>
  <c r="Q649" i="7"/>
  <c r="BF649" i="7" s="1"/>
  <c r="Q258" i="7"/>
  <c r="BF258" i="7" s="1"/>
  <c r="BF260" i="7"/>
  <c r="BF280" i="7"/>
  <c r="Q324" i="7"/>
  <c r="BF324" i="7" s="1"/>
  <c r="BI326" i="7"/>
  <c r="BI365" i="7"/>
  <c r="Q395" i="7"/>
  <c r="BF395" i="7" s="1"/>
  <c r="Q404" i="7"/>
  <c r="BF404" i="7" s="1"/>
  <c r="Q465" i="7"/>
  <c r="BF465" i="7" s="1"/>
  <c r="BI133" i="7"/>
  <c r="Q133" i="7"/>
  <c r="BF133" i="7" s="1"/>
  <c r="BF22" i="7"/>
  <c r="BI26" i="7"/>
  <c r="BF52" i="7"/>
  <c r="BI60" i="7"/>
  <c r="BF79" i="7"/>
  <c r="BI83" i="7"/>
  <c r="BI95" i="7"/>
  <c r="Q95" i="7"/>
  <c r="BF95" i="7" s="1"/>
  <c r="BF126" i="7"/>
  <c r="BI137" i="7"/>
  <c r="BI143" i="7"/>
  <c r="BI147" i="7"/>
  <c r="BI168" i="7"/>
  <c r="BF182" i="7"/>
  <c r="R186" i="7"/>
  <c r="Q186" i="7" s="1"/>
  <c r="BF186" i="7" s="1"/>
  <c r="BF264" i="7"/>
  <c r="BI266" i="7"/>
  <c r="BI284" i="7"/>
  <c r="BI313" i="7"/>
  <c r="R335" i="7"/>
  <c r="Q335" i="7" s="1"/>
  <c r="BF335" i="7" s="1"/>
  <c r="BF344" i="7"/>
  <c r="BI396" i="7"/>
  <c r="BI459" i="7"/>
  <c r="BI570" i="7"/>
  <c r="BF643" i="7"/>
  <c r="BI647" i="7"/>
  <c r="BF659" i="7"/>
  <c r="G75" i="10"/>
  <c r="H75" i="10" s="1"/>
  <c r="F75" i="10"/>
  <c r="BF34" i="7"/>
  <c r="BI53" i="7"/>
  <c r="BF73" i="7"/>
  <c r="BF90" i="7"/>
  <c r="BI110" i="7"/>
  <c r="BF113" i="7"/>
  <c r="BI173" i="7"/>
  <c r="BI189" i="7"/>
  <c r="BI208" i="7"/>
  <c r="BI268" i="7"/>
  <c r="BF287" i="7"/>
  <c r="Q319" i="7"/>
  <c r="BF319" i="7" s="1"/>
  <c r="BI320" i="7"/>
  <c r="BF337" i="7"/>
  <c r="BI355" i="7"/>
  <c r="BI359" i="7"/>
  <c r="BI360" i="7"/>
  <c r="BI372" i="7"/>
  <c r="BI375" i="7"/>
  <c r="BF457" i="7"/>
  <c r="BI458" i="7"/>
  <c r="BI504" i="7"/>
  <c r="Q506" i="7"/>
  <c r="BF506" i="7" s="1"/>
  <c r="BF523" i="7"/>
  <c r="BI547" i="7"/>
  <c r="BI550" i="7"/>
  <c r="BI568" i="7"/>
  <c r="Q615" i="7"/>
  <c r="BF615" i="7" s="1"/>
  <c r="BF693" i="7"/>
  <c r="Q717" i="7"/>
  <c r="BI718" i="7"/>
  <c r="BF234" i="7"/>
  <c r="BF35" i="7"/>
  <c r="BF104" i="7"/>
  <c r="Q142" i="7"/>
  <c r="BF142" i="7" s="1"/>
  <c r="BI160" i="7"/>
  <c r="BI165" i="7"/>
  <c r="BI219" i="7"/>
  <c r="BI292" i="7"/>
  <c r="BI341" i="7"/>
  <c r="BI385" i="7"/>
  <c r="Q394" i="7"/>
  <c r="BF394" i="7" s="1"/>
  <c r="BF527" i="7"/>
  <c r="BI690" i="7"/>
  <c r="BI676" i="7"/>
  <c r="BF105" i="7"/>
  <c r="BI250" i="7"/>
  <c r="BI288" i="7"/>
  <c r="BF477" i="7"/>
  <c r="Q491" i="7"/>
  <c r="BF491" i="7" s="1"/>
  <c r="BI491" i="7"/>
  <c r="BF539" i="7"/>
  <c r="BI637" i="7"/>
  <c r="BI669" i="7"/>
  <c r="BI51" i="7"/>
  <c r="Q51" i="7"/>
  <c r="BF51" i="7" s="1"/>
  <c r="BI65" i="7"/>
  <c r="BF83" i="7"/>
  <c r="BI116" i="7"/>
  <c r="BF132" i="7"/>
  <c r="BF150" i="7"/>
  <c r="BF155" i="7"/>
  <c r="BI200" i="7"/>
  <c r="BF253" i="7"/>
  <c r="BI271" i="7"/>
  <c r="BI285" i="7"/>
  <c r="BF387" i="7"/>
  <c r="BF390" i="7"/>
  <c r="BI477" i="7"/>
  <c r="BF512" i="7"/>
  <c r="BF540" i="7"/>
  <c r="BI548" i="7"/>
  <c r="BF589" i="7"/>
  <c r="BI687" i="7"/>
  <c r="BI28" i="7"/>
  <c r="BF41" i="7"/>
  <c r="BI76" i="7"/>
  <c r="BI136" i="7"/>
  <c r="BF157" i="7"/>
  <c r="R202" i="7"/>
  <c r="Q223" i="7"/>
  <c r="BF223" i="7" s="1"/>
  <c r="BI224" i="7"/>
  <c r="Q270" i="7"/>
  <c r="BF270" i="7" s="1"/>
  <c r="BI276" i="7"/>
  <c r="BI300" i="7"/>
  <c r="BI318" i="7"/>
  <c r="Q370" i="7"/>
  <c r="BF370" i="7" s="1"/>
  <c r="BF398" i="7"/>
  <c r="BF498" i="7"/>
  <c r="BI609" i="7"/>
  <c r="BF614" i="7"/>
  <c r="BI623" i="7"/>
  <c r="BI631" i="7"/>
  <c r="BF646" i="7"/>
  <c r="BI686" i="7"/>
  <c r="G15" i="10"/>
  <c r="F15" i="10"/>
  <c r="BI91" i="7"/>
  <c r="BF81" i="7"/>
  <c r="BF107" i="7"/>
  <c r="BF149" i="7"/>
  <c r="BF173" i="7"/>
  <c r="BF180" i="7"/>
  <c r="BF184" i="7"/>
  <c r="BI198" i="7"/>
  <c r="BF201" i="7"/>
  <c r="BF290" i="7"/>
  <c r="BF328" i="7"/>
  <c r="BI347" i="7"/>
  <c r="BI421" i="7"/>
  <c r="BF673" i="7"/>
  <c r="BF678" i="7"/>
  <c r="BF688" i="7"/>
  <c r="G19" i="10"/>
  <c r="H19" i="10" s="1"/>
  <c r="F19" i="10"/>
  <c r="S19" i="10" s="1"/>
  <c r="BF349" i="7"/>
  <c r="BF75" i="7"/>
  <c r="BI115" i="7"/>
  <c r="BI132" i="7"/>
  <c r="BI185" i="7"/>
  <c r="BF193" i="7"/>
  <c r="BF232" i="7"/>
  <c r="BF233" i="7"/>
  <c r="BI280" i="7"/>
  <c r="BI346" i="7"/>
  <c r="BF402" i="7"/>
  <c r="BF460" i="7"/>
  <c r="BF463" i="7"/>
  <c r="BF468" i="7"/>
  <c r="BF507" i="7"/>
  <c r="BF524" i="7"/>
  <c r="BF536" i="7"/>
  <c r="BF568" i="7"/>
  <c r="BI602" i="7"/>
  <c r="BF655" i="7"/>
  <c r="BF667" i="7"/>
  <c r="BI673" i="7"/>
  <c r="BF687" i="7"/>
  <c r="BI69" i="7"/>
  <c r="BF6" i="7"/>
  <c r="BI10" i="7"/>
  <c r="BF50" i="7"/>
  <c r="BF62" i="7"/>
  <c r="BF85" i="7"/>
  <c r="BI103" i="7"/>
  <c r="BF131" i="7"/>
  <c r="BF139" i="7"/>
  <c r="BI146" i="7"/>
  <c r="BF163" i="7"/>
  <c r="BI232" i="7"/>
  <c r="BF256" i="7"/>
  <c r="BF418" i="7"/>
  <c r="BF432" i="7"/>
  <c r="BI456" i="7"/>
  <c r="BI460" i="7"/>
  <c r="BI476" i="7"/>
  <c r="BF490" i="7"/>
  <c r="BI499" i="7"/>
  <c r="BF503" i="7"/>
  <c r="BI525" i="7"/>
  <c r="BF650" i="7"/>
  <c r="BI671" i="7"/>
  <c r="BF695" i="7"/>
  <c r="BF10" i="7"/>
  <c r="BF14" i="7"/>
  <c r="BF9" i="7"/>
  <c r="BI20" i="7"/>
  <c r="BI27" i="7"/>
  <c r="BF64" i="7"/>
  <c r="BI81" i="7"/>
  <c r="BI89" i="7"/>
  <c r="BI93" i="7"/>
  <c r="BI107" i="7"/>
  <c r="BF111" i="7"/>
  <c r="BF112" i="7"/>
  <c r="BF156" i="7"/>
  <c r="BI184" i="7"/>
  <c r="BI194" i="7"/>
  <c r="BI290" i="7"/>
  <c r="BF351" i="7"/>
  <c r="BI353" i="7"/>
  <c r="BF397" i="7"/>
  <c r="BF414" i="7"/>
  <c r="BI418" i="7"/>
  <c r="BI432" i="7"/>
  <c r="BI452" i="7"/>
  <c r="BF455" i="7"/>
  <c r="BI469" i="7"/>
  <c r="BI505" i="7"/>
  <c r="BF511" i="7"/>
  <c r="BI655" i="7"/>
  <c r="BI701" i="7"/>
  <c r="BF19" i="7"/>
  <c r="BF54" i="7"/>
  <c r="BI71" i="7"/>
  <c r="BF200" i="7"/>
  <c r="BI273" i="7"/>
  <c r="Q273" i="7"/>
  <c r="BF273" i="7" s="1"/>
  <c r="BF285" i="7"/>
  <c r="BF369" i="7"/>
  <c r="BF379" i="7"/>
  <c r="BF386" i="7"/>
  <c r="BF412" i="7"/>
  <c r="BI463" i="7"/>
  <c r="BF473" i="7"/>
  <c r="BF582" i="7"/>
  <c r="BF627" i="7"/>
  <c r="BF631" i="7"/>
  <c r="BI632" i="7"/>
  <c r="BF672" i="7"/>
  <c r="Q715" i="7"/>
  <c r="G9" i="10"/>
  <c r="H9" i="10" s="1"/>
  <c r="F9" i="10"/>
  <c r="G18" i="10"/>
  <c r="H18" i="10" s="1"/>
  <c r="F18" i="10"/>
  <c r="BI293" i="7"/>
  <c r="BI345" i="7"/>
  <c r="BI19" i="7"/>
  <c r="BF43" i="7"/>
  <c r="BF49" i="7"/>
  <c r="BI92" i="7"/>
  <c r="BF106" i="7"/>
  <c r="BI131" i="7"/>
  <c r="BI140" i="7"/>
  <c r="BF148" i="7"/>
  <c r="BI166" i="7"/>
  <c r="BI175" i="7"/>
  <c r="BI183" i="7"/>
  <c r="BI248" i="7"/>
  <c r="BI302" i="7"/>
  <c r="BF325" i="7"/>
  <c r="BI348" i="7"/>
  <c r="BI362" i="7"/>
  <c r="BI369" i="7"/>
  <c r="BF401" i="7"/>
  <c r="BF435" i="7"/>
  <c r="BF545" i="7"/>
  <c r="BI681" i="7"/>
  <c r="BI700" i="7"/>
  <c r="BI480" i="7"/>
  <c r="BF493" i="7"/>
  <c r="BI509" i="7"/>
  <c r="BF525" i="7"/>
  <c r="BF621" i="7"/>
  <c r="BF645" i="7"/>
  <c r="BF16" i="7"/>
  <c r="BF38" i="7"/>
  <c r="BI42" i="7"/>
  <c r="BI105" i="7"/>
  <c r="BI117" i="7"/>
  <c r="BI148" i="7"/>
  <c r="BF189" i="7"/>
  <c r="BI230" i="7"/>
  <c r="BI260" i="7"/>
  <c r="BF269" i="7"/>
  <c r="BI332" i="7"/>
  <c r="BI343" i="7"/>
  <c r="BI376" i="7"/>
  <c r="BI384" i="7"/>
  <c r="BI390" i="7"/>
  <c r="BF488" i="7"/>
  <c r="BI493" i="7"/>
  <c r="BI496" i="7"/>
  <c r="BI523" i="7"/>
  <c r="BI524" i="7"/>
  <c r="BI536" i="7"/>
  <c r="BF552" i="7"/>
  <c r="BF583" i="7"/>
  <c r="BI603" i="7"/>
  <c r="BI606" i="7"/>
  <c r="BI613" i="7"/>
  <c r="BI645" i="7"/>
  <c r="BF668" i="7"/>
  <c r="BI670" i="7"/>
  <c r="BI674" i="7"/>
  <c r="BF681" i="7"/>
  <c r="F7" i="10"/>
  <c r="S7" i="10" s="1"/>
  <c r="S42" i="10"/>
  <c r="F56" i="10"/>
  <c r="S56" i="10" s="1"/>
  <c r="J99" i="17"/>
  <c r="J103" i="17"/>
  <c r="J108" i="17"/>
  <c r="S44" i="10"/>
  <c r="J117" i="17"/>
  <c r="F36" i="10"/>
  <c r="S36" i="10" s="1"/>
  <c r="S53" i="10"/>
  <c r="F73" i="10"/>
  <c r="BI713" i="7"/>
  <c r="S3" i="10"/>
  <c r="F5" i="10"/>
  <c r="S5" i="10" s="1"/>
  <c r="F68" i="10"/>
  <c r="S68" i="10" s="1"/>
  <c r="BF677" i="7"/>
  <c r="BI714" i="7"/>
  <c r="F58" i="10"/>
  <c r="BF676" i="7"/>
  <c r="BI677" i="7"/>
  <c r="BI678" i="7"/>
  <c r="BI688" i="7"/>
  <c r="F30" i="10"/>
  <c r="S30" i="10" s="1"/>
  <c r="F52" i="10"/>
  <c r="S52" i="10" s="1"/>
  <c r="BF657" i="7"/>
  <c r="BF675" i="7"/>
  <c r="BI696" i="7"/>
  <c r="BI723" i="7"/>
  <c r="A5" i="1"/>
  <c r="A4" i="2"/>
  <c r="A3" i="1"/>
  <c r="A45" i="4"/>
  <c r="A48" i="1"/>
  <c r="A4" i="3"/>
  <c r="A4" i="4"/>
  <c r="BI15" i="7"/>
  <c r="BI29" i="7"/>
  <c r="BI56" i="7"/>
  <c r="BI111" i="7"/>
  <c r="BI118" i="7"/>
  <c r="BI134" i="7"/>
  <c r="BI24" i="7"/>
  <c r="BI87" i="7"/>
  <c r="BI21" i="7"/>
  <c r="BI52" i="7"/>
  <c r="BI70" i="7"/>
  <c r="BI55" i="7"/>
  <c r="BI59" i="7"/>
  <c r="BI73" i="7"/>
  <c r="BI90" i="7"/>
  <c r="BI23" i="7"/>
  <c r="BI41" i="7"/>
  <c r="BI58" i="7"/>
  <c r="BI63" i="7"/>
  <c r="BI9" i="7"/>
  <c r="BI45" i="7"/>
  <c r="BI72" i="7"/>
  <c r="BI129" i="7"/>
  <c r="BI40" i="7"/>
  <c r="BI109" i="7"/>
  <c r="BI178" i="7"/>
  <c r="BI86" i="7"/>
  <c r="BI39" i="7"/>
  <c r="BI57" i="7"/>
  <c r="BI74" i="7"/>
  <c r="BI79" i="7"/>
  <c r="BI4" i="7"/>
  <c r="BI7" i="7"/>
  <c r="BI11" i="7"/>
  <c r="BI22" i="7"/>
  <c r="BI61" i="7"/>
  <c r="BI88" i="7"/>
  <c r="BI47" i="7"/>
  <c r="BE134" i="7"/>
  <c r="U134" i="7"/>
  <c r="BI210" i="7"/>
  <c r="U41" i="7"/>
  <c r="Q7" i="7"/>
  <c r="BF7" i="7" s="1"/>
  <c r="Q23" i="7"/>
  <c r="Q39" i="7"/>
  <c r="BF39" i="7" s="1"/>
  <c r="Q55" i="7"/>
  <c r="BF55" i="7" s="1"/>
  <c r="Q71" i="7"/>
  <c r="BF71" i="7" s="1"/>
  <c r="Q87" i="7"/>
  <c r="Q115" i="7"/>
  <c r="BF115" i="7" s="1"/>
  <c r="Q119" i="7"/>
  <c r="BF119" i="7" s="1"/>
  <c r="BI122" i="7"/>
  <c r="Q135" i="7"/>
  <c r="BF135" i="7" s="1"/>
  <c r="Q141" i="7"/>
  <c r="BF141" i="7" s="1"/>
  <c r="Q152" i="7"/>
  <c r="BF152" i="7" s="1"/>
  <c r="BI182" i="7"/>
  <c r="BF191" i="7"/>
  <c r="BI205" i="7"/>
  <c r="BE270" i="7"/>
  <c r="U270" i="7"/>
  <c r="BI363" i="7"/>
  <c r="Q366" i="7"/>
  <c r="BI366" i="7"/>
  <c r="BE366" i="7"/>
  <c r="U366" i="7"/>
  <c r="U6" i="7"/>
  <c r="U22" i="7"/>
  <c r="U38" i="7"/>
  <c r="U54" i="7"/>
  <c r="U70" i="7"/>
  <c r="U86" i="7"/>
  <c r="BI114" i="7"/>
  <c r="U122" i="7"/>
  <c r="AA123" i="7"/>
  <c r="BI123" i="7" s="1"/>
  <c r="BI125" i="7"/>
  <c r="U136" i="7"/>
  <c r="BH137" i="7"/>
  <c r="BH138" i="7"/>
  <c r="BF143" i="7"/>
  <c r="BI156" i="7"/>
  <c r="Q168" i="7"/>
  <c r="BF168" i="7" s="1"/>
  <c r="Q183" i="7"/>
  <c r="BF183" i="7" s="1"/>
  <c r="U191" i="7"/>
  <c r="BE191" i="7"/>
  <c r="BI196" i="7"/>
  <c r="U197" i="7"/>
  <c r="AA231" i="7"/>
  <c r="BI231" i="7" s="1"/>
  <c r="BE240" i="7"/>
  <c r="U240" i="7"/>
  <c r="U245" i="7"/>
  <c r="BE245" i="7"/>
  <c r="BI275" i="7"/>
  <c r="BI287" i="7"/>
  <c r="U303" i="7"/>
  <c r="BE303" i="7"/>
  <c r="BE314" i="7"/>
  <c r="U314" i="7"/>
  <c r="BI327" i="7"/>
  <c r="AG246" i="7"/>
  <c r="BI246" i="7" s="1"/>
  <c r="BF246" i="7"/>
  <c r="Q259" i="7"/>
  <c r="BF259" i="7" s="1"/>
  <c r="BI259" i="7"/>
  <c r="U433" i="7"/>
  <c r="BE433" i="7"/>
  <c r="AG245" i="7"/>
  <c r="BI245" i="7" s="1"/>
  <c r="U8" i="7"/>
  <c r="U117" i="7"/>
  <c r="U143" i="7"/>
  <c r="BE143" i="7"/>
  <c r="AA120" i="7"/>
  <c r="BI120" i="7" s="1"/>
  <c r="U142" i="7"/>
  <c r="U162" i="7"/>
  <c r="U10" i="7"/>
  <c r="U26" i="7"/>
  <c r="BI30" i="7"/>
  <c r="BF33" i="7"/>
  <c r="U42" i="7"/>
  <c r="BI46" i="7"/>
  <c r="U58" i="7"/>
  <c r="BI62" i="7"/>
  <c r="U74" i="7"/>
  <c r="BI78" i="7"/>
  <c r="U90" i="7"/>
  <c r="BI94" i="7"/>
  <c r="BF130" i="7"/>
  <c r="U132" i="7"/>
  <c r="U133" i="7"/>
  <c r="U151" i="7"/>
  <c r="BE151" i="7"/>
  <c r="BE158" i="7"/>
  <c r="BI161" i="7"/>
  <c r="BF171" i="7"/>
  <c r="Q195" i="7"/>
  <c r="BF195" i="7" s="1"/>
  <c r="BI195" i="7"/>
  <c r="BI212" i="7"/>
  <c r="BI227" i="7"/>
  <c r="U239" i="7"/>
  <c r="BI243" i="7"/>
  <c r="BI244" i="7"/>
  <c r="Q286" i="7"/>
  <c r="BF286" i="7" s="1"/>
  <c r="BI286" i="7"/>
  <c r="BI177" i="7"/>
  <c r="BE118" i="7"/>
  <c r="U118" i="7"/>
  <c r="U56" i="7"/>
  <c r="Q151" i="7"/>
  <c r="BF151" i="7" s="1"/>
  <c r="BI151" i="7"/>
  <c r="BI14" i="7"/>
  <c r="BE3" i="7"/>
  <c r="U11" i="7"/>
  <c r="BE19" i="7"/>
  <c r="U27" i="7"/>
  <c r="BE35" i="7"/>
  <c r="U43" i="7"/>
  <c r="BE51" i="7"/>
  <c r="U59" i="7"/>
  <c r="BE67" i="7"/>
  <c r="U75" i="7"/>
  <c r="BE83" i="7"/>
  <c r="U91" i="7"/>
  <c r="BE105" i="7"/>
  <c r="BI126" i="7"/>
  <c r="BI130" i="7"/>
  <c r="U131" i="7"/>
  <c r="Q160" i="7"/>
  <c r="BF160" i="7" s="1"/>
  <c r="Q167" i="7"/>
  <c r="BF167" i="7" s="1"/>
  <c r="U175" i="7"/>
  <c r="BE175" i="7"/>
  <c r="BF194" i="7"/>
  <c r="BE195" i="7"/>
  <c r="U195" i="7"/>
  <c r="BF224" i="7"/>
  <c r="BI256" i="7"/>
  <c r="BI263" i="7"/>
  <c r="BI301" i="7"/>
  <c r="Q301" i="7"/>
  <c r="BF301" i="7" s="1"/>
  <c r="Q240" i="7"/>
  <c r="BI240" i="7"/>
  <c r="BE274" i="7"/>
  <c r="U274" i="7"/>
  <c r="U72" i="7"/>
  <c r="U116" i="7"/>
  <c r="U73" i="7"/>
  <c r="AA112" i="7"/>
  <c r="BI112" i="7" s="1"/>
  <c r="BF128" i="7"/>
  <c r="BE153" i="7"/>
  <c r="BE164" i="7"/>
  <c r="Q174" i="7"/>
  <c r="BF174" i="7" s="1"/>
  <c r="BI174" i="7"/>
  <c r="BF225" i="7"/>
  <c r="BI226" i="7"/>
  <c r="BI239" i="7"/>
  <c r="BE301" i="7"/>
  <c r="U301" i="7"/>
  <c r="AA330" i="7"/>
  <c r="BI330" i="7" s="1"/>
  <c r="Q433" i="7"/>
  <c r="BF433" i="7" s="1"/>
  <c r="BI433" i="7"/>
  <c r="BE321" i="7"/>
  <c r="U321" i="7"/>
  <c r="BF108" i="7"/>
  <c r="BE110" i="7"/>
  <c r="BE129" i="7"/>
  <c r="U129" i="7"/>
  <c r="BF138" i="7"/>
  <c r="BF153" i="7"/>
  <c r="BE170" i="7"/>
  <c r="BI180" i="7"/>
  <c r="U181" i="7"/>
  <c r="BF197" i="7"/>
  <c r="BI225" i="7"/>
  <c r="BF238" i="7"/>
  <c r="AA238" i="7"/>
  <c r="BI238" i="7" s="1"/>
  <c r="Q242" i="7"/>
  <c r="BI242" i="7"/>
  <c r="BI257" i="7"/>
  <c r="Q257" i="7"/>
  <c r="BF257" i="7" s="1"/>
  <c r="U25" i="7"/>
  <c r="BI18" i="7"/>
  <c r="BI34" i="7"/>
  <c r="BI50" i="7"/>
  <c r="BI66" i="7"/>
  <c r="BI82" i="7"/>
  <c r="BI104" i="7"/>
  <c r="BI127" i="7"/>
  <c r="BF137" i="7"/>
  <c r="Q187" i="7"/>
  <c r="BF187" i="7" s="1"/>
  <c r="BI187" i="7"/>
  <c r="BI193" i="7"/>
  <c r="U194" i="7"/>
  <c r="U222" i="7"/>
  <c r="U226" i="7"/>
  <c r="BE242" i="7"/>
  <c r="U242" i="7"/>
  <c r="BI297" i="7"/>
  <c r="U24" i="7"/>
  <c r="U89" i="7"/>
  <c r="BI106" i="7"/>
  <c r="BE114" i="7"/>
  <c r="BI124" i="7"/>
  <c r="BI138" i="7"/>
  <c r="BI145" i="7"/>
  <c r="Q147" i="7"/>
  <c r="BF147" i="7" s="1"/>
  <c r="BF158" i="7"/>
  <c r="Q159" i="7"/>
  <c r="BF159" i="7" s="1"/>
  <c r="BI159" i="7"/>
  <c r="BI164" i="7"/>
  <c r="Q166" i="7"/>
  <c r="BF166" i="7" s="1"/>
  <c r="BI172" i="7"/>
  <c r="Q199" i="7"/>
  <c r="BF199" i="7" s="1"/>
  <c r="BE221" i="7"/>
  <c r="U221" i="7"/>
  <c r="BF248" i="7"/>
  <c r="U257" i="7"/>
  <c r="BF276" i="7"/>
  <c r="BE285" i="7"/>
  <c r="U285" i="7"/>
  <c r="Q300" i="7"/>
  <c r="BF300" i="7" s="1"/>
  <c r="BI391" i="7"/>
  <c r="Q391" i="7"/>
  <c r="BF391" i="7" s="1"/>
  <c r="U57" i="7"/>
  <c r="BE40" i="7"/>
  <c r="BE88" i="7"/>
  <c r="U126" i="7"/>
  <c r="BE126" i="7"/>
  <c r="BE159" i="7"/>
  <c r="U159" i="7"/>
  <c r="Q192" i="7"/>
  <c r="BF192" i="7" s="1"/>
  <c r="BI192" i="7"/>
  <c r="Q211" i="7"/>
  <c r="BF211" i="7" s="1"/>
  <c r="BI211" i="7"/>
  <c r="AA237" i="7"/>
  <c r="BI237" i="7" s="1"/>
  <c r="BF251" i="7"/>
  <c r="BI269" i="7"/>
  <c r="BF295" i="7"/>
  <c r="BE305" i="7"/>
  <c r="U305" i="7"/>
  <c r="Q371" i="7"/>
  <c r="BF371" i="7" s="1"/>
  <c r="BI371" i="7"/>
  <c r="Q203" i="7"/>
  <c r="BF203" i="7" s="1"/>
  <c r="BI203" i="7"/>
  <c r="BE269" i="7"/>
  <c r="U269" i="7"/>
  <c r="BE9" i="7"/>
  <c r="BI121" i="7"/>
  <c r="BF125" i="7"/>
  <c r="BE147" i="7"/>
  <c r="U147" i="7"/>
  <c r="BI155" i="7"/>
  <c r="BI163" i="7"/>
  <c r="BF165" i="7"/>
  <c r="BE166" i="7"/>
  <c r="U166" i="7"/>
  <c r="Q179" i="7"/>
  <c r="BI179" i="7"/>
  <c r="BE199" i="7"/>
  <c r="U199" i="7"/>
  <c r="BE211" i="7"/>
  <c r="U211" i="7"/>
  <c r="BF235" i="7"/>
  <c r="BI236" i="7"/>
  <c r="BI241" i="7"/>
  <c r="AA247" i="7"/>
  <c r="BI247" i="7" s="1"/>
  <c r="U261" i="7"/>
  <c r="BE261" i="7"/>
  <c r="U271" i="7"/>
  <c r="BI296" i="7"/>
  <c r="Q304" i="7"/>
  <c r="BF304" i="7" s="1"/>
  <c r="BI304" i="7"/>
  <c r="BE183" i="7"/>
  <c r="U183" i="7"/>
  <c r="BI139" i="7"/>
  <c r="BF140" i="7"/>
  <c r="BF178" i="7"/>
  <c r="BE179" i="7"/>
  <c r="U179" i="7"/>
  <c r="BF198" i="7"/>
  <c r="BE202" i="7"/>
  <c r="AA261" i="7"/>
  <c r="BI261" i="7" s="1"/>
  <c r="BF261" i="7"/>
  <c r="BF277" i="7"/>
  <c r="BI209" i="7"/>
  <c r="BE255" i="7"/>
  <c r="U255" i="7"/>
  <c r="BI6" i="7"/>
  <c r="BI113" i="7"/>
  <c r="Q122" i="7"/>
  <c r="BF122" i="7" s="1"/>
  <c r="BF136" i="7"/>
  <c r="BF144" i="7"/>
  <c r="BE145" i="7"/>
  <c r="U145" i="7"/>
  <c r="BI171" i="7"/>
  <c r="BI204" i="7"/>
  <c r="BI234" i="7"/>
  <c r="BF275" i="7"/>
  <c r="AG277" i="7"/>
  <c r="BI277" i="7" s="1"/>
  <c r="U289" i="7"/>
  <c r="BI340" i="7"/>
  <c r="BE171" i="7"/>
  <c r="BE187" i="7"/>
  <c r="BE203" i="7"/>
  <c r="BE215" i="7"/>
  <c r="BE258" i="7"/>
  <c r="U258" i="7"/>
  <c r="BE293" i="7"/>
  <c r="U302" i="7"/>
  <c r="BE302" i="7"/>
  <c r="BI303" i="7"/>
  <c r="Q378" i="7"/>
  <c r="BF378" i="7" s="1"/>
  <c r="BI378" i="7"/>
  <c r="BI401" i="7"/>
  <c r="BI419" i="7"/>
  <c r="Q429" i="7"/>
  <c r="BF429" i="7" s="1"/>
  <c r="BI466" i="7"/>
  <c r="U347" i="7"/>
  <c r="BE347" i="7"/>
  <c r="BI361" i="7"/>
  <c r="Q400" i="7"/>
  <c r="BF400" i="7" s="1"/>
  <c r="BI400" i="7"/>
  <c r="BI405" i="7"/>
  <c r="U437" i="7"/>
  <c r="BE437" i="7"/>
  <c r="Q461" i="7"/>
  <c r="BF461" i="7" s="1"/>
  <c r="BI461" i="7"/>
  <c r="BI311" i="7"/>
  <c r="BE327" i="7"/>
  <c r="U327" i="7"/>
  <c r="U345" i="7"/>
  <c r="Q377" i="7"/>
  <c r="BF377" i="7" s="1"/>
  <c r="BI377" i="7"/>
  <c r="BF437" i="7"/>
  <c r="AA437" i="7"/>
  <c r="BI437" i="7" s="1"/>
  <c r="BE461" i="7"/>
  <c r="U461" i="7"/>
  <c r="BE540" i="7"/>
  <c r="U540" i="7"/>
  <c r="Q558" i="7"/>
  <c r="BF558" i="7" s="1"/>
  <c r="BI558" i="7"/>
  <c r="BI310" i="7"/>
  <c r="AG328" i="7"/>
  <c r="BI328" i="7" s="1"/>
  <c r="U344" i="7"/>
  <c r="U394" i="7"/>
  <c r="BE394" i="7"/>
  <c r="BF555" i="7"/>
  <c r="AG555" i="7"/>
  <c r="BI555" i="7" s="1"/>
  <c r="BE571" i="7"/>
  <c r="U571" i="7"/>
  <c r="BE207" i="7"/>
  <c r="BI215" i="7"/>
  <c r="BE219" i="7"/>
  <c r="BE235" i="7"/>
  <c r="BE249" i="7"/>
  <c r="BI254" i="7"/>
  <c r="BI267" i="7"/>
  <c r="BI283" i="7"/>
  <c r="BI291" i="7"/>
  <c r="BI299" i="7"/>
  <c r="Q299" i="7"/>
  <c r="BF299" i="7" s="1"/>
  <c r="U300" i="7"/>
  <c r="BI309" i="7"/>
  <c r="U318" i="7"/>
  <c r="U365" i="7"/>
  <c r="BF380" i="7"/>
  <c r="BI397" i="7"/>
  <c r="BF410" i="7"/>
  <c r="BF446" i="7"/>
  <c r="AA446" i="7"/>
  <c r="BI446" i="7" s="1"/>
  <c r="BI464" i="7"/>
  <c r="BE532" i="7"/>
  <c r="U532" i="7"/>
  <c r="U148" i="7"/>
  <c r="U167" i="7"/>
  <c r="U168" i="7"/>
  <c r="U184" i="7"/>
  <c r="BE192" i="7"/>
  <c r="U200" i="7"/>
  <c r="BE208" i="7"/>
  <c r="Q229" i="7"/>
  <c r="BF229" i="7" s="1"/>
  <c r="BI264" i="7"/>
  <c r="U268" i="7"/>
  <c r="BF282" i="7"/>
  <c r="BI294" i="7"/>
  <c r="BI317" i="7"/>
  <c r="BF343" i="7"/>
  <c r="BE369" i="7"/>
  <c r="U369" i="7"/>
  <c r="U386" i="7"/>
  <c r="U390" i="7"/>
  <c r="BI393" i="7"/>
  <c r="Q393" i="7"/>
  <c r="BF393" i="7" s="1"/>
  <c r="BH419" i="7"/>
  <c r="Q428" i="7"/>
  <c r="BF428" i="7" s="1"/>
  <c r="BI428" i="7"/>
  <c r="BI445" i="7"/>
  <c r="Q531" i="7"/>
  <c r="BF531" i="7" s="1"/>
  <c r="BI531" i="7"/>
  <c r="BI251" i="7"/>
  <c r="BF266" i="7"/>
  <c r="BF281" i="7"/>
  <c r="BF308" i="7"/>
  <c r="BI316" i="7"/>
  <c r="Q316" i="7"/>
  <c r="BF316" i="7" s="1"/>
  <c r="BI389" i="7"/>
  <c r="Q389" i="7"/>
  <c r="BF389" i="7" s="1"/>
  <c r="BE422" i="7"/>
  <c r="U422" i="7"/>
  <c r="BE428" i="7"/>
  <c r="U428" i="7"/>
  <c r="Q431" i="7"/>
  <c r="BF431" i="7" s="1"/>
  <c r="BI431" i="7"/>
  <c r="U436" i="7"/>
  <c r="BE436" i="7"/>
  <c r="BI516" i="7"/>
  <c r="Q516" i="7"/>
  <c r="BF516" i="7" s="1"/>
  <c r="BI190" i="7"/>
  <c r="BI206" i="7"/>
  <c r="BI218" i="7"/>
  <c r="BF265" i="7"/>
  <c r="U266" i="7"/>
  <c r="BE266" i="7"/>
  <c r="BI281" i="7"/>
  <c r="U282" i="7"/>
  <c r="BE282" i="7"/>
  <c r="BF298" i="7"/>
  <c r="U308" i="7"/>
  <c r="BE308" i="7"/>
  <c r="U317" i="7"/>
  <c r="U343" i="7"/>
  <c r="BF385" i="7"/>
  <c r="BE431" i="7"/>
  <c r="U431" i="7"/>
  <c r="Q520" i="7"/>
  <c r="BF520" i="7" s="1"/>
  <c r="BI520" i="7"/>
  <c r="Q230" i="7"/>
  <c r="BF230" i="7" s="1"/>
  <c r="BI235" i="7"/>
  <c r="BF250" i="7"/>
  <c r="BI265" i="7"/>
  <c r="BI295" i="7"/>
  <c r="BF296" i="7"/>
  <c r="U316" i="7"/>
  <c r="Q323" i="7"/>
  <c r="BF323" i="7" s="1"/>
  <c r="BF329" i="7"/>
  <c r="BI334" i="7"/>
  <c r="AG337" i="7"/>
  <c r="BI337" i="7" s="1"/>
  <c r="U389" i="7"/>
  <c r="BF236" i="7"/>
  <c r="BF249" i="7"/>
  <c r="U250" i="7"/>
  <c r="BE250" i="7"/>
  <c r="Q278" i="7"/>
  <c r="BF278" i="7" s="1"/>
  <c r="BI278" i="7"/>
  <c r="BF342" i="7"/>
  <c r="BI356" i="7"/>
  <c r="U363" i="7"/>
  <c r="BE363" i="7"/>
  <c r="BF373" i="7"/>
  <c r="U375" i="7"/>
  <c r="BE375" i="7"/>
  <c r="BF408" i="7"/>
  <c r="BI249" i="7"/>
  <c r="U295" i="7"/>
  <c r="BI307" i="7"/>
  <c r="Q307" i="7"/>
  <c r="BF307" i="7" s="1"/>
  <c r="BI315" i="7"/>
  <c r="Q315" i="7"/>
  <c r="BF315" i="7" s="1"/>
  <c r="BE319" i="7"/>
  <c r="BI367" i="7"/>
  <c r="BI383" i="7"/>
  <c r="BI392" i="7"/>
  <c r="Q392" i="7"/>
  <c r="BF392" i="7" s="1"/>
  <c r="BI434" i="7"/>
  <c r="Q434" i="7"/>
  <c r="BF434" i="7" s="1"/>
  <c r="Q262" i="7"/>
  <c r="BF262" i="7" s="1"/>
  <c r="BI262" i="7"/>
  <c r="U307" i="7"/>
  <c r="BE307" i="7"/>
  <c r="BF322" i="7"/>
  <c r="BF382" i="7"/>
  <c r="BI388" i="7"/>
  <c r="Q388" i="7"/>
  <c r="BF388" i="7" s="1"/>
  <c r="BF409" i="7"/>
  <c r="BE421" i="7"/>
  <c r="U421" i="7"/>
  <c r="Q427" i="7"/>
  <c r="BF427" i="7" s="1"/>
  <c r="BI427" i="7"/>
  <c r="Q430" i="7"/>
  <c r="BF430" i="7" s="1"/>
  <c r="BI430" i="7"/>
  <c r="BI486" i="7"/>
  <c r="Q486" i="7"/>
  <c r="BF486" i="7" s="1"/>
  <c r="BF289" i="7"/>
  <c r="BE290" i="7"/>
  <c r="U290" i="7"/>
  <c r="U315" i="7"/>
  <c r="BE322" i="7"/>
  <c r="U322" i="7"/>
  <c r="BF341" i="7"/>
  <c r="BF381" i="7"/>
  <c r="BI382" i="7"/>
  <c r="BF407" i="7"/>
  <c r="BF413" i="7"/>
  <c r="BE427" i="7"/>
  <c r="U427" i="7"/>
  <c r="BE430" i="7"/>
  <c r="U430" i="7"/>
  <c r="BI462" i="7"/>
  <c r="Q462" i="7"/>
  <c r="BF462" i="7" s="1"/>
  <c r="BF340" i="7"/>
  <c r="Q350" i="7"/>
  <c r="BF350" i="7" s="1"/>
  <c r="BI350" i="7"/>
  <c r="BE376" i="7"/>
  <c r="U388" i="7"/>
  <c r="BI408" i="7"/>
  <c r="BE462" i="7"/>
  <c r="U462" i="7"/>
  <c r="BI344" i="7"/>
  <c r="BF420" i="7"/>
  <c r="BF421" i="7"/>
  <c r="BI422" i="7"/>
  <c r="BI443" i="7"/>
  <c r="Q445" i="7"/>
  <c r="BF445" i="7" s="1"/>
  <c r="BF451" i="7"/>
  <c r="Q487" i="7"/>
  <c r="BF487" i="7" s="1"/>
  <c r="BI487" i="7"/>
  <c r="BF505" i="7"/>
  <c r="BE546" i="7"/>
  <c r="U546" i="7"/>
  <c r="BF553" i="7"/>
  <c r="BI438" i="7"/>
  <c r="Q438" i="7"/>
  <c r="BF438" i="7" s="1"/>
  <c r="Q441" i="7"/>
  <c r="BF441" i="7" s="1"/>
  <c r="BI441" i="7"/>
  <c r="U464" i="7"/>
  <c r="BE464" i="7"/>
  <c r="U487" i="7"/>
  <c r="BE487" i="7"/>
  <c r="Q559" i="7"/>
  <c r="BF559" i="7" s="1"/>
  <c r="BI559" i="7"/>
  <c r="BE560" i="7"/>
  <c r="U560" i="7"/>
  <c r="U685" i="7"/>
  <c r="BE685" i="7"/>
  <c r="Q694" i="7"/>
  <c r="BF694" i="7" s="1"/>
  <c r="BI694" i="7"/>
  <c r="U443" i="7"/>
  <c r="U452" i="7"/>
  <c r="U463" i="7"/>
  <c r="BF504" i="7"/>
  <c r="BI532" i="7"/>
  <c r="BI403" i="7"/>
  <c r="Q485" i="7"/>
  <c r="BF485" i="7" s="1"/>
  <c r="BI485" i="7"/>
  <c r="AG554" i="7"/>
  <c r="BI554" i="7" s="1"/>
  <c r="BF554" i="7"/>
  <c r="BE563" i="7"/>
  <c r="U563" i="7"/>
  <c r="BE690" i="7"/>
  <c r="U690" i="7"/>
  <c r="BF326" i="7"/>
  <c r="BE357" i="7"/>
  <c r="U370" i="7"/>
  <c r="U371" i="7"/>
  <c r="U372" i="7"/>
  <c r="U398" i="7"/>
  <c r="U399" i="7"/>
  <c r="U400" i="7"/>
  <c r="U429" i="7"/>
  <c r="BI455" i="7"/>
  <c r="BF458" i="7"/>
  <c r="U478" i="7"/>
  <c r="BE478" i="7"/>
  <c r="BI511" i="7"/>
  <c r="Q519" i="7"/>
  <c r="BF519" i="7" s="1"/>
  <c r="BI519" i="7"/>
  <c r="BI567" i="7"/>
  <c r="BI331" i="7"/>
  <c r="U402" i="7"/>
  <c r="BI406" i="7"/>
  <c r="BI415" i="7"/>
  <c r="U460" i="7"/>
  <c r="BI472" i="7"/>
  <c r="BI478" i="7"/>
  <c r="BF640" i="7"/>
  <c r="AG640" i="7"/>
  <c r="BI640" i="7" s="1"/>
  <c r="BI407" i="7"/>
  <c r="BI413" i="7"/>
  <c r="BI416" i="7"/>
  <c r="BF456" i="7"/>
  <c r="BE472" i="7"/>
  <c r="U472" i="7"/>
  <c r="Q495" i="7"/>
  <c r="BF495" i="7" s="1"/>
  <c r="BI495" i="7"/>
  <c r="BI580" i="7"/>
  <c r="Q580" i="7"/>
  <c r="BF580" i="7" s="1"/>
  <c r="BE635" i="7"/>
  <c r="U635" i="7"/>
  <c r="U649" i="7"/>
  <c r="BE649" i="7"/>
  <c r="BI306" i="7"/>
  <c r="BI351" i="7"/>
  <c r="BI409" i="7"/>
  <c r="BI453" i="7"/>
  <c r="U458" i="7"/>
  <c r="BI471" i="7"/>
  <c r="U474" i="7"/>
  <c r="U605" i="7"/>
  <c r="BE605" i="7"/>
  <c r="BI336" i="7"/>
  <c r="BI357" i="7"/>
  <c r="BI467" i="7"/>
  <c r="BF494" i="7"/>
  <c r="BF537" i="7"/>
  <c r="U548" i="7"/>
  <c r="BE548" i="7"/>
  <c r="BI338" i="7"/>
  <c r="BI358" i="7"/>
  <c r="BI381" i="7"/>
  <c r="Q383" i="7"/>
  <c r="BF383" i="7" s="1"/>
  <c r="U456" i="7"/>
  <c r="BI470" i="7"/>
  <c r="BI481" i="7"/>
  <c r="BE488" i="7"/>
  <c r="U488" i="7"/>
  <c r="BF496" i="7"/>
  <c r="BI514" i="7"/>
  <c r="BI515" i="7"/>
  <c r="BI410" i="7"/>
  <c r="BE432" i="7"/>
  <c r="BI454" i="7"/>
  <c r="BF522" i="7"/>
  <c r="BF542" i="7"/>
  <c r="BE547" i="7"/>
  <c r="U547" i="7"/>
  <c r="BE619" i="7"/>
  <c r="U619" i="7"/>
  <c r="U414" i="7"/>
  <c r="BF453" i="7"/>
  <c r="U469" i="7"/>
  <c r="Q575" i="7"/>
  <c r="BF575" i="7" s="1"/>
  <c r="BI575" i="7"/>
  <c r="BI576" i="7"/>
  <c r="BI298" i="7"/>
  <c r="BI314" i="7"/>
  <c r="BI339" i="7"/>
  <c r="BI364" i="7"/>
  <c r="U383" i="7"/>
  <c r="BI387" i="7"/>
  <c r="BI439" i="7"/>
  <c r="U454" i="7"/>
  <c r="BI482" i="7"/>
  <c r="BE485" i="7"/>
  <c r="BI533" i="7"/>
  <c r="Q533" i="7"/>
  <c r="BF533" i="7" s="1"/>
  <c r="BE579" i="7"/>
  <c r="U579" i="7"/>
  <c r="Q422" i="7"/>
  <c r="BF422" i="7" s="1"/>
  <c r="Q443" i="7"/>
  <c r="BF452" i="7"/>
  <c r="U466" i="7"/>
  <c r="BE466" i="7"/>
  <c r="BI517" i="7"/>
  <c r="Q521" i="7"/>
  <c r="BF521" i="7" s="1"/>
  <c r="BI521" i="7"/>
  <c r="BF510" i="7"/>
  <c r="Q513" i="7"/>
  <c r="BF513" i="7" s="1"/>
  <c r="BI513" i="7"/>
  <c r="BH556" i="7"/>
  <c r="U572" i="7"/>
  <c r="BI587" i="7"/>
  <c r="AG607" i="7"/>
  <c r="BI607" i="7" s="1"/>
  <c r="BE614" i="7"/>
  <c r="U614" i="7"/>
  <c r="BI619" i="7"/>
  <c r="BI630" i="7"/>
  <c r="BF639" i="7"/>
  <c r="AG641" i="7"/>
  <c r="BI641" i="7" s="1"/>
  <c r="BF641" i="7"/>
  <c r="BI490" i="7"/>
  <c r="BI518" i="7"/>
  <c r="BI539" i="7"/>
  <c r="BF566" i="7"/>
  <c r="U580" i="7"/>
  <c r="BE580" i="7"/>
  <c r="Q586" i="7"/>
  <c r="BF586" i="7" s="1"/>
  <c r="BI586" i="7"/>
  <c r="BI592" i="7"/>
  <c r="Q618" i="7"/>
  <c r="BI618" i="7"/>
  <c r="BF624" i="7"/>
  <c r="AG624" i="7"/>
  <c r="BI624" i="7" s="1"/>
  <c r="Q634" i="7"/>
  <c r="BF634" i="7" s="1"/>
  <c r="BI634" i="7"/>
  <c r="BI638" i="7"/>
  <c r="Q591" i="7"/>
  <c r="BF591" i="7" s="1"/>
  <c r="BI591" i="7"/>
  <c r="U592" i="7"/>
  <c r="BE592" i="7"/>
  <c r="BI622" i="7"/>
  <c r="BI639" i="7"/>
  <c r="Q663" i="7"/>
  <c r="BF663" i="7" s="1"/>
  <c r="BI663" i="7"/>
  <c r="Q679" i="7"/>
  <c r="BF679" i="7" s="1"/>
  <c r="BI679" i="7"/>
  <c r="BF499" i="7"/>
  <c r="BE512" i="7"/>
  <c r="U512" i="7"/>
  <c r="Q565" i="7"/>
  <c r="BF565" i="7" s="1"/>
  <c r="BI565" i="7"/>
  <c r="BI579" i="7"/>
  <c r="BF598" i="7"/>
  <c r="BI616" i="7"/>
  <c r="BI646" i="7"/>
  <c r="BF680" i="7"/>
  <c r="AG680" i="7"/>
  <c r="BI680" i="7" s="1"/>
  <c r="BI398" i="7"/>
  <c r="BI503" i="7"/>
  <c r="BI507" i="7"/>
  <c r="U520" i="7"/>
  <c r="BE520" i="7"/>
  <c r="BF584" i="7"/>
  <c r="BE585" i="7"/>
  <c r="U585" i="7"/>
  <c r="BH586" i="7"/>
  <c r="BE597" i="7"/>
  <c r="U597" i="7"/>
  <c r="BF617" i="7"/>
  <c r="BF633" i="7"/>
  <c r="Q637" i="7"/>
  <c r="BF637" i="7" s="1"/>
  <c r="Q647" i="7"/>
  <c r="BF647" i="7" s="1"/>
  <c r="BF489" i="7"/>
  <c r="BF517" i="7"/>
  <c r="BF530" i="7"/>
  <c r="BF544" i="7"/>
  <c r="BF564" i="7"/>
  <c r="BI578" i="7"/>
  <c r="Q578" i="7"/>
  <c r="BF597" i="7"/>
  <c r="BE659" i="7"/>
  <c r="U659" i="7"/>
  <c r="BI666" i="7"/>
  <c r="Q724" i="7"/>
  <c r="BI724" i="7"/>
  <c r="BE482" i="7"/>
  <c r="BI530" i="7"/>
  <c r="BI544" i="7"/>
  <c r="BI564" i="7"/>
  <c r="Q573" i="7"/>
  <c r="BF573" i="7" s="1"/>
  <c r="BI573" i="7"/>
  <c r="BI590" i="7"/>
  <c r="Q590" i="7"/>
  <c r="BF590" i="7" s="1"/>
  <c r="AA597" i="7"/>
  <c r="BI597" i="7" s="1"/>
  <c r="BI621" i="7"/>
  <c r="BE666" i="7"/>
  <c r="U666" i="7"/>
  <c r="Q529" i="7"/>
  <c r="BF529" i="7" s="1"/>
  <c r="BI529" i="7"/>
  <c r="BF543" i="7"/>
  <c r="BF557" i="7"/>
  <c r="BF563" i="7"/>
  <c r="U564" i="7"/>
  <c r="BE564" i="7"/>
  <c r="BF596" i="7"/>
  <c r="U621" i="7"/>
  <c r="BE621" i="7"/>
  <c r="BF632" i="7"/>
  <c r="BI675" i="7"/>
  <c r="U517" i="7"/>
  <c r="U530" i="7"/>
  <c r="U544" i="7"/>
  <c r="BE557" i="7"/>
  <c r="U557" i="7"/>
  <c r="BI563" i="7"/>
  <c r="U573" i="7"/>
  <c r="U590" i="7"/>
  <c r="BI614" i="7"/>
  <c r="Q620" i="7"/>
  <c r="BF620" i="7" s="1"/>
  <c r="BI620" i="7"/>
  <c r="Q636" i="7"/>
  <c r="BF636" i="7" s="1"/>
  <c r="BI636" i="7"/>
  <c r="BI584" i="7"/>
  <c r="BI594" i="7"/>
  <c r="BE636" i="7"/>
  <c r="U636" i="7"/>
  <c r="U646" i="7"/>
  <c r="BE646" i="7"/>
  <c r="BI652" i="7"/>
  <c r="BI665" i="7"/>
  <c r="Q665" i="7"/>
  <c r="BF665" i="7" s="1"/>
  <c r="BI502" i="7"/>
  <c r="BF515" i="7"/>
  <c r="BI542" i="7"/>
  <c r="BI556" i="7"/>
  <c r="BF562" i="7"/>
  <c r="U577" i="7"/>
  <c r="AA583" i="7"/>
  <c r="BI583" i="7" s="1"/>
  <c r="U620" i="7"/>
  <c r="BI484" i="7"/>
  <c r="U486" i="7"/>
  <c r="Q501" i="7"/>
  <c r="BF501" i="7" s="1"/>
  <c r="BI501" i="7"/>
  <c r="U516" i="7"/>
  <c r="BE528" i="7"/>
  <c r="U528" i="7"/>
  <c r="Q541" i="7"/>
  <c r="BF541" i="7" s="1"/>
  <c r="BI541" i="7"/>
  <c r="BI562" i="7"/>
  <c r="Q572" i="7"/>
  <c r="BF572" i="7" s="1"/>
  <c r="BI581" i="7"/>
  <c r="U582" i="7"/>
  <c r="BE582" i="7"/>
  <c r="U589" i="7"/>
  <c r="Q593" i="7"/>
  <c r="BF593" i="7" s="1"/>
  <c r="BI593" i="7"/>
  <c r="AA595" i="7"/>
  <c r="BI595" i="7" s="1"/>
  <c r="BE631" i="7"/>
  <c r="U631" i="7"/>
  <c r="U502" i="7"/>
  <c r="BH503" i="7"/>
  <c r="BF514" i="7"/>
  <c r="BI527" i="7"/>
  <c r="Q561" i="7"/>
  <c r="BF561" i="7" s="1"/>
  <c r="BI561" i="7"/>
  <c r="BF567" i="7"/>
  <c r="BF588" i="7"/>
  <c r="BI601" i="7"/>
  <c r="BE603" i="7"/>
  <c r="BE615" i="7"/>
  <c r="U615" i="7"/>
  <c r="BI582" i="7"/>
  <c r="BF587" i="7"/>
  <c r="BF625" i="7"/>
  <c r="AG625" i="7"/>
  <c r="BI625" i="7" s="1"/>
  <c r="BI651" i="7"/>
  <c r="BI664" i="7"/>
  <c r="Q664" i="7"/>
  <c r="BF664" i="7" s="1"/>
  <c r="BF622" i="7"/>
  <c r="BF638" i="7"/>
  <c r="BI650" i="7"/>
  <c r="BI692" i="7"/>
  <c r="BI560" i="7"/>
  <c r="U595" i="7"/>
  <c r="BE595" i="7"/>
  <c r="Q660" i="7"/>
  <c r="BF660" i="7" s="1"/>
  <c r="BI660" i="7"/>
  <c r="Q666" i="7"/>
  <c r="BF666" i="7" s="1"/>
  <c r="BE673" i="7"/>
  <c r="BE692" i="7"/>
  <c r="U692" i="7"/>
  <c r="Q716" i="7"/>
  <c r="BE721" i="7"/>
  <c r="BF651" i="7"/>
  <c r="U660" i="7"/>
  <c r="BE660" i="7"/>
  <c r="U709" i="7"/>
  <c r="BE709" i="7"/>
  <c r="BI635" i="7"/>
  <c r="BI659" i="7"/>
  <c r="BF670" i="7"/>
  <c r="Q674" i="7"/>
  <c r="BF674" i="7" s="1"/>
  <c r="U688" i="7"/>
  <c r="BE688" i="7"/>
  <c r="U708" i="7"/>
  <c r="BE708" i="7"/>
  <c r="BE715" i="7"/>
  <c r="U715" i="7"/>
  <c r="Q685" i="7"/>
  <c r="BF685" i="7" s="1"/>
  <c r="BI685" i="7"/>
  <c r="BE696" i="7"/>
  <c r="U696" i="7"/>
  <c r="G10" i="10"/>
  <c r="H10" i="10" s="1"/>
  <c r="F10" i="10"/>
  <c r="Q570" i="7"/>
  <c r="BF570" i="7" s="1"/>
  <c r="BF612" i="7"/>
  <c r="Q613" i="7"/>
  <c r="BF613" i="7" s="1"/>
  <c r="BE645" i="7"/>
  <c r="U645" i="7"/>
  <c r="AA658" i="7"/>
  <c r="BI658" i="7" s="1"/>
  <c r="BF658" i="7"/>
  <c r="BI712" i="7"/>
  <c r="BF629" i="7"/>
  <c r="BE637" i="7"/>
  <c r="BI498" i="7"/>
  <c r="BI510" i="7"/>
  <c r="BI526" i="7"/>
  <c r="BI538" i="7"/>
  <c r="Q602" i="7"/>
  <c r="BF602" i="7" s="1"/>
  <c r="Q610" i="7"/>
  <c r="BI610" i="7"/>
  <c r="BI611" i="7"/>
  <c r="BF628" i="7"/>
  <c r="BI629" i="7"/>
  <c r="U644" i="7"/>
  <c r="BF662" i="7"/>
  <c r="BI668" i="7"/>
  <c r="U712" i="7"/>
  <c r="BI720" i="7"/>
  <c r="Q720" i="7"/>
  <c r="BF720" i="7" s="1"/>
  <c r="Q556" i="7"/>
  <c r="BF556" i="7" s="1"/>
  <c r="BI596" i="7"/>
  <c r="BI598" i="7"/>
  <c r="BI604" i="7"/>
  <c r="Q606" i="7"/>
  <c r="BF606" i="7" s="1"/>
  <c r="BI643" i="7"/>
  <c r="BI667" i="7"/>
  <c r="BI682" i="7"/>
  <c r="BF683" i="7"/>
  <c r="BI693" i="7"/>
  <c r="BE697" i="7"/>
  <c r="BI699" i="7"/>
  <c r="BI711" i="7"/>
  <c r="G25" i="10"/>
  <c r="H25" i="10" s="1"/>
  <c r="F25" i="10"/>
  <c r="BI500" i="7"/>
  <c r="BI512" i="7"/>
  <c r="BI528" i="7"/>
  <c r="BI540" i="7"/>
  <c r="BI557" i="7"/>
  <c r="BI585" i="7"/>
  <c r="Q626" i="7"/>
  <c r="BF626" i="7" s="1"/>
  <c r="BI626" i="7"/>
  <c r="BI627" i="7"/>
  <c r="Q642" i="7"/>
  <c r="BF642" i="7" s="1"/>
  <c r="BI642" i="7"/>
  <c r="Q661" i="7"/>
  <c r="BF661" i="7" s="1"/>
  <c r="BI661" i="7"/>
  <c r="BF669" i="7"/>
  <c r="BI691" i="7"/>
  <c r="BE693" i="7"/>
  <c r="U693" i="7"/>
  <c r="BI705" i="7"/>
  <c r="BI706" i="7"/>
  <c r="Q710" i="7"/>
  <c r="BF710" i="7" s="1"/>
  <c r="BI710" i="7"/>
  <c r="BF725" i="7"/>
  <c r="U643" i="7"/>
  <c r="U662" i="7"/>
  <c r="BE676" i="7"/>
  <c r="BI698" i="7"/>
  <c r="BI577" i="7"/>
  <c r="BI589" i="7"/>
  <c r="BI599" i="7"/>
  <c r="BI605" i="7"/>
  <c r="BF652" i="7"/>
  <c r="BI653" i="7"/>
  <c r="BI662" i="7"/>
  <c r="Q692" i="7"/>
  <c r="BF692" i="7" s="1"/>
  <c r="BE607" i="7"/>
  <c r="BE623" i="7"/>
  <c r="BE639" i="7"/>
  <c r="BE651" i="7"/>
  <c r="BE653" i="7"/>
  <c r="BE680" i="7"/>
  <c r="BE681" i="7"/>
  <c r="BE701" i="7"/>
  <c r="BE725" i="7"/>
  <c r="F34" i="10"/>
  <c r="S34" i="10" s="1"/>
  <c r="G55" i="10"/>
  <c r="H55" i="10" s="1"/>
  <c r="F55" i="10"/>
  <c r="G66" i="10"/>
  <c r="H66" i="10" s="1"/>
  <c r="F66" i="10"/>
  <c r="D100" i="17"/>
  <c r="J100" i="17" s="1"/>
  <c r="E47" i="10"/>
  <c r="G33" i="10"/>
  <c r="H33" i="10" s="1"/>
  <c r="F24" i="10"/>
  <c r="S24" i="10" s="1"/>
  <c r="F33" i="10"/>
  <c r="F40" i="10"/>
  <c r="S40" i="10" s="1"/>
  <c r="D101" i="17"/>
  <c r="J101" i="17" s="1"/>
  <c r="E38" i="10"/>
  <c r="S60" i="10"/>
  <c r="G71" i="10"/>
  <c r="H71" i="10" s="1"/>
  <c r="F71" i="10"/>
  <c r="F6" i="10"/>
  <c r="S6" i="10" s="1"/>
  <c r="F22" i="10"/>
  <c r="S22" i="10" s="1"/>
  <c r="F32" i="10"/>
  <c r="S32" i="10" s="1"/>
  <c r="G31" i="10"/>
  <c r="H31" i="10" s="1"/>
  <c r="F31" i="10"/>
  <c r="G39" i="10"/>
  <c r="H39" i="10" s="1"/>
  <c r="F39" i="10"/>
  <c r="G61" i="10"/>
  <c r="H61" i="10" s="1"/>
  <c r="F61" i="10"/>
  <c r="J52" i="17"/>
  <c r="BI656" i="7"/>
  <c r="Q682" i="7"/>
  <c r="BF682" i="7" s="1"/>
  <c r="BE724" i="7"/>
  <c r="U724" i="7"/>
  <c r="F20" i="10"/>
  <c r="S20" i="10" s="1"/>
  <c r="G51" i="10"/>
  <c r="H51" i="10" s="1"/>
  <c r="G64" i="10"/>
  <c r="H64" i="10" s="1"/>
  <c r="F64" i="10"/>
  <c r="BI657" i="7"/>
  <c r="BI683" i="7"/>
  <c r="BI707" i="7"/>
  <c r="F51" i="10"/>
  <c r="U652" i="7"/>
  <c r="BI684" i="7"/>
  <c r="BI709" i="7"/>
  <c r="G29" i="10"/>
  <c r="H29" i="10" s="1"/>
  <c r="F29" i="10"/>
  <c r="G50" i="10"/>
  <c r="H50" i="10" s="1"/>
  <c r="F17" i="10"/>
  <c r="S17" i="10" s="1"/>
  <c r="F50" i="10"/>
  <c r="BI708" i="7"/>
  <c r="F16" i="10"/>
  <c r="S16" i="10" s="1"/>
  <c r="G57" i="10"/>
  <c r="H57" i="10" s="1"/>
  <c r="F57" i="10"/>
  <c r="F14" i="10"/>
  <c r="S14" i="10" s="1"/>
  <c r="G43" i="10"/>
  <c r="H43" i="10" s="1"/>
  <c r="F43" i="10"/>
  <c r="G72" i="10"/>
  <c r="H72" i="10" s="1"/>
  <c r="F13" i="10"/>
  <c r="S13" i="10" s="1"/>
  <c r="G27" i="10"/>
  <c r="H27" i="10" s="1"/>
  <c r="F27" i="10"/>
  <c r="G67" i="10"/>
  <c r="H67" i="10" s="1"/>
  <c r="G48" i="10"/>
  <c r="H48" i="10" s="1"/>
  <c r="F48" i="10"/>
  <c r="G41" i="10"/>
  <c r="H41" i="10" s="1"/>
  <c r="F54" i="10"/>
  <c r="S54" i="10" s="1"/>
  <c r="F37" i="10"/>
  <c r="S37" i="10" s="1"/>
  <c r="J10" i="17"/>
  <c r="F63" i="10"/>
  <c r="S63" i="10" s="1"/>
  <c r="F46" i="10"/>
  <c r="S46" i="10" s="1"/>
  <c r="S58" i="10"/>
  <c r="F62" i="10"/>
  <c r="S62" i="10" s="1"/>
  <c r="J20" i="17"/>
  <c r="F45" i="10"/>
  <c r="S45" i="10" s="1"/>
  <c r="J109" i="17"/>
  <c r="S73" i="10"/>
  <c r="G74" i="10"/>
  <c r="H74" i="10" s="1"/>
  <c r="S69" i="10"/>
  <c r="E70" i="10"/>
  <c r="J67" i="17"/>
  <c r="J84" i="17"/>
  <c r="J92" i="17"/>
  <c r="J30" i="17"/>
  <c r="J34" i="17"/>
  <c r="J114" i="17"/>
  <c r="J38" i="17"/>
  <c r="J65" i="17"/>
  <c r="J73" i="17"/>
  <c r="J81" i="17"/>
  <c r="J122" i="17"/>
  <c r="J35" i="17"/>
  <c r="J111" i="17"/>
  <c r="J28" i="17"/>
  <c r="J106" i="17"/>
  <c r="A6" i="1" a="1"/>
  <c r="A5" i="2" a="1"/>
  <c r="A5" i="3" a="1"/>
  <c r="A5" i="4" a="1"/>
  <c r="BF353" i="7" l="1"/>
  <c r="BF715" i="7"/>
  <c r="BF366" i="7"/>
  <c r="BF610" i="7"/>
  <c r="BF482" i="7"/>
  <c r="BF240" i="7"/>
  <c r="BF242" i="7"/>
  <c r="BF724" i="7"/>
  <c r="BF716" i="7"/>
  <c r="F35" i="10"/>
  <c r="G35" i="10"/>
  <c r="H35" i="10" s="1"/>
  <c r="G12" i="10"/>
  <c r="H12" i="10" s="1"/>
  <c r="F12" i="10"/>
  <c r="S12" i="10" s="1"/>
  <c r="F65" i="10"/>
  <c r="G65" i="10"/>
  <c r="H65" i="10" s="1"/>
  <c r="H15" i="10"/>
  <c r="S15" i="10"/>
  <c r="BF618" i="7"/>
  <c r="BF177" i="7"/>
  <c r="BF443" i="7"/>
  <c r="BF244" i="7"/>
  <c r="BF247" i="7"/>
  <c r="BF23" i="7"/>
  <c r="BF47" i="7"/>
  <c r="BF459" i="7"/>
  <c r="BF31" i="7"/>
  <c r="BF68" i="7"/>
  <c r="BF88" i="7"/>
  <c r="BF551" i="7"/>
  <c r="BF40" i="7"/>
  <c r="BF89" i="7"/>
  <c r="BF179" i="7"/>
  <c r="BI186" i="7"/>
  <c r="BF87" i="7"/>
  <c r="BF578" i="7"/>
  <c r="BF15" i="7"/>
  <c r="F4" i="10"/>
  <c r="S4" i="10" s="1"/>
  <c r="G8" i="10"/>
  <c r="BF717" i="7"/>
  <c r="F59" i="10"/>
  <c r="S59" i="10" s="1"/>
  <c r="BI335" i="7"/>
  <c r="F11" i="10"/>
  <c r="S11" i="10" s="1"/>
  <c r="F49" i="10"/>
  <c r="S49" i="10" s="1"/>
  <c r="S57" i="10"/>
  <c r="S75" i="10"/>
  <c r="S72" i="10"/>
  <c r="S10" i="10"/>
  <c r="S65" i="10"/>
  <c r="S25" i="10"/>
  <c r="S33" i="10"/>
  <c r="S64" i="10"/>
  <c r="S29" i="10"/>
  <c r="S74" i="10"/>
  <c r="S55" i="10"/>
  <c r="S35" i="10"/>
  <c r="Q202" i="7"/>
  <c r="BF202" i="7" s="1"/>
  <c r="BI202" i="7"/>
  <c r="S51" i="10"/>
  <c r="S9" i="10"/>
  <c r="S50" i="10"/>
  <c r="S61" i="10"/>
  <c r="S18" i="10"/>
  <c r="S71" i="10"/>
  <c r="A5" i="4"/>
  <c r="A5" i="3"/>
  <c r="A5" i="2"/>
  <c r="A6" i="1"/>
  <c r="L388" i="13" s="1"/>
  <c r="S67" i="10"/>
  <c r="S27" i="10"/>
  <c r="G47" i="10"/>
  <c r="H47" i="10" s="1"/>
  <c r="F47" i="10"/>
  <c r="S66" i="10"/>
  <c r="S48" i="10"/>
  <c r="S41" i="10"/>
  <c r="G38" i="10"/>
  <c r="F38" i="10"/>
  <c r="G70" i="10"/>
  <c r="H70" i="10" s="1"/>
  <c r="F70" i="10"/>
  <c r="S39" i="10"/>
  <c r="S43" i="10"/>
  <c r="S31" i="10"/>
  <c r="L352" i="13"/>
  <c r="L386" i="13"/>
  <c r="K379" i="13"/>
  <c r="K815" i="13"/>
  <c r="K383" i="13"/>
  <c r="K352" i="13"/>
  <c r="L815" i="13"/>
  <c r="L383" i="13"/>
  <c r="K386" i="13"/>
  <c r="L379" i="13"/>
  <c r="A6" i="4" a="1"/>
  <c r="A6" i="2" a="1"/>
  <c r="A7" i="1" a="1"/>
  <c r="A6" i="3" a="1"/>
  <c r="H8" i="10" l="1"/>
  <c r="S8" i="10"/>
  <c r="S47" i="10"/>
  <c r="L404" i="13"/>
  <c r="S70" i="10"/>
  <c r="K395" i="13"/>
  <c r="K411" i="13"/>
  <c r="L402" i="13"/>
  <c r="K393" i="13"/>
  <c r="K396" i="13"/>
  <c r="K441" i="13"/>
  <c r="I19" i="12"/>
  <c r="K19" i="12" s="1"/>
  <c r="K446" i="13"/>
  <c r="K397" i="13"/>
  <c r="I20" i="12"/>
  <c r="K20" i="12" s="1"/>
  <c r="L400" i="13"/>
  <c r="L382" i="13"/>
  <c r="L393" i="13"/>
  <c r="L391" i="13"/>
  <c r="L446" i="13"/>
  <c r="K387" i="13"/>
  <c r="K385" i="13"/>
  <c r="L394" i="13"/>
  <c r="L387" i="13"/>
  <c r="L396" i="13"/>
  <c r="J19" i="12"/>
  <c r="K403" i="13"/>
  <c r="L389" i="13"/>
  <c r="L652" i="13"/>
  <c r="K391" i="13"/>
  <c r="K401" i="13"/>
  <c r="K382" i="13"/>
  <c r="L403" i="13"/>
  <c r="L406" i="13"/>
  <c r="K390" i="13"/>
  <c r="L385" i="13"/>
  <c r="K388" i="13"/>
  <c r="J20" i="12"/>
  <c r="L401" i="13"/>
  <c r="L392" i="13"/>
  <c r="L408" i="13"/>
  <c r="L399" i="13"/>
  <c r="K404" i="13"/>
  <c r="L407" i="13"/>
  <c r="L405" i="13"/>
  <c r="L441" i="13"/>
  <c r="K399" i="13"/>
  <c r="K407" i="13"/>
  <c r="K408" i="13"/>
  <c r="K406" i="13"/>
  <c r="K447" i="13"/>
  <c r="K392" i="13"/>
  <c r="L447" i="13"/>
  <c r="L411" i="13"/>
  <c r="L397" i="13"/>
  <c r="K405" i="13"/>
  <c r="L783" i="13"/>
  <c r="K783" i="13"/>
  <c r="K652" i="13"/>
  <c r="K389" i="13"/>
  <c r="L395" i="13"/>
  <c r="L390" i="13"/>
  <c r="K394" i="13"/>
  <c r="K398" i="13"/>
  <c r="K402" i="13"/>
  <c r="L398" i="13"/>
  <c r="K400" i="13"/>
  <c r="A7" i="1"/>
  <c r="A6" i="2"/>
  <c r="A6" i="3"/>
  <c r="A6" i="4"/>
  <c r="H38" i="10"/>
  <c r="S38" i="10"/>
  <c r="A7" i="2" a="1"/>
  <c r="A7" i="3" a="1"/>
  <c r="A8" i="1" a="1"/>
  <c r="A7" i="4" a="1"/>
  <c r="A7" i="4" l="1"/>
  <c r="A7" i="3"/>
  <c r="A7" i="2"/>
  <c r="A8" i="1"/>
  <c r="L462" i="13" s="1"/>
  <c r="K471" i="13"/>
  <c r="K432" i="13"/>
  <c r="L464" i="13"/>
  <c r="K451" i="13"/>
  <c r="K464" i="13"/>
  <c r="L435" i="13"/>
  <c r="K470" i="13"/>
  <c r="L453" i="13"/>
  <c r="L470" i="13"/>
  <c r="K655" i="13"/>
  <c r="L412" i="13"/>
  <c r="L655" i="13"/>
  <c r="L432" i="13"/>
  <c r="L381" i="13"/>
  <c r="K450" i="13"/>
  <c r="L452" i="13"/>
  <c r="K453" i="13"/>
  <c r="L438" i="13"/>
  <c r="K452" i="13"/>
  <c r="K449" i="13"/>
  <c r="K435" i="13"/>
  <c r="K381" i="13"/>
  <c r="L451" i="13"/>
  <c r="L450" i="13"/>
  <c r="K431" i="13"/>
  <c r="L437" i="13"/>
  <c r="L471" i="13"/>
  <c r="K412" i="13"/>
  <c r="L431" i="13"/>
  <c r="K438" i="13"/>
  <c r="L449" i="13"/>
  <c r="K437" i="13"/>
  <c r="A8" i="4" a="1"/>
  <c r="A8" i="3" a="1"/>
  <c r="A8" i="2" a="1"/>
  <c r="A9" i="1" a="1"/>
  <c r="L460" i="13" l="1"/>
  <c r="K458" i="13"/>
  <c r="K459" i="13"/>
  <c r="L433" i="13"/>
  <c r="L616" i="13"/>
  <c r="L468" i="13"/>
  <c r="L654" i="13"/>
  <c r="L461" i="13"/>
  <c r="L463" i="13"/>
  <c r="K463" i="13"/>
  <c r="K616" i="13"/>
  <c r="K433" i="13"/>
  <c r="K434" i="13"/>
  <c r="K467" i="13"/>
  <c r="K687" i="13"/>
  <c r="L455" i="13"/>
  <c r="L467" i="13"/>
  <c r="K849" i="13"/>
  <c r="L434" i="13"/>
  <c r="L687" i="13"/>
  <c r="L849" i="13"/>
  <c r="K461" i="13"/>
  <c r="K466" i="13"/>
  <c r="K465" i="13"/>
  <c r="L465" i="13"/>
  <c r="L436" i="13"/>
  <c r="K436" i="13"/>
  <c r="K460" i="13"/>
  <c r="K462" i="13"/>
  <c r="K468" i="13"/>
  <c r="K654" i="13"/>
  <c r="K457" i="13"/>
  <c r="L466" i="13"/>
  <c r="K456" i="13"/>
  <c r="L459" i="13"/>
  <c r="L457" i="13"/>
  <c r="L458" i="13"/>
  <c r="L456" i="13"/>
  <c r="K455" i="13"/>
  <c r="A9" i="1"/>
  <c r="A8" i="2"/>
  <c r="A8" i="3"/>
  <c r="A8" i="4"/>
  <c r="A10" i="1" a="1"/>
  <c r="A9" i="3" a="1"/>
  <c r="A9" i="2" a="1"/>
  <c r="A9" i="4" a="1"/>
  <c r="A9" i="3" l="1"/>
  <c r="A9" i="4"/>
  <c r="A9" i="2"/>
  <c r="A10" i="1"/>
  <c r="L469" i="13"/>
  <c r="K469" i="13"/>
  <c r="L472" i="13"/>
  <c r="K472" i="13"/>
  <c r="A10" i="4" a="1"/>
  <c r="A10" i="3" a="1"/>
  <c r="A11" i="1" a="1"/>
  <c r="A10" i="2" a="1"/>
  <c r="L378" i="13" l="1"/>
  <c r="L848" i="13"/>
  <c r="L292" i="13"/>
  <c r="L610" i="13"/>
  <c r="L583" i="13"/>
  <c r="L582" i="13"/>
  <c r="K569" i="13"/>
  <c r="K611" i="13"/>
  <c r="K571" i="13"/>
  <c r="L573" i="13"/>
  <c r="K563" i="13"/>
  <c r="K568" i="13"/>
  <c r="L539" i="13"/>
  <c r="K583" i="13"/>
  <c r="L568" i="13"/>
  <c r="K593" i="13"/>
  <c r="L581" i="13"/>
  <c r="K589" i="13"/>
  <c r="K883" i="13"/>
  <c r="K542" i="13"/>
  <c r="L538" i="13"/>
  <c r="L585" i="13"/>
  <c r="K574" i="13"/>
  <c r="K577" i="13"/>
  <c r="J22" i="12"/>
  <c r="K575" i="13"/>
  <c r="K544" i="13"/>
  <c r="L883" i="13"/>
  <c r="K579" i="13"/>
  <c r="K573" i="13"/>
  <c r="L577" i="13"/>
  <c r="L578" i="13"/>
  <c r="K565" i="13"/>
  <c r="L589" i="13"/>
  <c r="K546" i="13"/>
  <c r="L571" i="13"/>
  <c r="L567" i="13"/>
  <c r="L594" i="13"/>
  <c r="L536" i="13"/>
  <c r="L564" i="13"/>
  <c r="L544" i="13"/>
  <c r="K578" i="13"/>
  <c r="K378" i="13"/>
  <c r="L543" i="13"/>
  <c r="K587" i="13"/>
  <c r="K848" i="13"/>
  <c r="J21" i="12"/>
  <c r="I21" i="12"/>
  <c r="K21" i="12" s="1"/>
  <c r="K538" i="13"/>
  <c r="K291" i="13"/>
  <c r="L593" i="13"/>
  <c r="L545" i="13"/>
  <c r="K608" i="13"/>
  <c r="L540" i="13"/>
  <c r="K341" i="13"/>
  <c r="L588" i="13"/>
  <c r="K586" i="13"/>
  <c r="L563" i="13"/>
  <c r="L584" i="13"/>
  <c r="L542" i="13"/>
  <c r="K541" i="13"/>
  <c r="L576" i="13"/>
  <c r="L574" i="13"/>
  <c r="L586" i="13"/>
  <c r="L608" i="13"/>
  <c r="K580" i="13"/>
  <c r="L572" i="13"/>
  <c r="K566" i="13"/>
  <c r="K535" i="13"/>
  <c r="L290" i="13"/>
  <c r="L609" i="13"/>
  <c r="K564" i="13"/>
  <c r="K584" i="13"/>
  <c r="L983" i="13"/>
  <c r="K594" i="13"/>
  <c r="K609" i="13"/>
  <c r="K543" i="13"/>
  <c r="L566" i="13"/>
  <c r="L291" i="13"/>
  <c r="K610" i="13"/>
  <c r="I22" i="12"/>
  <c r="K22" i="12" s="1"/>
  <c r="L575" i="13"/>
  <c r="L546" i="13"/>
  <c r="K539" i="13"/>
  <c r="L587" i="13"/>
  <c r="K576" i="13"/>
  <c r="K567" i="13"/>
  <c r="K540" i="13"/>
  <c r="K536" i="13"/>
  <c r="L341" i="13"/>
  <c r="L537" i="13"/>
  <c r="K545" i="13"/>
  <c r="L570" i="13"/>
  <c r="L611" i="13"/>
  <c r="K582" i="13"/>
  <c r="K290" i="13"/>
  <c r="L535" i="13"/>
  <c r="K292" i="13"/>
  <c r="K882" i="13"/>
  <c r="K570" i="13"/>
  <c r="K588" i="13"/>
  <c r="L569" i="13"/>
  <c r="L541" i="13"/>
  <c r="L579" i="13"/>
  <c r="K537" i="13"/>
  <c r="L565" i="13"/>
  <c r="K585" i="13"/>
  <c r="L580" i="13"/>
  <c r="K572" i="13"/>
  <c r="A11" i="1"/>
  <c r="A10" i="2"/>
  <c r="A10" i="4"/>
  <c r="A10" i="3"/>
  <c r="K983" i="13"/>
  <c r="K581" i="13"/>
  <c r="L882" i="13"/>
  <c r="A12" i="1" a="1"/>
  <c r="A11" i="4" a="1"/>
  <c r="A11" i="3" a="1"/>
  <c r="A11" i="3" l="1"/>
  <c r="A11" i="4"/>
  <c r="A12" i="1"/>
  <c r="K599" i="13" s="1"/>
  <c r="L590" i="13"/>
  <c r="K591" i="13"/>
  <c r="L591" i="13"/>
  <c r="K590" i="13"/>
  <c r="A12" i="4" a="1"/>
  <c r="A12" i="3" a="1"/>
  <c r="A13" i="1" a="1"/>
  <c r="K607" i="13" l="1"/>
  <c r="K653" i="13"/>
  <c r="L615" i="13"/>
  <c r="L599" i="13"/>
  <c r="L603" i="13"/>
  <c r="K614" i="13"/>
  <c r="K605" i="13"/>
  <c r="L602" i="13"/>
  <c r="L600" i="13"/>
  <c r="K598" i="13"/>
  <c r="L613" i="13"/>
  <c r="L596" i="13"/>
  <c r="L614" i="13"/>
  <c r="L607" i="13"/>
  <c r="L981" i="13"/>
  <c r="K613" i="13"/>
  <c r="K615" i="13"/>
  <c r="L653" i="13"/>
  <c r="K601" i="13"/>
  <c r="L605" i="13"/>
  <c r="K981" i="13"/>
  <c r="L606" i="13"/>
  <c r="L592" i="13"/>
  <c r="L597" i="13"/>
  <c r="K600" i="13"/>
  <c r="K606" i="13"/>
  <c r="K602" i="13"/>
  <c r="L935" i="13"/>
  <c r="L601" i="13"/>
  <c r="K596" i="13"/>
  <c r="K592" i="13"/>
  <c r="L604" i="13"/>
  <c r="K604" i="13"/>
  <c r="K935" i="13"/>
  <c r="L598" i="13"/>
  <c r="A13" i="1"/>
  <c r="A12" i="4"/>
  <c r="A12" i="3"/>
  <c r="K597" i="13"/>
  <c r="K603" i="13"/>
  <c r="A14" i="1" a="1"/>
  <c r="A13" i="4" a="1"/>
  <c r="A13" i="3" a="1"/>
  <c r="A13" i="3" l="1"/>
  <c r="A13" i="4"/>
  <c r="A14" i="1"/>
  <c r="L640" i="13" s="1"/>
  <c r="K620" i="13"/>
  <c r="L620" i="13"/>
  <c r="L621" i="13"/>
  <c r="K621" i="13"/>
  <c r="A14" i="4" a="1"/>
  <c r="A15" i="1" a="1"/>
  <c r="A14" i="3" a="1"/>
  <c r="K631" i="13" l="1"/>
  <c r="L636" i="13"/>
  <c r="J23" i="12"/>
  <c r="L644" i="13"/>
  <c r="K627" i="13"/>
  <c r="K659" i="13"/>
  <c r="K634" i="13"/>
  <c r="L650" i="13"/>
  <c r="L632" i="13"/>
  <c r="K640" i="13"/>
  <c r="L646" i="13"/>
  <c r="K658" i="13"/>
  <c r="K650" i="13"/>
  <c r="L633" i="13"/>
  <c r="K626" i="13"/>
  <c r="K662" i="13"/>
  <c r="L651" i="13"/>
  <c r="L635" i="13"/>
  <c r="K636" i="13"/>
  <c r="K632" i="13"/>
  <c r="J24" i="12"/>
  <c r="K638" i="13"/>
  <c r="L639" i="13"/>
  <c r="L409" i="13"/>
  <c r="K629" i="13"/>
  <c r="K644" i="13"/>
  <c r="I24" i="12"/>
  <c r="K24" i="12" s="1"/>
  <c r="L641" i="13"/>
  <c r="L625" i="13"/>
  <c r="L380" i="13"/>
  <c r="K657" i="13"/>
  <c r="L662" i="13"/>
  <c r="K648" i="13"/>
  <c r="L637" i="13"/>
  <c r="K646" i="13"/>
  <c r="K624" i="13"/>
  <c r="L629" i="13"/>
  <c r="K635" i="13"/>
  <c r="K625" i="13"/>
  <c r="K637" i="13"/>
  <c r="K651" i="13"/>
  <c r="K647" i="13"/>
  <c r="K641" i="13"/>
  <c r="K630" i="13"/>
  <c r="L627" i="13"/>
  <c r="K639" i="13"/>
  <c r="L642" i="13"/>
  <c r="L628" i="13"/>
  <c r="L649" i="13"/>
  <c r="L656" i="13"/>
  <c r="K380" i="13"/>
  <c r="L657" i="13"/>
  <c r="K642" i="13"/>
  <c r="I23" i="12"/>
  <c r="K23" i="12" s="1"/>
  <c r="L663" i="13"/>
  <c r="L664" i="13"/>
  <c r="L624" i="13"/>
  <c r="K656" i="13"/>
  <c r="K645" i="13"/>
  <c r="K633" i="13"/>
  <c r="L638" i="13"/>
  <c r="K664" i="13"/>
  <c r="L630" i="13"/>
  <c r="K643" i="13"/>
  <c r="L658" i="13"/>
  <c r="K649" i="13"/>
  <c r="L643" i="13"/>
  <c r="L645" i="13"/>
  <c r="K409" i="13"/>
  <c r="K663" i="13"/>
  <c r="L626" i="13"/>
  <c r="L659" i="13"/>
  <c r="L634" i="13"/>
  <c r="L648" i="13"/>
  <c r="K628" i="13"/>
  <c r="L647" i="13"/>
  <c r="L631" i="13"/>
  <c r="A15" i="1"/>
  <c r="A14" i="4"/>
  <c r="A14" i="3"/>
  <c r="A16" i="1" a="1"/>
  <c r="A15" i="4" a="1"/>
  <c r="A15" i="3" a="1"/>
  <c r="A15" i="3" l="1"/>
  <c r="A15" i="4"/>
  <c r="A16" i="1"/>
  <c r="A16" i="3" a="1"/>
  <c r="A17" i="1" a="1"/>
  <c r="A16" i="4" a="1"/>
  <c r="A17" i="1" l="1"/>
  <c r="A16" i="4"/>
  <c r="A16" i="3"/>
  <c r="A18" i="1" a="1"/>
  <c r="A17" i="4" a="1"/>
  <c r="A17" i="3" a="1"/>
  <c r="A17" i="3" l="1"/>
  <c r="A17" i="4"/>
  <c r="A18" i="1"/>
  <c r="A18" i="3" a="1"/>
  <c r="A18" i="4" a="1"/>
  <c r="A19" i="1" a="1"/>
  <c r="A19" i="1" l="1"/>
  <c r="A18" i="4"/>
  <c r="A18" i="3"/>
  <c r="A20" i="1" a="1"/>
  <c r="A20" i="3" a="1"/>
  <c r="A19" i="4" a="1"/>
  <c r="A20" i="3" l="1"/>
  <c r="A19" i="4"/>
  <c r="A20" i="1"/>
  <c r="A20" i="4" a="1"/>
  <c r="A21" i="1" a="1"/>
  <c r="A21" i="1" l="1"/>
  <c r="A20" i="4"/>
  <c r="A22" i="1" a="1"/>
  <c r="A21" i="4" a="1"/>
  <c r="A21" i="4" l="1"/>
  <c r="A22" i="1"/>
  <c r="A23" i="1" a="1"/>
  <c r="A22" i="4" a="1"/>
  <c r="A23" i="1" l="1"/>
  <c r="A22" i="4"/>
  <c r="A24" i="1" a="1"/>
  <c r="A23" i="4" a="1"/>
  <c r="A23" i="4" l="1"/>
  <c r="A24" i="1"/>
  <c r="A24" i="4" a="1"/>
  <c r="A25" i="1" a="1"/>
  <c r="A25" i="1" l="1"/>
  <c r="A24" i="4"/>
  <c r="A25" i="4" a="1"/>
  <c r="A26" i="1" a="1"/>
  <c r="A25" i="4" l="1"/>
  <c r="A26" i="1"/>
  <c r="A26" i="4" a="1"/>
  <c r="A27" i="1" a="1"/>
  <c r="A27" i="1" l="1"/>
  <c r="A26" i="4"/>
  <c r="A28" i="1" a="1"/>
  <c r="A27" i="4" a="1"/>
  <c r="A27" i="4" l="1"/>
  <c r="A28" i="1"/>
  <c r="A28" i="4" a="1"/>
  <c r="A29" i="1" a="1"/>
  <c r="A29" i="1" l="1"/>
  <c r="A28" i="4"/>
  <c r="A30" i="1" a="1"/>
  <c r="A29" i="4" a="1"/>
  <c r="A29" i="4" l="1"/>
  <c r="A30" i="1"/>
  <c r="A30" i="4" a="1"/>
  <c r="A31" i="1" a="1"/>
  <c r="A31" i="1" l="1"/>
  <c r="A30" i="4"/>
  <c r="A32" i="1" a="1"/>
  <c r="A31" i="4" a="1"/>
  <c r="A31" i="4" l="1"/>
  <c r="A32" i="1"/>
  <c r="A32" i="4" a="1"/>
  <c r="A33" i="1" a="1"/>
  <c r="A33" i="1" l="1"/>
  <c r="A32" i="4"/>
  <c r="A34" i="1" a="1"/>
  <c r="A33" i="4" a="1"/>
  <c r="A33" i="4" l="1"/>
  <c r="A34" i="1"/>
  <c r="A34" i="4" a="1"/>
  <c r="A35" i="1" a="1"/>
  <c r="A35" i="1" l="1"/>
  <c r="A34" i="4"/>
  <c r="A36" i="1" a="1"/>
  <c r="A35" i="4" a="1"/>
  <c r="A35" i="4" l="1"/>
  <c r="A36" i="1"/>
  <c r="A36" i="4" a="1"/>
  <c r="A37" i="1" a="1"/>
  <c r="A37" i="1" l="1"/>
  <c r="A36" i="4"/>
  <c r="A38" i="1" a="1"/>
  <c r="A37" i="4" a="1"/>
  <c r="A37" i="4" l="1"/>
  <c r="A38" i="1"/>
  <c r="A38" i="4" a="1"/>
  <c r="A39" i="1" a="1"/>
  <c r="A39" i="1" l="1"/>
  <c r="A38" i="4"/>
  <c r="A40" i="1" a="1"/>
  <c r="A39" i="4" a="1"/>
  <c r="A39" i="4" l="1"/>
  <c r="A40" i="1"/>
  <c r="A40" i="4" a="1"/>
  <c r="A41" i="1" a="1"/>
  <c r="A41" i="1" l="1"/>
  <c r="A40" i="4"/>
  <c r="A42" i="1" a="1"/>
  <c r="A41" i="4" a="1"/>
  <c r="A41" i="4" l="1"/>
  <c r="A42" i="1"/>
  <c r="A43" i="1" a="1"/>
  <c r="A43" i="1" l="1"/>
  <c r="A44" i="1" a="1"/>
  <c r="A44" i="1" l="1"/>
  <c r="A45" i="1" a="1"/>
  <c r="A45" i="1" l="1"/>
  <c r="K1107" i="13" l="1"/>
  <c r="L1107" i="13"/>
  <c r="K1106" i="13"/>
  <c r="L1106" i="13"/>
  <c r="K1105" i="13"/>
  <c r="L1105" i="13"/>
  <c r="K1104" i="13"/>
  <c r="L1104" i="13"/>
  <c r="K1103" i="13"/>
  <c r="L1103" i="13"/>
  <c r="K1102" i="13"/>
  <c r="L1102" i="13"/>
  <c r="L1101" i="13"/>
  <c r="K1101" i="13"/>
  <c r="L1100" i="13"/>
  <c r="K1100" i="13"/>
  <c r="K1099" i="13"/>
  <c r="L1099" i="13"/>
  <c r="K1093" i="13"/>
  <c r="L1092" i="13"/>
  <c r="L1090" i="13"/>
  <c r="L1093" i="13"/>
  <c r="L1094" i="13"/>
  <c r="K1098" i="13"/>
  <c r="K1097" i="13"/>
  <c r="L1091" i="13"/>
  <c r="L1095" i="13"/>
  <c r="K1090" i="13"/>
  <c r="K1092" i="13"/>
  <c r="K1091" i="13"/>
  <c r="L1096" i="13"/>
  <c r="L1098" i="13"/>
  <c r="K1096" i="13"/>
  <c r="K1095" i="13"/>
  <c r="K1094" i="13"/>
  <c r="L1097" i="13"/>
  <c r="K839" i="13"/>
  <c r="L844" i="13"/>
  <c r="K1042" i="13"/>
  <c r="K949" i="13"/>
  <c r="L741" i="13"/>
  <c r="K819" i="13"/>
  <c r="L730" i="13"/>
  <c r="L1016" i="13"/>
  <c r="K759" i="13"/>
  <c r="K739" i="13"/>
  <c r="L979" i="13"/>
  <c r="K1048" i="13"/>
  <c r="K829" i="13"/>
  <c r="K1028" i="13"/>
  <c r="K1076" i="13"/>
  <c r="K878" i="13"/>
  <c r="L413" i="13"/>
  <c r="K1029" i="13"/>
  <c r="K924" i="13"/>
  <c r="L797" i="13"/>
  <c r="K1049" i="13"/>
  <c r="L973" i="13"/>
  <c r="L1069" i="13"/>
  <c r="K860" i="13"/>
  <c r="L1015" i="13"/>
  <c r="L938" i="13"/>
  <c r="L1014" i="13"/>
  <c r="L976" i="13"/>
  <c r="K944" i="13"/>
  <c r="L1063" i="13"/>
  <c r="L694" i="13"/>
  <c r="L1068" i="13"/>
  <c r="K752" i="13"/>
  <c r="K911" i="13"/>
  <c r="L685" i="13"/>
  <c r="L757" i="13"/>
  <c r="L1079" i="13"/>
  <c r="L710" i="13"/>
  <c r="L1045" i="13"/>
  <c r="L824" i="13"/>
  <c r="K1031" i="13"/>
  <c r="L1055" i="13"/>
  <c r="L1017" i="13"/>
  <c r="L905" i="13"/>
  <c r="K813" i="13"/>
  <c r="K795" i="13"/>
  <c r="L798" i="13"/>
  <c r="K1089" i="13"/>
  <c r="K762" i="13"/>
  <c r="L1078" i="13"/>
  <c r="L1005" i="13"/>
  <c r="L698" i="13"/>
  <c r="K454" i="13"/>
  <c r="L819" i="13"/>
  <c r="L700" i="13"/>
  <c r="L818" i="13"/>
  <c r="L1035" i="13"/>
  <c r="K916" i="13"/>
  <c r="K914" i="13"/>
  <c r="L960" i="13"/>
  <c r="K957" i="13"/>
  <c r="L1082" i="13"/>
  <c r="K806" i="13"/>
  <c r="K894" i="13"/>
  <c r="K1069" i="13"/>
  <c r="L1036" i="13"/>
  <c r="L794" i="13"/>
  <c r="K1083" i="13"/>
  <c r="K862" i="13"/>
  <c r="L739" i="13"/>
  <c r="K730" i="13"/>
  <c r="K961" i="13"/>
  <c r="K701" i="13"/>
  <c r="K1039" i="13"/>
  <c r="L933" i="13"/>
  <c r="K622" i="13"/>
  <c r="L959" i="13"/>
  <c r="L1012" i="13"/>
  <c r="K988" i="13"/>
  <c r="K950" i="13"/>
  <c r="K838" i="13"/>
  <c r="L1028" i="13"/>
  <c r="K764" i="13"/>
  <c r="L975" i="13"/>
  <c r="K939" i="13"/>
  <c r="I35" i="12"/>
  <c r="K35" i="12" s="1"/>
  <c r="L954" i="13"/>
  <c r="L842" i="13"/>
  <c r="L950" i="13"/>
  <c r="K758" i="13"/>
  <c r="L749" i="13"/>
  <c r="L909" i="13"/>
  <c r="L898" i="13"/>
  <c r="K1004" i="13"/>
  <c r="L709" i="13"/>
  <c r="K799" i="13"/>
  <c r="L827" i="13"/>
  <c r="L454" i="13"/>
  <c r="K861" i="13"/>
  <c r="L839" i="13"/>
  <c r="L972" i="13"/>
  <c r="K960" i="13"/>
  <c r="K811" i="13"/>
  <c r="K1002" i="13"/>
  <c r="L953" i="13"/>
  <c r="L690" i="13"/>
  <c r="K440" i="13"/>
  <c r="L1038" i="13"/>
  <c r="L1000" i="13"/>
  <c r="K822" i="13"/>
  <c r="I33" i="12"/>
  <c r="K33" i="12" s="1"/>
  <c r="L782" i="13"/>
  <c r="L691" i="13"/>
  <c r="L969" i="13"/>
  <c r="K868" i="13"/>
  <c r="L786" i="13"/>
  <c r="L1018" i="13"/>
  <c r="L869" i="13"/>
  <c r="K1044" i="13"/>
  <c r="K874" i="13"/>
  <c r="K1067" i="13"/>
  <c r="L703" i="13"/>
  <c r="L922" i="13"/>
  <c r="L876" i="13"/>
  <c r="L955" i="13"/>
  <c r="L1049" i="13"/>
  <c r="I37" i="12"/>
  <c r="K37" i="12" s="1"/>
  <c r="J34" i="12"/>
  <c r="K1032" i="13"/>
  <c r="I34" i="12"/>
  <c r="K34" i="12" s="1"/>
  <c r="K697" i="13"/>
  <c r="L999" i="13"/>
  <c r="K979" i="13"/>
  <c r="L931" i="13"/>
  <c r="K952" i="13"/>
  <c r="K891" i="13"/>
  <c r="K770" i="13"/>
  <c r="K821" i="13"/>
  <c r="L1084" i="13"/>
  <c r="L668" i="13"/>
  <c r="L951" i="13"/>
  <c r="J38" i="12"/>
  <c r="K743" i="13"/>
  <c r="K791" i="13"/>
  <c r="K746" i="13"/>
  <c r="L817" i="13"/>
  <c r="K840" i="13"/>
  <c r="K904" i="13"/>
  <c r="L762" i="13"/>
  <c r="K999" i="13"/>
  <c r="L884" i="13"/>
  <c r="K801" i="13"/>
  <c r="L752" i="13"/>
  <c r="K876" i="13"/>
  <c r="K751" i="13"/>
  <c r="L1074" i="13"/>
  <c r="L967" i="13"/>
  <c r="K1038" i="13"/>
  <c r="L1025" i="13"/>
  <c r="L714" i="13"/>
  <c r="K820" i="13"/>
  <c r="L926" i="13"/>
  <c r="K803" i="13"/>
  <c r="K997" i="13"/>
  <c r="L1088" i="13"/>
  <c r="L834" i="13"/>
  <c r="K1050" i="13"/>
  <c r="K680" i="13"/>
  <c r="K902" i="13"/>
  <c r="L711" i="13"/>
  <c r="L799" i="13"/>
  <c r="K920" i="13"/>
  <c r="L792" i="13"/>
  <c r="L952" i="13"/>
  <c r="K962" i="13"/>
  <c r="K1079" i="13"/>
  <c r="K1036" i="13"/>
  <c r="K779" i="13"/>
  <c r="K986" i="13"/>
  <c r="K695" i="13"/>
  <c r="K899" i="13"/>
  <c r="K928" i="13"/>
  <c r="L808" i="13"/>
  <c r="J29" i="12"/>
  <c r="L989" i="13"/>
  <c r="L759" i="13"/>
  <c r="K807" i="13"/>
  <c r="L1041" i="13"/>
  <c r="K1009" i="13"/>
  <c r="L1072" i="13"/>
  <c r="K1052" i="13"/>
  <c r="K804" i="13"/>
  <c r="K956" i="13"/>
  <c r="K985" i="13"/>
  <c r="K1086" i="13"/>
  <c r="K932" i="13"/>
  <c r="K768" i="13"/>
  <c r="K669" i="13"/>
  <c r="K907" i="13"/>
  <c r="L670" i="13"/>
  <c r="L944" i="13"/>
  <c r="J37" i="12"/>
  <c r="K673" i="13"/>
  <c r="L894" i="13"/>
  <c r="L891" i="13"/>
  <c r="K698" i="13"/>
  <c r="K832" i="13"/>
  <c r="K823" i="13"/>
  <c r="L964" i="13"/>
  <c r="K1015" i="13"/>
  <c r="K785" i="13"/>
  <c r="L743" i="13"/>
  <c r="K993" i="13"/>
  <c r="K798" i="13"/>
  <c r="K994" i="13"/>
  <c r="K745" i="13"/>
  <c r="K1010" i="13"/>
  <c r="K877" i="13"/>
  <c r="L1057" i="13"/>
  <c r="L810" i="13"/>
  <c r="L887" i="13"/>
  <c r="K866" i="13"/>
  <c r="K854" i="13"/>
  <c r="L980" i="13"/>
  <c r="K715" i="13"/>
  <c r="L1013" i="13"/>
  <c r="I27" i="12"/>
  <c r="K27" i="12" s="1"/>
  <c r="L930" i="13"/>
  <c r="L1056" i="13"/>
  <c r="K781" i="13"/>
  <c r="K1014" i="13"/>
  <c r="K1006" i="13"/>
  <c r="L744" i="13"/>
  <c r="L832" i="13"/>
  <c r="K1055" i="13"/>
  <c r="L717" i="13"/>
  <c r="K1066" i="13"/>
  <c r="K974" i="13"/>
  <c r="L974" i="13"/>
  <c r="K989" i="13"/>
  <c r="K825" i="13"/>
  <c r="L899" i="13"/>
  <c r="L675" i="13"/>
  <c r="L901" i="13"/>
  <c r="L1064" i="13"/>
  <c r="L681" i="13"/>
  <c r="L911" i="13"/>
  <c r="K929" i="13"/>
  <c r="K688" i="13"/>
  <c r="L878" i="13"/>
  <c r="K1034" i="13"/>
  <c r="K709" i="13"/>
  <c r="L860" i="13"/>
  <c r="K1068" i="13"/>
  <c r="K995" i="13"/>
  <c r="L1067" i="13"/>
  <c r="K796" i="13"/>
  <c r="K1088" i="13"/>
  <c r="L1052" i="13"/>
  <c r="L833" i="13"/>
  <c r="K501" i="13"/>
  <c r="K1058" i="13"/>
  <c r="L830" i="13"/>
  <c r="K824" i="13"/>
  <c r="K747" i="13"/>
  <c r="L1024" i="13"/>
  <c r="K845" i="13"/>
  <c r="L1058" i="13"/>
  <c r="L865" i="13"/>
  <c r="L747" i="13"/>
  <c r="L595" i="13"/>
  <c r="K1007" i="13"/>
  <c r="K753" i="13"/>
  <c r="K731" i="13"/>
  <c r="L859" i="13"/>
  <c r="L1066" i="13"/>
  <c r="L958" i="13"/>
  <c r="L768" i="13"/>
  <c r="L1042" i="13"/>
  <c r="K936" i="13"/>
  <c r="K1023" i="13"/>
  <c r="K922" i="13"/>
  <c r="K413" i="13"/>
  <c r="L1077" i="13"/>
  <c r="K970" i="13"/>
  <c r="K802" i="13"/>
  <c r="K837" i="13"/>
  <c r="K707" i="13"/>
  <c r="K778" i="13"/>
  <c r="K844" i="13"/>
  <c r="K732" i="13"/>
  <c r="L1053" i="13"/>
  <c r="L727" i="13"/>
  <c r="K1059" i="13"/>
  <c r="L679" i="13"/>
  <c r="L932" i="13"/>
  <c r="L1061" i="13"/>
  <c r="L923" i="13"/>
  <c r="K869" i="13"/>
  <c r="L1004" i="13"/>
  <c r="L1031" i="13"/>
  <c r="K1073" i="13"/>
  <c r="K800" i="13"/>
  <c r="L1087" i="13"/>
  <c r="L987" i="13"/>
  <c r="K827" i="13"/>
  <c r="L1019" i="13"/>
  <c r="L821" i="13"/>
  <c r="I30" i="12"/>
  <c r="K30" i="12" s="1"/>
  <c r="L1029" i="13"/>
  <c r="K708" i="13"/>
  <c r="K729" i="13"/>
  <c r="L957" i="13"/>
  <c r="K1071" i="13"/>
  <c r="L929" i="13"/>
  <c r="L946" i="13"/>
  <c r="K689" i="13"/>
  <c r="L802" i="13"/>
  <c r="L1040" i="13"/>
  <c r="K972" i="13"/>
  <c r="L742" i="13"/>
  <c r="L986" i="13"/>
  <c r="K973" i="13"/>
  <c r="I32" i="12"/>
  <c r="K32" i="12" s="1"/>
  <c r="L804" i="13"/>
  <c r="K955" i="13"/>
  <c r="I28" i="12"/>
  <c r="K28" i="12" s="1"/>
  <c r="L760" i="13"/>
  <c r="K888" i="13"/>
  <c r="L1062" i="13"/>
  <c r="L940" i="13"/>
  <c r="L985" i="13"/>
  <c r="K1064" i="13"/>
  <c r="K971" i="13"/>
  <c r="L984" i="13"/>
  <c r="K953" i="13"/>
  <c r="L990" i="13"/>
  <c r="L506" i="13"/>
  <c r="L837" i="13"/>
  <c r="L823" i="13"/>
  <c r="K984" i="13"/>
  <c r="L1002" i="13"/>
  <c r="L1047" i="13"/>
  <c r="L1060" i="13"/>
  <c r="L770" i="13"/>
  <c r="K1033" i="13"/>
  <c r="L669" i="13"/>
  <c r="K903" i="13"/>
  <c r="K884" i="13"/>
  <c r="L897" i="13"/>
  <c r="L448" i="13"/>
  <c r="K1011" i="13"/>
  <c r="L473" i="13"/>
  <c r="L1070" i="13"/>
  <c r="L1003" i="13"/>
  <c r="K927" i="13"/>
  <c r="K767" i="13"/>
  <c r="L1009" i="13"/>
  <c r="L908" i="13"/>
  <c r="L921" i="13"/>
  <c r="K724" i="13"/>
  <c r="K976" i="13"/>
  <c r="K998" i="13"/>
  <c r="K675" i="13"/>
  <c r="K1065" i="13"/>
  <c r="J35" i="12"/>
  <c r="L1001" i="13"/>
  <c r="K693" i="13"/>
  <c r="K1013" i="13"/>
  <c r="K946" i="13"/>
  <c r="L682" i="13"/>
  <c r="L971" i="13"/>
  <c r="L795" i="13"/>
  <c r="K913" i="13"/>
  <c r="K1012" i="13"/>
  <c r="L695" i="13"/>
  <c r="L712" i="13"/>
  <c r="L934" i="13"/>
  <c r="K833" i="13"/>
  <c r="L846" i="13"/>
  <c r="L843" i="13"/>
  <c r="L1051" i="13"/>
  <c r="K668" i="13"/>
  <c r="L707" i="13"/>
  <c r="L877" i="13"/>
  <c r="L872" i="13"/>
  <c r="K921" i="13"/>
  <c r="L765" i="13"/>
  <c r="K831" i="13"/>
  <c r="I25" i="12"/>
  <c r="K25" i="12" s="1"/>
  <c r="K1051" i="13"/>
  <c r="L943" i="13"/>
  <c r="K1080" i="13"/>
  <c r="L696" i="13"/>
  <c r="K943" i="13"/>
  <c r="L961" i="13"/>
  <c r="K1043" i="13"/>
  <c r="K940" i="13"/>
  <c r="L1022" i="13"/>
  <c r="K1084" i="13"/>
  <c r="L796" i="13"/>
  <c r="K595" i="13"/>
  <c r="K719" i="13"/>
  <c r="K700" i="13"/>
  <c r="L1076" i="13"/>
  <c r="L753" i="13"/>
  <c r="K782" i="13"/>
  <c r="L791" i="13"/>
  <c r="I29" i="12"/>
  <c r="K29" i="12" s="1"/>
  <c r="K1041" i="13"/>
  <c r="K905" i="13"/>
  <c r="K1061" i="13"/>
  <c r="K937" i="13"/>
  <c r="L854" i="13"/>
  <c r="K1005" i="13"/>
  <c r="K682" i="13"/>
  <c r="L978" i="13"/>
  <c r="K727" i="13"/>
  <c r="L886" i="13"/>
  <c r="L442" i="13"/>
  <c r="K908" i="13"/>
  <c r="L1080" i="13"/>
  <c r="K947" i="13"/>
  <c r="K690" i="13"/>
  <c r="L771" i="13"/>
  <c r="L793" i="13"/>
  <c r="K1057" i="13"/>
  <c r="K769" i="13"/>
  <c r="K754" i="13"/>
  <c r="K1074" i="13"/>
  <c r="K886" i="13"/>
  <c r="L988" i="13"/>
  <c r="K1085" i="13"/>
  <c r="L892" i="13"/>
  <c r="K965" i="13"/>
  <c r="L755" i="13"/>
  <c r="L947" i="13"/>
  <c r="L1032" i="13"/>
  <c r="K756" i="13"/>
  <c r="L738" i="13"/>
  <c r="L998" i="13"/>
  <c r="K1075" i="13"/>
  <c r="L868" i="13"/>
  <c r="L948" i="13"/>
  <c r="K1024" i="13"/>
  <c r="K1082" i="13"/>
  <c r="L895" i="13"/>
  <c r="K1003" i="13"/>
  <c r="K836" i="13"/>
  <c r="K660" i="13"/>
  <c r="L826" i="13"/>
  <c r="L756" i="13"/>
  <c r="L825" i="13"/>
  <c r="L800" i="13"/>
  <c r="K728" i="13"/>
  <c r="K978" i="13"/>
  <c r="L767" i="13"/>
  <c r="K847" i="13"/>
  <c r="L805" i="13"/>
  <c r="L672" i="13"/>
  <c r="K834" i="13"/>
  <c r="L701" i="13"/>
  <c r="L968" i="13"/>
  <c r="K679" i="13"/>
  <c r="L807" i="13"/>
  <c r="K867" i="13"/>
  <c r="K887" i="13"/>
  <c r="L956" i="13"/>
  <c r="L995" i="13"/>
  <c r="K945" i="13"/>
  <c r="L716" i="13"/>
  <c r="K881" i="13"/>
  <c r="L779" i="13"/>
  <c r="L699" i="13"/>
  <c r="K686" i="13"/>
  <c r="K964" i="13"/>
  <c r="L689" i="13"/>
  <c r="J28" i="12"/>
  <c r="K1056" i="13"/>
  <c r="L864" i="13"/>
  <c r="K1019" i="13"/>
  <c r="K1016" i="13"/>
  <c r="L764" i="13"/>
  <c r="L692" i="13"/>
  <c r="K667" i="13"/>
  <c r="K692" i="13"/>
  <c r="L870" i="13"/>
  <c r="L732" i="13"/>
  <c r="L945" i="13"/>
  <c r="J32" i="12"/>
  <c r="L780" i="13"/>
  <c r="K872" i="13"/>
  <c r="J31" i="12"/>
  <c r="K808" i="13"/>
  <c r="K1020" i="13"/>
  <c r="K670" i="13"/>
  <c r="L501" i="13"/>
  <c r="L724" i="13"/>
  <c r="L977" i="13"/>
  <c r="L811" i="13"/>
  <c r="L992" i="13"/>
  <c r="K1062" i="13"/>
  <c r="L937" i="13"/>
  <c r="K990" i="13"/>
  <c r="L902" i="13"/>
  <c r="K765" i="13"/>
  <c r="K763" i="13"/>
  <c r="L829" i="13"/>
  <c r="K919" i="13"/>
  <c r="J26" i="12"/>
  <c r="L806" i="13"/>
  <c r="K792" i="13"/>
  <c r="I26" i="12"/>
  <c r="K26" i="12" s="1"/>
  <c r="K712" i="13"/>
  <c r="I38" i="12"/>
  <c r="K38" i="12" s="1"/>
  <c r="K1070" i="13"/>
  <c r="K948" i="13"/>
  <c r="K1008" i="13"/>
  <c r="L822" i="13"/>
  <c r="K710" i="13"/>
  <c r="K773" i="13"/>
  <c r="K442" i="13"/>
  <c r="K931" i="13"/>
  <c r="L928" i="13"/>
  <c r="L534" i="13"/>
  <c r="L1021" i="13"/>
  <c r="K1026" i="13"/>
  <c r="L718" i="13"/>
  <c r="K794" i="13"/>
  <c r="L924" i="13"/>
  <c r="L725" i="13"/>
  <c r="L890" i="13"/>
  <c r="L745" i="13"/>
  <c r="K702" i="13"/>
  <c r="L838" i="13"/>
  <c r="L1027" i="13"/>
  <c r="K992" i="13"/>
  <c r="L875" i="13"/>
  <c r="L667" i="13"/>
  <c r="L723" i="13"/>
  <c r="K1046" i="13"/>
  <c r="K977" i="13"/>
  <c r="K744" i="13"/>
  <c r="L740" i="13"/>
  <c r="K1087" i="13"/>
  <c r="K720" i="13"/>
  <c r="K818" i="13"/>
  <c r="L965" i="13"/>
  <c r="L880" i="13"/>
  <c r="K780" i="13"/>
  <c r="L686" i="13"/>
  <c r="K906" i="13"/>
  <c r="K699" i="13"/>
  <c r="L919" i="13"/>
  <c r="L671" i="13"/>
  <c r="K757" i="13"/>
  <c r="K938" i="13"/>
  <c r="K846" i="13"/>
  <c r="L754" i="13"/>
  <c r="K810" i="13"/>
  <c r="K968" i="13"/>
  <c r="K909" i="13"/>
  <c r="K871" i="13"/>
  <c r="L910" i="13"/>
  <c r="L702" i="13"/>
  <c r="J30" i="12"/>
  <c r="K828" i="13"/>
  <c r="K683" i="13"/>
  <c r="K897" i="13"/>
  <c r="K685" i="13"/>
  <c r="L913" i="13"/>
  <c r="L1026" i="13"/>
  <c r="K1078" i="13"/>
  <c r="K895" i="13"/>
  <c r="L831" i="13"/>
  <c r="K741" i="13"/>
  <c r="L1007" i="13"/>
  <c r="L1086" i="13"/>
  <c r="L673" i="13"/>
  <c r="K1027" i="13"/>
  <c r="L914" i="13"/>
  <c r="K958" i="13"/>
  <c r="K793" i="13"/>
  <c r="K850" i="13"/>
  <c r="K812" i="13"/>
  <c r="L1020" i="13"/>
  <c r="L763" i="13"/>
  <c r="K980" i="13"/>
  <c r="K865" i="13"/>
  <c r="K1000" i="13"/>
  <c r="L688" i="13"/>
  <c r="K760" i="13"/>
  <c r="K506" i="13"/>
  <c r="L705" i="13"/>
  <c r="K1035" i="13"/>
  <c r="K755" i="13"/>
  <c r="L840" i="13"/>
  <c r="L1034" i="13"/>
  <c r="L778" i="13"/>
  <c r="K930" i="13"/>
  <c r="L1006" i="13"/>
  <c r="K915" i="13"/>
  <c r="K890" i="13"/>
  <c r="L660" i="13"/>
  <c r="K1017" i="13"/>
  <c r="L751" i="13"/>
  <c r="K951" i="13"/>
  <c r="K853" i="13"/>
  <c r="K969" i="13"/>
  <c r="K1018" i="13"/>
  <c r="L1023" i="13"/>
  <c r="K696" i="13"/>
  <c r="K896" i="13"/>
  <c r="L916" i="13"/>
  <c r="L920" i="13"/>
  <c r="L731" i="13"/>
  <c r="L893" i="13"/>
  <c r="K910" i="13"/>
  <c r="K852" i="13"/>
  <c r="L915" i="13"/>
  <c r="K723" i="13"/>
  <c r="K1077" i="13"/>
  <c r="L861" i="13"/>
  <c r="K1054" i="13"/>
  <c r="K959" i="13"/>
  <c r="K975" i="13"/>
  <c r="L683" i="13"/>
  <c r="K718" i="13"/>
  <c r="K716" i="13"/>
  <c r="K1001" i="13"/>
  <c r="L697" i="13"/>
  <c r="L773" i="13"/>
  <c r="L939" i="13"/>
  <c r="L867" i="13"/>
  <c r="I36" i="12"/>
  <c r="K36" i="12" s="1"/>
  <c r="L1071" i="13"/>
  <c r="L715" i="13"/>
  <c r="K967" i="13"/>
  <c r="L847" i="13"/>
  <c r="K473" i="13"/>
  <c r="K991" i="13"/>
  <c r="L622" i="13"/>
  <c r="K797" i="13"/>
  <c r="K534" i="13"/>
  <c r="L888" i="13"/>
  <c r="K954" i="13"/>
  <c r="K711" i="13"/>
  <c r="K725" i="13"/>
  <c r="L781" i="13"/>
  <c r="L963" i="13"/>
  <c r="L758" i="13"/>
  <c r="L881" i="13"/>
  <c r="K717" i="13"/>
  <c r="K873" i="13"/>
  <c r="K1063" i="13"/>
  <c r="L1075" i="13"/>
  <c r="L850" i="13"/>
  <c r="K671" i="13"/>
  <c r="L440" i="13"/>
  <c r="L1081" i="13"/>
  <c r="K786" i="13"/>
  <c r="K1053" i="13"/>
  <c r="K1040" i="13"/>
  <c r="K738" i="13"/>
  <c r="L708" i="13"/>
  <c r="L836" i="13"/>
  <c r="K880" i="13"/>
  <c r="L684" i="13"/>
  <c r="L966" i="13"/>
  <c r="L693" i="13"/>
  <c r="J27" i="12"/>
  <c r="L1050" i="13"/>
  <c r="L1044" i="13"/>
  <c r="J33" i="12"/>
  <c r="K805" i="13"/>
  <c r="L1008" i="13"/>
  <c r="K749" i="13"/>
  <c r="K925" i="13"/>
  <c r="L1059" i="13"/>
  <c r="K771" i="13"/>
  <c r="K826" i="13"/>
  <c r="L997" i="13"/>
  <c r="L680" i="13"/>
  <c r="L772" i="13"/>
  <c r="K923" i="13"/>
  <c r="L949" i="13"/>
  <c r="K740" i="13"/>
  <c r="L1039" i="13"/>
  <c r="K966" i="13"/>
  <c r="L993" i="13"/>
  <c r="K830" i="13"/>
  <c r="L936" i="13"/>
  <c r="K742" i="13"/>
  <c r="L862" i="13"/>
  <c r="L801" i="13"/>
  <c r="K1045" i="13"/>
  <c r="L835" i="13"/>
  <c r="K987" i="13"/>
  <c r="K661" i="13"/>
  <c r="K996" i="13"/>
  <c r="L866" i="13"/>
  <c r="L991" i="13"/>
  <c r="L874" i="13"/>
  <c r="K842" i="13"/>
  <c r="K672" i="13"/>
  <c r="K892" i="13"/>
  <c r="K870" i="13"/>
  <c r="K933" i="13"/>
  <c r="L907" i="13"/>
  <c r="L1046" i="13"/>
  <c r="L828" i="13"/>
  <c r="L873" i="13"/>
  <c r="L813" i="13"/>
  <c r="K817" i="13"/>
  <c r="L845" i="13"/>
  <c r="L812" i="13"/>
  <c r="I31" i="12"/>
  <c r="K31" i="12" s="1"/>
  <c r="L1065" i="13"/>
  <c r="K893" i="13"/>
  <c r="L903" i="13"/>
  <c r="K864" i="13"/>
  <c r="K875" i="13"/>
  <c r="J25" i="12"/>
  <c r="L853" i="13"/>
  <c r="K1022" i="13"/>
  <c r="L927" i="13"/>
  <c r="L925" i="13"/>
  <c r="K859" i="13"/>
  <c r="L803" i="13"/>
  <c r="L871" i="13"/>
  <c r="K1081" i="13"/>
  <c r="K1060" i="13"/>
  <c r="K694" i="13"/>
  <c r="K835" i="13"/>
  <c r="K898" i="13"/>
  <c r="L904" i="13"/>
  <c r="K900" i="13"/>
  <c r="L962" i="13"/>
  <c r="L769" i="13"/>
  <c r="L820" i="13"/>
  <c r="K448" i="13"/>
  <c r="K772" i="13"/>
  <c r="K1072" i="13"/>
  <c r="L785" i="13"/>
  <c r="L906" i="13"/>
  <c r="K934" i="13"/>
  <c r="L900" i="13"/>
  <c r="L1043" i="13"/>
  <c r="K681" i="13"/>
  <c r="J36" i="12"/>
  <c r="L661" i="13"/>
  <c r="K691" i="13"/>
  <c r="L720" i="13"/>
  <c r="L970" i="13"/>
  <c r="L1033" i="13"/>
  <c r="L1083" i="13"/>
  <c r="K843" i="13"/>
  <c r="K963" i="13"/>
  <c r="L994" i="13"/>
  <c r="L852" i="13"/>
  <c r="K901" i="13"/>
  <c r="K703" i="13"/>
  <c r="K1047" i="13"/>
  <c r="L996" i="13"/>
  <c r="K1025" i="13"/>
  <c r="K714" i="13"/>
  <c r="L809" i="13"/>
  <c r="L1048" i="13"/>
  <c r="L746" i="13"/>
  <c r="K1021" i="13"/>
  <c r="K705" i="13"/>
  <c r="L1010" i="13"/>
  <c r="L1089" i="13"/>
  <c r="L729" i="13"/>
  <c r="K809" i="13"/>
  <c r="L1085" i="13"/>
  <c r="L728" i="13"/>
  <c r="L1054" i="13"/>
  <c r="L896" i="13"/>
  <c r="L1011" i="13"/>
  <c r="K926" i="13"/>
  <c r="L719" i="13"/>
  <c r="L1073" i="13"/>
  <c r="K68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author>
  </authors>
  <commentList>
    <comment ref="AH196" authorId="0" shapeId="0" xr:uid="{00000000-0006-0000-0600-000005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shapeId="0" xr:uid="{00000000-0006-0000-0600-000004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shapeId="0" xr:uid="{00000000-0006-0000-0600-000003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shapeId="0" xr:uid="{00000000-0006-0000-0600-000002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1" authorId="0" shapeId="0" xr:uid="{00000000-0006-0000-0600-000001000000}">
      <text>
        <r>
          <rPr>
            <sz val="11"/>
            <color rgb="FF000000"/>
            <rFont val="Calibri"/>
            <family val="2"/>
          </rP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<sst xmlns="http://schemas.openxmlformats.org/spreadsheetml/2006/main" count="13590" uniqueCount="4382">
  <si>
    <r>
      <t>Last updated on: 2026-04-15, PTS 101050.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</si>
  <si>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</si>
  <si>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</si>
  <si>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</si>
  <si>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</si>
  <si>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</si>
  <si>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</si>
  <si>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</si>
  <si>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</si>
  <si>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</si>
  <si>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</si>
  <si>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</si>
  <si>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</si>
  <si>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</si>
  <si>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</si>
  <si>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</si>
  <si>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</si>
  <si>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</si>
  <si>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</si>
  <si>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</si>
  <si>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</si>
  <si>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</si>
  <si>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</si>
  <si>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</si>
  <si>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</si>
  <si>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</si>
  <si>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</si>
  <si>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</si>
  <si>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</si>
  <si>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</si>
  <si>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</si>
  <si>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</si>
  <si>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</si>
  <si>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</si>
  <si>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</si>
  <si>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</si>
  <si>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</si>
  <si>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</si>
  <si>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</si>
  <si>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</si>
  <si>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</si>
  <si>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</si>
  <si>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</si>
  <si>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</si>
  <si>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</si>
  <si>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</si>
  <si>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</si>
  <si>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</si>
  <si>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</si>
  <si>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</si>
  <si>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</si>
  <si>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</si>
  <si>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</si>
  <si>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</si>
  <si>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</si>
  <si>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</si>
  <si>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</si>
  <si>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</si>
  <si>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</si>
  <si>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</si>
  <si>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</si>
  <si>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</si>
  <si>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</si>
  <si>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</si>
  <si>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</si>
  <si>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</si>
  <si>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</si>
  <si>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</si>
  <si>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</si>
  <si>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</si>
  <si>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</si>
  <si>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</si>
  <si>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</si>
  <si>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</si>
  <si>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</si>
  <si>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</si>
  <si>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</si>
  <si>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</si>
  <si>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</si>
  <si>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</si>
  <si>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</si>
  <si>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</si>
  <si>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</si>
  <si>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</si>
  <si>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</si>
  <si>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</si>
  <si>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</si>
  <si>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</si>
  <si>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</si>
  <si>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</si>
  <si>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</si>
  <si>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</si>
  <si>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</si>
  <si>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</si>
  <si>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</si>
  <si>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</si>
  <si>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</si>
  <si>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</si>
  <si>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</si>
  <si>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</si>
  <si>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</si>
  <si>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</si>
  <si>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</si>
  <si>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</si>
  <si>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</si>
  <si>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</si>
  <si>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</si>
  <si>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</si>
  <si>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</si>
  <si>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</si>
  <si>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</si>
  <si>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</si>
  <si>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</si>
  <si>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</si>
  <si>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</si>
  <si>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</si>
  <si>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</si>
  <si>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</si>
  <si>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</si>
  <si>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</si>
  <si>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</si>
  <si>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</si>
  <si>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</si>
  <si>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</si>
  <si>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</si>
  <si>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</si>
  <si>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</si>
  <si>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</si>
  <si>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</si>
  <si>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</si>
  <si>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</si>
  <si>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</si>
  <si>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</si>
  <si>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</si>
  <si>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</si>
  <si>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</si>
  <si>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</si>
  <si>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</si>
  <si>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</si>
  <si>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</si>
  <si>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</si>
  <si>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</si>
  <si>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</si>
  <si>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</si>
  <si>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</si>
  <si>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</si>
  <si>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</si>
  <si>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</si>
  <si>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</si>
  <si>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</si>
  <si>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</si>
  <si>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</si>
  <si>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</si>
  <si>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</si>
  <si>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</si>
  <si>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</si>
  <si>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</si>
  <si>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</si>
  <si>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</si>
  <si>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</si>
  <si>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</si>
  <si>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</si>
  <si>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</si>
  <si>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</si>
  <si>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</si>
  <si>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</si>
  <si>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</si>
  <si>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</si>
  <si>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</si>
  <si>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</si>
  <si>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</si>
  <si>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</si>
  <si>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</si>
  <si>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</si>
  <si>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</si>
  <si>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</si>
  <si>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</si>
  <si>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</si>
  <si>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</si>
  <si>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</si>
  <si>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</si>
  <si>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</si>
  <si>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</si>
  <si>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</si>
  <si>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</si>
  <si>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</si>
  <si>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</si>
  <si>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</si>
  <si>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</si>
  <si>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</si>
  <si>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</si>
  <si>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</si>
  <si>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</si>
  <si>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</si>
  <si>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</si>
  <si>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</si>
  <si>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</si>
  <si>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</si>
  <si>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</si>
  <si>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</si>
  <si>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</si>
  <si>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</si>
  <si>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</si>
  <si>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</si>
  <si>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</si>
  <si>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</si>
  <si>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</si>
  <si>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</si>
  <si>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</si>
  <si>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</si>
  <si>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</si>
  <si>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</si>
  <si>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</si>
  <si>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</si>
  <si>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</si>
  <si>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</si>
  <si>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</si>
  <si>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</si>
  <si>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</si>
  <si>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</si>
  <si>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</si>
  <si>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</si>
  <si>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</si>
  <si>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</si>
  <si>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</si>
  <si>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</si>
  <si>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</si>
  <si>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</si>
  <si>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</si>
  <si>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</si>
  <si>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</si>
  <si>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</si>
  <si>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</si>
  <si>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</si>
  <si>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</si>
  <si>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</si>
  <si>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</si>
  <si>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</si>
  <si>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</si>
  <si>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</si>
  <si>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</si>
  <si>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</si>
  <si>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</si>
  <si>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</si>
  <si>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</si>
  <si>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</si>
  <si>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</si>
  <si>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</si>
  <si>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</si>
  <si>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</si>
  <si>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</si>
  <si>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</si>
  <si>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</si>
  <si>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</si>
  <si>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</si>
  <si>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</si>
  <si>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</si>
  <si>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</si>
  <si>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</si>
  <si>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</si>
  <si>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</si>
  <si>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</si>
  <si>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</si>
  <si>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</si>
  <si>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</si>
  <si>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</si>
  <si>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</si>
  <si>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</si>
  <si>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</si>
  <si>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</si>
  <si>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</si>
  <si>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</si>
  <si>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</si>
  <si>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</si>
  <si>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</si>
  <si>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</si>
  <si>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</si>
  <si>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</si>
  <si>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</si>
  <si>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</si>
  <si>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</si>
  <si>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</si>
  <si>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</si>
  <si>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</si>
  <si>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</si>
  <si>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</si>
  <si>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</si>
  <si>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</si>
  <si>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</si>
  <si>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</si>
  <si>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</si>
  <si>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</si>
  <si>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</si>
  <si>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</si>
  <si>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</si>
  <si>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</si>
  <si>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</si>
  <si>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</si>
  <si>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</si>
  <si>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</si>
  <si>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</si>
  <si>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</si>
  <si>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</si>
  <si>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</si>
  <si>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</si>
  <si>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</si>
  <si>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</si>
  <si>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</si>
  <si>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</si>
  <si>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</si>
  <si>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</si>
  <si>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</si>
  <si>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</si>
  <si>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</si>
  <si>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</si>
  <si>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</si>
  <si>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</si>
  <si>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</si>
  <si>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</si>
  <si>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r>
      <t>Last updated on: 2026-01-21, PTS 101049. Update these constants with the same names and values like inside the files "</t>
    </r>
    <r>
      <rPr>
        <b/>
        <sz val="11"/>
        <color rgb="FFED7D31"/>
        <rFont val="Calibri"/>
        <family val="2"/>
      </rPr>
      <t>LibSets_ConstantsLibraryInternal.lua</t>
    </r>
    <r>
      <rPr>
        <b/>
        <sz val="11"/>
        <rFont val="Calibri"/>
        <family val="2"/>
      </rPr>
      <t>" and ""LibSets_Constants.lua"!</t>
    </r>
  </si>
  <si>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</si>
  <si>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</si>
  <si>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</si>
  <si>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</si>
  <si>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</si>
  <si>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</si>
  <si>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</si>
  <si>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</si>
  <si>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</si>
  <si>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</si>
  <si>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</si>
  <si>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</si>
  <si>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</si>
  <si>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</si>
  <si>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</si>
  <si>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</si>
  <si>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</si>
  <si>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</si>
  <si>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2026-04-15, PTS 101050</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</si>
  <si>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</si>
  <si>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</si>
  <si>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</si>
  <si>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</si>
  <si>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</si>
  <si>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</si>
  <si>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</si>
  <si>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</si>
  <si>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</si>
  <si>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</si>
  <si>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</si>
  <si>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</si>
  <si>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</si>
  <si>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</si>
  <si>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</si>
  <si>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</si>
  <si>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</si>
  <si>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</si>
  <si>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</si>
  <si>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</si>
  <si>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</si>
  <si>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</si>
  <si>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</si>
  <si>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</si>
  <si>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</si>
  <si>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</si>
  <si>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</si>
  <si>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</si>
  <si>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</si>
  <si>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</si>
  <si>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</si>
  <si>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</si>
  <si>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</si>
  <si>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</si>
  <si>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</si>
  <si>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</si>
  <si>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</si>
  <si>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</si>
  <si>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</si>
  <si>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</si>
  <si>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</si>
  <si>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</si>
  <si>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</si>
  <si>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</si>
  <si>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</si>
  <si>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</si>
  <si>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</si>
  <si>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</si>
  <si>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</si>
  <si>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</si>
  <si>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</si>
  <si>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</si>
  <si>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</si>
  <si>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</si>
  <si>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</si>
  <si>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</si>
  <si>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</si>
  <si>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</si>
  <si>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</si>
  <si>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</si>
  <si>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</si>
  <si>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</si>
  <si>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</si>
  <si>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</si>
  <si>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</si>
  <si>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</si>
  <si>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</si>
  <si>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</si>
  <si>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</si>
  <si>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</si>
  <si>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</si>
  <si>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</si>
  <si>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</si>
  <si>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</si>
  <si>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</si>
  <si>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</si>
  <si>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</si>
  <si>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</si>
  <si>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</si>
  <si>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</si>
  <si>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</si>
  <si>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</si>
  <si>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</si>
  <si>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</si>
  <si>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</si>
  <si>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</si>
  <si>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</si>
  <si>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</si>
  <si>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</si>
  <si>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</si>
  <si>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</si>
  <si>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</si>
  <si>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</si>
  <si>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</si>
  <si>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</si>
  <si>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</si>
  <si>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</si>
  <si>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</si>
  <si>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</si>
  <si>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</si>
  <si>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</si>
  <si>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</si>
  <si>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</si>
  <si>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</si>
  <si>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</si>
  <si>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</si>
  <si>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</si>
  <si>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</si>
  <si>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</si>
  <si>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</si>
  <si>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</si>
  <si>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</si>
  <si>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</si>
  <si>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</si>
  <si>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</si>
  <si>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</si>
  <si>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</si>
  <si>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</si>
  <si>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</si>
  <si>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</si>
  <si>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</si>
  <si>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</si>
  <si>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</si>
  <si>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</si>
  <si>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</si>
  <si>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</si>
  <si>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</si>
  <si>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</si>
  <si>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</si>
  <si>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</si>
  <si>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</si>
  <si>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</si>
  <si>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</si>
  <si>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</si>
  <si>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</si>
  <si>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</si>
  <si>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</si>
  <si>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</si>
  <si>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</si>
  <si>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</si>
  <si>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</si>
  <si>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</si>
  <si>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</si>
  <si>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</si>
  <si>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</si>
  <si>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</si>
  <si>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</si>
  <si>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</si>
  <si>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</si>
  <si>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</si>
  <si>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</si>
  <si>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</si>
  <si>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</si>
  <si>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</si>
  <si>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</si>
  <si>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</si>
  <si>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</si>
  <si>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</si>
  <si>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</si>
  <si>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</si>
  <si>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</si>
  <si>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</si>
  <si>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</si>
  <si>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</si>
  <si>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</si>
  <si>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</si>
  <si>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</si>
  <si>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</si>
  <si>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</si>
  <si>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</si>
  <si>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</si>
  <si>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</si>
  <si>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</si>
  <si>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</si>
  <si>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</si>
  <si>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</si>
  <si>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</si>
  <si>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</si>
  <si>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</si>
  <si>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</si>
  <si>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</si>
  <si>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</si>
  <si>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</si>
  <si>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</si>
  <si>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</si>
  <si>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</si>
  <si>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</si>
  <si>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</si>
  <si>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</si>
  <si>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</si>
  <si>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</si>
  <si>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</si>
  <si>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</si>
  <si>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</si>
  <si>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</si>
  <si>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</si>
  <si>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</si>
  <si>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</si>
  <si>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</si>
  <si>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</si>
  <si>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</si>
  <si>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</si>
  <si>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</si>
  <si>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</si>
  <si>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</si>
  <si>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</si>
  <si>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</si>
  <si>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</si>
  <si>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</si>
  <si>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</si>
  <si>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</si>
  <si>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</si>
  <si>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</si>
  <si>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</si>
  <si>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</si>
  <si>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</si>
  <si>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</si>
  <si>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</si>
  <si>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</si>
  <si>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</si>
  <si>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</si>
  <si>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</si>
  <si>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</si>
  <si>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</si>
  <si>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</si>
  <si>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</si>
  <si>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</si>
  <si>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</si>
  <si>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</si>
  <si>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</si>
  <si>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</si>
  <si>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</si>
  <si>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</si>
  <si>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</si>
  <si>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</si>
  <si>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</si>
  <si>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</si>
  <si>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</si>
  <si>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</si>
  <si>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</si>
  <si>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</si>
  <si>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</si>
  <si>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</si>
  <si>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</si>
  <si>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</si>
  <si>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</si>
  <si>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</si>
  <si>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</si>
  <si>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</si>
  <si>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</si>
  <si>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</si>
  <si>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</si>
  <si>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</si>
  <si>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</si>
  <si>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</si>
  <si>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</si>
  <si>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</si>
  <si>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</si>
  <si>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</si>
  <si>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</si>
  <si>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</si>
  <si>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</si>
  <si>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</si>
  <si>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</si>
  <si>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</si>
  <si>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</si>
  <si>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</si>
  <si>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</si>
  <si>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</si>
  <si>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</si>
  <si>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</si>
  <si>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</si>
  <si>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</si>
  <si>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</si>
  <si>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</si>
  <si>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</si>
  <si>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</si>
  <si>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</si>
  <si>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</si>
  <si>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</si>
  <si>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</si>
  <si>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</si>
  <si>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</si>
  <si>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</si>
  <si>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</si>
  <si>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</si>
  <si>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</si>
  <si>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</si>
  <si>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</si>
  <si>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</si>
  <si>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</si>
  <si>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</si>
  <si>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</si>
  <si>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</si>
  <si>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</si>
  <si>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</si>
  <si>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</si>
  <si>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</si>
  <si>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</si>
  <si>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</si>
  <si>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</si>
  <si>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</si>
  <si>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</si>
  <si>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</si>
  <si>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</si>
  <si>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</si>
  <si>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</si>
  <si>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</si>
  <si>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</si>
  <si>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</si>
  <si>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</si>
  <si>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</si>
  <si>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</si>
  <si>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</si>
  <si>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</si>
  <si>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</si>
  <si>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</si>
  <si>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</si>
  <si>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</si>
  <si>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</si>
  <si>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</si>
  <si>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</si>
  <si>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</si>
  <si>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</si>
  <si>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</si>
  <si>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</si>
  <si>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</si>
  <si>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</si>
  <si>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</si>
  <si>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</si>
  <si>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</si>
  <si>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</si>
  <si>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</si>
  <si>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</si>
  <si>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</si>
  <si>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</si>
  <si>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</si>
  <si>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</si>
  <si>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</si>
  <si>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</si>
  <si>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</si>
  <si>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</si>
  <si>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</si>
  <si>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</si>
  <si>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</si>
  <si>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</si>
  <si>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</si>
  <si>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</si>
  <si>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</si>
  <si>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</si>
  <si>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</si>
  <si>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</si>
  <si>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</si>
  <si>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</si>
  <si>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</si>
  <si>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</si>
  <si>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</si>
  <si>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</si>
  <si>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</si>
  <si>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</si>
  <si>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</si>
  <si>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</si>
  <si>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</si>
  <si>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</si>
  <si>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</si>
  <si>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</si>
  <si>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</si>
  <si>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</si>
  <si>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</si>
  <si>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</si>
  <si>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</si>
  <si>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</si>
  <si>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</si>
  <si>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</si>
  <si>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</si>
  <si>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</si>
  <si>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</si>
  <si>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</si>
  <si>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</si>
  <si>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</si>
  <si>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</si>
  <si>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</si>
  <si>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</si>
  <si>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</si>
  <si>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</si>
  <si>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</si>
  <si>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</si>
  <si>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</si>
  <si>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</si>
  <si>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</si>
  <si>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</si>
  <si>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</si>
  <si>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</si>
  <si>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</si>
  <si>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</si>
  <si>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</si>
  <si>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</si>
  <si>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</si>
  <si>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</si>
  <si>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</si>
  <si>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</si>
  <si>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</si>
  <si>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</si>
  <si>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</si>
  <si>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</si>
  <si>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</si>
  <si>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</si>
  <si>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</si>
  <si>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</si>
  <si>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</si>
  <si>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</si>
  <si>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</si>
  <si>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</si>
  <si>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</si>
  <si>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</si>
  <si>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</si>
  <si>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</si>
  <si>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</si>
  <si>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</si>
  <si>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</si>
  <si>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</si>
  <si>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</si>
  <si>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</si>
  <si>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</si>
  <si>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</si>
  <si>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</si>
  <si>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</si>
  <si>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</si>
  <si>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</si>
  <si>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</si>
  <si>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</si>
  <si>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</si>
  <si>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</si>
  <si>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</si>
  <si>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</si>
  <si>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</si>
  <si>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</si>
  <si>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</si>
  <si>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</si>
  <si>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</si>
  <si>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</si>
  <si>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</si>
  <si>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</si>
  <si>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</si>
  <si>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</si>
  <si>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</si>
  <si>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</si>
  <si>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</si>
  <si>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</si>
  <si>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</si>
  <si>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</si>
  <si>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</si>
  <si>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</si>
  <si>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</si>
  <si>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</si>
  <si>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</si>
  <si>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</si>
  <si>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</si>
  <si>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</si>
  <si>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</si>
  <si>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</si>
  <si>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</si>
  <si>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</si>
  <si>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</si>
  <si>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</si>
  <si>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</si>
  <si>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</si>
  <si>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</si>
  <si>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</si>
  <si>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</si>
  <si>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</si>
  <si>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</si>
  <si>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</si>
  <si>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</si>
  <si>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</si>
  <si>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</si>
  <si>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</si>
  <si>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</si>
  <si>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</si>
  <si>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</si>
  <si>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</si>
  <si>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</si>
  <si>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</si>
  <si>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</si>
  <si>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</si>
  <si>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</si>
  <si>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</si>
  <si>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</si>
  <si>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</si>
  <si>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</si>
  <si>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</si>
  <si>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</si>
  <si>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</si>
  <si>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</si>
  <si>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</si>
  <si>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</si>
  <si>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</si>
  <si>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</si>
  <si>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</si>
  <si>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</si>
  <si>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</si>
  <si>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</si>
  <si>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</si>
  <si>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</si>
  <si>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</si>
  <si>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</si>
  <si>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</si>
  <si>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</si>
  <si>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</si>
  <si>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</si>
  <si>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</si>
  <si>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</si>
  <si>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</si>
  <si>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</si>
  <si>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</si>
  <si>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</si>
  <si>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</si>
  <si>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</si>
  <si>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</si>
  <si>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</si>
  <si>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</si>
  <si>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</si>
  <si>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</si>
  <si>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</si>
  <si>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</si>
  <si>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</si>
  <si>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</si>
  <si>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</si>
  <si>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</si>
  <si>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</si>
  <si>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</si>
  <si>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</si>
  <si>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</si>
  <si>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</si>
  <si>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</si>
  <si>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</si>
  <si>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</si>
  <si>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</si>
  <si>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</si>
  <si>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</si>
  <si>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</si>
  <si>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</si>
  <si>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</si>
  <si>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</si>
  <si>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</si>
  <si>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</si>
  <si>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</si>
  <si>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</si>
  <si>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</si>
  <si>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</si>
  <si>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</si>
  <si>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</si>
  <si>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</si>
  <si>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</si>
  <si>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</si>
  <si>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</si>
  <si>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</si>
  <si>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</si>
  <si>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</si>
  <si>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</si>
  <si>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</si>
  <si>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</si>
  <si>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</si>
  <si>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</si>
  <si>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</si>
  <si>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</si>
  <si>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</si>
  <si>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</si>
  <si>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</si>
  <si>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</si>
  <si>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</si>
  <si>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</si>
  <si>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</si>
  <si>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</si>
  <si>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</si>
  <si>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</si>
  <si>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</si>
  <si>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</si>
  <si>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</si>
  <si>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</si>
  <si>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</si>
  <si>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</si>
  <si>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</si>
  <si>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</si>
  <si>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</si>
  <si>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</si>
  <si>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</si>
  <si>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</si>
  <si>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</si>
  <si>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</si>
  <si>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</si>
  <si>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</si>
  <si>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</si>
  <si>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</si>
  <si>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</si>
  <si>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</si>
  <si>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</si>
  <si>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</si>
  <si>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</si>
  <si>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</si>
  <si>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</si>
  <si>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</si>
  <si>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</si>
  <si>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</si>
  <si>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</si>
  <si>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</si>
  <si>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</si>
  <si>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</si>
  <si>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</si>
  <si>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</si>
  <si>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</si>
  <si>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</si>
  <si>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</si>
  <si>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</si>
  <si>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</si>
  <si>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</si>
  <si>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</si>
  <si>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</si>
  <si>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</si>
  <si>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</si>
  <si>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</si>
  <si>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</si>
  <si>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</si>
  <si>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</si>
  <si>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</si>
  <si>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</si>
  <si>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</si>
  <si>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</si>
  <si>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</si>
  <si>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</si>
  <si>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</si>
  <si>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</si>
  <si>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</si>
  <si>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</si>
  <si>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</si>
  <si>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</si>
  <si>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</si>
  <si>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</si>
  <si>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</si>
  <si>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</si>
  <si>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</si>
  <si>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</si>
  <si>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</si>
  <si>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</si>
  <si>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</si>
  <si>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</si>
  <si>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</si>
  <si>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</si>
  <si>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</si>
  <si>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</si>
  <si>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</si>
  <si>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</si>
  <si>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</si>
  <si>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</si>
  <si>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</si>
  <si>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</si>
  <si>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</si>
  <si>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</si>
  <si>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</si>
  <si>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</si>
  <si>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</si>
  <si>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</si>
  <si>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</si>
  <si>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</si>
  <si>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</si>
  <si>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</si>
  <si>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</si>
  <si>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</si>
  <si>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</si>
  <si>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</si>
  <si>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</si>
  <si>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</si>
  <si>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</si>
  <si>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</si>
  <si>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</si>
  <si>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</si>
  <si>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</si>
  <si>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</si>
  <si>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</si>
  <si>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</si>
  <si>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</si>
  <si>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</si>
  <si>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</si>
  <si>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</si>
  <si>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</si>
  <si>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</si>
  <si>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</si>
  <si>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</si>
  <si>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</si>
  <si>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</si>
  <si>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</si>
  <si>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</si>
  <si>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</si>
  <si>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</si>
  <si>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</si>
  <si>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</si>
  <si>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</si>
  <si>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</si>
  <si>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</si>
  <si>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</si>
  <si>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</si>
  <si>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</si>
  <si>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</si>
  <si>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</si>
  <si>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</si>
  <si>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</si>
  <si>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</si>
  <si>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</si>
  <si>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</si>
  <si>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</si>
  <si>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</si>
  <si>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</si>
  <si>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</si>
  <si>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</si>
  <si>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</si>
  <si>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</si>
  <si>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</si>
  <si>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</si>
  <si>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</si>
  <si>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</si>
  <si>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</si>
  <si>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</si>
  <si>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</si>
  <si>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</si>
  <si>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</si>
  <si>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</si>
  <si>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</si>
  <si>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</si>
  <si>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</si>
  <si>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</si>
  <si>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</si>
  <si>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</si>
  <si>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</si>
  <si>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</si>
  <si>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</si>
  <si>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</si>
  <si>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</si>
  <si>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</si>
  <si>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</si>
  <si>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</si>
  <si>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</si>
  <si>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</si>
  <si>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</si>
  <si>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</si>
  <si>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</si>
  <si>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</si>
  <si>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</si>
  <si>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</si>
  <si>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</si>
  <si>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</si>
  <si>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</si>
  <si>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</si>
  <si>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</si>
  <si>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</si>
  <si>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</si>
  <si>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</si>
  <si>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</si>
  <si>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</si>
  <si>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</si>
  <si>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</si>
  <si>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</si>
  <si>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</si>
  <si>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</si>
  <si>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</si>
  <si>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</si>
  <si>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</si>
  <si>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</si>
  <si>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</si>
  <si>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</si>
  <si>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</si>
  <si>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</si>
  <si>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</si>
  <si>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</si>
  <si>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</si>
  <si>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</si>
  <si>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</si>
  <si>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</si>
  <si>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</si>
  <si>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</si>
  <si>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</si>
  <si>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</si>
  <si>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</si>
  <si>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</si>
  <si>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</si>
  <si>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</si>
  <si>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</si>
  <si>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</si>
  <si>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</si>
  <si>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</si>
  <si>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</si>
  <si>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</si>
  <si>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</si>
  <si>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</si>
  <si>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</si>
  <si>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</si>
  <si>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</si>
  <si>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</si>
  <si>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</si>
  <si>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</si>
  <si>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</si>
  <si>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</si>
  <si>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</si>
  <si>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</si>
  <si>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</si>
  <si>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</si>
  <si>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</si>
  <si>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</si>
  <si>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</si>
  <si>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</si>
  <si>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</si>
  <si>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</si>
  <si>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</si>
  <si>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</si>
  <si>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</si>
  <si>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</si>
  <si>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</si>
  <si>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</si>
  <si>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</si>
  <si>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</si>
  <si>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</si>
  <si>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</si>
  <si>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</si>
  <si>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</si>
  <si>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</si>
  <si>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</si>
  <si>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</si>
  <si>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</si>
  <si>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</si>
  <si>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</si>
  <si>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</si>
  <si>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</si>
  <si>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</si>
  <si>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</si>
  <si>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</si>
  <si>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</si>
  <si>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</si>
  <si>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</si>
  <si>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</si>
  <si>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</si>
  <si>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</si>
  <si>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</si>
  <si>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</si>
  <si>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</si>
  <si>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</si>
  <si>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</si>
  <si>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</si>
  <si>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</si>
  <si>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</si>
  <si>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</si>
  <si>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</si>
  <si>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</si>
  <si>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</si>
  <si>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</si>
  <si>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</si>
  <si>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</si>
  <si>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</si>
  <si>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</si>
  <si>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</si>
  <si>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</si>
  <si>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</si>
  <si>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</si>
  <si>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</si>
  <si>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</si>
  <si>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</si>
  <si>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</si>
  <si>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</si>
  <si>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</si>
  <si>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</si>
  <si>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</si>
  <si>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</si>
  <si>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</si>
  <si>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</si>
  <si>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</si>
  <si>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</si>
  <si>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</si>
  <si>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</si>
  <si>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</si>
  <si>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</si>
  <si>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</si>
  <si>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</si>
  <si>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</si>
  <si>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</si>
  <si>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</si>
  <si>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</si>
  <si>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</si>
  <si>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</si>
  <si>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</si>
  <si>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</si>
  <si>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</si>
  <si>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</si>
  <si>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</si>
  <si>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</si>
  <si>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</si>
  <si>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</si>
  <si>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</si>
  <si>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</si>
  <si>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</si>
  <si>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</si>
  <si>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</si>
  <si>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</si>
  <si>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</si>
  <si>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</si>
  <si>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</si>
  <si>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</si>
  <si>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</si>
  <si>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</si>
  <si>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</si>
  <si>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</si>
  <si>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</si>
  <si>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</si>
  <si>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</si>
  <si>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</si>
  <si>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</si>
  <si>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</si>
  <si>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</si>
  <si>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</si>
  <si>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</si>
  <si>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</si>
  <si>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</si>
  <si>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</si>
  <si>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</si>
  <si>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</si>
  <si>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</si>
  <si>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</si>
  <si>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</si>
  <si>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</si>
  <si>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</si>
  <si>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</si>
  <si>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</si>
  <si>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</si>
  <si>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</si>
  <si>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</si>
  <si>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</si>
  <si>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</si>
  <si>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</si>
  <si>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</si>
  <si>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</si>
  <si>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</si>
  <si>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</si>
  <si>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</si>
  <si>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</si>
  <si>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</si>
  <si>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</si>
  <si>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</si>
  <si>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</si>
  <si>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</si>
  <si>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</si>
  <si>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</si>
  <si>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</si>
  <si>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</si>
  <si>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</si>
  <si>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</si>
  <si>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</si>
  <si>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</si>
  <si>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</si>
  <si>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</si>
  <si>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</si>
  <si>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</si>
  <si>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</si>
  <si>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</si>
  <si>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</si>
  <si>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</si>
  <si>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</si>
  <si>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</si>
  <si>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</si>
  <si>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</si>
  <si>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</si>
  <si>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</si>
  <si>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</si>
  <si>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</si>
  <si>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</si>
  <si>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</si>
  <si>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</si>
  <si>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</si>
  <si>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</si>
  <si>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</si>
  <si>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</si>
  <si>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</si>
  <si>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</si>
  <si>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</si>
  <si>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</si>
  <si>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</si>
  <si>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</si>
  <si>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</si>
  <si>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</si>
  <si>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</si>
  <si>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</si>
  <si>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</si>
  <si>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</si>
  <si>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</si>
  <si>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</si>
  <si>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</si>
  <si>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</si>
  <si>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</si>
  <si>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</si>
  <si>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</si>
  <si>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</si>
  <si>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</si>
  <si>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</si>
  <si>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</si>
  <si>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</si>
  <si>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</si>
  <si>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</si>
  <si>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</si>
  <si>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</si>
  <si>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</si>
  <si>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</si>
  <si>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</si>
  <si>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</si>
  <si>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</si>
  <si>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</si>
  <si>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</si>
  <si>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</si>
  <si>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</si>
  <si>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</si>
  <si>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</si>
  <si>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</si>
  <si>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</si>
  <si>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</si>
  <si>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</si>
  <si>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</si>
  <si>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</si>
  <si>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</si>
  <si>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</si>
  <si>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</si>
  <si>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</si>
  <si>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</si>
  <si>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</si>
  <si>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</si>
  <si>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</si>
  <si>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</si>
  <si>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</si>
  <si>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</si>
  <si>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</si>
  <si>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</si>
  <si>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</si>
  <si>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</si>
  <si>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</si>
  <si>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</si>
  <si>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</si>
  <si>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</si>
  <si>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</si>
  <si>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</si>
  <si>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</si>
  <si>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</si>
  <si>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</si>
  <si>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</si>
  <si>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</si>
  <si>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</si>
  <si>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</si>
  <si>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</si>
  <si>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</si>
  <si>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</si>
  <si>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</si>
  <si>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</si>
  <si>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</si>
  <si>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</si>
  <si>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</si>
  <si>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</si>
  <si>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</si>
  <si>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</si>
  <si>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</si>
  <si>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</si>
  <si>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</si>
  <si>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</si>
  <si>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</si>
  <si>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</si>
  <si>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</si>
  <si>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</si>
  <si>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</si>
  <si>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</si>
  <si>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</si>
  <si>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</si>
  <si>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</si>
  <si>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</si>
  <si>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</si>
  <si>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</si>
  <si>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</si>
  <si>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</si>
  <si>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</si>
  <si>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</si>
  <si>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</si>
  <si>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</si>
  <si>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</si>
  <si>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</si>
  <si>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</si>
  <si>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</si>
  <si>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</si>
  <si>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</si>
  <si>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</si>
  <si>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</si>
  <si>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</si>
  <si>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</si>
  <si>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</si>
  <si>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</si>
  <si>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</si>
  <si>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</si>
  <si>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</si>
  <si>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</si>
  <si>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</si>
  <si>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</si>
  <si>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</si>
  <si>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</si>
  <si>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</si>
  <si>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</si>
  <si>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</si>
  <si>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</si>
  <si>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</si>
  <si>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</si>
  <si>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</si>
  <si>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</si>
  <si>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</si>
  <si>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</si>
  <si>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</si>
  <si>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</si>
  <si>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</si>
  <si>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</si>
  <si>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</si>
  <si>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</si>
  <si>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</si>
  <si>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</si>
  <si>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</si>
  <si>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</si>
  <si>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</si>
  <si>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</si>
  <si>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</si>
  <si>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</si>
  <si>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</si>
  <si>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</si>
  <si>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</si>
  <si>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</si>
  <si>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</si>
  <si>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</si>
  <si>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</si>
  <si>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</si>
  <si>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</si>
  <si>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</si>
  <si>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</si>
  <si>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</si>
  <si>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</si>
  <si>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</si>
  <si>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</si>
  <si>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</si>
  <si>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</si>
  <si>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</si>
  <si>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</si>
  <si>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</si>
  <si>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</si>
  <si>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</si>
  <si>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</si>
  <si>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</si>
  <si>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</si>
  <si>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</si>
  <si>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</si>
  <si>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</si>
  <si>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</si>
  <si>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</si>
  <si>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</si>
  <si>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</si>
  <si>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</si>
  <si>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</si>
  <si>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</si>
  <si>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</si>
  <si>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</si>
  <si>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</si>
  <si>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</si>
  <si>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</si>
  <si>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</si>
  <si>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</si>
  <si>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</si>
  <si>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</si>
  <si>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</si>
  <si>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</si>
  <si>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</si>
  <si>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</si>
  <si>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</si>
  <si>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</si>
  <si>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</si>
  <si>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</si>
  <si>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</si>
  <si>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</si>
  <si>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</si>
  <si>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</si>
  <si>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</si>
  <si>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</si>
  <si>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</si>
  <si>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</si>
  <si>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</si>
  <si>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</si>
  <si>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</si>
  <si>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</si>
  <si>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</si>
  <si>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</si>
  <si>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</si>
  <si>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</si>
  <si>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</si>
  <si>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</si>
  <si>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</si>
  <si>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</si>
  <si>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</si>
  <si>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</si>
  <si>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</si>
  <si>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</si>
  <si>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</si>
  <si>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</si>
  <si>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</si>
  <si>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</si>
  <si>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</si>
  <si>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</si>
  <si>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</si>
  <si>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</si>
  <si>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</si>
  <si>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</si>
  <si>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</si>
  <si>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</si>
  <si>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</si>
  <si>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</si>
  <si>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</si>
  <si>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</si>
  <si>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</si>
  <si>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</si>
  <si>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</si>
  <si>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</si>
  <si>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</si>
  <si>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</si>
  <si>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</si>
  <si>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</si>
  <si>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</si>
  <si>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</si>
  <si>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</si>
  <si>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</si>
  <si>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</si>
  <si>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</si>
  <si>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</si>
  <si>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</si>
  <si>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</si>
  <si>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</si>
  <si>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</si>
  <si>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</si>
  <si>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</si>
  <si>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</si>
  <si>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</si>
  <si>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</si>
  <si>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</si>
  <si>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</si>
  <si>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</si>
  <si>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</si>
  <si>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</si>
  <si>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</si>
  <si>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</si>
  <si>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</si>
  <si>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</si>
  <si>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</si>
  <si>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</si>
  <si>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</si>
  <si>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</si>
  <si>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</si>
  <si>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</si>
  <si>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</si>
  <si>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</si>
  <si>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</si>
  <si>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</si>
  <si>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</si>
  <si>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</si>
  <si>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</si>
  <si>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</si>
  <si>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</si>
  <si>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</si>
  <si>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</si>
  <si>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</si>
  <si>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</si>
  <si>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</si>
  <si>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</si>
  <si>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</si>
  <si>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</si>
  <si>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</si>
  <si>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</si>
  <si>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</si>
  <si>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</si>
  <si>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</si>
  <si>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</si>
  <si>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</si>
  <si>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</si>
  <si>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</si>
  <si>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</si>
  <si>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</si>
  <si>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</si>
  <si>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</si>
  <si>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</si>
  <si>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</si>
  <si>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</si>
  <si>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</si>
  <si>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</si>
  <si>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</si>
  <si>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</si>
  <si>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</si>
  <si>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</si>
  <si>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</si>
  <si>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</si>
  <si>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</si>
  <si>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</si>
  <si>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</si>
  <si>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</si>
  <si>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</si>
  <si>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</si>
  <si>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</si>
  <si>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</si>
  <si>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</si>
  <si>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</si>
  <si>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</si>
  <si>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</si>
  <si>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</si>
  <si>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</si>
  <si>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</si>
  <si>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</si>
  <si>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</si>
  <si>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</si>
  <si>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</si>
  <si>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</si>
  <si>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</si>
  <si>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</si>
  <si>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</si>
  <si>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</si>
  <si>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</si>
  <si>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</si>
  <si>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</si>
  <si>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</si>
  <si>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</si>
  <si>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</si>
  <si>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</si>
  <si>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</si>
  <si>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</si>
  <si>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</si>
  <si>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</si>
  <si>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</si>
  <si>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</si>
  <si>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</si>
  <si>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</si>
  <si>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</si>
  <si>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</si>
  <si>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</si>
  <si>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</si>
  <si>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</si>
  <si>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</si>
  <si>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</si>
  <si>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</si>
  <si>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</si>
  <si>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</si>
  <si>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</si>
  <si>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</si>
  <si>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</si>
  <si>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</si>
  <si>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</si>
  <si>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</si>
  <si>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</si>
  <si>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</si>
  <si>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</si>
  <si>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</si>
  <si>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</si>
  <si>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</si>
  <si>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</si>
  <si>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</si>
  <si>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</si>
  <si>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</si>
  <si>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</si>
  <si>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</si>
  <si>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</si>
  <si>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</si>
  <si>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</si>
  <si>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</si>
  <si>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sz val="10"/>
        <color rgb="FF0037A6"/>
        <rFont val="Consolas"/>
        <family val="3"/>
      </rPr>
      <t>\'</t>
    </r>
    <r>
      <rPr>
        <sz val="10"/>
        <color rgb="FF067D17"/>
        <rFont val="Consolas"/>
        <family val="3"/>
      </rPr>
      <t>s Wrath</t>
    </r>
  </si>
  <si>
    <t>Verachtung der Schlange</t>
  </si>
  <si>
    <r>
      <t>Serpent</t>
    </r>
    <r>
      <rPr>
        <sz val="10"/>
        <rFont val="Consolas"/>
        <family val="3"/>
      </rPr>
      <t>\'s Disdain</t>
    </r>
  </si>
  <si>
    <t>Druidenflechte</t>
  </si>
  <si>
    <r>
      <t>Druid</t>
    </r>
    <r>
      <rPr>
        <sz val="10"/>
        <color rgb="FF0037A6"/>
        <rFont val="Consolas"/>
        <family val="3"/>
      </rPr>
      <t>\'</t>
    </r>
    <r>
      <rPr>
        <sz val="10"/>
        <color rgb="FF067D17"/>
        <rFont val="Consolas"/>
        <family val="3"/>
      </rPr>
      <t>s Braid</t>
    </r>
  </si>
  <si>
    <t>Segen von Hochinsel</t>
  </si>
  <si>
    <t>Blessing of High Isle</t>
  </si>
  <si>
    <t>Spire of the Crimson Coin</t>
  </si>
  <si>
    <t>Mut der Standhaften</t>
  </si>
  <si>
    <r>
      <t>Steadfast</t>
    </r>
    <r>
      <rPr>
        <sz val="10"/>
        <color rgb="FF0037A6"/>
        <rFont val="Consolas"/>
        <family val="3"/>
      </rPr>
      <t>\'</t>
    </r>
    <r>
      <rPr>
        <sz val="10"/>
        <color rgb="FF067D17"/>
        <rFont val="Consolas"/>
        <family val="3"/>
      </rPr>
      <t>s Mettle</t>
    </r>
  </si>
  <si>
    <t>Blick der Systren</t>
  </si>
  <si>
    <r>
      <t>Systres</t>
    </r>
    <r>
      <rPr>
        <sz val="10"/>
        <color rgb="FF0037A6"/>
        <rFont val="Consolas"/>
        <family val="3"/>
      </rPr>
      <t>\'</t>
    </r>
    <r>
      <rPr>
        <sz val="10"/>
        <color rgb="FF067D17"/>
        <rFont val="Consolas"/>
        <family val="3"/>
      </rPr>
      <t xml:space="preserve"> Scowl</t>
    </r>
  </si>
  <si>
    <t>Wirbel der Tiefen</t>
  </si>
  <si>
    <t>Whorl of the Depths</t>
  </si>
  <si>
    <t>Dreadsail Reef</t>
  </si>
  <si>
    <t>Korallenbrandung</t>
  </si>
  <si>
    <t>Coral Riptide</t>
  </si>
  <si>
    <t>Perlenglanz-Schutz</t>
  </si>
  <si>
    <t>Pearlescent Ward</t>
  </si>
  <si>
    <t>Profit des Brandschatzers</t>
  </si>
  <si>
    <r>
      <t>Pillager</t>
    </r>
    <r>
      <rPr>
        <sz val="10"/>
        <color rgb="FF0037A6"/>
        <rFont val="Consolas"/>
        <family val="3"/>
      </rPr>
      <t>\'</t>
    </r>
    <r>
      <rPr>
        <sz val="10"/>
        <color rgb="FF067D17"/>
        <rFont val="Consolas"/>
        <family val="3"/>
      </rPr>
      <t>s Profit</t>
    </r>
  </si>
  <si>
    <t>Perfektionierter Profit des Brandschatzers</t>
  </si>
  <si>
    <r>
      <t>Perfected Pillager</t>
    </r>
    <r>
      <rPr>
        <sz val="10"/>
        <rFont val="Consolas"/>
        <family val="3"/>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</si>
  <si>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</si>
  <si>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</si>
  <si>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</si>
  <si>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</si>
  <si>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</si>
  <si>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</si>
  <si>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</si>
  <si>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sz val="10"/>
        <rFont val="Consolas"/>
        <family val="3"/>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</si>
  <si>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</si>
  <si>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</si>
  <si>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</si>
  <si>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</si>
  <si>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</si>
  <si>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</si>
  <si>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</si>
  <si>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</si>
  <si>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</si>
  <si>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</si>
  <si>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</si>
  <si>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</si>
  <si>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</si>
  <si>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</si>
  <si>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</si>
  <si>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</si>
  <si>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</si>
  <si>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sz val="10"/>
        <rFont val="Consolas"/>
        <family val="3"/>
      </rPr>
      <t>\'s Aegis Belt</t>
    </r>
  </si>
  <si>
    <t>Lesser Sea Adders</t>
  </si>
  <si>
    <t>Kleine Seeotter</t>
  </si>
  <si>
    <t>Jewelry crafting writ</t>
  </si>
  <si>
    <t>Schmuck Handwerksschrieb</t>
  </si>
  <si>
    <t>Shell Trove</t>
  </si>
  <si>
    <t>Muschel Fund</t>
  </si>
  <si>
    <t>Wicklung der Seeschlange</t>
  </si>
  <si>
    <r>
      <t>Sea-Serpent</t>
    </r>
    <r>
      <rPr>
        <sz val="10"/>
        <rFont val="Consolas"/>
        <family val="3"/>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</si>
  <si>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</si>
  <si>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</si>
  <si>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</si>
  <si>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</si>
  <si>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</si>
  <si>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</si>
  <si>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</si>
  <si>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</si>
  <si>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</si>
  <si>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</si>
  <si>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</si>
  <si>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</si>
  <si>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</si>
  <si>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</si>
  <si>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</si>
  <si>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</si>
  <si>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</si>
  <si>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</si>
  <si>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</si>
  <si>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</si>
  <si>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</si>
  <si>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</si>
  <si>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</si>
  <si>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</si>
  <si>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</si>
  <si>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</si>
  <si>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</si>
  <si>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</si>
  <si>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</si>
  <si>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</si>
  <si>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</si>
  <si>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</si>
  <si>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</si>
  <si>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</si>
  <si>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</si>
  <si>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</si>
  <si>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</si>
  <si>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</si>
  <si>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</si>
  <si>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</si>
  <si>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</si>
  <si>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</si>
  <si>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</si>
  <si>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</si>
  <si>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</si>
  <si>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</si>
  <si>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</si>
  <si>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</si>
  <si>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</si>
  <si>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</si>
  <si>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</si>
  <si>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</si>
  <si>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</si>
  <si>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</si>
  <si>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</si>
  <si>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</si>
  <si>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</si>
  <si>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</si>
  <si>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</si>
  <si>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</si>
  <si>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</si>
  <si>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</si>
  <si>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</si>
  <si>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</si>
  <si>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</si>
  <si>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</si>
  <si>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</si>
  <si>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</si>
  <si>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</si>
  <si>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</si>
  <si>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</si>
  <si>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</si>
  <si>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</si>
  <si>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</si>
  <si>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</si>
  <si>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</si>
  <si>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</si>
  <si>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</si>
  <si>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</si>
  <si>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</si>
  <si>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</si>
  <si>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</si>
  <si>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</si>
  <si>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</si>
  <si>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</si>
  <si>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</si>
  <si>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</si>
  <si>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</si>
  <si>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</si>
  <si>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</si>
  <si>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</si>
  <si>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</si>
  <si>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</si>
  <si>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</si>
  <si>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</si>
  <si>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</si>
  <si>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</si>
  <si>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</si>
  <si>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</si>
  <si>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</si>
  <si>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</si>
  <si>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</si>
  <si>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</si>
  <si>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</si>
  <si>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</si>
  <si>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</si>
  <si>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</si>
  <si>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</si>
  <si>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</si>
  <si>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</si>
  <si>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</si>
  <si>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</si>
  <si>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</si>
  <si>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</si>
  <si>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</si>
  <si>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</si>
  <si>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</si>
  <si>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</si>
  <si>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</si>
  <si>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</si>
  <si>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</si>
  <si>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</si>
  <si>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</si>
  <si>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</si>
  <si>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</si>
  <si>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</si>
  <si>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</si>
  <si>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</si>
  <si>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</si>
  <si>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</si>
  <si>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</si>
  <si>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</si>
  <si>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</si>
  <si>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</si>
  <si>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</si>
  <si>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</si>
  <si>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</si>
  <si>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</si>
  <si>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</si>
  <si>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</si>
  <si>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</si>
  <si>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</si>
  <si>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</si>
  <si>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</si>
  <si>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</si>
  <si>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</si>
  <si>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</si>
  <si>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</si>
  <si>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</si>
  <si>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</si>
  <si>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</si>
  <si>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</si>
  <si>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</si>
  <si>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</si>
  <si>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</si>
  <si>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</si>
  <si>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</si>
  <si>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</si>
  <si>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</si>
  <si>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</si>
  <si>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</si>
  <si>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</si>
  <si>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</si>
  <si>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</si>
  <si>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</si>
  <si>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</si>
  <si>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</si>
  <si>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</si>
  <si>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</si>
  <si>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</si>
  <si>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</si>
  <si>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</si>
  <si>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</si>
  <si>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</si>
  <si>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</si>
  <si>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</si>
  <si>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</si>
  <si>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</si>
  <si>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</si>
  <si>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</si>
  <si>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</si>
  <si>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</si>
  <si>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</si>
  <si>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</si>
  <si>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</si>
  <si>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</si>
  <si>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</si>
  <si>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</si>
  <si>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</si>
  <si>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</si>
  <si>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</si>
  <si>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</si>
  <si>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</si>
  <si>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</si>
  <si>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</si>
  <si>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</si>
  <si>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</si>
  <si>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</si>
  <si>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</si>
  <si>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</si>
  <si>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</si>
  <si>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</si>
  <si>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</si>
  <si>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</si>
  <si>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</si>
  <si>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</si>
  <si>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</si>
  <si>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</si>
  <si>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</si>
  <si>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</si>
  <si>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</si>
  <si>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</si>
  <si>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</si>
  <si>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</si>
  <si>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</si>
  <si>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</si>
  <si>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</si>
  <si>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</si>
  <si>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</si>
  <si>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</si>
  <si>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</si>
  <si>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</si>
  <si>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</si>
  <si>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</si>
  <si>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</si>
  <si>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</si>
  <si>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</si>
  <si>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</si>
  <si>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</si>
  <si>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</si>
  <si>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</si>
  <si>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</si>
  <si>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</si>
  <si>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</si>
  <si>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</si>
  <si>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</si>
  <si>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</si>
  <si>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</si>
  <si>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</si>
  <si>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</si>
  <si>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</si>
  <si>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</si>
  <si>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</si>
  <si>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</si>
  <si>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</si>
  <si>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</si>
  <si>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</si>
  <si>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</si>
  <si>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</si>
  <si>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</si>
  <si>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</si>
  <si>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</si>
  <si>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</si>
  <si>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</si>
  <si>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</si>
  <si>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</si>
  <si>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</si>
  <si>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</si>
  <si>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</si>
  <si>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</si>
  <si>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</si>
  <si>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</si>
  <si>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</si>
  <si>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</si>
  <si>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</si>
  <si>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</si>
  <si>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</si>
  <si>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</si>
  <si>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</si>
  <si>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</si>
  <si>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</si>
  <si>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</si>
  <si>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</si>
  <si>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</si>
  <si>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</si>
  <si>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</si>
  <si>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</si>
  <si>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</si>
  <si>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</si>
  <si>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</si>
  <si>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</si>
  <si>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</si>
  <si>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</si>
  <si>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</si>
  <si>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</si>
  <si>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</si>
  <si>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</si>
  <si>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</si>
  <si>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</si>
  <si>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</si>
  <si>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</si>
  <si>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</si>
  <si>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</si>
  <si>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</si>
  <si>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</si>
  <si>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</si>
  <si>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</si>
  <si>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</si>
  <si>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</si>
  <si>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</si>
  <si>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</si>
  <si>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</si>
  <si>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</si>
  <si>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</si>
  <si>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</si>
  <si>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</si>
  <si>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</si>
  <si>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</si>
  <si>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</si>
  <si>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</si>
  <si>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</si>
  <si>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</si>
  <si>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</si>
  <si>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</si>
  <si>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</si>
  <si>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</si>
  <si>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</si>
  <si>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</si>
  <si>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</si>
  <si>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</si>
  <si>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</si>
  <si>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</si>
  <si>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</si>
  <si>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</si>
  <si>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</si>
  <si>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</si>
  <si>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</si>
  <si>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</si>
  <si>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</si>
  <si>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</si>
  <si>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</si>
  <si>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</si>
  <si>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</si>
  <si>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</si>
  <si>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</si>
  <si>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</si>
  <si>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</si>
  <si>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</si>
  <si>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</si>
  <si>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</si>
  <si>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</si>
  <si>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</si>
  <si>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</si>
  <si>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</si>
  <si>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Vagabundentalisman</t>
  </si>
  <si>
    <t>The Prowler\'s Talisman</t>
  </si>
  <si>
    <t>Thieves Guild zone storyline</t>
  </si>
  <si>
    <t>Diebes Gilde Zonen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</si>
  <si>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</si>
  <si>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</si>
  <si>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</si>
  <si>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</si>
  <si>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</si>
  <si>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sz val="11"/>
        <color rgb="FFFF0000"/>
        <rFont val="Calibri"/>
        <family val="2"/>
      </rPr>
      <t>Last updated</t>
    </r>
    <r>
      <rPr>
        <sz val="11"/>
        <rFont val="Calibri"/>
        <family val="2"/>
      </rPr>
      <t>: 2026-04-15</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</si>
  <si>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</si>
  <si>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</si>
  <si>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</si>
  <si>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</si>
  <si>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</si>
  <si>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</si>
  <si>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</si>
  <si>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</si>
  <si>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</si>
  <si>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</si>
  <si>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</si>
  <si>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</si>
  <si>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</si>
  <si>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</si>
  <si>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</si>
  <si>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</si>
  <si>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</si>
  <si>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</si>
  <si>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</si>
  <si>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</si>
  <si>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</si>
  <si>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</si>
  <si>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</si>
  <si>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</si>
  <si>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</si>
  <si>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</si>
  <si>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</si>
  <si>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</si>
  <si>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</si>
  <si>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</si>
  <si>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</si>
  <si>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</si>
  <si>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</si>
  <si>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</si>
  <si>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</si>
  <si>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</si>
  <si>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</si>
  <si>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</si>
  <si>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</si>
  <si>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</si>
  <si>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</si>
  <si>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</si>
  <si>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</si>
  <si>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</si>
  <si>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</si>
  <si>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</si>
  <si>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</si>
  <si>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</si>
  <si>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</si>
  <si>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</si>
  <si>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</si>
  <si>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</si>
  <si>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</si>
  <si>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</si>
  <si>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</si>
  <si>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</si>
  <si>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</si>
  <si>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</si>
  <si>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</si>
  <si>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</si>
  <si>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</si>
  <si>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</si>
  <si>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</si>
  <si>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</si>
  <si>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</si>
  <si>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</si>
  <si>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</si>
  <si>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</si>
  <si>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</si>
  <si>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</si>
  <si>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</si>
  <si>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</si>
  <si>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</si>
  <si>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</si>
  <si>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</si>
  <si>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</si>
  <si>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</si>
  <si>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</si>
  <si>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t>Is a dungeon?</t>
  </si>
  <si>
    <t>Is a parent zone?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</si>
  <si>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</si>
  <si>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</si>
  <si>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</si>
  <si>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</si>
  <si>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</si>
  <si>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</si>
  <si>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</si>
  <si>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</si>
  <si>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</si>
  <si>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</si>
  <si>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</si>
  <si>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</si>
  <si>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</si>
  <si>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</si>
  <si>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</si>
  <si>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</si>
  <si>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</si>
  <si>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</si>
  <si>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</si>
  <si>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</si>
  <si>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</si>
  <si>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</si>
  <si>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</si>
  <si>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</si>
  <si>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</si>
  <si>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</si>
  <si>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</si>
  <si>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</si>
  <si>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</si>
  <si>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</si>
  <si>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</si>
  <si>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</si>
  <si>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</si>
  <si>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</si>
  <si>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</si>
  <si>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</si>
  <si>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</si>
  <si>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</si>
  <si>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</si>
  <si>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</si>
  <si>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</si>
  <si>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</si>
  <si>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</si>
  <si>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</si>
  <si>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</si>
  <si>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</si>
  <si>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</si>
  <si>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</si>
  <si>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</si>
  <si>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</si>
  <si>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</si>
  <si>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</si>
  <si>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</si>
  <si>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</si>
  <si>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</si>
  <si>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</si>
  <si>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</si>
  <si>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</si>
  <si>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</si>
  <si>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</si>
  <si>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</si>
  <si>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</si>
  <si>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</si>
  <si>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</si>
  <si>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</si>
  <si>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</si>
  <si>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</si>
  <si>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</si>
  <si>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</si>
  <si>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</si>
  <si>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</si>
  <si>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</si>
  <si>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</si>
  <si>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</si>
  <si>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</si>
  <si>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</si>
  <si>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</si>
  <si>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</si>
  <si>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</si>
  <si>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</si>
  <si>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</si>
  <si>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</si>
  <si>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</si>
  <si>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</si>
  <si>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</si>
  <si>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</si>
  <si>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</si>
  <si>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</si>
  <si>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</si>
  <si>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</si>
  <si>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</si>
  <si>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</si>
  <si>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</si>
  <si>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</si>
  <si>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</si>
  <si>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</si>
  <si>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</si>
  <si>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</si>
  <si>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</si>
  <si>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</si>
  <si>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</si>
  <si>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</si>
  <si>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</si>
  <si>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</si>
  <si>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</si>
  <si>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</si>
  <si>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</si>
  <si>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</si>
  <si>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</si>
  <si>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</si>
  <si>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</si>
  <si>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</si>
  <si>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</si>
  <si>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</si>
  <si>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</si>
  <si>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</si>
  <si>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</si>
  <si>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</si>
  <si>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</si>
  <si>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</si>
  <si>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</si>
  <si>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</si>
  <si>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</si>
  <si>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</si>
  <si>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</si>
  <si>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</si>
  <si>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</si>
  <si>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</si>
  <si>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</si>
  <si>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</si>
  <si>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</si>
  <si>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</si>
  <si>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</si>
  <si>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</si>
  <si>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</si>
  <si>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</si>
  <si>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</si>
  <si>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</si>
  <si>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</si>
  <si>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</si>
  <si>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</si>
  <si>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</si>
  <si>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</si>
  <si>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</si>
  <si>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</si>
  <si>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</si>
  <si>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</si>
  <si>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</si>
  <si>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</si>
  <si>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</si>
  <si>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</si>
  <si>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</si>
  <si>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</si>
  <si>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</si>
  <si>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</si>
  <si>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</si>
  <si>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</si>
  <si>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</si>
  <si>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</si>
  <si>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</si>
  <si>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</si>
  <si>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</si>
  <si>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</si>
  <si>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</si>
  <si>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</si>
  <si>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</si>
  <si>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</si>
  <si>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</si>
  <si>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</si>
  <si>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</si>
  <si>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</si>
  <si>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</si>
  <si>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</si>
  <si>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</si>
  <si>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</si>
  <si>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</si>
  <si>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</si>
  <si>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</si>
  <si>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</si>
  <si>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</si>
  <si>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</si>
  <si>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</si>
  <si>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</si>
  <si>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</si>
  <si>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</si>
  <si>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</si>
  <si>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</si>
  <si>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</si>
  <si>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</si>
  <si>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</si>
  <si>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</si>
  <si>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</si>
  <si>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</si>
  <si>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</si>
  <si>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</si>
  <si>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</si>
  <si>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</si>
  <si>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</si>
  <si>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</si>
  <si>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</si>
  <si>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</si>
  <si>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</si>
  <si>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</si>
  <si>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</si>
  <si>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</si>
  <si>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</si>
  <si>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</si>
  <si>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</si>
  <si>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</si>
  <si>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</si>
  <si>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</si>
  <si>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</si>
  <si>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</si>
  <si>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</si>
  <si>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</si>
  <si>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</si>
  <si>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</si>
  <si>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</si>
  <si>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</si>
  <si>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</si>
  <si>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</si>
  <si>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</si>
  <si>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</si>
  <si>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</si>
  <si>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</si>
  <si>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</si>
  <si>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</si>
  <si>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</si>
  <si>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</si>
  <si>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</si>
  <si>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</si>
  <si>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</si>
  <si>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</si>
  <si>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</si>
  <si>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</si>
  <si>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</si>
  <si>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</si>
  <si>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</si>
  <si>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</si>
  <si>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</si>
  <si>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</si>
  <si>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</si>
  <si>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</si>
  <si>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</si>
  <si>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</si>
  <si>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</si>
  <si>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</si>
  <si>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</si>
  <si>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</si>
  <si>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</si>
  <si>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</si>
  <si>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</si>
  <si>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</si>
  <si>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</si>
  <si>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</si>
  <si>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</si>
  <si>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</si>
  <si>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</si>
  <si>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</si>
  <si>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</si>
  <si>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</si>
  <si>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</si>
  <si>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</si>
  <si>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</si>
  <si>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</si>
  <si>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</si>
  <si>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</si>
  <si>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</si>
  <si>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</si>
  <si>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</si>
  <si>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</si>
  <si>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</si>
  <si>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</si>
  <si>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</si>
  <si>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</si>
  <si>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</si>
  <si>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</si>
  <si>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</si>
  <si>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</si>
  <si>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</si>
  <si>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</si>
  <si>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</si>
  <si>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</si>
  <si>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</si>
  <si>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</si>
  <si>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</si>
  <si>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</si>
  <si>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</si>
  <si>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</si>
  <si>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</si>
  <si>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</si>
  <si>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</si>
  <si>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</si>
  <si>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</si>
  <si>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</si>
  <si>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</si>
  <si>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</si>
  <si>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</si>
  <si>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</si>
  <si>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</si>
  <si>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</si>
  <si>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</si>
  <si>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</si>
  <si>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</si>
  <si>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</si>
  <si>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</si>
  <si>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</si>
  <si>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</si>
  <si>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</si>
  <si>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</si>
  <si>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</si>
  <si>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</si>
  <si>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</si>
  <si>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</si>
  <si>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</si>
  <si>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</si>
  <si>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</si>
  <si>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</si>
  <si>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</si>
  <si>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</si>
  <si>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</si>
  <si>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</si>
  <si>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</si>
  <si>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</si>
  <si>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</si>
  <si>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</si>
  <si>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</si>
  <si>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</si>
  <si>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</si>
  <si>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</si>
  <si>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</si>
  <si>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</si>
  <si>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</si>
  <si>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</si>
  <si>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</si>
  <si>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</si>
  <si>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</si>
  <si>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</si>
  <si>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</si>
  <si>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</si>
  <si>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</si>
  <si>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</si>
  <si>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</si>
  <si>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</si>
  <si>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</si>
  <si>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</si>
  <si>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</si>
  <si>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</si>
  <si>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</si>
  <si>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</si>
  <si>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</si>
  <si>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</si>
  <si>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</si>
  <si>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</si>
  <si>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</si>
  <si>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</si>
  <si>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</si>
  <si>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</si>
  <si>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</si>
  <si>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</si>
  <si>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</si>
  <si>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</si>
  <si>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</si>
  <si>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</si>
  <si>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</si>
  <si>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</si>
  <si>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</si>
  <si>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</si>
  <si>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</si>
  <si>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</si>
  <si>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</si>
  <si>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</si>
  <si>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</si>
  <si>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</si>
  <si>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</si>
  <si>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</si>
  <si>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</si>
  <si>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</si>
  <si>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</si>
  <si>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</si>
  <si>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</si>
  <si>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</si>
  <si>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</si>
  <si>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</si>
  <si>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</si>
  <si>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</si>
  <si>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</si>
  <si>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</si>
  <si>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</si>
  <si>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</si>
  <si>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</si>
  <si>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</si>
  <si>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</si>
  <si>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</si>
  <si>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</si>
  <si>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</si>
  <si>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</si>
  <si>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</si>
  <si>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</si>
  <si>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</si>
  <si>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</si>
  <si>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</si>
  <si>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</si>
  <si>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</si>
  <si>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</si>
  <si>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</si>
  <si>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</si>
  <si>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</si>
  <si>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</si>
  <si>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</si>
  <si>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</si>
  <si>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</si>
  <si>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</si>
  <si>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</si>
  <si>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</si>
  <si>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</si>
  <si>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</si>
  <si>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</si>
  <si>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</si>
  <si>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</si>
  <si>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</si>
  <si>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</si>
  <si>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</si>
  <si>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</si>
  <si>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</si>
  <si>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</si>
  <si>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</si>
  <si>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</si>
  <si>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</si>
  <si>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</si>
  <si>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</si>
  <si>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</si>
  <si>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</si>
  <si>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</si>
  <si>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</si>
  <si>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</si>
  <si>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</si>
  <si>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</si>
  <si>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</si>
  <si>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</si>
  <si>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</si>
  <si>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</si>
  <si>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</si>
  <si>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</si>
  <si>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</si>
  <si>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</si>
  <si>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</si>
  <si>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</si>
  <si>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</si>
  <si>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</si>
  <si>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</si>
  <si>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</si>
  <si>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</si>
  <si>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</si>
  <si>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</si>
  <si>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</si>
  <si>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</si>
  <si>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</si>
  <si>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</si>
  <si>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</si>
  <si>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</si>
  <si>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</si>
  <si>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</si>
  <si>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</si>
  <si>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</si>
  <si>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</si>
  <si>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</si>
  <si>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</si>
  <si>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</si>
  <si>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</si>
  <si>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</si>
  <si>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</si>
  <si>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</si>
  <si>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</si>
  <si>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</si>
  <si>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</si>
  <si>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</si>
  <si>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</si>
  <si>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</si>
  <si>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</si>
  <si>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</si>
  <si>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</si>
  <si>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</si>
  <si>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</si>
  <si>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</si>
  <si>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</si>
  <si>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</si>
  <si>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</si>
  <si>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</si>
  <si>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</si>
  <si>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</si>
  <si>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</si>
  <si>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</si>
  <si>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</si>
  <si>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</si>
  <si>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</si>
  <si>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</si>
  <si>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</si>
  <si>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</si>
  <si>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</si>
  <si>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</si>
  <si>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</si>
  <si>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</si>
  <si>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</si>
  <si>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</si>
  <si>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</si>
  <si>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</si>
  <si>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</si>
  <si>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</si>
  <si>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</si>
  <si>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</si>
  <si>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</si>
  <si>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</si>
  <si>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</si>
  <si>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</si>
  <si>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</si>
  <si>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</si>
  <si>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</si>
  <si>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</si>
  <si>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</si>
  <si>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</si>
  <si>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</si>
  <si>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</si>
  <si>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</si>
  <si>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</si>
  <si>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</si>
  <si>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</si>
  <si>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</si>
  <si>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</si>
  <si>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</si>
  <si>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</si>
  <si>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</si>
  <si>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</si>
  <si>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</si>
  <si>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</si>
  <si>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</si>
  <si>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</si>
  <si>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</si>
  <si>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</si>
  <si>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</si>
  <si>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</si>
  <si>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</si>
  <si>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</si>
  <si>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</si>
  <si>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</si>
  <si>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</si>
  <si>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</si>
  <si>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</si>
  <si>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</si>
  <si>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</si>
  <si>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</si>
  <si>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</si>
  <si>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</si>
  <si>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</si>
  <si>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</si>
  <si>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</si>
  <si>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</si>
  <si>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</si>
  <si>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</si>
  <si>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</si>
  <si>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</si>
  <si>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</si>
  <si>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</si>
  <si>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</si>
  <si>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</si>
  <si>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</si>
  <si>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</si>
  <si>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</si>
  <si>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</si>
  <si>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</si>
  <si>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</si>
  <si>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</si>
  <si>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</si>
  <si>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</si>
  <si>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</si>
  <si>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</si>
  <si>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</si>
  <si>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</si>
  <si>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</si>
  <si>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</si>
  <si>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</si>
  <si>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</si>
  <si>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</si>
  <si>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</si>
  <si>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</si>
  <si>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</si>
  <si>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</si>
  <si>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</si>
  <si>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</si>
  <si>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</si>
  <si>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</si>
  <si>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</si>
  <si>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</si>
  <si>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</si>
  <si>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</si>
  <si>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</si>
  <si>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</si>
  <si>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</si>
  <si>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</si>
  <si>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</si>
  <si>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</si>
  <si>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</si>
  <si>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</si>
  <si>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</si>
  <si>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</si>
  <si>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</si>
  <si>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</si>
  <si>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</si>
  <si>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</si>
  <si>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</si>
  <si>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</si>
  <si>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</si>
  <si>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</si>
  <si>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</si>
  <si>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</si>
  <si>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</si>
  <si>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</si>
  <si>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</si>
  <si>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</si>
  <si>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</si>
  <si>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</si>
  <si>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</si>
  <si>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</si>
  <si>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</si>
  <si>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</si>
  <si>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</si>
  <si>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</si>
  <si>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</si>
  <si>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</si>
  <si>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</si>
  <si>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</si>
  <si>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</si>
  <si>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</si>
  <si>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</si>
  <si>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</si>
  <si>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</si>
  <si>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</si>
  <si>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</si>
  <si>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</si>
  <si>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</si>
  <si>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</si>
  <si>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</si>
  <si>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</si>
  <si>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</si>
  <si>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</si>
  <si>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</si>
  <si>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</si>
  <si>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</si>
  <si>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</si>
  <si>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</si>
  <si>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</si>
  <si>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</si>
  <si>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</si>
  <si>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</si>
  <si>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</si>
  <si>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</si>
  <si>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</si>
  <si>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</si>
  <si>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</si>
  <si>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</si>
  <si>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</si>
  <si>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</si>
  <si>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</si>
  <si>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</si>
  <si>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</si>
  <si>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</si>
  <si>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</si>
  <si>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</si>
  <si>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</si>
  <si>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</si>
  <si>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</si>
  <si>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</si>
  <si>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</si>
  <si>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</si>
  <si>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</si>
  <si>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</si>
  <si>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</si>
  <si>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</si>
  <si>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</si>
  <si>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</si>
  <si>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</si>
  <si>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</si>
  <si>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</si>
  <si>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</si>
  <si>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</si>
  <si>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</si>
  <si>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</si>
  <si>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</si>
  <si>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</si>
  <si>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</si>
  <si>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</si>
  <si>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</si>
  <si>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</si>
  <si>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</si>
  <si>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</si>
  <si>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</si>
  <si>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</si>
  <si>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</si>
  <si>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</si>
  <si>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</si>
  <si>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</si>
  <si>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</si>
  <si>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</si>
  <si>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</si>
  <si>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</si>
  <si>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</si>
  <si>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</si>
  <si>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</si>
  <si>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</si>
  <si>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</si>
  <si>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</si>
  <si>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</si>
  <si>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</si>
  <si>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</si>
  <si>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</si>
  <si>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</si>
  <si>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</si>
  <si>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</si>
  <si>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</si>
  <si>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</si>
  <si>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</si>
  <si>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</si>
  <si>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</si>
  <si>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</si>
  <si>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</si>
  <si>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</si>
  <si>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</si>
  <si>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</si>
  <si>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</si>
  <si>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</si>
  <si>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</si>
  <si>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</si>
  <si>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</si>
  <si>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</si>
  <si>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</si>
  <si>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</si>
  <si>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</si>
  <si>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</si>
  <si>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</si>
  <si>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</si>
  <si>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</si>
  <si>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</si>
  <si>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</si>
  <si>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</si>
  <si>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</si>
  <si>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</si>
  <si>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</si>
  <si>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</si>
  <si>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</si>
  <si>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</si>
  <si>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</si>
  <si>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</si>
  <si>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</si>
  <si>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</si>
  <si>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</si>
  <si>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</si>
  <si>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</si>
  <si>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</si>
  <si>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</si>
  <si>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</si>
  <si>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</si>
  <si>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</si>
  <si>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</si>
  <si>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</si>
  <si>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</si>
  <si>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</si>
  <si>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</si>
  <si>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</si>
  <si>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</si>
  <si>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</si>
  <si>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</si>
  <si>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</si>
  <si>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</si>
  <si>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</si>
  <si>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</si>
  <si>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</si>
  <si>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</si>
  <si>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</si>
  <si>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</si>
  <si>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</si>
  <si>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</si>
  <si>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</si>
  <si>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</si>
  <si>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</si>
  <si>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</si>
  <si>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</si>
  <si>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</si>
  <si>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</si>
  <si>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</si>
  <si>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</si>
  <si>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</si>
  <si>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</si>
  <si>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</si>
  <si>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</si>
  <si>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</si>
  <si>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</si>
  <si>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</si>
  <si>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</si>
  <si>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</si>
  <si>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</si>
  <si>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</si>
  <si>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</si>
  <si>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</si>
  <si>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</si>
  <si>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</si>
  <si>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</si>
  <si>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</si>
  <si>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</si>
  <si>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</si>
  <si>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</si>
  <si>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</si>
  <si>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</si>
  <si>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</si>
  <si>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</si>
  <si>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</si>
  <si>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</si>
  <si>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</si>
  <si>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</si>
  <si>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</si>
  <si>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</si>
  <si>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</si>
  <si>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</si>
  <si>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</si>
  <si>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</si>
  <si>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</si>
  <si>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</si>
  <si>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</si>
  <si>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</si>
  <si>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</si>
  <si>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</si>
  <si>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</si>
  <si>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</si>
  <si>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</si>
  <si>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</si>
  <si>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</si>
  <si>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</si>
  <si>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</si>
  <si>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</si>
  <si>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</si>
  <si>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</si>
  <si>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</si>
  <si>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</si>
  <si>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</si>
  <si>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</si>
  <si>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</si>
  <si>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</si>
  <si>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</si>
  <si>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</si>
  <si>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</si>
  <si>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</si>
  <si>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</si>
  <si>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</si>
  <si>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</si>
  <si>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</si>
  <si>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</si>
  <si>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</si>
  <si>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</si>
  <si>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</si>
  <si>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</si>
  <si>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</si>
  <si>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</si>
  <si>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</si>
  <si>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</si>
  <si>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</si>
  <si>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</si>
  <si>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</si>
  <si>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</si>
  <si>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</si>
  <si>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</si>
  <si>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</si>
  <si>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</si>
  <si>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</si>
  <si>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</si>
  <si>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</si>
  <si>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</si>
  <si>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</si>
  <si>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</si>
  <si>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</si>
  <si>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</si>
  <si>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</si>
  <si>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</si>
  <si>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</si>
  <si>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</si>
  <si>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</si>
  <si>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</si>
  <si>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</si>
  <si>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</si>
  <si>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</si>
  <si>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</si>
  <si>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</si>
  <si>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</si>
  <si>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</si>
  <si>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</si>
  <si>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</si>
  <si>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</si>
  <si>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</si>
  <si>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</si>
  <si>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</si>
  <si>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</si>
  <si>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</si>
  <si>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</si>
  <si>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</si>
  <si>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</si>
  <si>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</si>
  <si>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</si>
  <si>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</si>
  <si>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</si>
  <si>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</si>
  <si>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</si>
  <si>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</si>
  <si>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</si>
  <si>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</si>
  <si>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</si>
  <si>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</si>
  <si>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</si>
  <si>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</si>
  <si>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</si>
  <si>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</si>
  <si>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</si>
  <si>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</si>
  <si>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</si>
  <si>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</si>
  <si>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</si>
  <si>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</si>
  <si>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</si>
  <si>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</si>
  <si>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</si>
  <si>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</si>
  <si>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</si>
  <si>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</si>
  <si>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</si>
  <si>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</si>
  <si>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</si>
  <si>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</si>
  <si>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</si>
  <si>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</si>
  <si>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</si>
  <si>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</si>
  <si>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</si>
  <si>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</si>
  <si>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</si>
  <si>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</si>
  <si>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</si>
  <si>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</si>
  <si>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</si>
  <si>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</si>
  <si>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</si>
  <si>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</si>
  <si>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</si>
  <si>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</si>
  <si>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</si>
  <si>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</si>
  <si>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</si>
  <si>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</si>
  <si>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</si>
  <si>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</si>
  <si>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</si>
  <si>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</si>
  <si>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</si>
  <si>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</si>
  <si>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</si>
  <si>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</si>
  <si>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</si>
  <si>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</si>
  <si>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</si>
  <si>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</si>
  <si>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</si>
  <si>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</si>
  <si>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</si>
  <si>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</si>
  <si>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</si>
  <si>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</si>
  <si>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</si>
  <si>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</si>
  <si>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</si>
  <si>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</si>
  <si>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</si>
  <si>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</si>
  <si>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</si>
  <si>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</si>
  <si>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</si>
  <si>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</si>
  <si>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</si>
  <si>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</si>
  <si>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</si>
  <si>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</si>
  <si>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</si>
  <si>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</si>
  <si>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</si>
  <si>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</si>
  <si>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</si>
  <si>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</si>
  <si>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</si>
  <si>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</si>
  <si>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</si>
  <si>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</si>
  <si>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</si>
  <si>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</si>
  <si>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</si>
  <si>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</si>
  <si>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</si>
  <si>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</si>
  <si>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</si>
  <si>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</si>
  <si>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</si>
  <si>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</si>
  <si>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</si>
  <si>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</si>
  <si>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</si>
  <si>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</si>
  <si>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</si>
  <si>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</si>
  <si>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</si>
  <si>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</si>
  <si>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</si>
  <si>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</si>
  <si>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</si>
  <si>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</si>
  <si>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</si>
  <si>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</si>
  <si>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</si>
  <si>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</si>
  <si>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</si>
  <si>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</si>
  <si>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</si>
  <si>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</si>
  <si>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</si>
  <si>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</si>
  <si>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</si>
  <si>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</si>
  <si>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</si>
  <si>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</si>
  <si>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</si>
  <si>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</si>
  <si>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</si>
  <si>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</si>
  <si>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</si>
  <si>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</si>
  <si>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</si>
  <si>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</si>
  <si>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</si>
  <si>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</si>
  <si>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</si>
  <si>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</si>
  <si>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</si>
  <si>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</si>
  <si>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</si>
  <si>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</si>
  <si>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</si>
  <si>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</si>
  <si>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</si>
  <si>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</si>
  <si>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</si>
  <si>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</si>
  <si>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</si>
  <si>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</si>
  <si>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</si>
  <si>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</si>
  <si>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</si>
  <si>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</si>
  <si>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</si>
  <si>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</si>
  <si>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</si>
  <si>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</si>
  <si>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</si>
  <si>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</si>
  <si>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</si>
  <si>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</si>
  <si>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</si>
  <si>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</si>
  <si>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</si>
  <si>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</si>
  <si>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</si>
  <si>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</si>
  <si>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</si>
  <si>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</si>
  <si>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</si>
  <si>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</si>
  <si>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</si>
  <si>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</si>
  <si>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</si>
  <si>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</si>
  <si>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</si>
  <si>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</si>
  <si>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</si>
  <si>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</si>
  <si>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</si>
  <si>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</si>
  <si>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</si>
  <si>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</si>
  <si>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</si>
  <si>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</si>
  <si>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</si>
  <si>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</si>
  <si>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</si>
  <si>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</si>
  <si>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</si>
  <si>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</si>
  <si>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</si>
  <si>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</si>
  <si>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</si>
  <si>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</si>
  <si>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</si>
  <si>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</si>
  <si>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</si>
  <si>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</si>
  <si>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</si>
  <si>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</si>
  <si>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</si>
  <si>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</si>
  <si>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</si>
  <si>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</si>
  <si>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</si>
  <si>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</si>
  <si>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</si>
  <si>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</si>
  <si>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</si>
  <si>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</si>
  <si>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</si>
  <si>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</si>
  <si>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</si>
  <si>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</si>
  <si>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</si>
  <si>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</si>
  <si>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</si>
  <si>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</si>
  <si>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</si>
  <si>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</si>
  <si>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</si>
  <si>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</si>
  <si>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</si>
  <si>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</si>
  <si>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</si>
  <si>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</si>
  <si>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</si>
  <si>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</si>
  <si>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</si>
  <si>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</si>
  <si>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</si>
  <si>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</si>
  <si>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</si>
  <si>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</si>
  <si>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</si>
  <si>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</si>
  <si>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</si>
  <si>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</si>
  <si>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</si>
  <si>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</si>
  <si>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</si>
  <si>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</si>
  <si>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</si>
  <si>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</si>
  <si>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</si>
  <si>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</si>
  <si>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</si>
  <si>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</si>
  <si>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</si>
  <si>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</si>
  <si>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</si>
  <si>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</si>
  <si>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</si>
  <si>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</si>
  <si>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</si>
  <si>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</si>
  <si>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</si>
  <si>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</si>
  <si>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</si>
  <si>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</si>
  <si>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</si>
  <si>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</si>
  <si>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</si>
  <si>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</si>
  <si>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</si>
  <si>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</si>
  <si>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</si>
  <si>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</si>
  <si>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</si>
  <si>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</si>
  <si>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</si>
  <si>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</si>
  <si>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</si>
  <si>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</si>
  <si>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</si>
  <si>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</si>
  <si>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</si>
  <si>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</si>
  <si>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</si>
  <si>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</si>
  <si>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</si>
  <si>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</si>
  <si>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</si>
  <si>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</si>
  <si>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</si>
  <si>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</si>
  <si>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</si>
  <si>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</si>
  <si>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</si>
  <si>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</si>
  <si>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</si>
  <si>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</si>
  <si>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</si>
  <si>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</si>
  <si>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</si>
  <si>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</si>
  <si>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</si>
  <si>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</si>
  <si>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</si>
  <si>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</si>
  <si>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</si>
  <si>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</si>
  <si>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</si>
  <si>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</si>
  <si>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</si>
  <si>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</si>
  <si>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</si>
  <si>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</si>
  <si>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</si>
  <si>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</si>
  <si>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</si>
  <si>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</si>
  <si>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</si>
  <si>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</si>
  <si>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</si>
  <si>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</si>
  <si>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</si>
  <si>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</si>
  <si>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</si>
  <si>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</si>
  <si>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</si>
  <si>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</si>
  <si>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</si>
  <si>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</si>
  <si>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</si>
  <si>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</si>
  <si>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</si>
  <si>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</si>
  <si>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</si>
  <si>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</si>
  <si>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</si>
  <si>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</si>
  <si>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</si>
  <si>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</si>
  <si>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</si>
  <si>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</si>
  <si>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</si>
  <si>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</si>
  <si>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</si>
  <si>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</si>
  <si>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</si>
  <si>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</si>
  <si>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</si>
  <si>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</si>
  <si>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</si>
  <si>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</si>
  <si>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</si>
  <si>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</si>
  <si>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</si>
  <si>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</si>
  <si>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</si>
  <si>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</si>
  <si>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</si>
  <si>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</si>
  <si>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</si>
  <si>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</si>
  <si>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</si>
  <si>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</si>
  <si>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</si>
  <si>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</si>
  <si>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</si>
  <si>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</si>
  <si>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</si>
  <si>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</si>
  <si>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</si>
  <si>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</si>
  <si>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</si>
  <si>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</si>
  <si>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</si>
  <si>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</si>
  <si>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</si>
  <si>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</si>
  <si>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</si>
  <si>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</si>
  <si>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</si>
  <si>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</si>
  <si>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</si>
  <si>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</si>
  <si>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</si>
  <si>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</si>
  <si>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</si>
  <si>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</si>
  <si>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</si>
  <si>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</si>
  <si>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</si>
  <si>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</si>
  <si>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</si>
  <si>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</si>
  <si>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</si>
  <si>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</si>
  <si>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</si>
  <si>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</si>
  <si>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</si>
  <si>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</si>
  <si>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</si>
  <si>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</si>
  <si>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</si>
  <si>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</si>
  <si>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</si>
  <si>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</si>
  <si>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</si>
  <si>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</si>
  <si>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</si>
  <si>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</si>
  <si>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</si>
  <si>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</si>
  <si>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</si>
  <si>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</si>
  <si>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</si>
  <si>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</si>
  <si>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</si>
  <si>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</si>
  <si>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</si>
  <si>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</si>
  <si>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</si>
  <si>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</si>
  <si>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</si>
  <si>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</si>
  <si>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</si>
  <si>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</si>
  <si>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</si>
  <si>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</si>
  <si>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</si>
  <si>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</si>
  <si>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</si>
  <si>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</si>
  <si>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</si>
  <si>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</si>
  <si>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</si>
  <si>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</si>
  <si>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</si>
  <si>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</si>
  <si>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</si>
  <si>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</si>
  <si>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</si>
  <si>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</si>
  <si>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</si>
  <si>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</si>
  <si>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</si>
  <si>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</si>
  <si>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</si>
  <si>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</si>
  <si>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</si>
  <si>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</si>
  <si>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</si>
  <si>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</si>
  <si>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</si>
  <si>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</si>
  <si>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</si>
  <si>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</si>
  <si>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</si>
  <si>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</si>
  <si>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</si>
  <si>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</si>
  <si>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</si>
  <si>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</si>
  <si>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</si>
  <si>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</si>
  <si>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</si>
  <si>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</si>
  <si>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</si>
  <si>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</si>
  <si>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</si>
  <si>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</si>
  <si>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</si>
  <si>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</si>
  <si>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</si>
  <si>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</si>
  <si>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</si>
  <si>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</si>
  <si>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</si>
  <si>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</si>
  <si>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</si>
  <si>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</si>
  <si>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</si>
  <si>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</si>
  <si>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</si>
  <si>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</si>
  <si>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</si>
  <si>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</si>
  <si>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</si>
  <si>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</si>
  <si>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</si>
  <si>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</si>
  <si>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</si>
  <si>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</si>
  <si>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</si>
  <si>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</si>
  <si>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</si>
  <si>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</si>
  <si>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</si>
  <si>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</si>
  <si>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</si>
  <si>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</si>
  <si>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</si>
  <si>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</si>
  <si>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</si>
  <si>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</si>
  <si>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</si>
  <si>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</si>
  <si>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</si>
  <si>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</si>
  <si>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</si>
  <si>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</si>
  <si>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</si>
  <si>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</si>
  <si>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</si>
  <si>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</si>
  <si>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</si>
  <si>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</si>
  <si>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</si>
  <si>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</si>
  <si>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</si>
  <si>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</si>
  <si>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</si>
  <si>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</si>
  <si>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</si>
  <si>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</si>
  <si>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</si>
  <si>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</si>
  <si>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</si>
  <si>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</si>
  <si>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</si>
  <si>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</si>
  <si>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</si>
  <si>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</si>
  <si>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</si>
  <si>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</si>
  <si>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</si>
  <si>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</si>
  <si>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</si>
  <si>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</si>
  <si>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</si>
  <si>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</si>
  <si>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</si>
  <si>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</si>
  <si>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</si>
  <si>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</si>
  <si>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</si>
  <si>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</si>
  <si>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</si>
  <si>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</si>
  <si>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</si>
  <si>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</si>
  <si>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</si>
  <si>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</si>
  <si>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</si>
  <si>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</si>
  <si>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</si>
  <si>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</si>
  <si>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</si>
  <si>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</si>
  <si>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</si>
  <si>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</si>
  <si>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</si>
  <si>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</si>
  <si>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</si>
  <si>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</si>
  <si>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</si>
  <si>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</si>
  <si>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</si>
  <si>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</si>
  <si>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</si>
  <si>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</si>
  <si>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</si>
  <si>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</si>
  <si>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</si>
  <si>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</si>
  <si>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</si>
  <si>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</si>
  <si>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</si>
  <si>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</si>
  <si>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</si>
  <si>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</si>
  <si>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</si>
  <si>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</si>
  <si>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</si>
  <si>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</si>
  <si>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</si>
  <si>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</si>
  <si>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</si>
  <si>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</si>
  <si>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</si>
  <si>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</si>
  <si>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</si>
  <si>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</si>
  <si>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</si>
  <si>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</si>
  <si>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</si>
  <si>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</si>
  <si>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</si>
  <si>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</si>
  <si>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</si>
  <si>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</si>
  <si>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</si>
  <si>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</si>
  <si>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</si>
  <si>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</si>
  <si>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</si>
  <si>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</si>
  <si>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</si>
  <si>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</si>
  <si>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</si>
  <si>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</si>
  <si>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</si>
  <si>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</si>
  <si>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</si>
  <si>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</si>
  <si>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</si>
  <si>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</si>
  <si>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</si>
  <si>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</si>
  <si>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</si>
  <si>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</si>
  <si>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</si>
  <si>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</si>
  <si>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</si>
  <si>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</si>
  <si>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</si>
  <si>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</si>
  <si>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</si>
  <si>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</si>
  <si>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</si>
  <si>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</si>
  <si>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</si>
  <si>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</si>
  <si>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</si>
  <si>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</si>
  <si>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</si>
  <si>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</si>
  <si>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</si>
  <si>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</si>
  <si>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</si>
  <si>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</si>
  <si>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</si>
  <si>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</si>
  <si>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</si>
  <si>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</si>
  <si>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</si>
  <si>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</si>
  <si>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</si>
  <si>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</si>
  <si>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</si>
  <si>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</si>
  <si>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</si>
  <si>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</si>
  <si>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</si>
  <si>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</si>
  <si>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</si>
  <si>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</si>
  <si>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</si>
  <si>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</si>
  <si>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</si>
  <si>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</si>
  <si>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</si>
  <si>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</si>
  <si>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</si>
  <si>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</si>
  <si>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</si>
  <si>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</si>
  <si>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</si>
  <si>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</si>
  <si>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</si>
  <si>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</si>
  <si>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</si>
  <si>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</si>
  <si>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</si>
  <si>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</si>
  <si>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</si>
  <si>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</si>
  <si>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</si>
  <si>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</si>
  <si>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</si>
  <si>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</si>
  <si>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</si>
  <si>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</si>
  <si>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</si>
  <si>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</si>
  <si>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</si>
  <si>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</si>
  <si>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</si>
  <si>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</si>
  <si>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</si>
  <si>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</si>
  <si>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</si>
  <si>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</si>
  <si>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</si>
  <si>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</si>
  <si>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</si>
  <si>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</si>
  <si>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</si>
  <si>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</si>
  <si>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</si>
  <si>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</si>
  <si>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</si>
  <si>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</si>
  <si>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</si>
  <si>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</si>
  <si>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</si>
  <si>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</si>
  <si>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</si>
  <si>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</si>
  <si>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</si>
  <si>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</si>
  <si>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</si>
  <si>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</si>
  <si>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</si>
  <si>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</si>
  <si>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</si>
  <si>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</si>
  <si>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</si>
  <si>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</si>
  <si>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</si>
  <si>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</si>
  <si>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</si>
  <si>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</si>
  <si>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</si>
  <si>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</si>
  <si>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</si>
  <si>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</si>
  <si>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</si>
  <si>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</si>
  <si>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</si>
  <si>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</si>
  <si>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</si>
  <si>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</si>
  <si>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</si>
  <si>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</si>
  <si>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</si>
  <si>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</si>
  <si>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</si>
  <si>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</si>
  <si>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</si>
  <si>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</si>
  <si>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</si>
  <si>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</si>
  <si>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</si>
  <si>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</si>
  <si>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</si>
  <si>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</si>
  <si>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</si>
  <si>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</si>
  <si>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</si>
  <si>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</si>
  <si>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</si>
  <si>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</si>
  <si>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</si>
  <si>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</si>
  <si>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</si>
  <si>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</si>
  <si>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</si>
  <si>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</si>
  <si>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</si>
  <si>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</si>
  <si>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</si>
  <si>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</si>
  <si>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</si>
  <si>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</si>
  <si>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</si>
  <si>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</si>
  <si>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</si>
  <si>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</si>
  <si>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</si>
  <si>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</si>
  <si>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</si>
  <si>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</si>
  <si>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</si>
  <si>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</si>
  <si>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</si>
  <si>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</si>
  <si>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</si>
  <si>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</si>
  <si>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</si>
  <si>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</si>
  <si>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</si>
  <si>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</si>
  <si>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</si>
  <si>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</si>
  <si>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</si>
  <si>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</si>
  <si>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</si>
  <si>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</si>
  <si>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</si>
  <si>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</si>
  <si>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</si>
  <si>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</si>
  <si>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</si>
  <si>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</si>
  <si>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</si>
  <si>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</si>
  <si>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</si>
  <si>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</si>
  <si>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</si>
  <si>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</si>
  <si>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</si>
  <si>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</si>
  <si>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</si>
  <si>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</si>
  <si>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</si>
  <si>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</si>
  <si>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</si>
  <si>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</si>
  <si>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</si>
  <si>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</si>
  <si>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</si>
  <si>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</si>
  <si>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</si>
  <si>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</si>
  <si>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</si>
  <si>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</si>
  <si>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</si>
  <si>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</si>
  <si>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</si>
  <si>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</si>
  <si>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</si>
  <si>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</si>
  <si>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</si>
  <si>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</si>
  <si>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</si>
  <si>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</si>
  <si>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</si>
  <si>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</si>
  <si>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</si>
  <si>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</si>
  <si>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</si>
  <si>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</si>
  <si>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</si>
  <si>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</si>
  <si>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</si>
  <si>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</si>
  <si>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</si>
  <si>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</si>
  <si>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</si>
  <si>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</si>
  <si>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</si>
  <si>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</si>
  <si>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</si>
  <si>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</si>
  <si>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</si>
  <si>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</si>
  <si>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</si>
  <si>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</si>
  <si>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</si>
  <si>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</si>
  <si>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</si>
  <si>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</si>
  <si>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</si>
  <si>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</si>
  <si>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</si>
  <si>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</si>
  <si>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</si>
  <si>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</si>
  <si>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</si>
  <si>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</si>
  <si>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</si>
  <si>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</si>
  <si>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</si>
  <si>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</si>
  <si>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</si>
  <si>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</si>
  <si>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</si>
  <si>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</si>
  <si>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</si>
  <si>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</si>
  <si>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</si>
  <si>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</si>
  <si>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</si>
  <si>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</si>
  <si>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</si>
  <si>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</si>
  <si>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</si>
  <si>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</si>
  <si>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</si>
  <si>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</si>
  <si>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</si>
  <si>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</si>
  <si>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</si>
  <si>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</si>
  <si>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</si>
  <si>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</si>
  <si>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</si>
  <si>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</si>
  <si>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</si>
  <si>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</si>
  <si>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</si>
  <si>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</si>
  <si>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</si>
  <si>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</si>
  <si>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</si>
  <si>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</si>
  <si>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</si>
  <si>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</si>
  <si>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</si>
  <si>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</si>
  <si>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</si>
  <si>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</si>
  <si>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</si>
  <si>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</si>
  <si>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</si>
  <si>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</si>
  <si>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</si>
  <si>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</si>
  <si>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</si>
  <si>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</si>
  <si>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</si>
  <si>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</si>
  <si>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</si>
  <si>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</si>
  <si>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</si>
  <si>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</si>
  <si>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</si>
  <si>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</si>
  <si>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</si>
  <si>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</si>
  <si>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</si>
  <si>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</si>
  <si>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</si>
  <si>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</si>
  <si>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</si>
  <si>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</si>
  <si>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</si>
  <si>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</si>
  <si>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</si>
  <si>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</si>
  <si>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</si>
  <si>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</si>
  <si>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</si>
  <si>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</si>
  <si>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</si>
  <si>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</si>
  <si>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</si>
  <si>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</si>
  <si>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</si>
  <si>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</si>
  <si>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</si>
  <si>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</si>
  <si>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</si>
  <si>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</si>
  <si>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</si>
  <si>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</si>
  <si>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</si>
  <si>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</si>
  <si>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</si>
  <si>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</si>
  <si>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</si>
  <si>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</si>
  <si>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</si>
  <si>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</si>
  <si>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</si>
  <si>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</si>
  <si>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</si>
  <si>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</si>
  <si>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</si>
  <si>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</si>
  <si>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</si>
  <si>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</si>
  <si>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</si>
  <si>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</si>
  <si>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</si>
  <si>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</si>
  <si>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</si>
  <si>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</si>
  <si>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</si>
  <si>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</si>
  <si>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</si>
  <si>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</si>
  <si>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</si>
  <si>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</si>
  <si>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</si>
  <si>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</si>
  <si>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</si>
  <si>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</si>
  <si>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</si>
  <si>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</si>
  <si>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</si>
  <si>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</si>
  <si>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</si>
  <si>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</si>
  <si>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</si>
  <si>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</si>
  <si>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</si>
  <si>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</si>
  <si>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</si>
  <si>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</si>
  <si>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</si>
  <si>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</si>
  <si>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</si>
  <si>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</si>
  <si>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</si>
  <si>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</si>
  <si>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</si>
  <si>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</si>
  <si>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</si>
  <si>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</si>
  <si>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</si>
  <si>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</si>
  <si>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</si>
  <si>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</si>
  <si>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</si>
  <si>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</si>
  <si>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</si>
  <si>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</si>
  <si>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</si>
  <si>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</si>
  <si>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</si>
  <si>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</si>
  <si>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</si>
  <si>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</si>
  <si>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</si>
  <si>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</si>
  <si>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</si>
  <si>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</si>
  <si>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</si>
  <si>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</si>
  <si>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</si>
  <si>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</si>
  <si>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</si>
  <si>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</si>
  <si>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</si>
  <si>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</si>
  <si>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</si>
  <si>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</si>
  <si>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</si>
  <si>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</si>
  <si>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</si>
  <si>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</si>
  <si>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</si>
  <si>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</si>
  <si>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</si>
  <si>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</si>
  <si>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</si>
  <si>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</si>
  <si>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</si>
  <si>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</si>
  <si>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</si>
  <si>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</si>
  <si>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</si>
  <si>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</si>
  <si>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</si>
  <si>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</si>
  <si>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</si>
  <si>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</si>
  <si>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sz val="11"/>
        <rFont val="Calibri"/>
        <family val="2"/>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</si>
  <si>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</si>
  <si>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</si>
  <si>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</si>
  <si>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</si>
  <si>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</si>
  <si>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</si>
  <si>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</si>
  <si>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</si>
  <si>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</si>
  <si>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</si>
  <si>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</si>
  <si>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</si>
  <si>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</si>
  <si>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</si>
  <si>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</si>
  <si>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</si>
  <si>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</si>
  <si>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</si>
  <si>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</si>
  <si>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</si>
  <si>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</si>
  <si>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</si>
  <si>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</si>
  <si>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</si>
  <si>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</si>
  <si>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</si>
  <si>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</si>
  <si>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</si>
  <si>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</si>
  <si>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</si>
  <si>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</si>
  <si>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</si>
  <si>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</si>
  <si>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</si>
  <si>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</si>
  <si>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</si>
  <si>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</si>
  <si>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</si>
  <si>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</si>
  <si>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</si>
  <si>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</si>
  <si>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</si>
  <si>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</si>
  <si>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</si>
  <si>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</si>
  <si>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</si>
  <si>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</si>
  <si>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</si>
  <si>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</si>
  <si>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</si>
  <si>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</si>
  <si>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</si>
  <si>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</si>
  <si>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</si>
  <si>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</si>
  <si>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</si>
  <si>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</si>
  <si>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</si>
  <si>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</si>
  <si>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</si>
  <si>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</si>
  <si>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</si>
  <si>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</si>
  <si>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</si>
  <si>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</si>
  <si>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</si>
  <si>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</si>
  <si>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</si>
  <si>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</si>
  <si>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</si>
  <si>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</si>
  <si>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</si>
  <si>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</si>
  <si>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</si>
  <si>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</si>
  <si>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</si>
  <si>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</si>
  <si>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</si>
  <si>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</si>
  <si>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</si>
  <si>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</si>
  <si>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</si>
  <si>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</si>
  <si>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</si>
  <si>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</si>
  <si>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</si>
  <si>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</si>
  <si>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</si>
  <si>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</si>
  <si>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</si>
  <si>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</si>
  <si>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</si>
  <si>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</si>
  <si>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</si>
  <si>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</si>
  <si>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</si>
  <si>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</si>
  <si>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</si>
  <si>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</si>
  <si>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</si>
  <si>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</si>
  <si>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</si>
  <si>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</si>
  <si>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</si>
  <si>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</si>
  <si>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</si>
  <si>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r>
      <rPr>
        <b/>
        <sz val="14"/>
        <color rgb="FFFF0000"/>
        <rFont val="Calibri"/>
        <family val="2"/>
      </rPr>
      <t>[LAST UPDATE: 14.03.2021, API10034, Baertram] -&gt; CURRENTLY NOT FURTHER SUPPORTED! NOT UPDATED!!!</t>
    </r>
    <r>
      <rPr>
        <sz val="11"/>
        <color rgb="FF006100"/>
        <rFont val="Calibri"/>
        <family val="2"/>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</si>
  <si>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</si>
  <si>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b/>
        <sz val="11"/>
        <color rgb="FF9C6500"/>
        <rFont val="Calibri"/>
        <family val="2"/>
      </rPr>
      <t xml:space="preserve">Attention: </t>
    </r>
    <r>
      <rPr>
        <sz val="11"/>
        <color rgb="FF9C6500"/>
        <rFont val="Calibri"/>
        <family val="2"/>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</si>
  <si>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</si>
  <si>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</si>
  <si>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</si>
  <si>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</si>
  <si>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</si>
  <si>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</si>
  <si>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</si>
  <si>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</si>
  <si>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</si>
  <si>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</si>
  <si>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</si>
  <si>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</si>
  <si>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</si>
  <si>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</si>
  <si>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</si>
  <si>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</si>
  <si>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</si>
  <si>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</si>
  <si>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</si>
  <si>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</si>
  <si>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</si>
  <si>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</si>
  <si>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</si>
  <si>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</si>
  <si>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</si>
  <si>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</si>
  <si>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</si>
  <si>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</si>
  <si>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</si>
  <si>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</si>
  <si>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</si>
  <si>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</si>
  <si>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</si>
  <si>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</si>
  <si>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</si>
  <si>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</si>
  <si>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</si>
  <si>
    <t>Hidden Library</t>
  </si>
  <si>
    <t>Rols Boron's Warehouse</t>
  </si>
  <si>
    <t>Daggerfall</t>
  </si>
  <si>
    <t>Sage's Isle</t>
  </si>
  <si>
    <t>The Nowhere Vault</t>
  </si>
  <si>
    <t>Rogue's Refuge</t>
  </si>
  <si>
    <t>Dancing Waters Wellspring</t>
  </si>
  <si>
    <t>Star-Gazer's Vigil</t>
  </si>
  <si>
    <t>Do not remove or change this line!</t>
  </si>
  <si>
    <t>DO NOT REMOVE OR CHANGE!</t>
  </si>
  <si>
    <t>DLC_SEASON2_PART0</t>
  </si>
  <si>
    <t>Season 2 - Part 0</t>
  </si>
  <si>
    <t>September 28th 20206</t>
  </si>
  <si>
    <t>Tarcyr</t>
  </si>
  <si>
    <t>Mylenne Mondruferin</t>
  </si>
  <si>
    <t>Mylenne Moon-Caller</t>
  </si>
  <si>
    <t>LIBSETS_SETTYPE_SOLO_MONSTER</t>
  </si>
  <si>
    <t>Solo Monster</t>
  </si>
  <si>
    <t>LIBSETS_DROP_MECHANIC_SOLO_DUNGEON_BOSS</t>
  </si>
  <si>
    <t>Bosses in Solo Dungeons</t>
  </si>
  <si>
    <t>Bosse in Solo Verliesen</t>
  </si>
  <si>
    <t>U47 Monster VO</t>
  </si>
  <si>
    <t>Dwynnarth Crypts</t>
  </si>
  <si>
    <t>Shivering Isles</t>
  </si>
  <si>
    <t>Voyage on the Abecean Sea</t>
  </si>
  <si>
    <t>Yvierry Manor</t>
  </si>
  <si>
    <t>Sheogorad Chateau</t>
  </si>
  <si>
    <t>Grotto of Desires</t>
  </si>
  <si>
    <t>Dungeon: March of Sacrifices (Solo)</t>
  </si>
  <si>
    <t>Dungeon: Moon Hunter Keep (Solo)</t>
  </si>
  <si>
    <t>Ebonheart Jerall Wayshrine</t>
  </si>
  <si>
    <t>Daggerfall Jerall Wayshrine</t>
  </si>
  <si>
    <t>Vault Nexus</t>
  </si>
  <si>
    <t>Last dumped: 2026-09-20, PTS 101051</t>
  </si>
  <si>
    <t>Last dumped: 2026-06-02, PTS 101050</t>
  </si>
  <si>
    <r>
      <rPr>
        <sz val="11"/>
        <rFont val="Calibri"/>
        <family val="2"/>
      </rPr>
      <t>Last dumped: 2026-09-20, PTS 101051</t>
    </r>
    <r>
      <rPr>
        <sz val="11"/>
        <color rgb="FFFF0000"/>
        <rFont val="Calibri"/>
        <family val="2"/>
      </rPr>
      <t xml:space="preserve">	As you update zoneData copy the excel formulas of all other columns, then enter the correct ESO DLC Id in column J</t>
    </r>
  </si>
  <si>
    <t xml:space="preserve">                        [1] = "108|51|Eyevea|267|Eyevea",</t>
  </si>
  <si>
    <t xml:space="preserve">                        [3] = "660|26|Imperial City|584|Imperial City",</t>
  </si>
  <si>
    <t xml:space="preserve">                        [4] = "667|27|Wrothgar|684|Wrothgar",</t>
  </si>
  <si>
    <t xml:space="preserve">                        [5] = "994|28|Hew's Bane|816|Hew's Bane",</t>
  </si>
  <si>
    <t xml:space="preserve">                        [6] = "1006|29|Gold Coast|823|Gold Coast",</t>
  </si>
  <si>
    <t xml:space="preserve">                        [7] = "1060|30|Vvardenfell|849|Vvardenfell",</t>
  </si>
  <si>
    <t xml:space="preserve">                        [8] = "1313|31|Clockwork City|980|Clockwork City",</t>
  </si>
  <si>
    <t xml:space="preserve">                        [9] = "1349|32|Summerset|1011|Summerset",</t>
  </si>
  <si>
    <t xml:space="preserve">                        [10] = "1429|33|Artaeum|1027|Artaeum",</t>
  </si>
  <si>
    <t xml:space="preserve">                        [11] = "1484|34|Murkmire|726|Murkmire",</t>
  </si>
  <si>
    <t xml:space="preserve">                        [12] = "1555|35|Northern Elsweyr|1086|Northern Elsweyr",</t>
  </si>
  <si>
    <t xml:space="preserve">                        [13] = "1654|36|Southern Elsweyr|1133|Southern Elsweyr",</t>
  </si>
  <si>
    <t xml:space="preserve">                        [14] = "1719|37|Western Skyrim|1160|Western Skyrim",</t>
  </si>
  <si>
    <t xml:space="preserve">                        [15] = "1747|38|Blackreach: Greymoor Caverns|1161|Blackreach: Greymoor Caverns",</t>
  </si>
  <si>
    <t xml:space="preserve">                        [16] = "1814|41|The Reach|1207|The Reach",</t>
  </si>
  <si>
    <t xml:space="preserve">                        [17] = "1850|40|Blackreach: Arkthzand Cavern|1208|Blackreach: Arkthzand Cavern",</t>
  </si>
  <si>
    <t xml:space="preserve">                        [18] = "1887|42|Blackwood|1261|Blackwood",</t>
  </si>
  <si>
    <t xml:space="preserve">                        [19] = "2021|44|The Deadlands|1286|The Deadlands",</t>
  </si>
  <si>
    <t xml:space="preserve">                        [20] = "2035|46|Fargrave City District|1282|Fargrave",</t>
  </si>
  <si>
    <t xml:space="preserve">                        [21] = "2114|45|High Isle and Amenos|1318|High Isle",</t>
  </si>
  <si>
    <t xml:space="preserve">                        [22] = "2119|43|Fargrave|1283|The Shambles",</t>
  </si>
  <si>
    <t xml:space="preserve">                        [23] = "2212|47|Galen and Y'ffelon|1383|Galen",</t>
  </si>
  <si>
    <t xml:space="preserve">                        [24] = "2274|48|Telvanni Peninsula|1414|Telvanni Peninsula",</t>
  </si>
  <si>
    <t xml:space="preserve">                        [25] = "2275|49|Apocrypha|1413|Apocrypha",</t>
  </si>
  <si>
    <t xml:space="preserve">                        [26] = "2427|50|West Weald|1443|West Weald",</t>
  </si>
  <si>
    <t xml:space="preserve">                        [27] = "1|2|Glenumbra|3|Glenumbra",</t>
  </si>
  <si>
    <t xml:space="preserve">                        [28] = "7|11|Stonefalls|41|Stonefalls",</t>
  </si>
  <si>
    <t xml:space="preserve">                        [29] = "9|7|Grahtwood|383|Grahtwood",</t>
  </si>
  <si>
    <t xml:space="preserve">                        [30] = "10|3|Rivenspire|20|Rivenspire",</t>
  </si>
  <si>
    <t xml:space="preserve">                        [31] = "12|4|Stormhaven|19|Stormhaven",</t>
  </si>
  <si>
    <t xml:space="preserve">                        [32] = "13|10|Deshaan|57|Deshaan",</t>
  </si>
  <si>
    <t xml:space="preserve">                        [33] = "16|14|Cyrodiil|181|Cyrodiil",</t>
  </si>
  <si>
    <t xml:space="preserve">                        [34] = "20|6|Bangkorai|92|Bangkorai",</t>
  </si>
  <si>
    <t xml:space="preserve">                        [35] = "22|8|Malabal Tor|58|Malabal Tor",</t>
  </si>
  <si>
    <t xml:space="preserve">                        [36] = "26|9|Shadowfen|117|Shadowfen",</t>
  </si>
  <si>
    <t xml:space="preserve">                        [37] = "30|5|Alik'r Desert|104|Alik'r Desert",</t>
  </si>
  <si>
    <t xml:space="preserve">                        [38] = "61|13|Eastmarch|101|Eastmarch",</t>
  </si>
  <si>
    <t xml:space="preserve">                        [39] = "125|12|The Rift|103|The Rift",</t>
  </si>
  <si>
    <t xml:space="preserve">                        [41] = "74|22|Bleakrock Isle|280|Bleakrock Isle",</t>
  </si>
  <si>
    <t xml:space="preserve">                        [42] = "227|20|Betnikh|535|Betnikh",</t>
  </si>
  <si>
    <t xml:space="preserve">                        [43] = "255|23|Coldharbour|347|Coldharbour",</t>
  </si>
  <si>
    <t xml:space="preserve">                        [44] = "258|21|Khenarthi's Roost|537|Khenarthi's Roost",</t>
  </si>
  <si>
    <t xml:space="preserve">                        [45] = "1126|25|Craglorn|888|Craglorn",</t>
  </si>
  <si>
    <t xml:space="preserve">                        [47] = "75|18|Bal Foyen|281|Bal Foyen",</t>
  </si>
  <si>
    <t xml:space="preserve">                        [48] = "143|15|Auridon|381|Auridon",</t>
  </si>
  <si>
    <t xml:space="preserve">                        [49] = "201|19|Stros M'Kai|534|Stros M'Kai",</t>
  </si>
  <si>
    <t xml:space="preserve">                        [50] = "256|17|Reaper's March|382|Reaper's March",</t>
  </si>
  <si>
    <t xml:space="preserve">                        [51] = "300|16|Greenshade|108|Greenshade",</t>
  </si>
  <si>
    <t xml:space="preserve">                        [52] = "2603|52|Solstice|1502|Solstice",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</si>
</sst>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rgb="FF000000"/>
      <name val="Calibri"/>
      <family val="2"/>
    </font>
    <font>
      <sz val="11"/>
      <color rgb="FF006100"/>
      <name val="Calibri"/>
      <family val="2"/>
    </font>
    <font>
      <sz val="11"/>
      <color rgb="FF9C6500"/>
      <name val="Calibri"/>
      <family val="2"/>
    </font>
    <font>
      <b/>
      <sz val="11"/>
      <color rgb="FFFA7D00"/>
      <name val="Calibri"/>
      <family val="2"/>
    </font>
    <font>
      <b/>
      <sz val="11"/>
      <color rgb="FF000000"/>
      <name val="Calibri"/>
      <family val="2"/>
    </font>
    <font>
      <b/>
      <sz val="11"/>
      <color rgb="FF006100"/>
      <name val="Calibri"/>
      <family val="2"/>
    </font>
    <font>
      <strike/>
      <sz val="11"/>
      <color rgb="FFFF0000"/>
      <name val="Calibri"/>
      <family val="2"/>
    </font>
    <font>
      <b/>
      <strike/>
      <sz val="11"/>
      <color rgb="FFFF0000"/>
      <name val="Calibri"/>
      <family val="2"/>
    </font>
    <font>
      <b/>
      <sz val="16"/>
      <color rgb="FFFF0000"/>
      <name val="Calibri"/>
      <family val="2"/>
    </font>
    <font>
      <b/>
      <strike/>
      <sz val="11"/>
      <color rgb="FFFA7D00"/>
      <name val="Calibri"/>
      <family val="2"/>
    </font>
    <font>
      <strike/>
      <sz val="11"/>
      <color rgb="FF000000"/>
      <name val="Calibri"/>
      <family val="2"/>
    </font>
    <font>
      <sz val="11"/>
      <color rgb="FF3F3F76"/>
      <name val="Calibri"/>
      <family val="2"/>
    </font>
    <font>
      <sz val="11"/>
      <color rgb="FF333333"/>
      <name val="Arial"/>
      <family val="2"/>
    </font>
    <font>
      <b/>
      <sz val="11"/>
      <color rgb="FFED7D31"/>
      <name val="Calibri"/>
      <family val="2"/>
    </font>
    <font>
      <sz val="11"/>
      <color rgb="FFFF0000"/>
      <name val="Calibri"/>
      <family val="2"/>
    </font>
    <font>
      <sz val="11"/>
      <color rgb="FF70AD47"/>
      <name val="Calibri"/>
      <family val="2"/>
    </font>
    <font>
      <b/>
      <sz val="11"/>
      <color rgb="FF70AD47"/>
      <name val="Calibri"/>
      <family val="2"/>
    </font>
    <font>
      <b/>
      <sz val="11"/>
      <color rgb="FFFF0000"/>
      <name val="Calibri"/>
      <family val="2"/>
    </font>
    <font>
      <b/>
      <sz val="11"/>
      <color rgb="FF3F3F3F"/>
      <name val="Calibri"/>
      <family val="2"/>
    </font>
    <font>
      <sz val="10"/>
      <color rgb="FF014FFF"/>
      <name val="Courier New"/>
      <family val="3"/>
    </font>
    <font>
      <sz val="10"/>
      <color rgb="FF067D17"/>
      <name val="Consolas"/>
      <family val="3"/>
    </font>
    <font>
      <sz val="11"/>
      <color rgb="FFFFFFFF"/>
      <name val="Calibri"/>
      <family val="2"/>
    </font>
    <font>
      <sz val="10"/>
      <color rgb="FF080808"/>
      <name val="Consolas"/>
      <family val="3"/>
    </font>
    <font>
      <sz val="12"/>
      <color rgb="FF006600"/>
      <name val="Roboto Condensed"/>
    </font>
    <font>
      <sz val="12"/>
      <color rgb="FFFF0000"/>
      <name val="Calibri"/>
      <family val="2"/>
    </font>
    <font>
      <sz val="10"/>
      <color rgb="FF0037A6"/>
      <name val="Consolas"/>
      <family val="3"/>
    </font>
    <font>
      <sz val="11"/>
      <color rgb="FF000000"/>
      <name val="Calibri"/>
      <family val="2"/>
    </font>
    <font>
      <b/>
      <sz val="14"/>
      <color rgb="FFFF0000"/>
      <name val="Calibri"/>
      <family val="2"/>
    </font>
    <font>
      <b/>
      <sz val="11"/>
      <color rgb="FF9C6500"/>
      <name val="Calibri"/>
      <family val="2"/>
    </font>
    <font>
      <b/>
      <sz val="11"/>
      <name val="Calibri"/>
      <family val="2"/>
    </font>
    <font>
      <sz val="10"/>
      <name val="Consolas"/>
      <family val="3"/>
    </font>
    <font>
      <sz val="11"/>
      <name val="Calibri"/>
      <family val="2"/>
    </font>
    <font>
      <sz val="11"/>
      <color rgb="FF9C0006"/>
      <name val="Calibri"/>
      <family val="2"/>
      <scheme val="minor"/>
    </font>
  </fonts>
  <fills count="30">
    <fill>
      <patternFill patternType="none"/>
    </fill>
    <fill>
      <patternFill patternType="gray125"/>
    </fill>
    <fill>
      <patternFill patternType="solid">
        <fgColor rgb="FFC6EFCE"/>
        <bgColor rgb="FFFFFFFF"/>
      </patternFill>
    </fill>
    <fill>
      <patternFill patternType="solid">
        <fgColor rgb="FFFFEB9C"/>
        <bgColor rgb="FFFFFFFF"/>
      </patternFill>
    </fill>
    <fill>
      <patternFill patternType="solid">
        <fgColor rgb="FFF2F2F2"/>
        <bgColor rgb="FFFFFFFF"/>
      </patternFill>
    </fill>
    <fill>
      <patternFill patternType="solid">
        <fgColor rgb="FFFFFFCC"/>
        <bgColor rgb="FFFFFFFF"/>
      </patternFill>
    </fill>
    <fill>
      <patternFill patternType="solid">
        <fgColor rgb="FFFFCC99"/>
        <bgColor rgb="FFFFFFFF"/>
      </patternFill>
    </fill>
    <fill>
      <patternFill patternType="solid">
        <fgColor rgb="FFF2F2F2"/>
        <bgColor rgb="FFFFFFFF"/>
      </patternFill>
    </fill>
    <fill>
      <patternFill patternType="solid">
        <fgColor rgb="FFFFEB9C"/>
        <bgColor rgb="FFFFFFFF"/>
      </patternFill>
    </fill>
    <fill>
      <patternFill patternType="solid">
        <fgColor rgb="FFF2F2F2"/>
        <bgColor rgb="FFFFFFFF"/>
      </patternFill>
    </fill>
    <fill>
      <patternFill patternType="solid">
        <fgColor rgb="FFFFFF00"/>
        <bgColor rgb="FFFFFFFF"/>
      </patternFill>
    </fill>
    <fill>
      <patternFill patternType="solid">
        <fgColor rgb="FFFFFFCC"/>
        <bgColor rgb="FFFFFFFF"/>
      </patternFill>
    </fill>
    <fill>
      <patternFill patternType="solid">
        <fgColor rgb="FFFFFF00"/>
        <bgColor rgb="FFFFFFFF"/>
      </patternFill>
    </fill>
    <fill>
      <patternFill patternType="solid">
        <fgColor rgb="FFFFFFFF"/>
        <bgColor rgb="FFFFFFFF"/>
      </patternFill>
    </fill>
    <fill>
      <patternFill patternType="solid">
        <fgColor rgb="FFFF0000"/>
        <bgColor rgb="FFFFFFFF"/>
      </patternFill>
    </fill>
    <fill>
      <patternFill patternType="solid">
        <fgColor rgb="FF000000"/>
        <bgColor rgb="FFFFFFFF"/>
      </patternFill>
    </fill>
    <fill>
      <patternFill patternType="solid">
        <fgColor rgb="FFEBEBEB"/>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C6EFCE"/>
        <bgColor rgb="FFFFFFFF"/>
      </patternFill>
    </fill>
    <fill>
      <patternFill patternType="solid">
        <fgColor rgb="FFF2F2F2"/>
        <bgColor rgb="FFFFFFFF"/>
      </patternFill>
    </fill>
    <fill>
      <patternFill patternType="solid">
        <fgColor rgb="FFFFCC99"/>
        <bgColor rgb="FFFFFFFF"/>
      </patternFill>
    </fill>
    <fill>
      <patternFill patternType="solid">
        <fgColor rgb="FFF2F2F2"/>
        <bgColor rgb="FFFFFFFF"/>
      </patternFill>
    </fill>
    <fill>
      <patternFill patternType="solid">
        <fgColor rgb="FFFFCC99"/>
        <bgColor rgb="FFFFFFFF"/>
      </patternFill>
    </fill>
    <fill>
      <patternFill patternType="solid">
        <fgColor rgb="FFFFFF00"/>
        <bgColor rgb="FFFFFFFF"/>
      </patternFill>
    </fill>
    <fill>
      <patternFill patternType="solid">
        <fgColor rgb="FFC6EFCE"/>
        <bgColor rgb="FFFFFFFF"/>
      </patternFill>
    </fill>
    <fill>
      <patternFill patternType="solid">
        <fgColor rgb="FFFFFF00"/>
        <bgColor rgb="FFFFFFFF"/>
      </patternFill>
    </fill>
    <fill>
      <patternFill patternType="solid">
        <fgColor rgb="FFFFC7CE"/>
      </patternFill>
    </fill>
  </fills>
  <borders count="33">
    <border>
      <left/>
      <right/>
      <top/>
      <bottom/>
      <diagonal/>
    </border>
    <border>
      <left/>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right/>
      <top/>
      <bottom/>
      <diagonal/>
    </border>
    <border>
      <left/>
      <right/>
      <top/>
      <bottom/>
      <diagonal/>
    </border>
    <border>
      <left style="thin">
        <color rgb="FF7F7F7F"/>
      </left>
      <right style="thin">
        <color rgb="FF7F7F7F"/>
      </right>
      <top/>
      <bottom/>
      <diagonal/>
    </border>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
      <left style="thin">
        <color rgb="FF3F3F3F"/>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rgb="FF7F7F7F"/>
      </right>
      <top style="thin">
        <color rgb="FF7F7F7F"/>
      </top>
      <bottom style="thin">
        <color rgb="FF7F7F7F"/>
      </bottom>
      <diagonal/>
    </border>
    <border>
      <left style="thin">
        <color rgb="FF7F7F7F"/>
      </left>
      <right style="thin">
        <color rgb="FF7F7F7F"/>
      </right>
      <top/>
      <bottom/>
      <diagonal/>
    </border>
    <border>
      <left style="thin">
        <color rgb="FF7F7F7F"/>
      </left>
      <right/>
      <top/>
      <bottom/>
      <diagonal/>
    </border>
    <border>
      <left/>
      <right style="thin">
        <color rgb="FF7F7F7F"/>
      </right>
      <top/>
      <bottom/>
      <diagonal/>
    </border>
    <border>
      <left/>
      <right/>
      <top/>
      <bottom/>
      <diagonal/>
    </border>
  </borders>
  <cellStyleXfs count="8">
    <xf numFmtId="0" fontId="0" fillId="0" borderId="0"/>
    <xf numFmtId="0" fontId="1" fillId="2" borderId="1" applyNumberFormat="0" applyBorder="0" applyAlignment="0" applyProtection="0"/>
    <xf numFmtId="0" fontId="2" fillId="3" borderId="2" applyNumberFormat="0" applyBorder="0" applyAlignment="0" applyProtection="0"/>
    <xf numFmtId="0" fontId="3" fillId="4" borderId="3" applyNumberFormat="0" applyAlignment="0" applyProtection="0"/>
    <xf numFmtId="0" fontId="26" fillId="5" borderId="4" applyNumberFormat="0" applyFont="0" applyAlignment="0" applyProtection="0"/>
    <xf numFmtId="0" fontId="11" fillId="6" borderId="5" applyNumberFormat="0" applyAlignment="0" applyProtection="0"/>
    <xf numFmtId="0" fontId="18" fillId="7" borderId="6" applyNumberFormat="0" applyAlignment="0" applyProtection="0"/>
    <xf numFmtId="0" fontId="32" fillId="29" borderId="0" applyNumberFormat="0" applyBorder="0" applyAlignment="0" applyProtection="0"/>
  </cellStyleXfs>
  <cellXfs count="111">
    <xf numFmtId="0" fontId="0" fillId="0" borderId="0" xfId="0"/>
    <xf numFmtId="0" fontId="1" fillId="2" borderId="1" xfId="1"/>
    <xf numFmtId="0" fontId="2" fillId="3" borderId="2" xfId="2"/>
    <xf numFmtId="0" fontId="3" fillId="4" borderId="3" xfId="3"/>
    <xf numFmtId="0" fontId="11" fillId="6" borderId="5" xfId="5"/>
    <xf numFmtId="0" fontId="18" fillId="7" borderId="6" xfId="6"/>
    <xf numFmtId="0" fontId="4" fillId="0" borderId="0" xfId="0" applyFont="1"/>
    <xf numFmtId="49" fontId="0" fillId="0" borderId="0" xfId="0" applyNumberFormat="1"/>
    <xf numFmtId="0" fontId="5" fillId="2" borderId="1" xfId="1" applyFont="1"/>
    <xf numFmtId="0" fontId="3" fillId="4" borderId="3" xfId="3" applyAlignment="1">
      <alignment vertical="center"/>
    </xf>
    <xf numFmtId="49" fontId="4" fillId="0" borderId="0" xfId="0" applyNumberFormat="1" applyFont="1"/>
    <xf numFmtId="0" fontId="4" fillId="0" borderId="0" xfId="0" applyFont="1" applyAlignment="1">
      <alignment wrapText="1"/>
    </xf>
    <xf numFmtId="0" fontId="1" fillId="2" borderId="1" xfId="1" applyAlignment="1">
      <alignment vertical="center"/>
    </xf>
    <xf numFmtId="0" fontId="3" fillId="4" borderId="3" xfId="3" applyAlignment="1">
      <alignment wrapText="1"/>
    </xf>
    <xf numFmtId="0" fontId="6" fillId="0" borderId="0" xfId="0" applyFont="1"/>
    <xf numFmtId="0" fontId="6" fillId="2" borderId="1" xfId="1" applyFont="1"/>
    <xf numFmtId="0" fontId="3" fillId="5" borderId="4" xfId="4" applyFont="1"/>
    <xf numFmtId="0" fontId="2" fillId="8" borderId="7" xfId="2" applyFill="1" applyBorder="1" applyAlignment="1">
      <alignment vertical="center"/>
    </xf>
    <xf numFmtId="0" fontId="2" fillId="8" borderId="7" xfId="2" applyFill="1" applyBorder="1"/>
    <xf numFmtId="0" fontId="3" fillId="5" borderId="4" xfId="4" applyFont="1" applyAlignment="1">
      <alignment wrapText="1"/>
    </xf>
    <xf numFmtId="0" fontId="0" fillId="0" borderId="0" xfId="0" applyAlignment="1">
      <alignment wrapText="1"/>
    </xf>
    <xf numFmtId="0" fontId="6" fillId="2" borderId="1" xfId="1" applyFont="1" applyAlignment="1">
      <alignment vertical="center"/>
    </xf>
    <xf numFmtId="0" fontId="7" fillId="4" borderId="3" xfId="3" applyFont="1"/>
    <xf numFmtId="0" fontId="9" fillId="4" borderId="3" xfId="3" applyFont="1" applyAlignment="1">
      <alignment vertical="center"/>
    </xf>
    <xf numFmtId="0" fontId="10" fillId="0" borderId="0" xfId="0" applyFont="1"/>
    <xf numFmtId="0" fontId="11" fillId="6" borderId="5" xfId="5" applyAlignment="1">
      <alignment wrapText="1"/>
    </xf>
    <xf numFmtId="0" fontId="12" fillId="0" borderId="0" xfId="0" applyFont="1"/>
    <xf numFmtId="0" fontId="12" fillId="0" borderId="0" xfId="0" applyFont="1" applyAlignment="1">
      <alignment wrapText="1"/>
    </xf>
    <xf numFmtId="0" fontId="8" fillId="0" borderId="0" xfId="3" applyFont="1" applyFill="1" applyBorder="1"/>
    <xf numFmtId="0" fontId="0" fillId="0" borderId="8" xfId="0" applyBorder="1"/>
    <xf numFmtId="0" fontId="3" fillId="9" borderId="9" xfId="3" applyFill="1" applyBorder="1"/>
    <xf numFmtId="0" fontId="14" fillId="0" borderId="0" xfId="1" applyFont="1" applyFill="1" applyBorder="1"/>
    <xf numFmtId="0" fontId="14" fillId="0" borderId="0" xfId="0" applyFont="1"/>
    <xf numFmtId="0" fontId="15" fillId="0" borderId="0" xfId="0" applyFont="1"/>
    <xf numFmtId="0" fontId="16" fillId="4" borderId="3" xfId="3" applyFont="1" applyAlignment="1">
      <alignment vertical="center"/>
    </xf>
    <xf numFmtId="0" fontId="16" fillId="4" borderId="3" xfId="3" applyFont="1"/>
    <xf numFmtId="0" fontId="17" fillId="4" borderId="3" xfId="3" applyFont="1"/>
    <xf numFmtId="0" fontId="17" fillId="4" borderId="3" xfId="3" applyFont="1" applyAlignment="1">
      <alignment vertical="center"/>
    </xf>
    <xf numFmtId="0" fontId="1" fillId="10" borderId="10" xfId="1" applyFill="1" applyBorder="1"/>
    <xf numFmtId="0" fontId="0" fillId="10" borderId="10" xfId="0" applyFill="1" applyBorder="1"/>
    <xf numFmtId="0" fontId="0" fillId="11" borderId="11" xfId="4" applyFont="1" applyFill="1" applyBorder="1"/>
    <xf numFmtId="0" fontId="0" fillId="0" borderId="12" xfId="0" applyBorder="1"/>
    <xf numFmtId="0" fontId="0" fillId="12" borderId="13" xfId="0" applyFill="1" applyBorder="1"/>
    <xf numFmtId="0" fontId="18" fillId="7" borderId="6" xfId="6" applyAlignment="1">
      <alignment wrapText="1"/>
    </xf>
    <xf numFmtId="0" fontId="2" fillId="3" borderId="2" xfId="2" applyAlignment="1">
      <alignment wrapText="1"/>
    </xf>
    <xf numFmtId="0" fontId="19" fillId="13" borderId="14" xfId="0" applyFont="1" applyFill="1" applyBorder="1" applyAlignment="1">
      <alignment vertical="center"/>
    </xf>
    <xf numFmtId="0" fontId="0" fillId="10" borderId="10" xfId="0" applyFill="1" applyBorder="1" applyAlignment="1">
      <alignment horizontal="left"/>
    </xf>
    <xf numFmtId="0" fontId="4" fillId="0" borderId="8" xfId="3" applyFont="1" applyFill="1" applyBorder="1" applyAlignment="1">
      <alignment wrapText="1"/>
    </xf>
    <xf numFmtId="0" fontId="4" fillId="0" borderId="8" xfId="3" applyFont="1" applyFill="1" applyBorder="1"/>
    <xf numFmtId="0" fontId="0" fillId="0" borderId="0" xfId="3" applyFont="1" applyFill="1" applyBorder="1"/>
    <xf numFmtId="0" fontId="1" fillId="14" borderId="15" xfId="1" applyFill="1" applyBorder="1"/>
    <xf numFmtId="0" fontId="0" fillId="14" borderId="15" xfId="0" applyFill="1" applyBorder="1"/>
    <xf numFmtId="0" fontId="4" fillId="0" borderId="0" xfId="3" applyFont="1" applyFill="1" applyBorder="1"/>
    <xf numFmtId="0" fontId="0" fillId="0" borderId="8" xfId="3" applyFont="1" applyFill="1" applyBorder="1"/>
    <xf numFmtId="0" fontId="0" fillId="13" borderId="14" xfId="0" applyFill="1" applyBorder="1"/>
    <xf numFmtId="0" fontId="0" fillId="0" borderId="16" xfId="0" applyBorder="1"/>
    <xf numFmtId="0" fontId="20" fillId="0" borderId="0" xfId="0" applyFont="1" applyAlignment="1">
      <alignment vertical="center"/>
    </xf>
    <xf numFmtId="0" fontId="11" fillId="6" borderId="5" xfId="5" applyAlignment="1">
      <alignment vertical="center"/>
    </xf>
    <xf numFmtId="0" fontId="22" fillId="0" borderId="0" xfId="0" applyFont="1" applyAlignment="1">
      <alignment vertical="center"/>
    </xf>
    <xf numFmtId="0" fontId="3" fillId="0" borderId="8" xfId="3" applyFill="1" applyBorder="1"/>
    <xf numFmtId="49" fontId="4" fillId="0" borderId="0" xfId="0" applyNumberFormat="1" applyFont="1" applyAlignment="1">
      <alignment wrapText="1"/>
    </xf>
    <xf numFmtId="49" fontId="0" fillId="15" borderId="17" xfId="0" applyNumberFormat="1" applyFill="1" applyBorder="1"/>
    <xf numFmtId="0" fontId="11" fillId="16" borderId="18" xfId="5" applyFill="1" applyBorder="1"/>
    <xf numFmtId="0" fontId="23" fillId="0" borderId="0" xfId="0" applyFont="1"/>
    <xf numFmtId="0" fontId="24" fillId="10" borderId="10" xfId="1" applyFont="1" applyFill="1" applyBorder="1" applyAlignment="1">
      <alignment horizontal="left"/>
    </xf>
    <xf numFmtId="0" fontId="17" fillId="7" borderId="6" xfId="6" applyFont="1"/>
    <xf numFmtId="0" fontId="17" fillId="7" borderId="6" xfId="6" applyFont="1" applyAlignment="1">
      <alignment wrapText="1"/>
    </xf>
    <xf numFmtId="0" fontId="18" fillId="9" borderId="9" xfId="6" applyFill="1" applyBorder="1" applyAlignment="1">
      <alignment wrapText="1"/>
    </xf>
    <xf numFmtId="0" fontId="3" fillId="7" borderId="6" xfId="3" applyFill="1" applyBorder="1"/>
    <xf numFmtId="0" fontId="1" fillId="17" borderId="19" xfId="1" applyFill="1" applyBorder="1"/>
    <xf numFmtId="0" fontId="3" fillId="18" borderId="20" xfId="3" applyFill="1" applyBorder="1"/>
    <xf numFmtId="0" fontId="1" fillId="19" borderId="21" xfId="1" applyFill="1" applyBorder="1"/>
    <xf numFmtId="0" fontId="17" fillId="20" borderId="22" xfId="6" applyFont="1" applyFill="1" applyBorder="1"/>
    <xf numFmtId="0" fontId="17" fillId="20" borderId="22" xfId="6" applyFont="1" applyFill="1" applyBorder="1" applyAlignment="1">
      <alignment wrapText="1"/>
    </xf>
    <xf numFmtId="0" fontId="1" fillId="21" borderId="23" xfId="1" applyFill="1" applyBorder="1"/>
    <xf numFmtId="0" fontId="17" fillId="22" borderId="24" xfId="3" applyFont="1" applyFill="1" applyBorder="1"/>
    <xf numFmtId="0" fontId="3" fillId="22" borderId="24" xfId="3" applyFill="1" applyBorder="1"/>
    <xf numFmtId="0" fontId="14" fillId="0" borderId="25" xfId="0" applyFont="1" applyBorder="1"/>
    <xf numFmtId="0" fontId="14" fillId="10" borderId="10" xfId="1" applyFont="1" applyFill="1" applyBorder="1"/>
    <xf numFmtId="49" fontId="0" fillId="10" borderId="10" xfId="0" applyNumberFormat="1" applyFill="1" applyBorder="1"/>
    <xf numFmtId="0" fontId="11" fillId="23" borderId="26" xfId="0" applyFont="1" applyFill="1" applyBorder="1"/>
    <xf numFmtId="0" fontId="7" fillId="4" borderId="3" xfId="3" applyFont="1" applyAlignment="1">
      <alignment vertical="center"/>
    </xf>
    <xf numFmtId="0" fontId="14" fillId="2" borderId="1" xfId="1" applyFont="1"/>
    <xf numFmtId="0" fontId="18" fillId="4" borderId="3" xfId="6" applyFill="1" applyBorder="1"/>
    <xf numFmtId="0" fontId="0" fillId="0" borderId="0" xfId="0" applyAlignment="1">
      <alignment vertical="center" wrapText="1"/>
    </xf>
    <xf numFmtId="0" fontId="18" fillId="24" borderId="27" xfId="0" applyFont="1" applyFill="1" applyBorder="1"/>
    <xf numFmtId="0" fontId="4" fillId="0" borderId="8" xfId="0" applyFont="1" applyBorder="1"/>
    <xf numFmtId="0" fontId="4" fillId="0" borderId="28" xfId="0" applyFont="1" applyBorder="1"/>
    <xf numFmtId="15" fontId="4" fillId="0" borderId="0" xfId="0" applyNumberFormat="1" applyFont="1"/>
    <xf numFmtId="15" fontId="0" fillId="0" borderId="0" xfId="0" applyNumberFormat="1"/>
    <xf numFmtId="0" fontId="11" fillId="25" borderId="29" xfId="5" applyFill="1" applyBorder="1"/>
    <xf numFmtId="0" fontId="0" fillId="28" borderId="32" xfId="0" applyFill="1" applyBorder="1"/>
    <xf numFmtId="0" fontId="1" fillId="28" borderId="32" xfId="1" applyFill="1" applyBorder="1"/>
    <xf numFmtId="0" fontId="14" fillId="17" borderId="19" xfId="1" applyFont="1" applyFill="1" applyBorder="1"/>
    <xf numFmtId="0" fontId="14" fillId="21" borderId="23" xfId="1" applyFont="1" applyFill="1" applyBorder="1"/>
    <xf numFmtId="0" fontId="14" fillId="19" borderId="21" xfId="1" applyFont="1" applyFill="1" applyBorder="1"/>
    <xf numFmtId="0" fontId="17" fillId="17" borderId="19" xfId="1" applyFont="1" applyFill="1" applyBorder="1"/>
    <xf numFmtId="0" fontId="32" fillId="29" borderId="0" xfId="7"/>
    <xf numFmtId="0" fontId="1" fillId="28" borderId="1" xfId="1" applyFill="1"/>
    <xf numFmtId="0" fontId="21" fillId="0" borderId="0" xfId="1" applyFont="1" applyFill="1" applyBorder="1" applyAlignment="1">
      <alignment horizontal="left" vertical="top"/>
    </xf>
    <xf numFmtId="0" fontId="4" fillId="26" borderId="30" xfId="3" applyFont="1" applyFill="1" applyBorder="1" applyAlignment="1">
      <alignment horizontal="left" vertical="center"/>
    </xf>
    <xf numFmtId="0" fontId="4" fillId="10" borderId="10" xfId="3" applyFont="1" applyFill="1" applyBorder="1" applyAlignment="1">
      <alignment horizontal="left" vertical="center"/>
    </xf>
    <xf numFmtId="0" fontId="4" fillId="26" borderId="30" xfId="0" applyFont="1" applyFill="1" applyBorder="1" applyAlignment="1">
      <alignment horizontal="left" vertical="center"/>
    </xf>
    <xf numFmtId="0" fontId="4" fillId="10" borderId="10" xfId="0" applyFont="1" applyFill="1" applyBorder="1" applyAlignment="1">
      <alignment horizontal="left" vertical="center"/>
    </xf>
    <xf numFmtId="0" fontId="1" fillId="0" borderId="0" xfId="1" applyFill="1" applyBorder="1" applyAlignment="1">
      <alignment horizontal="left" wrapText="1"/>
    </xf>
    <xf numFmtId="0" fontId="0" fillId="10" borderId="10" xfId="0" applyFill="1" applyBorder="1" applyAlignment="1">
      <alignment horizontal="center"/>
    </xf>
    <xf numFmtId="0" fontId="0" fillId="10" borderId="10" xfId="0" applyFill="1" applyBorder="1" applyAlignment="1">
      <alignment horizontal="left"/>
    </xf>
    <xf numFmtId="0" fontId="0" fillId="0" borderId="0" xfId="0" applyAlignment="1">
      <alignment horizontal="left"/>
    </xf>
    <xf numFmtId="0" fontId="14" fillId="2" borderId="1" xfId="1" applyFont="1" applyAlignment="1">
      <alignment horizontal="left" vertical="center"/>
    </xf>
    <xf numFmtId="0" fontId="14" fillId="27" borderId="31" xfId="1" applyFont="1" applyFill="1" applyBorder="1" applyAlignment="1">
      <alignment horizontal="left" vertical="center"/>
    </xf>
    <xf numFmtId="0" fontId="0" fillId="0" borderId="0" xfId="0" applyAlignment="1">
      <alignment horizontal="left" vertical="top"/>
    </xf>
  </cellXfs>
  <cellStyles count="8">
    <cellStyle name="Bad" xfId="7" builtinId="27"/>
    <cellStyle name="Calculation" xfId="3" builtinId="22" customBuiltin="1"/>
    <cellStyle name="Good" xfId="1" builtinId="26" customBuiltin="1"/>
    <cellStyle name="Input" xfId="5" builtinId="20" customBuiltin="1"/>
    <cellStyle name="Neutral" xfId="2" builtinId="28" customBuiltin="1"/>
    <cellStyle name="Normal" xfId="0" builtinId="0" customBuiltin="1"/>
    <cellStyle name="Note" xfId="4" builtinId="10" customBuiltin="1"/>
    <cellStyle name="Output" xfId="6" builtinId="21" customBuiltin="1"/>
  </cellStyles>
  <dxfs count="17">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s>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 uri="smNativeData">
      <pm:charStyles xmlns:pm="smNativeData" id="1776253831" count="1">
        <pm:charStyle name="Normal" fontId="0" Id="1"/>
      </pm:charStyles>
      <pm:colors xmlns:pm="smNativeData" id="1776253831"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eric001">
    <tabColor rgb="FF002060"/>
  </sheetPr>
  <dimension ref="A1:L48"/>
  <sheetViews>
    <sheetView workbookViewId="0">
      <pane xSplit="1" ySplit="2" topLeftCell="B38"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2" max="2" width="34.140625" customWidth="1"/>
    <col min="3" max="3" width="66.7109375" customWidth="1"/>
    <col min="4" max="4" width="13.42578125" customWidth="1"/>
  </cols>
  <sheetData>
    <row r="1" spans="1:12" s="48" customFormat="1" x14ac:dyDescent="0.25">
      <c r="A1" s="100" t="s">
        <v>0</v>
      </c>
      <c r="B1" s="101"/>
      <c r="C1" s="101"/>
      <c r="D1" s="101"/>
      <c r="E1" s="101"/>
      <c r="F1" s="101"/>
      <c r="G1" s="101"/>
      <c r="H1" s="101"/>
      <c r="I1" s="101"/>
      <c r="J1" s="52"/>
      <c r="K1" s="52"/>
      <c r="L1" s="52"/>
    </row>
    <row r="2" spans="1:12" x14ac:dyDescent="0.25">
      <c r="A2" s="3" t="s">
        <v>1</v>
      </c>
      <c r="B2" s="6" t="s">
        <v>2</v>
      </c>
      <c r="C2" s="6" t="s">
        <v>3</v>
      </c>
      <c r="D2" s="6" t="s">
        <v>4</v>
      </c>
    </row>
    <row r="3" spans="1:12" x14ac:dyDescent="0.25">
      <c r="A3" s="3">
        <f t="array" aca="1" ref="A3" ca="1">INDIRECT(ADDRESS(ROW()+1,COLUMN()))</f>
        <v>0</v>
      </c>
      <c r="B3" s="33" t="s">
        <v>5</v>
      </c>
      <c r="C3" s="33" t="s">
        <v>6</v>
      </c>
    </row>
    <row r="4" spans="1:12" x14ac:dyDescent="0.25">
      <c r="A4" s="3">
        <v>0</v>
      </c>
      <c r="B4" t="s">
        <v>7</v>
      </c>
      <c r="C4" s="6" t="s">
        <v>8</v>
      </c>
      <c r="D4" t="s">
        <v>9</v>
      </c>
    </row>
    <row r="5" spans="1:12" x14ac:dyDescent="0.25">
      <c r="A5" s="3">
        <f t="array" aca="1" ref="A5" ca="1">INDIRECT(ADDRESS(ROW()-1,COLUMN()))+1</f>
        <v>1</v>
      </c>
      <c r="B5" t="s">
        <v>10</v>
      </c>
      <c r="C5" s="7" t="s">
        <v>11</v>
      </c>
      <c r="D5" t="s">
        <v>12</v>
      </c>
    </row>
    <row r="6" spans="1:12" x14ac:dyDescent="0.25">
      <c r="A6" s="3">
        <f t="array" aca="1" ref="A6" ca="1">INDIRECT(ADDRESS(ROW()-1,COLUMN()))+1</f>
        <v>2</v>
      </c>
      <c r="B6" t="s">
        <v>13</v>
      </c>
      <c r="C6" t="s">
        <v>14</v>
      </c>
      <c r="D6" t="s">
        <v>15</v>
      </c>
    </row>
    <row r="7" spans="1:12" x14ac:dyDescent="0.25">
      <c r="A7" s="3">
        <f t="array" aca="1" ref="A7" ca="1">INDIRECT(ADDRESS(ROW()-1,COLUMN()))+1</f>
        <v>3</v>
      </c>
      <c r="B7" t="s">
        <v>16</v>
      </c>
      <c r="C7" t="s">
        <v>17</v>
      </c>
      <c r="D7" t="s">
        <v>18</v>
      </c>
    </row>
    <row r="8" spans="1:12" x14ac:dyDescent="0.25">
      <c r="A8" s="3">
        <f t="array" aca="1" ref="A8" ca="1">INDIRECT(ADDRESS(ROW()-1,COLUMN()))+1</f>
        <v>4</v>
      </c>
      <c r="B8" t="s">
        <v>19</v>
      </c>
      <c r="C8" t="s">
        <v>20</v>
      </c>
      <c r="D8" t="s">
        <v>21</v>
      </c>
    </row>
    <row r="9" spans="1:12" x14ac:dyDescent="0.25">
      <c r="A9" s="3">
        <f t="array" aca="1" ref="A9" ca="1">INDIRECT(ADDRESS(ROW()-1,COLUMN()))+1</f>
        <v>5</v>
      </c>
      <c r="B9" t="s">
        <v>22</v>
      </c>
      <c r="C9" t="s">
        <v>23</v>
      </c>
      <c r="D9" t="s">
        <v>24</v>
      </c>
    </row>
    <row r="10" spans="1:12" x14ac:dyDescent="0.25">
      <c r="A10" s="3">
        <f t="array" aca="1" ref="A10" ca="1">INDIRECT(ADDRESS(ROW()-1,COLUMN()))+1</f>
        <v>6</v>
      </c>
      <c r="B10" t="s">
        <v>25</v>
      </c>
      <c r="C10" t="s">
        <v>26</v>
      </c>
      <c r="D10" t="s">
        <v>27</v>
      </c>
    </row>
    <row r="11" spans="1:12" x14ac:dyDescent="0.25">
      <c r="A11" s="3">
        <f t="array" aca="1" ref="A11" ca="1">INDIRECT(ADDRESS(ROW()-1,COLUMN()))+1</f>
        <v>7</v>
      </c>
      <c r="B11" t="s">
        <v>28</v>
      </c>
      <c r="C11" t="s">
        <v>29</v>
      </c>
      <c r="D11" t="s">
        <v>30</v>
      </c>
    </row>
    <row r="12" spans="1:12" x14ac:dyDescent="0.25">
      <c r="A12" s="3">
        <f t="array" aca="1" ref="A12" ca="1">INDIRECT(ADDRESS(ROW()-1,COLUMN()))+1</f>
        <v>8</v>
      </c>
      <c r="B12" t="s">
        <v>31</v>
      </c>
      <c r="C12" t="s">
        <v>32</v>
      </c>
      <c r="D12" t="s">
        <v>33</v>
      </c>
    </row>
    <row r="13" spans="1:12" x14ac:dyDescent="0.25">
      <c r="A13" s="3">
        <f t="array" aca="1" ref="A13" ca="1">INDIRECT(ADDRESS(ROW()-1,COLUMN()))+1</f>
        <v>9</v>
      </c>
      <c r="B13" t="s">
        <v>34</v>
      </c>
      <c r="C13" t="s">
        <v>35</v>
      </c>
      <c r="D13" t="s">
        <v>36</v>
      </c>
    </row>
    <row r="14" spans="1:12" x14ac:dyDescent="0.25">
      <c r="A14" s="3">
        <f t="array" aca="1" ref="A14" ca="1">INDIRECT(ADDRESS(ROW()-1,COLUMN()))+1</f>
        <v>10</v>
      </c>
      <c r="B14" t="s">
        <v>37</v>
      </c>
      <c r="C14" t="s">
        <v>38</v>
      </c>
      <c r="D14" t="s">
        <v>39</v>
      </c>
    </row>
    <row r="15" spans="1:12" x14ac:dyDescent="0.25">
      <c r="A15" s="3">
        <f t="array" aca="1" ref="A15" ca="1">INDIRECT(ADDRESS(ROW()-1,COLUMN()))+1</f>
        <v>11</v>
      </c>
      <c r="B15" t="s">
        <v>40</v>
      </c>
      <c r="C15" t="s">
        <v>41</v>
      </c>
      <c r="D15" t="s">
        <v>42</v>
      </c>
    </row>
    <row r="16" spans="1:12" x14ac:dyDescent="0.25">
      <c r="A16" s="3">
        <f t="array" aca="1" ref="A16" ca="1">INDIRECT(ADDRESS(ROW()-1,COLUMN()))+1</f>
        <v>12</v>
      </c>
      <c r="B16" t="s">
        <v>43</v>
      </c>
      <c r="C16" t="s">
        <v>44</v>
      </c>
      <c r="D16" t="s">
        <v>45</v>
      </c>
    </row>
    <row r="17" spans="1:4" x14ac:dyDescent="0.25">
      <c r="A17" s="3">
        <f t="array" aca="1" ref="A17" ca="1">INDIRECT(ADDRESS(ROW()-1,COLUMN()))+1</f>
        <v>13</v>
      </c>
      <c r="B17" t="s">
        <v>46</v>
      </c>
      <c r="C17" t="s">
        <v>47</v>
      </c>
      <c r="D17" t="s">
        <v>48</v>
      </c>
    </row>
    <row r="18" spans="1:4" x14ac:dyDescent="0.25">
      <c r="A18" s="3">
        <f t="array" aca="1" ref="A18" ca="1">INDIRECT(ADDRESS(ROW()-1,COLUMN()))+1</f>
        <v>14</v>
      </c>
      <c r="B18" t="s">
        <v>49</v>
      </c>
      <c r="C18" t="s">
        <v>50</v>
      </c>
      <c r="D18" t="s">
        <v>51</v>
      </c>
    </row>
    <row r="19" spans="1:4" x14ac:dyDescent="0.25">
      <c r="A19" s="3">
        <f t="array" aca="1" ref="A19" ca="1">INDIRECT(ADDRESS(ROW()-1,COLUMN()))+1</f>
        <v>15</v>
      </c>
      <c r="B19" t="s">
        <v>52</v>
      </c>
      <c r="C19" t="s">
        <v>53</v>
      </c>
      <c r="D19" t="s">
        <v>54</v>
      </c>
    </row>
    <row r="20" spans="1:4" x14ac:dyDescent="0.25">
      <c r="A20" s="3">
        <f t="array" aca="1" ref="A20" ca="1">INDIRECT(ADDRESS(ROW()-1,COLUMN()))+1</f>
        <v>16</v>
      </c>
      <c r="B20" t="s">
        <v>55</v>
      </c>
      <c r="C20" t="s">
        <v>56</v>
      </c>
      <c r="D20" t="s">
        <v>57</v>
      </c>
    </row>
    <row r="21" spans="1:4" x14ac:dyDescent="0.25">
      <c r="A21" s="3">
        <f t="array" aca="1" ref="A21" ca="1">INDIRECT(ADDRESS(ROW()-1,COLUMN()))+1</f>
        <v>17</v>
      </c>
      <c r="B21" t="s">
        <v>58</v>
      </c>
      <c r="C21" t="s">
        <v>59</v>
      </c>
      <c r="D21" t="s">
        <v>60</v>
      </c>
    </row>
    <row r="22" spans="1:4" x14ac:dyDescent="0.25">
      <c r="A22" s="3">
        <f t="array" aca="1" ref="A22" ca="1">INDIRECT(ADDRESS(ROW()-1,COLUMN()))+1</f>
        <v>18</v>
      </c>
      <c r="B22" t="s">
        <v>61</v>
      </c>
      <c r="C22" t="s">
        <v>62</v>
      </c>
      <c r="D22" t="s">
        <v>63</v>
      </c>
    </row>
    <row r="23" spans="1:4" x14ac:dyDescent="0.25">
      <c r="A23" s="3">
        <f t="array" aca="1" ref="A23" ca="1">INDIRECT(ADDRESS(ROW()-1,COLUMN()))+1</f>
        <v>19</v>
      </c>
      <c r="B23" t="s">
        <v>64</v>
      </c>
      <c r="C23" t="s">
        <v>65</v>
      </c>
      <c r="D23" t="s">
        <v>66</v>
      </c>
    </row>
    <row r="24" spans="1:4" x14ac:dyDescent="0.25">
      <c r="A24" s="3">
        <f t="array" aca="1" ref="A24" ca="1">INDIRECT(ADDRESS(ROW()-1,COLUMN()))+1</f>
        <v>20</v>
      </c>
      <c r="B24" t="s">
        <v>67</v>
      </c>
      <c r="C24" t="s">
        <v>68</v>
      </c>
      <c r="D24" t="s">
        <v>69</v>
      </c>
    </row>
    <row r="25" spans="1:4" x14ac:dyDescent="0.25">
      <c r="A25" s="3">
        <f t="array" aca="1" ref="A25" ca="1">INDIRECT(ADDRESS(ROW()-1,COLUMN()))+1</f>
        <v>21</v>
      </c>
      <c r="B25" t="s">
        <v>70</v>
      </c>
      <c r="C25" t="s">
        <v>71</v>
      </c>
      <c r="D25" t="s">
        <v>72</v>
      </c>
    </row>
    <row r="26" spans="1:4" x14ac:dyDescent="0.25">
      <c r="A26" s="3">
        <f t="array" aca="1" ref="A26" ca="1">INDIRECT(ADDRESS(ROW()-1,COLUMN()))+1</f>
        <v>22</v>
      </c>
      <c r="B26" t="s">
        <v>73</v>
      </c>
      <c r="C26" t="s">
        <v>74</v>
      </c>
      <c r="D26" t="s">
        <v>75</v>
      </c>
    </row>
    <row r="27" spans="1:4" x14ac:dyDescent="0.25">
      <c r="A27" s="3">
        <f t="array" aca="1" ref="A27" ca="1">INDIRECT(ADDRESS(ROW()-1,COLUMN()))+1</f>
        <v>23</v>
      </c>
      <c r="B27" t="s">
        <v>76</v>
      </c>
      <c r="C27" t="s">
        <v>77</v>
      </c>
      <c r="D27" t="s">
        <v>78</v>
      </c>
    </row>
    <row r="28" spans="1:4" x14ac:dyDescent="0.25">
      <c r="A28" s="3">
        <f t="array" aca="1" ref="A28" ca="1">INDIRECT(ADDRESS(ROW()-1,COLUMN()))+1</f>
        <v>24</v>
      </c>
      <c r="B28" t="s">
        <v>79</v>
      </c>
      <c r="C28" t="s">
        <v>80</v>
      </c>
      <c r="D28" t="s">
        <v>81</v>
      </c>
    </row>
    <row r="29" spans="1:4" x14ac:dyDescent="0.25">
      <c r="A29" s="3">
        <f t="array" aca="1" ref="A29" ca="1">INDIRECT(ADDRESS(ROW()-1,COLUMN()))+1</f>
        <v>25</v>
      </c>
      <c r="B29" t="s">
        <v>82</v>
      </c>
      <c r="C29" t="s">
        <v>83</v>
      </c>
      <c r="D29" t="s">
        <v>84</v>
      </c>
    </row>
    <row r="30" spans="1:4" x14ac:dyDescent="0.25">
      <c r="A30" s="3">
        <f t="array" aca="1" ref="A30" ca="1">INDIRECT(ADDRESS(ROW()-1,COLUMN()))+1</f>
        <v>26</v>
      </c>
      <c r="B30" t="s">
        <v>85</v>
      </c>
      <c r="C30" t="s">
        <v>86</v>
      </c>
      <c r="D30" t="s">
        <v>87</v>
      </c>
    </row>
    <row r="31" spans="1:4" ht="30" x14ac:dyDescent="0.25">
      <c r="A31" s="3">
        <f t="array" aca="1" ref="A31" ca="1">INDIRECT(ADDRESS(ROW()-1,COLUMN()))+1</f>
        <v>27</v>
      </c>
      <c r="B31" t="s">
        <v>88</v>
      </c>
      <c r="C31" t="s">
        <v>89</v>
      </c>
      <c r="D31" s="84" t="s">
        <v>90</v>
      </c>
    </row>
    <row r="32" spans="1:4" x14ac:dyDescent="0.25">
      <c r="A32" s="3">
        <f t="array" aca="1" ref="A32" ca="1">INDIRECT(ADDRESS(ROW()-1,COLUMN()))+1</f>
        <v>28</v>
      </c>
      <c r="B32" t="s">
        <v>91</v>
      </c>
      <c r="C32" t="s">
        <v>92</v>
      </c>
      <c r="D32" t="s">
        <v>93</v>
      </c>
    </row>
    <row r="33" spans="1:4" x14ac:dyDescent="0.25">
      <c r="A33" s="3">
        <f t="array" aca="1" ref="A33" ca="1">INDIRECT(ADDRESS(ROW()-1,COLUMN()))+1</f>
        <v>29</v>
      </c>
      <c r="B33" t="s">
        <v>94</v>
      </c>
      <c r="C33" t="s">
        <v>95</v>
      </c>
      <c r="D33" t="s">
        <v>96</v>
      </c>
    </row>
    <row r="34" spans="1:4" x14ac:dyDescent="0.25">
      <c r="A34" s="3">
        <f t="array" aca="1" ref="A34" ca="1">INDIRECT(ADDRESS(ROW()-1,COLUMN()))+1</f>
        <v>30</v>
      </c>
      <c r="B34" t="s">
        <v>97</v>
      </c>
      <c r="C34" t="s">
        <v>98</v>
      </c>
      <c r="D34" t="s">
        <v>99</v>
      </c>
    </row>
    <row r="35" spans="1:4" x14ac:dyDescent="0.25">
      <c r="A35" s="3">
        <f t="array" aca="1" ref="A35" ca="1">INDIRECT(ADDRESS(ROW()-1,COLUMN()))+1</f>
        <v>31</v>
      </c>
      <c r="B35" t="s">
        <v>100</v>
      </c>
      <c r="C35" t="s">
        <v>101</v>
      </c>
    </row>
    <row r="36" spans="1:4" x14ac:dyDescent="0.25">
      <c r="A36" s="3">
        <f t="array" aca="1" ref="A36" ca="1">INDIRECT(ADDRESS(ROW()-1,COLUMN()))+1</f>
        <v>32</v>
      </c>
      <c r="B36" t="s">
        <v>102</v>
      </c>
      <c r="C36" t="s">
        <v>103</v>
      </c>
    </row>
    <row r="37" spans="1:4" x14ac:dyDescent="0.25">
      <c r="A37" s="3">
        <f t="array" aca="1" ref="A37" ca="1">INDIRECT(ADDRESS(ROW()-1,COLUMN()))+1</f>
        <v>33</v>
      </c>
      <c r="B37" t="s">
        <v>104</v>
      </c>
      <c r="C37" t="s">
        <v>105</v>
      </c>
      <c r="D37" t="s">
        <v>106</v>
      </c>
    </row>
    <row r="38" spans="1:4" x14ac:dyDescent="0.25">
      <c r="A38" s="3">
        <f t="array" aca="1" ref="A38" ca="1">INDIRECT(ADDRESS(ROW()-1,COLUMN()))+1</f>
        <v>34</v>
      </c>
      <c r="B38" t="s">
        <v>107</v>
      </c>
      <c r="C38" t="s">
        <v>108</v>
      </c>
      <c r="D38" t="s">
        <v>109</v>
      </c>
    </row>
    <row r="39" spans="1:4" x14ac:dyDescent="0.25">
      <c r="A39" s="3">
        <f t="array" aca="1" ref="A39" ca="1">INDIRECT(ADDRESS(ROW()-1,COLUMN()))+1</f>
        <v>35</v>
      </c>
      <c r="B39" t="s">
        <v>110</v>
      </c>
      <c r="C39" t="s">
        <v>111</v>
      </c>
    </row>
    <row r="40" spans="1:4" x14ac:dyDescent="0.25">
      <c r="A40" s="3">
        <f t="array" aca="1" ref="A40" ca="1">INDIRECT(ADDRESS(ROW()-1,COLUMN()))+1</f>
        <v>36</v>
      </c>
      <c r="B40" t="s">
        <v>112</v>
      </c>
      <c r="C40" t="s">
        <v>113</v>
      </c>
    </row>
    <row r="41" spans="1:4" x14ac:dyDescent="0.25">
      <c r="A41" s="3">
        <f t="array" aca="1" ref="A41" ca="1">INDIRECT(ADDRESS(ROW()-1,COLUMN()))+1</f>
        <v>37</v>
      </c>
      <c r="B41" t="s">
        <v>114</v>
      </c>
      <c r="C41" t="s">
        <v>115</v>
      </c>
      <c r="D41" t="s">
        <v>116</v>
      </c>
    </row>
    <row r="42" spans="1:4" x14ac:dyDescent="0.25">
      <c r="A42" s="3">
        <f t="array" aca="1" ref="A42" ca="1">INDIRECT(ADDRESS(ROW()-1,COLUMN()))+1</f>
        <v>38</v>
      </c>
      <c r="B42" t="s">
        <v>117</v>
      </c>
      <c r="C42" t="s">
        <v>118</v>
      </c>
      <c r="D42" t="s">
        <v>119</v>
      </c>
    </row>
    <row r="43" spans="1:4" x14ac:dyDescent="0.25">
      <c r="A43" s="3">
        <f t="array" aca="1" ref="A43" ca="1">INDIRECT(ADDRESS(ROW()-1,COLUMN()))+1</f>
        <v>39</v>
      </c>
      <c r="B43" t="s">
        <v>120</v>
      </c>
      <c r="C43" t="s">
        <v>121</v>
      </c>
      <c r="D43" t="s">
        <v>122</v>
      </c>
    </row>
    <row r="44" spans="1:4" x14ac:dyDescent="0.25">
      <c r="A44" s="3">
        <f t="array" aca="1" ref="A44" ca="1">INDIRECT(ADDRESS(ROW()-1,COLUMN()))+1</f>
        <v>40</v>
      </c>
      <c r="B44" t="s">
        <v>123</v>
      </c>
      <c r="C44" t="s">
        <v>124</v>
      </c>
      <c r="D44" t="s">
        <v>125</v>
      </c>
    </row>
    <row r="45" spans="1:4" x14ac:dyDescent="0.25">
      <c r="A45" s="3">
        <f t="array" aca="1" ref="A45" ca="1">INDIRECT(ADDRESS(ROW()-1,COLUMN()))+1</f>
        <v>41</v>
      </c>
      <c r="B45" t="s">
        <v>126</v>
      </c>
      <c r="C45" t="s">
        <v>127</v>
      </c>
      <c r="D45" t="s">
        <v>128</v>
      </c>
    </row>
    <row r="46" spans="1:4" x14ac:dyDescent="0.25">
      <c r="A46" s="3">
        <v>42</v>
      </c>
      <c r="B46" t="s">
        <v>129</v>
      </c>
      <c r="C46" t="s">
        <v>130</v>
      </c>
      <c r="D46" t="s">
        <v>131</v>
      </c>
    </row>
    <row r="47" spans="1:4" x14ac:dyDescent="0.25">
      <c r="A47" s="3">
        <v>43</v>
      </c>
      <c r="B47" t="s">
        <v>4307</v>
      </c>
      <c r="C47" t="s">
        <v>4308</v>
      </c>
      <c r="D47" t="s">
        <v>4309</v>
      </c>
    </row>
    <row r="48" spans="1:4" x14ac:dyDescent="0.25">
      <c r="A48" s="3">
        <f t="array" aca="1" ref="A48" ca="1">INDIRECT(ADDRESS(ROW()-1,COLUMN()))</f>
        <v>43</v>
      </c>
      <c r="B48" s="32" t="s">
        <v>132</v>
      </c>
      <c r="C48" s="32" t="s">
        <v>133</v>
      </c>
    </row>
  </sheetData>
  <autoFilter ref="A2:D2" xr:uid="{00000000-0009-0000-0000-000000000000}"/>
  <mergeCells count="1">
    <mergeCell ref="A1:I1"/>
  </mergeCells>
  <pageMargins left="0.7" right="0.7" top="0.78749999999999998" bottom="0.78749999999999998" header="0.3" footer="0.3"/>
  <pageSetup paperSize="9" fitToWidth="0" pageOrder="overThenDown"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ic002">
    <tabColor rgb="FF002060"/>
  </sheetPr>
  <dimension ref="A1:O10"/>
  <sheetViews>
    <sheetView workbookViewId="0">
      <pane xSplit="1" ySplit="2" topLeftCell="B3" activePane="bottomRight" state="frozen"/>
      <selection activeCell="B47" sqref="B47"/>
      <selection pane="topRight" activeCell="B47" sqref="B47"/>
      <selection pane="bottomLeft" activeCell="B47" sqref="B47"/>
      <selection pane="bottomRight" activeCell="B47" sqref="B47"/>
    </sheetView>
  </sheetViews>
  <sheetFormatPr defaultColWidth="10.7109375" defaultRowHeight="15" x14ac:dyDescent="0.25"/>
  <cols>
    <col min="1" max="1" width="11.5703125" customWidth="1"/>
    <col min="2" max="2" width="26.7109375" customWidth="1"/>
    <col min="3" max="3" width="58.28515625" customWidth="1"/>
  </cols>
  <sheetData>
    <row r="1" spans="1:15" x14ac:dyDescent="0.25">
      <c r="A1" s="102" t="s">
        <v>134</v>
      </c>
      <c r="B1" s="103"/>
      <c r="C1" s="103"/>
      <c r="D1" s="103"/>
      <c r="E1" s="103"/>
      <c r="F1" s="103"/>
      <c r="G1" s="103"/>
      <c r="H1" s="103"/>
      <c r="I1" s="103"/>
      <c r="J1" s="6"/>
      <c r="K1" s="6"/>
      <c r="L1" s="6"/>
      <c r="M1" s="86"/>
      <c r="N1" s="87"/>
      <c r="O1" s="87"/>
    </row>
    <row r="2" spans="1:15" x14ac:dyDescent="0.25">
      <c r="A2" s="3" t="s">
        <v>135</v>
      </c>
      <c r="B2" s="6" t="s">
        <v>136</v>
      </c>
      <c r="C2" s="6" t="s">
        <v>137</v>
      </c>
    </row>
    <row r="3" spans="1:15" x14ac:dyDescent="0.25">
      <c r="A3" s="3">
        <v>0</v>
      </c>
      <c r="B3" s="32" t="s">
        <v>138</v>
      </c>
      <c r="C3" s="6" t="s">
        <v>139</v>
      </c>
    </row>
    <row r="4" spans="1:15" x14ac:dyDescent="0.25">
      <c r="A4" s="3">
        <f t="array" aca="1" ref="A4" ca="1">INDIRECT(ADDRESS(ROW()-1,COLUMN()))</f>
        <v>0</v>
      </c>
      <c r="B4" s="56" t="s">
        <v>140</v>
      </c>
      <c r="C4" t="s">
        <v>141</v>
      </c>
    </row>
    <row r="5" spans="1:15" x14ac:dyDescent="0.25">
      <c r="A5" s="3">
        <f t="array" aca="1" ref="A5" ca="1">INDIRECT(ADDRESS(ROW()-1,COLUMN()))+1</f>
        <v>1</v>
      </c>
      <c r="B5" s="56" t="s">
        <v>142</v>
      </c>
      <c r="C5" t="s">
        <v>143</v>
      </c>
    </row>
    <row r="6" spans="1:15" x14ac:dyDescent="0.25">
      <c r="A6" s="3">
        <f t="array" aca="1" ref="A6" ca="1">INDIRECT(ADDRESS(ROW()-1,COLUMN()))+1</f>
        <v>2</v>
      </c>
      <c r="B6" s="56" t="s">
        <v>144</v>
      </c>
      <c r="C6" t="s">
        <v>145</v>
      </c>
    </row>
    <row r="7" spans="1:15" x14ac:dyDescent="0.25">
      <c r="A7" s="3">
        <f t="array" aca="1" ref="A7" ca="1">INDIRECT(ADDRESS(ROW()-1,COLUMN()))+1</f>
        <v>3</v>
      </c>
      <c r="B7" s="56" t="s">
        <v>146</v>
      </c>
      <c r="C7" t="s">
        <v>147</v>
      </c>
    </row>
    <row r="8" spans="1:15" x14ac:dyDescent="0.25">
      <c r="A8" s="3">
        <f t="array" aca="1" ref="A8" ca="1">INDIRECT(ADDRESS(ROW()-1,COLUMN()))+1</f>
        <v>4</v>
      </c>
      <c r="B8" s="56" t="s">
        <v>148</v>
      </c>
      <c r="C8" t="s">
        <v>149</v>
      </c>
    </row>
    <row r="9" spans="1:15" x14ac:dyDescent="0.25">
      <c r="A9" s="3">
        <f t="array" aca="1" ref="A9" ca="1">INDIRECT(ADDRESS(ROW()-1,COLUMN()))+1</f>
        <v>5</v>
      </c>
      <c r="B9" s="56" t="s">
        <v>150</v>
      </c>
      <c r="C9" t="s">
        <v>151</v>
      </c>
    </row>
    <row r="10" spans="1:15" x14ac:dyDescent="0.25">
      <c r="A10" s="3">
        <f t="array" aca="1" ref="A10" ca="1">INDIRECT(ADDRESS(ROW()-1,COLUMN()))</f>
        <v>5</v>
      </c>
      <c r="B10" s="32" t="s">
        <v>152</v>
      </c>
      <c r="C10" s="6" t="s">
        <v>153</v>
      </c>
    </row>
  </sheetData>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eneric003">
    <tabColor rgb="FF002060"/>
  </sheetPr>
  <dimension ref="A1:O20"/>
  <sheetViews>
    <sheetView workbookViewId="0">
      <pane xSplit="1" ySplit="2" topLeftCell="B3" activePane="bottomRight" state="frozen"/>
      <selection pane="topRight"/>
      <selection pane="bottomLeft"/>
      <selection pane="bottomRight" activeCell="B19" sqref="B19"/>
    </sheetView>
  </sheetViews>
  <sheetFormatPr defaultColWidth="10.7109375" defaultRowHeight="15" x14ac:dyDescent="0.25"/>
  <cols>
    <col min="2" max="2" width="54.5703125" customWidth="1"/>
    <col min="3" max="3" width="68.85546875" customWidth="1"/>
  </cols>
  <sheetData>
    <row r="1" spans="1:15" x14ac:dyDescent="0.25">
      <c r="A1" s="102" t="s">
        <v>134</v>
      </c>
      <c r="B1" s="103"/>
      <c r="C1" s="103"/>
      <c r="D1" s="103"/>
      <c r="E1" s="103"/>
      <c r="F1" s="103"/>
      <c r="G1" s="103"/>
      <c r="H1" s="103"/>
      <c r="I1" s="103"/>
      <c r="J1" s="6"/>
      <c r="K1" s="6"/>
      <c r="L1" s="6"/>
      <c r="M1" s="86"/>
      <c r="N1" s="87"/>
      <c r="O1" s="87"/>
    </row>
    <row r="2" spans="1:15" x14ac:dyDescent="0.25">
      <c r="A2" t="s">
        <v>154</v>
      </c>
      <c r="B2" s="3" t="s">
        <v>155</v>
      </c>
      <c r="C2" s="6" t="s">
        <v>156</v>
      </c>
    </row>
    <row r="3" spans="1:15" x14ac:dyDescent="0.25">
      <c r="A3">
        <v>0</v>
      </c>
      <c r="B3" s="34" t="s">
        <v>157</v>
      </c>
      <c r="C3" t="s">
        <v>158</v>
      </c>
    </row>
    <row r="4" spans="1:15" x14ac:dyDescent="0.25">
      <c r="A4">
        <f t="array" aca="1" ref="A4" ca="1">INDIRECT(ADDRESS(ROW()-1,COLUMN()))</f>
        <v>0</v>
      </c>
      <c r="B4" s="9" t="s">
        <v>159</v>
      </c>
      <c r="C4" t="s">
        <v>160</v>
      </c>
    </row>
    <row r="5" spans="1:15" x14ac:dyDescent="0.25">
      <c r="A5">
        <f t="array" aca="1" ref="A5" ca="1">INDIRECT(ADDRESS(ROW()-1,COLUMN()))+1</f>
        <v>1</v>
      </c>
      <c r="B5" s="9" t="s">
        <v>161</v>
      </c>
      <c r="C5" t="s">
        <v>162</v>
      </c>
    </row>
    <row r="6" spans="1:15" x14ac:dyDescent="0.25">
      <c r="A6">
        <f t="array" aca="1" ref="A6" ca="1">INDIRECT(ADDRESS(ROW()-1,COLUMN()))+1</f>
        <v>2</v>
      </c>
      <c r="B6" s="9" t="s">
        <v>163</v>
      </c>
      <c r="C6" t="s">
        <v>164</v>
      </c>
    </row>
    <row r="7" spans="1:15" x14ac:dyDescent="0.25">
      <c r="A7">
        <f t="array" aca="1" ref="A7" ca="1">INDIRECT(ADDRESS(ROW()-1,COLUMN()))+1</f>
        <v>3</v>
      </c>
      <c r="B7" s="9" t="s">
        <v>165</v>
      </c>
      <c r="C7" t="s">
        <v>166</v>
      </c>
    </row>
    <row r="8" spans="1:15" x14ac:dyDescent="0.25">
      <c r="A8">
        <f t="array" aca="1" ref="A8" ca="1">INDIRECT(ADDRESS(ROW()-1,COLUMN()))+1</f>
        <v>4</v>
      </c>
      <c r="B8" s="9" t="s">
        <v>167</v>
      </c>
      <c r="C8" t="s">
        <v>168</v>
      </c>
    </row>
    <row r="9" spans="1:15" x14ac:dyDescent="0.25">
      <c r="A9">
        <f t="array" aca="1" ref="A9" ca="1">INDIRECT(ADDRESS(ROW()-1,COLUMN()))+1</f>
        <v>5</v>
      </c>
      <c r="B9" s="9" t="s">
        <v>169</v>
      </c>
      <c r="C9" t="s">
        <v>170</v>
      </c>
    </row>
    <row r="10" spans="1:15" x14ac:dyDescent="0.25">
      <c r="A10">
        <f t="array" aca="1" ref="A10" ca="1">INDIRECT(ADDRESS(ROW()-1,COLUMN()))+1</f>
        <v>6</v>
      </c>
      <c r="B10" s="9" t="s">
        <v>171</v>
      </c>
      <c r="C10" t="s">
        <v>11</v>
      </c>
    </row>
    <row r="11" spans="1:15" x14ac:dyDescent="0.25">
      <c r="A11">
        <f t="array" aca="1" ref="A11" ca="1">INDIRECT(ADDRESS(ROW()-1,COLUMN()))+1</f>
        <v>7</v>
      </c>
      <c r="B11" s="9" t="s">
        <v>172</v>
      </c>
      <c r="C11" t="s">
        <v>173</v>
      </c>
    </row>
    <row r="12" spans="1:15" x14ac:dyDescent="0.25">
      <c r="A12">
        <f t="array" aca="1" ref="A12" ca="1">INDIRECT(ADDRESS(ROW()-1,COLUMN()))+1</f>
        <v>8</v>
      </c>
      <c r="B12" s="9" t="s">
        <v>174</v>
      </c>
      <c r="C12" t="s">
        <v>175</v>
      </c>
    </row>
    <row r="13" spans="1:15" x14ac:dyDescent="0.25">
      <c r="A13">
        <f t="array" aca="1" ref="A13" ca="1">INDIRECT(ADDRESS(ROW()-1,COLUMN()))+1</f>
        <v>9</v>
      </c>
      <c r="B13" s="9" t="s">
        <v>176</v>
      </c>
      <c r="C13" t="s">
        <v>177</v>
      </c>
    </row>
    <row r="14" spans="1:15" x14ac:dyDescent="0.25">
      <c r="A14">
        <f t="array" aca="1" ref="A14" ca="1">INDIRECT(ADDRESS(ROW()-1,COLUMN()))+1</f>
        <v>10</v>
      </c>
      <c r="B14" s="9" t="s">
        <v>178</v>
      </c>
      <c r="C14" t="s">
        <v>179</v>
      </c>
    </row>
    <row r="15" spans="1:15" x14ac:dyDescent="0.25">
      <c r="A15">
        <f t="array" aca="1" ref="A15" ca="1">INDIRECT(ADDRESS(ROW()-1,COLUMN()))+1</f>
        <v>11</v>
      </c>
      <c r="B15" s="9" t="s">
        <v>180</v>
      </c>
      <c r="C15" t="s">
        <v>181</v>
      </c>
    </row>
    <row r="16" spans="1:15" x14ac:dyDescent="0.25">
      <c r="A16">
        <f t="array" aca="1" ref="A16" ca="1">INDIRECT(ADDRESS(ROW()-1,COLUMN()))+1</f>
        <v>12</v>
      </c>
      <c r="B16" s="9" t="s">
        <v>182</v>
      </c>
      <c r="C16" t="s">
        <v>183</v>
      </c>
    </row>
    <row r="17" spans="1:3" x14ac:dyDescent="0.25">
      <c r="A17">
        <f t="array" aca="1" ref="A17" ca="1">INDIRECT(ADDRESS(ROW()-1,COLUMN()))+1</f>
        <v>13</v>
      </c>
      <c r="B17" s="9" t="s">
        <v>184</v>
      </c>
      <c r="C17" t="s">
        <v>185</v>
      </c>
    </row>
    <row r="18" spans="1:3" x14ac:dyDescent="0.25">
      <c r="A18">
        <f t="array" aca="1" ref="A18" ca="1">INDIRECT(ADDRESS(ROW()-1,COLUMN()))+1</f>
        <v>14</v>
      </c>
      <c r="B18" s="3" t="s">
        <v>186</v>
      </c>
      <c r="C18" t="s">
        <v>187</v>
      </c>
    </row>
    <row r="19" spans="1:3" x14ac:dyDescent="0.25">
      <c r="A19">
        <v>16</v>
      </c>
      <c r="B19" s="3" t="s">
        <v>4313</v>
      </c>
      <c r="C19" t="s">
        <v>4314</v>
      </c>
    </row>
    <row r="20" spans="1:3" x14ac:dyDescent="0.25">
      <c r="A20">
        <f t="array" aca="1" ref="A20" ca="1">INDIRECT(ADDRESS(ROW()-1,COLUMN()))</f>
        <v>16</v>
      </c>
      <c r="B20" s="37" t="s">
        <v>188</v>
      </c>
      <c r="C20" t="s">
        <v>189</v>
      </c>
    </row>
  </sheetData>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eneric004">
    <tabColor rgb="FF002060"/>
  </sheetPr>
  <dimension ref="A1:O45"/>
  <sheetViews>
    <sheetView workbookViewId="0">
      <pane xSplit="1" ySplit="2" topLeftCell="B27" activePane="bottomRight" state="frozen"/>
      <selection pane="topRight"/>
      <selection pane="bottomLeft"/>
      <selection pane="bottomRight" activeCell="B44" sqref="B44"/>
    </sheetView>
  </sheetViews>
  <sheetFormatPr defaultColWidth="10.7109375" defaultRowHeight="15" x14ac:dyDescent="0.25"/>
  <cols>
    <col min="1" max="1" width="10.28515625" customWidth="1"/>
    <col min="2" max="2" width="78.85546875" customWidth="1"/>
    <col min="3" max="3" width="79.42578125" customWidth="1"/>
    <col min="4" max="4" width="102" customWidth="1"/>
  </cols>
  <sheetData>
    <row r="1" spans="1:15" x14ac:dyDescent="0.25">
      <c r="A1" s="102" t="s">
        <v>0</v>
      </c>
      <c r="B1" s="103"/>
      <c r="C1" s="103"/>
      <c r="D1" s="103"/>
      <c r="E1" s="103"/>
      <c r="F1" s="103"/>
      <c r="G1" s="103"/>
      <c r="H1" s="103"/>
      <c r="I1" s="103"/>
      <c r="J1" s="6"/>
      <c r="K1" s="6"/>
      <c r="L1" s="6"/>
      <c r="M1" s="86"/>
      <c r="N1" s="87"/>
      <c r="O1" s="87"/>
    </row>
    <row r="2" spans="1:15" ht="45" x14ac:dyDescent="0.25">
      <c r="A2" s="11" t="s">
        <v>190</v>
      </c>
      <c r="B2" s="3" t="s">
        <v>191</v>
      </c>
      <c r="C2" s="6" t="s">
        <v>192</v>
      </c>
      <c r="D2" s="6" t="s">
        <v>193</v>
      </c>
    </row>
    <row r="3" spans="1:15" x14ac:dyDescent="0.25">
      <c r="A3">
        <v>1</v>
      </c>
      <c r="B3" s="35" t="s">
        <v>194</v>
      </c>
      <c r="C3" t="s">
        <v>195</v>
      </c>
      <c r="D3" t="s">
        <v>196</v>
      </c>
    </row>
    <row r="4" spans="1:15" x14ac:dyDescent="0.25">
      <c r="A4">
        <f t="array" aca="1" ref="A4" ca="1">INDIRECT(ADDRESS(ROW()-1,COLUMN()))</f>
        <v>1</v>
      </c>
      <c r="B4" s="3" t="s">
        <v>197</v>
      </c>
      <c r="C4" t="s">
        <v>198</v>
      </c>
      <c r="D4" t="s">
        <v>199</v>
      </c>
    </row>
    <row r="5" spans="1:15" x14ac:dyDescent="0.25">
      <c r="A5">
        <f t="array" aca="1" ref="A5" ca="1">INDIRECT(ADDRESS(ROW()-1,COLUMN()))+1</f>
        <v>2</v>
      </c>
      <c r="B5" s="3" t="s">
        <v>200</v>
      </c>
      <c r="C5" t="s">
        <v>201</v>
      </c>
      <c r="D5" t="s">
        <v>202</v>
      </c>
    </row>
    <row r="6" spans="1:15" x14ac:dyDescent="0.25">
      <c r="A6">
        <f t="array" aca="1" ref="A6" ca="1">INDIRECT(ADDRESS(ROW()-1,COLUMN()))+1</f>
        <v>3</v>
      </c>
      <c r="B6" s="3" t="s">
        <v>203</v>
      </c>
      <c r="C6" t="s">
        <v>204</v>
      </c>
      <c r="D6" t="s">
        <v>205</v>
      </c>
    </row>
    <row r="7" spans="1:15" x14ac:dyDescent="0.25">
      <c r="A7">
        <f t="array" aca="1" ref="A7" ca="1">INDIRECT(ADDRESS(ROW()-1,COLUMN()))+1</f>
        <v>4</v>
      </c>
      <c r="B7" s="3" t="s">
        <v>206</v>
      </c>
      <c r="C7" t="s">
        <v>207</v>
      </c>
      <c r="D7" t="s">
        <v>208</v>
      </c>
    </row>
    <row r="8" spans="1:15" x14ac:dyDescent="0.25">
      <c r="A8">
        <f t="array" aca="1" ref="A8" ca="1">INDIRECT(ADDRESS(ROW()-1,COLUMN()))+1</f>
        <v>5</v>
      </c>
      <c r="B8" s="3" t="s">
        <v>209</v>
      </c>
      <c r="C8" t="s">
        <v>210</v>
      </c>
      <c r="D8" t="s">
        <v>211</v>
      </c>
    </row>
    <row r="9" spans="1:15" x14ac:dyDescent="0.25">
      <c r="A9">
        <f t="array" aca="1" ref="A9" ca="1">INDIRECT(ADDRESS(ROW()-1,COLUMN()))+1</f>
        <v>6</v>
      </c>
      <c r="B9" s="3" t="s">
        <v>212</v>
      </c>
      <c r="C9" t="s">
        <v>213</v>
      </c>
      <c r="D9" t="s">
        <v>214</v>
      </c>
    </row>
    <row r="10" spans="1:15" x14ac:dyDescent="0.25">
      <c r="A10">
        <f t="array" aca="1" ref="A10" ca="1">INDIRECT(ADDRESS(ROW()-1,COLUMN()))+1</f>
        <v>7</v>
      </c>
      <c r="B10" s="3" t="s">
        <v>215</v>
      </c>
      <c r="C10" s="26" t="s">
        <v>216</v>
      </c>
      <c r="D10" s="26" t="s">
        <v>217</v>
      </c>
    </row>
    <row r="11" spans="1:15" x14ac:dyDescent="0.25">
      <c r="A11">
        <f t="array" aca="1" ref="A11" ca="1">INDIRECT(ADDRESS(ROW()-1,COLUMN()))+1</f>
        <v>8</v>
      </c>
      <c r="B11" s="3" t="s">
        <v>218</v>
      </c>
      <c r="C11" s="26" t="s">
        <v>219</v>
      </c>
      <c r="D11" t="s">
        <v>220</v>
      </c>
    </row>
    <row r="12" spans="1:15" x14ac:dyDescent="0.25">
      <c r="A12">
        <f t="array" aca="1" ref="A12" ca="1">INDIRECT(ADDRESS(ROW()-1,COLUMN()))+1</f>
        <v>9</v>
      </c>
      <c r="B12" s="3" t="s">
        <v>221</v>
      </c>
      <c r="C12" s="26" t="s">
        <v>222</v>
      </c>
      <c r="D12" t="s">
        <v>223</v>
      </c>
    </row>
    <row r="13" spans="1:15" ht="105" x14ac:dyDescent="0.25">
      <c r="A13">
        <f t="array" aca="1" ref="A13" ca="1">INDIRECT(ADDRESS(ROW()-1,COLUMN()))+1</f>
        <v>10</v>
      </c>
      <c r="B13" s="3" t="s">
        <v>224</v>
      </c>
      <c r="C13" s="27" t="s">
        <v>225</v>
      </c>
      <c r="D13" s="20" t="s">
        <v>226</v>
      </c>
    </row>
    <row r="14" spans="1:15" x14ac:dyDescent="0.25">
      <c r="A14">
        <f t="array" aca="1" ref="A14" ca="1">INDIRECT(ADDRESS(ROW()-1,COLUMN()))+1</f>
        <v>11</v>
      </c>
      <c r="B14" s="3" t="s">
        <v>227</v>
      </c>
      <c r="C14" s="26" t="s">
        <v>228</v>
      </c>
      <c r="D14" t="s">
        <v>229</v>
      </c>
    </row>
    <row r="15" spans="1:15" x14ac:dyDescent="0.25">
      <c r="A15">
        <f t="array" aca="1" ref="A15" ca="1">INDIRECT(ADDRESS(ROW()-1,COLUMN()))+1</f>
        <v>12</v>
      </c>
      <c r="B15" s="3" t="s">
        <v>230</v>
      </c>
      <c r="C15" s="26" t="s">
        <v>231</v>
      </c>
      <c r="D15" t="s">
        <v>232</v>
      </c>
    </row>
    <row r="16" spans="1:15" x14ac:dyDescent="0.25">
      <c r="A16">
        <f t="array" aca="1" ref="A16" ca="1">INDIRECT(ADDRESS(ROW()-1,COLUMN()))+1</f>
        <v>13</v>
      </c>
      <c r="B16" s="3" t="s">
        <v>233</v>
      </c>
      <c r="C16" s="26" t="s">
        <v>234</v>
      </c>
      <c r="D16" t="s">
        <v>235</v>
      </c>
    </row>
    <row r="17" spans="1:4" x14ac:dyDescent="0.25">
      <c r="A17">
        <f t="array" aca="1" ref="A17" ca="1">INDIRECT(ADDRESS(ROW()-1,COLUMN()))+1</f>
        <v>14</v>
      </c>
      <c r="B17" s="3" t="s">
        <v>236</v>
      </c>
      <c r="C17" s="26" t="s">
        <v>237</v>
      </c>
      <c r="D17" t="s">
        <v>238</v>
      </c>
    </row>
    <row r="18" spans="1:4" x14ac:dyDescent="0.25">
      <c r="A18">
        <f t="array" aca="1" ref="A18" ca="1">INDIRECT(ADDRESS(ROW()-1,COLUMN()))+1</f>
        <v>15</v>
      </c>
      <c r="B18" s="3" t="s">
        <v>239</v>
      </c>
      <c r="C18" s="26" t="s">
        <v>240</v>
      </c>
      <c r="D18" s="26" t="s">
        <v>241</v>
      </c>
    </row>
    <row r="19" spans="1:4" x14ac:dyDescent="0.25">
      <c r="A19">
        <f t="array" aca="1" ref="A19" ca="1">INDIRECT(ADDRESS(ROW()-1,COLUMN()))+1</f>
        <v>16</v>
      </c>
      <c r="B19" s="3" t="s">
        <v>242</v>
      </c>
      <c r="C19" s="26" t="s">
        <v>243</v>
      </c>
      <c r="D19" s="26" t="s">
        <v>244</v>
      </c>
    </row>
    <row r="20" spans="1:4" x14ac:dyDescent="0.25">
      <c r="A20">
        <f t="array" aca="1" ref="A20" ca="1">INDIRECT(ADDRESS(ROW()-1,COLUMN()))+1</f>
        <v>17</v>
      </c>
      <c r="B20" s="3" t="s">
        <v>245</v>
      </c>
      <c r="C20" s="26" t="s">
        <v>246</v>
      </c>
      <c r="D20" s="26" t="s">
        <v>247</v>
      </c>
    </row>
    <row r="21" spans="1:4" x14ac:dyDescent="0.25">
      <c r="A21">
        <f t="array" aca="1" ref="A21" ca="1">INDIRECT(ADDRESS(ROW()-1,COLUMN()))+1</f>
        <v>18</v>
      </c>
      <c r="B21" s="3" t="s">
        <v>248</v>
      </c>
      <c r="C21" s="26" t="s">
        <v>249</v>
      </c>
      <c r="D21" s="26" t="s">
        <v>250</v>
      </c>
    </row>
    <row r="22" spans="1:4" x14ac:dyDescent="0.25">
      <c r="A22">
        <f t="array" aca="1" ref="A22" ca="1">INDIRECT(ADDRESS(ROW()-1,COLUMN()))+1</f>
        <v>19</v>
      </c>
      <c r="B22" s="3" t="s">
        <v>251</v>
      </c>
      <c r="C22" s="26" t="s">
        <v>252</v>
      </c>
      <c r="D22" s="26" t="s">
        <v>253</v>
      </c>
    </row>
    <row r="23" spans="1:4" x14ac:dyDescent="0.25">
      <c r="A23">
        <f t="array" aca="1" ref="A23" ca="1">INDIRECT(ADDRESS(ROW()-1,COLUMN()))+1</f>
        <v>20</v>
      </c>
      <c r="B23" s="3" t="s">
        <v>254</v>
      </c>
      <c r="C23" s="26" t="s">
        <v>255</v>
      </c>
      <c r="D23" s="26" t="s">
        <v>256</v>
      </c>
    </row>
    <row r="24" spans="1:4" x14ac:dyDescent="0.25">
      <c r="A24">
        <f t="array" aca="1" ref="A24" ca="1">INDIRECT(ADDRESS(ROW()-1,COLUMN()))+1</f>
        <v>21</v>
      </c>
      <c r="B24" s="3" t="s">
        <v>257</v>
      </c>
      <c r="C24" t="s">
        <v>258</v>
      </c>
      <c r="D24" s="26" t="s">
        <v>259</v>
      </c>
    </row>
    <row r="25" spans="1:4" x14ac:dyDescent="0.25">
      <c r="A25">
        <f t="array" aca="1" ref="A25" ca="1">INDIRECT(ADDRESS(ROW()-1,COLUMN()))+1</f>
        <v>22</v>
      </c>
      <c r="B25" s="3" t="s">
        <v>260</v>
      </c>
      <c r="C25" s="26" t="s">
        <v>261</v>
      </c>
      <c r="D25" s="26" t="s">
        <v>262</v>
      </c>
    </row>
    <row r="26" spans="1:4" x14ac:dyDescent="0.25">
      <c r="A26">
        <f t="array" aca="1" ref="A26" ca="1">INDIRECT(ADDRESS(ROW()-1,COLUMN()))+1</f>
        <v>23</v>
      </c>
      <c r="B26" s="3" t="s">
        <v>263</v>
      </c>
      <c r="C26" s="26" t="s">
        <v>264</v>
      </c>
      <c r="D26" s="26" t="s">
        <v>265</v>
      </c>
    </row>
    <row r="27" spans="1:4" x14ac:dyDescent="0.25">
      <c r="A27">
        <f t="array" aca="1" ref="A27" ca="1">INDIRECT(ADDRESS(ROW()-1,COLUMN()))+1</f>
        <v>24</v>
      </c>
      <c r="B27" s="3" t="s">
        <v>266</v>
      </c>
      <c r="C27" s="26" t="s">
        <v>267</v>
      </c>
      <c r="D27" s="26" t="s">
        <v>268</v>
      </c>
    </row>
    <row r="28" spans="1:4" x14ac:dyDescent="0.25">
      <c r="A28">
        <f t="array" aca="1" ref="A28" ca="1">INDIRECT(ADDRESS(ROW()-1,COLUMN()))+1</f>
        <v>25</v>
      </c>
      <c r="B28" s="3" t="s">
        <v>269</v>
      </c>
      <c r="C28" s="26" t="s">
        <v>270</v>
      </c>
      <c r="D28" s="26" t="s">
        <v>271</v>
      </c>
    </row>
    <row r="29" spans="1:4" x14ac:dyDescent="0.25">
      <c r="A29">
        <f t="array" aca="1" ref="A29" ca="1">INDIRECT(ADDRESS(ROW()-1,COLUMN()))+1</f>
        <v>26</v>
      </c>
      <c r="B29" s="3" t="s">
        <v>272</v>
      </c>
      <c r="C29" t="s">
        <v>273</v>
      </c>
      <c r="D29" s="26" t="s">
        <v>274</v>
      </c>
    </row>
    <row r="30" spans="1:4" x14ac:dyDescent="0.25">
      <c r="A30">
        <f t="array" aca="1" ref="A30" ca="1">INDIRECT(ADDRESS(ROW()-1,COLUMN()))+1</f>
        <v>27</v>
      </c>
      <c r="B30" s="3" t="s">
        <v>275</v>
      </c>
      <c r="C30" s="26" t="s">
        <v>276</v>
      </c>
      <c r="D30" s="26" t="s">
        <v>277</v>
      </c>
    </row>
    <row r="31" spans="1:4" x14ac:dyDescent="0.25">
      <c r="A31">
        <f t="array" aca="1" ref="A31" ca="1">INDIRECT(ADDRESS(ROW()-1,COLUMN()))+1</f>
        <v>28</v>
      </c>
      <c r="B31" s="3" t="s">
        <v>278</v>
      </c>
      <c r="C31" t="s">
        <v>279</v>
      </c>
      <c r="D31" t="s">
        <v>280</v>
      </c>
    </row>
    <row r="32" spans="1:4" x14ac:dyDescent="0.25">
      <c r="A32">
        <f t="array" aca="1" ref="A32" ca="1">INDIRECT(ADDRESS(ROW()-1,COLUMN()))+1</f>
        <v>29</v>
      </c>
      <c r="B32" s="3" t="s">
        <v>281</v>
      </c>
      <c r="C32" s="26" t="s">
        <v>164</v>
      </c>
      <c r="D32" s="26" t="s">
        <v>282</v>
      </c>
    </row>
    <row r="33" spans="1:4" x14ac:dyDescent="0.25">
      <c r="A33">
        <f t="array" aca="1" ref="A33" ca="1">INDIRECT(ADDRESS(ROW()-1,COLUMN()))+1</f>
        <v>30</v>
      </c>
      <c r="B33" s="3" t="s">
        <v>283</v>
      </c>
      <c r="C33" t="s">
        <v>284</v>
      </c>
      <c r="D33" s="26" t="s">
        <v>285</v>
      </c>
    </row>
    <row r="34" spans="1:4" x14ac:dyDescent="0.25">
      <c r="A34">
        <f t="array" aca="1" ref="A34" ca="1">INDIRECT(ADDRESS(ROW()-1,COLUMN()))+1</f>
        <v>31</v>
      </c>
      <c r="B34" s="3" t="s">
        <v>286</v>
      </c>
      <c r="C34" s="26" t="s">
        <v>287</v>
      </c>
      <c r="D34" s="26" t="s">
        <v>288</v>
      </c>
    </row>
    <row r="35" spans="1:4" x14ac:dyDescent="0.25">
      <c r="A35">
        <f t="array" aca="1" ref="A35" ca="1">INDIRECT(ADDRESS(ROW()-1,COLUMN()))+1</f>
        <v>32</v>
      </c>
      <c r="B35" s="3" t="s">
        <v>289</v>
      </c>
      <c r="C35" t="s">
        <v>290</v>
      </c>
      <c r="D35" t="s">
        <v>291</v>
      </c>
    </row>
    <row r="36" spans="1:4" x14ac:dyDescent="0.25">
      <c r="A36">
        <f t="array" aca="1" ref="A36" ca="1">INDIRECT(ADDRESS(ROW()-1,COLUMN()))+1</f>
        <v>33</v>
      </c>
      <c r="B36" s="3" t="s">
        <v>292</v>
      </c>
      <c r="C36" t="s">
        <v>293</v>
      </c>
      <c r="D36" s="26" t="s">
        <v>294</v>
      </c>
    </row>
    <row r="37" spans="1:4" x14ac:dyDescent="0.25">
      <c r="A37">
        <f t="array" aca="1" ref="A37" ca="1">INDIRECT(ADDRESS(ROW()-1,COLUMN()))+1</f>
        <v>34</v>
      </c>
      <c r="B37" s="3" t="s">
        <v>295</v>
      </c>
      <c r="C37" t="s">
        <v>296</v>
      </c>
      <c r="D37" s="26" t="s">
        <v>297</v>
      </c>
    </row>
    <row r="38" spans="1:4" x14ac:dyDescent="0.25">
      <c r="A38">
        <f t="array" aca="1" ref="A38" ca="1">INDIRECT(ADDRESS(ROW()-1,COLUMN()))+1</f>
        <v>35</v>
      </c>
      <c r="B38" s="3" t="s">
        <v>298</v>
      </c>
      <c r="C38" t="s">
        <v>299</v>
      </c>
      <c r="D38" s="26" t="s">
        <v>300</v>
      </c>
    </row>
    <row r="39" spans="1:4" x14ac:dyDescent="0.25">
      <c r="A39">
        <f t="array" aca="1" ref="A39" ca="1">INDIRECT(ADDRESS(ROW()-1,COLUMN()))+1</f>
        <v>36</v>
      </c>
      <c r="B39" s="3" t="s">
        <v>301</v>
      </c>
      <c r="C39" t="s">
        <v>302</v>
      </c>
      <c r="D39" s="26" t="s">
        <v>303</v>
      </c>
    </row>
    <row r="40" spans="1:4" x14ac:dyDescent="0.25">
      <c r="A40">
        <f t="array" aca="1" ref="A40" ca="1">INDIRECT(ADDRESS(ROW()-1,COLUMN()))+1</f>
        <v>37</v>
      </c>
      <c r="B40" s="3" t="s">
        <v>304</v>
      </c>
      <c r="C40" t="s">
        <v>305</v>
      </c>
      <c r="D40" s="26" t="s">
        <v>306</v>
      </c>
    </row>
    <row r="41" spans="1:4" x14ac:dyDescent="0.25">
      <c r="A41">
        <f t="array" aca="1" ref="A41" ca="1">INDIRECT(ADDRESS(ROW()-1,COLUMN()))+1</f>
        <v>38</v>
      </c>
      <c r="B41" s="3" t="s">
        <v>307</v>
      </c>
      <c r="C41" t="s">
        <v>308</v>
      </c>
      <c r="D41" s="26" t="s">
        <v>309</v>
      </c>
    </row>
    <row r="42" spans="1:4" x14ac:dyDescent="0.25">
      <c r="A42">
        <v>39</v>
      </c>
      <c r="B42" s="3" t="s">
        <v>310</v>
      </c>
      <c r="C42" t="s">
        <v>311</v>
      </c>
      <c r="D42" s="26" t="s">
        <v>312</v>
      </c>
    </row>
    <row r="43" spans="1:4" x14ac:dyDescent="0.25">
      <c r="A43">
        <v>40</v>
      </c>
      <c r="B43" s="3" t="s">
        <v>313</v>
      </c>
      <c r="C43" t="s">
        <v>314</v>
      </c>
      <c r="D43" t="s">
        <v>315</v>
      </c>
    </row>
    <row r="44" spans="1:4" x14ac:dyDescent="0.25">
      <c r="A44">
        <v>41</v>
      </c>
      <c r="B44" s="3" t="s">
        <v>4315</v>
      </c>
      <c r="C44" t="s">
        <v>4316</v>
      </c>
      <c r="D44" s="26" t="s">
        <v>4317</v>
      </c>
    </row>
    <row r="45" spans="1:4" x14ac:dyDescent="0.25">
      <c r="A45">
        <f t="array" aca="1" ref="A45" ca="1">INDIRECT(ADDRESS(ROW()-1,COLUMN()))</f>
        <v>41</v>
      </c>
      <c r="B45" s="36" t="s">
        <v>316</v>
      </c>
      <c r="C45" t="s">
        <v>317</v>
      </c>
      <c r="D45" t="s">
        <v>318</v>
      </c>
    </row>
  </sheetData>
  <autoFilter ref="A2:D43" xr:uid="{00000000-0009-0000-0000-000003000000}"/>
  <mergeCells count="1">
    <mergeCell ref="A1:I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tabColor rgb="FF002060"/>
  </sheetPr>
  <dimension ref="A1:L12"/>
  <sheetViews>
    <sheetView zoomScale="85" workbookViewId="0">
      <pane ySplit="1" topLeftCell="A2" activePane="bottomLeft" state="frozen"/>
      <selection pane="bottomLeft" sqref="A1:XFD1"/>
    </sheetView>
  </sheetViews>
  <sheetFormatPr defaultColWidth="11.5703125" defaultRowHeight="15" x14ac:dyDescent="0.25"/>
  <cols>
    <col min="1" max="1" width="25" style="3" customWidth="1"/>
    <col min="2" max="2" width="27.42578125" customWidth="1"/>
    <col min="3" max="3" width="20.85546875" customWidth="1"/>
    <col min="4" max="4" width="18.28515625" customWidth="1"/>
    <col min="5" max="5" width="20.140625" customWidth="1"/>
    <col min="6" max="6" width="54.140625" style="3" customWidth="1"/>
    <col min="7" max="7" width="60.7109375" customWidth="1"/>
    <col min="8" max="8" width="11.140625" customWidth="1"/>
    <col min="9" max="9" width="71.5703125" style="3" customWidth="1"/>
    <col min="10" max="10" width="14.28515625" customWidth="1"/>
    <col min="11" max="11" width="79.42578125" customWidth="1"/>
    <col min="12" max="12" width="102" customWidth="1"/>
    <col min="13" max="13" width="17.42578125" customWidth="1"/>
    <col min="14" max="14" width="59.5703125" customWidth="1"/>
    <col min="15" max="15" width="94.42578125" customWidth="1"/>
  </cols>
  <sheetData>
    <row r="1" spans="1:12" s="48" customFormat="1" x14ac:dyDescent="0.25">
      <c r="A1" s="100" t="s">
        <v>319</v>
      </c>
      <c r="B1" s="101"/>
      <c r="C1" s="101"/>
      <c r="D1" s="101"/>
      <c r="E1" s="101"/>
      <c r="F1" s="101"/>
      <c r="G1" s="101"/>
      <c r="H1" s="101"/>
      <c r="I1" s="101"/>
      <c r="J1" s="52"/>
      <c r="K1" s="52"/>
      <c r="L1" s="52"/>
    </row>
    <row r="2" spans="1:12" x14ac:dyDescent="0.25">
      <c r="A2" s="3" t="s">
        <v>320</v>
      </c>
      <c r="B2" s="6" t="s">
        <v>321</v>
      </c>
    </row>
    <row r="3" spans="1:12" x14ac:dyDescent="0.25">
      <c r="A3" s="9">
        <v>1</v>
      </c>
      <c r="B3" t="s">
        <v>322</v>
      </c>
      <c r="C3" s="6"/>
    </row>
    <row r="4" spans="1:12" x14ac:dyDescent="0.25">
      <c r="A4" s="9">
        <v>2</v>
      </c>
      <c r="B4" t="s">
        <v>323</v>
      </c>
      <c r="C4" s="6"/>
    </row>
    <row r="5" spans="1:12" x14ac:dyDescent="0.25">
      <c r="A5" s="9">
        <v>3</v>
      </c>
      <c r="B5" t="s">
        <v>324</v>
      </c>
    </row>
    <row r="6" spans="1:12" x14ac:dyDescent="0.25">
      <c r="B6" s="56"/>
    </row>
    <row r="7" spans="1:12" x14ac:dyDescent="0.25">
      <c r="B7" s="56"/>
    </row>
    <row r="8" spans="1:12" x14ac:dyDescent="0.25">
      <c r="B8" s="56"/>
    </row>
    <row r="9" spans="1:12" x14ac:dyDescent="0.25">
      <c r="B9" s="56"/>
    </row>
    <row r="10" spans="1:12" x14ac:dyDescent="0.25">
      <c r="B10" s="56"/>
    </row>
    <row r="11" spans="1:12" x14ac:dyDescent="0.25">
      <c r="B11" s="56"/>
    </row>
    <row r="12" spans="1:12" x14ac:dyDescent="0.25">
      <c r="B12" s="32"/>
      <c r="C12" s="6"/>
    </row>
  </sheetData>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eneric006">
    <tabColor rgb="FF002060"/>
  </sheetPr>
  <dimension ref="A1:O7"/>
  <sheetViews>
    <sheetView workbookViewId="0">
      <pane xSplit="1" ySplit="2" topLeftCell="B3" activePane="bottomRight" state="frozen"/>
      <selection pane="topRight"/>
      <selection pane="bottomLeft"/>
      <selection pane="bottomRight" sqref="A1:XFD1"/>
    </sheetView>
  </sheetViews>
  <sheetFormatPr defaultColWidth="10.7109375" defaultRowHeight="15" x14ac:dyDescent="0.25"/>
  <cols>
    <col min="1" max="1" width="17.42578125" customWidth="1"/>
    <col min="2" max="2" width="59.5703125" customWidth="1"/>
    <col min="3" max="3" width="80.140625" customWidth="1"/>
  </cols>
  <sheetData>
    <row r="1" spans="1:15" x14ac:dyDescent="0.25">
      <c r="A1" s="102" t="s">
        <v>134</v>
      </c>
      <c r="B1" s="103"/>
      <c r="C1" s="103"/>
      <c r="D1" s="103"/>
      <c r="E1" s="103"/>
      <c r="F1" s="103"/>
      <c r="G1" s="103"/>
      <c r="H1" s="103"/>
      <c r="I1" s="103"/>
      <c r="J1" s="6"/>
      <c r="K1" s="6"/>
      <c r="L1" s="6"/>
      <c r="M1" s="86"/>
      <c r="N1" s="87"/>
      <c r="O1" s="87"/>
    </row>
    <row r="2" spans="1:15" s="89" customFormat="1" x14ac:dyDescent="0.25">
      <c r="A2" s="88" t="s">
        <v>325</v>
      </c>
      <c r="B2" s="88" t="s">
        <v>326</v>
      </c>
      <c r="C2" s="88" t="s">
        <v>327</v>
      </c>
    </row>
    <row r="3" spans="1:15" x14ac:dyDescent="0.25">
      <c r="A3">
        <v>1</v>
      </c>
      <c r="B3" t="s">
        <v>328</v>
      </c>
      <c r="C3" t="s">
        <v>329</v>
      </c>
    </row>
    <row r="4" spans="1:15" x14ac:dyDescent="0.25">
      <c r="A4">
        <v>2</v>
      </c>
      <c r="B4" t="s">
        <v>330</v>
      </c>
      <c r="C4" t="s">
        <v>331</v>
      </c>
    </row>
    <row r="5" spans="1:15" x14ac:dyDescent="0.25">
      <c r="A5">
        <v>4</v>
      </c>
      <c r="B5" t="s">
        <v>332</v>
      </c>
      <c r="C5" t="s">
        <v>333</v>
      </c>
    </row>
    <row r="6" spans="1:15" x14ac:dyDescent="0.25">
      <c r="A6">
        <v>5</v>
      </c>
      <c r="B6" t="s">
        <v>334</v>
      </c>
      <c r="C6" t="s">
        <v>335</v>
      </c>
    </row>
    <row r="7" spans="1:15" x14ac:dyDescent="0.25">
      <c r="A7">
        <v>99</v>
      </c>
      <c r="B7" t="s">
        <v>336</v>
      </c>
      <c r="C7" t="s">
        <v>337</v>
      </c>
    </row>
  </sheetData>
  <autoFilter ref="A2:C2" xr:uid="{00000000-0009-0000-0000-000005000000}"/>
  <mergeCells count="1">
    <mergeCell ref="A1:I1"/>
  </mergeCells>
  <pageMargins left="0.7" right="0.7" top="0.78749999999999998" bottom="0.78749999999999998" header="0.3" footer="0.3"/>
  <pageSetup paperSize="9" fitToWidth="0" pageOrder="overThenDown"/>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tabColor rgb="FFFFFF00"/>
  </sheetPr>
  <dimension ref="A1:BI727"/>
  <sheetViews>
    <sheetView zoomScale="90" workbookViewId="0">
      <pane xSplit="3" ySplit="2" topLeftCell="BI701" activePane="bottomRight" state="frozen"/>
      <selection pane="topRight" activeCell="D1" sqref="D1"/>
      <selection pane="bottomLeft" activeCell="A3" sqref="A3"/>
      <selection pane="bottomRight" activeCell="C725" sqref="C725"/>
    </sheetView>
  </sheetViews>
  <sheetFormatPr defaultColWidth="11.5703125" defaultRowHeight="15" x14ac:dyDescent="0.25"/>
  <cols>
    <col min="1" max="1" width="16.42578125" style="1" customWidth="1"/>
    <col min="2" max="2" width="48.140625" customWidth="1"/>
    <col min="3" max="3" width="37.28515625" customWidth="1"/>
    <col min="4" max="4" width="23.85546875" style="3" customWidth="1"/>
    <col min="5" max="5" width="14.7109375" customWidth="1"/>
    <col min="6" max="6" width="17" customWidth="1"/>
    <col min="7" max="7" width="26.710937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 customWidth="1"/>
    <col min="16" max="16" width="12.85546875" style="5" customWidth="1"/>
    <col min="17" max="17" width="19.85546875" style="3" customWidth="1"/>
    <col min="18" max="18" width="26.140625" customWidth="1"/>
    <col min="19" max="19" width="18.7109375" style="5" customWidth="1"/>
    <col min="20" max="20" width="16" style="16" customWidth="1"/>
    <col min="21" max="21" width="22.42578125" style="3" customWidth="1"/>
    <col min="22" max="22" width="55.28515625" style="4" customWidth="1"/>
    <col min="23" max="23" width="28.28515625" style="3" customWidth="1"/>
    <col min="24" max="24" width="28.85546875" style="3" customWidth="1"/>
    <col min="25" max="25" width="28.85546875" style="43" customWidth="1"/>
    <col min="26" max="26" width="19.85546875" style="3" customWidth="1"/>
    <col min="27" max="27" width="19.42578125" customWidth="1"/>
    <col min="28" max="28" width="41.7109375" style="4" customWidth="1"/>
    <col min="29" max="31" width="17.7109375" style="3" customWidth="1"/>
    <col min="32" max="32" width="11.42578125" customWidth="1"/>
    <col min="33" max="33" width="17.7109375" customWidth="1"/>
    <col min="34" max="34" width="35.140625" style="4" customWidth="1"/>
    <col min="35" max="36" width="17.7109375" style="3" customWidth="1"/>
    <col min="37" max="37" width="19.85546875" customWidth="1"/>
    <col min="38" max="38" width="17.7109375" customWidth="1"/>
    <col min="39" max="39" width="17.7109375" style="4" customWidth="1"/>
    <col min="40" max="41" width="17.7109375" style="3" customWidth="1"/>
    <col min="42" max="42" width="19.85546875" style="3" customWidth="1"/>
    <col min="43" max="43" width="17.140625" customWidth="1"/>
    <col min="44" max="44" width="17.140625" style="4" customWidth="1"/>
    <col min="45" max="46" width="17.7109375" style="3" customWidth="1"/>
    <col min="47" max="47" width="19.85546875" style="3" customWidth="1"/>
    <col min="48" max="48" width="17.140625" customWidth="1"/>
    <col min="49" max="49" width="17.140625" style="4" customWidth="1"/>
    <col min="50" max="51" width="17.7109375" style="3" customWidth="1"/>
    <col min="52" max="52" width="17.7109375" style="48" customWidth="1"/>
    <col min="53" max="53" width="19.85546875" style="48" customWidth="1"/>
    <col min="54" max="54" width="20.5703125" style="48" customWidth="1"/>
    <col min="55" max="55" width="7.7109375" style="48" customWidth="1"/>
    <col min="56" max="56" width="13.28515625" style="48" customWidth="1"/>
    <col min="57" max="57" width="79" style="18" customWidth="1"/>
    <col min="58" max="58" width="75.5703125" style="18" customWidth="1"/>
    <col min="59" max="59" width="73" style="18" customWidth="1"/>
    <col min="60" max="60" width="139.28515625" style="18" customWidth="1"/>
    <col min="61" max="61" width="141.7109375" style="18" customWidth="1"/>
  </cols>
  <sheetData>
    <row r="1" spans="1:61" x14ac:dyDescent="0.25">
      <c r="A1" s="99"/>
      <c r="B1" s="99"/>
      <c r="C1" s="99"/>
      <c r="D1" s="39" t="s">
        <v>338</v>
      </c>
      <c r="E1" s="39"/>
      <c r="F1" s="39"/>
      <c r="G1" s="39"/>
      <c r="H1" s="39"/>
      <c r="I1" s="39"/>
      <c r="J1" s="39"/>
      <c r="K1" s="39"/>
      <c r="L1" s="39"/>
      <c r="M1" s="39"/>
      <c r="N1" s="39"/>
      <c r="Q1" s="39"/>
      <c r="R1" s="39"/>
      <c r="T1" s="39"/>
      <c r="U1" s="39"/>
      <c r="V1" s="39"/>
      <c r="W1" s="39"/>
      <c r="X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c r="BA1"/>
      <c r="BB1"/>
      <c r="BC1"/>
      <c r="BD1"/>
      <c r="BE1" s="39"/>
      <c r="BF1" s="39"/>
      <c r="BG1" s="39"/>
      <c r="BH1" s="39"/>
      <c r="BI1" s="42"/>
    </row>
    <row r="2" spans="1:61" s="6" customFormat="1" ht="120" customHeight="1" x14ac:dyDescent="0.25">
      <c r="A2" s="1" t="s">
        <v>339</v>
      </c>
      <c r="B2" s="6" t="s">
        <v>340</v>
      </c>
      <c r="C2" s="6" t="s">
        <v>341</v>
      </c>
      <c r="D2" s="3" t="s">
        <v>342</v>
      </c>
      <c r="E2" s="6" t="s">
        <v>343</v>
      </c>
      <c r="F2" s="6" t="s">
        <v>344</v>
      </c>
      <c r="G2" s="3" t="s">
        <v>345</v>
      </c>
      <c r="H2" s="11" t="s">
        <v>346</v>
      </c>
      <c r="I2" s="11" t="s">
        <v>347</v>
      </c>
      <c r="J2" s="11" t="s">
        <v>348</v>
      </c>
      <c r="K2" s="11" t="s">
        <v>349</v>
      </c>
      <c r="L2" s="11" t="s">
        <v>350</v>
      </c>
      <c r="M2" s="11" t="s">
        <v>351</v>
      </c>
      <c r="N2" s="11" t="s">
        <v>352</v>
      </c>
      <c r="O2" s="43" t="s">
        <v>353</v>
      </c>
      <c r="P2" s="43" t="s">
        <v>354</v>
      </c>
      <c r="Q2" s="13" t="s">
        <v>355</v>
      </c>
      <c r="R2" s="20" t="s">
        <v>356</v>
      </c>
      <c r="S2" s="43" t="s">
        <v>357</v>
      </c>
      <c r="T2" s="19" t="s">
        <v>358</v>
      </c>
      <c r="U2" s="3" t="s">
        <v>3</v>
      </c>
      <c r="V2" s="25" t="s">
        <v>359</v>
      </c>
      <c r="W2" s="13" t="s">
        <v>360</v>
      </c>
      <c r="X2" s="13" t="s">
        <v>361</v>
      </c>
      <c r="Y2" s="43" t="s">
        <v>362</v>
      </c>
      <c r="Z2" s="13" t="s">
        <v>363</v>
      </c>
      <c r="AA2" s="20" t="s">
        <v>364</v>
      </c>
      <c r="AB2" s="25" t="s">
        <v>365</v>
      </c>
      <c r="AC2" s="13" t="s">
        <v>366</v>
      </c>
      <c r="AD2" s="13" t="s">
        <v>367</v>
      </c>
      <c r="AE2" s="13" t="s">
        <v>368</v>
      </c>
      <c r="AF2" s="13" t="s">
        <v>369</v>
      </c>
      <c r="AG2" s="20" t="s">
        <v>370</v>
      </c>
      <c r="AH2" s="25" t="s">
        <v>371</v>
      </c>
      <c r="AI2" s="13" t="s">
        <v>372</v>
      </c>
      <c r="AJ2" s="13" t="s">
        <v>373</v>
      </c>
      <c r="AK2" s="13" t="s">
        <v>374</v>
      </c>
      <c r="AL2" s="20" t="s">
        <v>375</v>
      </c>
      <c r="AM2" s="25" t="s">
        <v>376</v>
      </c>
      <c r="AN2" s="13" t="s">
        <v>377</v>
      </c>
      <c r="AO2" s="13" t="s">
        <v>378</v>
      </c>
      <c r="AP2" s="13" t="s">
        <v>379</v>
      </c>
      <c r="AQ2" s="20" t="s">
        <v>380</v>
      </c>
      <c r="AR2" s="25" t="s">
        <v>381</v>
      </c>
      <c r="AS2" s="13" t="s">
        <v>382</v>
      </c>
      <c r="AT2" s="13" t="s">
        <v>383</v>
      </c>
      <c r="AU2" s="13" t="s">
        <v>384</v>
      </c>
      <c r="AV2" s="20" t="s">
        <v>385</v>
      </c>
      <c r="AW2" s="25" t="s">
        <v>386</v>
      </c>
      <c r="AX2" s="13" t="s">
        <v>387</v>
      </c>
      <c r="AY2" s="13" t="s">
        <v>388</v>
      </c>
      <c r="AZ2" s="47" t="s">
        <v>389</v>
      </c>
      <c r="BA2" s="47" t="s">
        <v>390</v>
      </c>
      <c r="BB2" s="47" t="s">
        <v>391</v>
      </c>
      <c r="BC2" s="47" t="s">
        <v>392</v>
      </c>
      <c r="BD2" s="47" t="s">
        <v>393</v>
      </c>
      <c r="BE2" s="17" t="s">
        <v>394</v>
      </c>
      <c r="BF2" s="17" t="s">
        <v>395</v>
      </c>
      <c r="BG2" s="17" t="s">
        <v>396</v>
      </c>
      <c r="BH2" s="17" t="s">
        <v>397</v>
      </c>
      <c r="BI2" s="17" t="s">
        <v>398</v>
      </c>
    </row>
    <row r="3" spans="1:61" x14ac:dyDescent="0.25">
      <c r="A3" s="12">
        <v>19</v>
      </c>
      <c r="B3" t="s">
        <v>399</v>
      </c>
      <c r="C3" t="s">
        <v>400</v>
      </c>
      <c r="D3" s="3">
        <f t="shared" ref="D3:D66" si="0">A3</f>
        <v>19</v>
      </c>
      <c r="G3" s="9" t="s">
        <v>169</v>
      </c>
      <c r="I3" t="s">
        <v>401</v>
      </c>
      <c r="J3" t="s">
        <v>401</v>
      </c>
      <c r="K3">
        <v>185</v>
      </c>
      <c r="L3">
        <v>185</v>
      </c>
      <c r="M3">
        <v>185</v>
      </c>
      <c r="O3" s="5" t="s">
        <v>402</v>
      </c>
      <c r="Q3" s="3">
        <f>IF(AND(P3&lt;&gt;"",ISNUMBER(P3),NOT(ISNA(P3))),P3,IF(R3&lt;&gt;"",VLOOKUP(R3,'ESO zones'!$D$5:$H$10005,5,FALSE),""))</f>
        <v>31</v>
      </c>
      <c r="R3" t="str">
        <f>IF(AND(O3&lt;&gt;"",NOT(ISERROR(O3))),O3,IF(AND(P3&lt;&gt;"",ISNUMBER(P3),P3&gt;0,NOT(ISNA(P3))),VLOOKUP(P3,'ESO zones'!$A$5:$D$10003,4,FALSE),IF(AND(K3&lt;&gt;"",K3&gt;0,NOT(ISERROR(K3))),VLOOKUP(K3,'ESO wayshrines'!$K$3:$N$9972,4,FALSE),"")))</f>
        <v>Selene's Web</v>
      </c>
      <c r="T3" s="16" t="str">
        <f>IF(AND(S3&lt;&gt;"",NOT(ISERROR(S3))),S3,VLOOKUP(A3,'ESO Set&amp;DLCs'!$A$3:$D$99998,4,FALSE))</f>
        <v>DLC_BASE_GAME</v>
      </c>
      <c r="U3" s="3" t="str">
        <f>IF(T3&lt;&gt;"",VLOOKUP(T3,ConstDLCIds!$B$4:$C$1000,2,FALSE),"")</f>
        <v>Included in base game</v>
      </c>
      <c r="V3" s="57" t="s">
        <v>278</v>
      </c>
      <c r="Y3" s="5"/>
      <c r="Z3" s="3">
        <f>IF(AND(G3&lt;&gt;"LIBSETS_SETTYPE_BATTLEGROUND",G3&lt;&gt;"LIBSETS_SETTYPE_SPECIAL"),IF(AND(Y3&lt;&gt;"",ISNUMBER(Y3),NOT(ISNA(Y3))),Y3,IF(AND(L3&lt;&gt;"",ISNUMBER(L3),L3&gt;0,NOT(ISNA(L3))),VLOOKUP(L3,'ESO wayshrines'!$K$3:$L$9972,2,FALSE),"")),"")</f>
        <v>382</v>
      </c>
      <c r="AA3" t="str">
        <f>IF(AND(Z3&lt;&gt;"",ISNUMBER(Z3),NOT(ISNA(Z3))),VLOOKUP(Z3,'ESO zones'!$A$5:$D$10003,4,FALSE),"")</f>
        <v>Reaper's March</v>
      </c>
      <c r="AB3" s="57"/>
      <c r="AF3" s="3">
        <f>IF(AND(G3&lt;&gt;"LIBSETS_SETTYPE_BATTLEGROUND",G3&lt;&gt;"LIBSETS_SETTYPE_SPECIAL"),IF(AND(AE3&lt;&gt;"",ISNUMBER(AE3),NOT(ISNA(AE3))),AE3,IF(AND(M3&lt;&gt;"",ISNUMBER(M3),M3&gt;0,NOT(ISNA(M3))),VLOOKUP(M3,'ESO wayshrines'!$K$3:$L$9972,2,FALSE),"")),"")</f>
        <v>382</v>
      </c>
      <c r="AG3" t="str">
        <f>IF(AND(AF3&lt;&gt;"",ISNUMBER(AF3),NOT(ISNA(AF3))),VLOOKUP(AF3,'ESO zones'!$A$5:$D$10003,4,FALSE),"")</f>
        <v>Reaper's March</v>
      </c>
      <c r="AK3" s="3" t="str">
        <f>IF(AND(G3&lt;&gt;"LIBSETS_SETTYPE_BATTLEGROUND",G3&lt;&gt;"LIBSETS_SETTYPE_SPECIAL"),IF(AL3&lt;&gt;"",VLOOKUP(AL3,'ESO zones'!$D$5:$H$4957,5,FALSE),""),"")</f>
        <v/>
      </c>
      <c r="AP3" s="3" t="str">
        <f>IF(AND(G3&lt;&gt;"LIBSETS_SETTYPE_BATTLEGROUND",G3&lt;&gt;"LIBSETS_SETTYPE_SPECIAL"),IF(AQ3&lt;&gt;"",VLOOKUP(AQ3,'ESO zones'!$D$5:$H$4957,5,FALSE),""),"")</f>
        <v/>
      </c>
      <c r="AU3" s="3" t="str">
        <f>IF(AND(G3&lt;&gt;"LIBSETS_SETTYPE_BATTLEGROUND",G3&lt;&gt;"LIBSETS_SETTYPE_SPECIAL"),IF(AV3&lt;&gt;"",VLOOKUP(AV3,'ESO zones'!$D$5:$H$4957,5,FALSE),""),"")</f>
        <v/>
      </c>
      <c r="AZ3" s="49" t="s">
        <v>403</v>
      </c>
      <c r="BA3" s="49"/>
      <c r="BB3" s="49"/>
      <c r="BC3" s="49"/>
      <c r="BD3" s="49"/>
      <c r="BE3" s="18"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BF66" si="2">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8" t="str">
        <f t="shared" ref="BG3:BG66" si="3">IF(A3&lt;&gt;"",IF(F3&lt;&gt;"Not in the game (anymore)",IF(A3&lt;&gt;"",", setType="&amp;G3,"")&amp;IF(G3="LIBSETS_SETTYPE_CLASS",", classId="&amp;BC3,"")&amp;IF(J3="true",", multiTrialSet=true",""),"")&amp;IF(AND(H3&lt;&gt;"",ISNUMBER(H3)),", undauntedChestId="&amp;H3,""),"")</f>
        <v>, setType=LIBSETS_SETTYPE_DUNGEON</v>
      </c>
      <c r="BH3" s="18" t="str">
        <f t="shared" ref="BH3:BH66" si="4">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8" t="str">
        <f t="shared" ref="BI3:BI66" si="5">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row>
    <row r="4" spans="1:61" x14ac:dyDescent="0.25">
      <c r="A4" s="12">
        <v>20</v>
      </c>
      <c r="B4" t="s">
        <v>404</v>
      </c>
      <c r="C4" t="s">
        <v>405</v>
      </c>
      <c r="D4" s="3">
        <f t="shared" si="0"/>
        <v>20</v>
      </c>
      <c r="G4" s="9" t="s">
        <v>174</v>
      </c>
      <c r="I4" t="s">
        <v>401</v>
      </c>
      <c r="J4" t="s">
        <v>401</v>
      </c>
      <c r="K4">
        <v>109</v>
      </c>
      <c r="L4">
        <v>109</v>
      </c>
      <c r="M4">
        <v>109</v>
      </c>
      <c r="O4" s="5" t="s">
        <v>406</v>
      </c>
      <c r="Q4" s="3">
        <f>IF(AND(P4&lt;&gt;"",ISNUMBER(P4),NOT(ISNA(P4))),P4,IF(R4&lt;&gt;"",VLOOKUP(R4,'ESO zones'!$D$5:$H$10005,5,FALSE),""))</f>
        <v>103</v>
      </c>
      <c r="R4" t="str">
        <f>IF(AND(O4&lt;&gt;"",NOT(ISERROR(O4))),O4,IF(AND(P4&lt;&gt;"",ISNUMBER(P4),P4&gt;0,NOT(ISNA(P4))),VLOOKUP(P4,'ESO zones'!$A$5:$D$10003,4,FALSE),IF(AND(K4&lt;&gt;"",K4&gt;0,NOT(ISERROR(K4))),VLOOKUP(K4,'ESO wayshrines'!$K$3:$N$9972,4,FALSE),"")))</f>
        <v>The Rift</v>
      </c>
      <c r="T4" s="16" t="str">
        <f>IF(AND(S4&lt;&gt;"",NOT(ISERROR(S4))),S4,VLOOKUP(A4,'ESO Set&amp;DLCs'!$A$3:$D$99998,4,FALSE))</f>
        <v>DLC_BASE_GAME</v>
      </c>
      <c r="U4" s="3" t="str">
        <f>IF(T4&lt;&gt;"",VLOOKUP(T4,ConstDLCIds!$B$4:$C$1000,2,FALSE),"")</f>
        <v>Included in base game</v>
      </c>
      <c r="V4" s="57" t="s">
        <v>215</v>
      </c>
      <c r="Y4" s="5"/>
      <c r="Z4" s="3">
        <f>IF(AND(G4&lt;&gt;"LIBSETS_SETTYPE_BATTLEGROUND",G4&lt;&gt;"LIBSETS_SETTYPE_SPECIAL"),IF(AND(Y4&lt;&gt;"",ISNUMBER(Y4),NOT(ISNA(Y4))),Y4,IF(AND(L4&lt;&gt;"",ISNUMBER(L4),L4&gt;0,NOT(ISNA(L4))),VLOOKUP(L4,'ESO wayshrines'!$K$3:$L$9972,2,FALSE),"")),"")</f>
        <v>103</v>
      </c>
      <c r="AA4" t="str">
        <f>IF(AND(Z4&lt;&gt;"",ISNUMBER(Z4),NOT(ISNA(Z4))),VLOOKUP(Z4,'ESO zones'!$A$5:$D$10003,4,FALSE),"")</f>
        <v>The Rift</v>
      </c>
      <c r="AB4" s="57" t="s">
        <v>218</v>
      </c>
      <c r="AE4" s="3">
        <v>341</v>
      </c>
      <c r="AF4" s="3">
        <f>IF(AND(G4&lt;&gt;"LIBSETS_SETTYPE_BATTLEGROUND",G4&lt;&gt;"LIBSETS_SETTYPE_SPECIAL"),IF(AND(AE4&lt;&gt;"",ISNUMBER(AE4),NOT(ISNA(AE4))),AE4,IF(AND(M4&lt;&gt;"",ISNUMBER(M4),M4&gt;0,NOT(ISNA(M4))),VLOOKUP(M4,'ESO wayshrines'!$K$3:$L$9972,2,FALSE),"")),"")</f>
        <v>341</v>
      </c>
      <c r="AG4" t="str">
        <f>IF(AND(AF4&lt;&gt;"",ISNUMBER(AF4),NOT(ISNA(AF4))),VLOOKUP(AF4,'ESO zones'!$A$5:$D$10003,4,FALSE),"")</f>
        <v>The Lion's Den</v>
      </c>
      <c r="AH4" s="4" t="s">
        <v>221</v>
      </c>
      <c r="AK4" s="3">
        <f>IF(AND(G4&lt;&gt;"LIBSETS_SETTYPE_BATTLEGROUND",G4&lt;&gt;"LIBSETS_SETTYPE_SPECIAL"),IF(AL4&lt;&gt;"",VLOOKUP(AL4,'ESO zones'!$D$5:$H$4957,5,FALSE),""),"")</f>
        <v>103</v>
      </c>
      <c r="AL4" t="s">
        <v>406</v>
      </c>
      <c r="AM4" s="4" t="s">
        <v>224</v>
      </c>
      <c r="AP4" s="3">
        <f>IF(AND(G4&lt;&gt;"LIBSETS_SETTYPE_BATTLEGROUND",G4&lt;&gt;"LIBSETS_SETTYPE_SPECIAL"),IF(AQ4&lt;&gt;"",VLOOKUP(AQ4,'ESO zones'!$D$5:$H$4957,5,FALSE),""),"")</f>
        <v>103</v>
      </c>
      <c r="AQ4" t="s">
        <v>406</v>
      </c>
      <c r="AR4" s="80" t="s">
        <v>269</v>
      </c>
      <c r="AU4" s="3" t="str">
        <f>IF(AND(G4&lt;&gt;"LIBSETS_SETTYPE_BATTLEGROUND",G4&lt;&gt;"LIBSETS_SETTYPE_SPECIAL"),IF(AV4&lt;&gt;"",VLOOKUP(AV4,'ESO zones'!$D$5:$H$4957,5,FALSE),""),"")</f>
        <v/>
      </c>
      <c r="AZ4" s="49" t="s">
        <v>403</v>
      </c>
      <c r="BA4" s="49"/>
      <c r="BB4" s="49"/>
      <c r="BC4" s="49"/>
      <c r="BD4" s="49"/>
      <c r="BE4" s="18" t="str">
        <f t="shared" si="1"/>
        <v>[20] = {wayshrines={109,109,109,}, dlcId=DLC_BASE_GAME</v>
      </c>
      <c r="BF4" s="18" t="str">
        <f t="shared" si="2"/>
        <v>, zoneIds={103,103,341,103,103}, veteran=false</v>
      </c>
      <c r="BG4" s="18" t="str">
        <f t="shared" si="3"/>
        <v>, setType=LIBSETS_SETTYPE_OVERLAND</v>
      </c>
      <c r="BH4" s="18" t="str">
        <f t="shared" si="4"/>
        <v>, dropMechanic={LIBSETS_DROP_MECHANIC_OVERLAND_BOSS_DELVE,LIBSETS_DROP_MECHANIC_OVERLAND_WORLDBOSS,LIBSETS_DROP_MECHANIC_OVERLAND_BOSS_PUBLIC_DUNGEON,LIBSETS_DROP_MECHANIC_OVERLAND_CHEST,LIBSETS_DROP_MECHANIC_OVERLAND_LOOT}</v>
      </c>
      <c r="BI4" s="18" t="str">
        <f t="shared" si="5"/>
        <v>}, --Witchman Armor / Hexenwerk   [The Rift, The Rift, The Lion's Den, The Rift, The Rift]</v>
      </c>
    </row>
    <row r="5" spans="1:61" x14ac:dyDescent="0.25">
      <c r="A5" s="12">
        <v>21</v>
      </c>
      <c r="B5" t="s">
        <v>407</v>
      </c>
      <c r="C5" t="s">
        <v>408</v>
      </c>
      <c r="D5" s="3">
        <f t="shared" si="0"/>
        <v>21</v>
      </c>
      <c r="G5" s="9" t="s">
        <v>174</v>
      </c>
      <c r="I5" t="s">
        <v>401</v>
      </c>
      <c r="J5" t="s">
        <v>401</v>
      </c>
      <c r="K5">
        <v>93</v>
      </c>
      <c r="L5">
        <v>93</v>
      </c>
      <c r="M5">
        <v>93</v>
      </c>
      <c r="O5" s="5" t="s">
        <v>409</v>
      </c>
      <c r="Q5" s="3">
        <f>IF(AND(P5&lt;&gt;"",ISNUMBER(P5),NOT(ISNA(P5))),P5,IF(R5&lt;&gt;"",VLOOKUP(R5,'ESO zones'!$D$5:$H$10005,5,FALSE),""))</f>
        <v>101</v>
      </c>
      <c r="R5" t="str">
        <f>IF(AND(O5&lt;&gt;"",NOT(ISERROR(O5))),O5,IF(AND(P5&lt;&gt;"",ISNUMBER(P5),P5&gt;0,NOT(ISNA(P5))),VLOOKUP(P5,'ESO zones'!$A$5:$D$10003,4,FALSE),IF(AND(K5&lt;&gt;"",K5&gt;0,NOT(ISERROR(K5))),VLOOKUP(K5,'ESO wayshrines'!$K$3:$N$9972,4,FALSE),"")))</f>
        <v>Eastmarch</v>
      </c>
      <c r="T5" s="16" t="str">
        <f>IF(AND(S5&lt;&gt;"",NOT(ISERROR(S5))),S5,VLOOKUP(A5,'ESO Set&amp;DLCs'!$A$3:$D$99998,4,FALSE))</f>
        <v>DLC_BASE_GAME</v>
      </c>
      <c r="U5" s="3" t="str">
        <f>IF(T5&lt;&gt;"",VLOOKUP(T5,ConstDLCIds!$B$4:$C$1000,2,FALSE),"")</f>
        <v>Included in base game</v>
      </c>
      <c r="V5" s="57" t="s">
        <v>215</v>
      </c>
      <c r="Z5" s="3">
        <f>IF(AND(G5&lt;&gt;"LIBSETS_SETTYPE_BATTLEGROUND",G5&lt;&gt;"LIBSETS_SETTYPE_SPECIAL"),IF(AND(Y5&lt;&gt;"",ISNUMBER(Y5),NOT(ISNA(Y5))),Y5,IF(AND(L5&lt;&gt;"",ISNUMBER(L5),L5&gt;0,NOT(ISNA(L5))),VLOOKUP(L5,'ESO wayshrines'!$K$3:$L$9972,2,FALSE),"")),"")</f>
        <v>101</v>
      </c>
      <c r="AA5" t="str">
        <f>IF(AND(Z5&lt;&gt;"",ISNUMBER(Z5),NOT(ISNA(Z5))),VLOOKUP(Z5,'ESO zones'!$A$5:$D$10003,4,FALSE),"")</f>
        <v>Eastmarch</v>
      </c>
      <c r="AB5" s="57" t="s">
        <v>218</v>
      </c>
      <c r="AE5" s="3">
        <v>339</v>
      </c>
      <c r="AF5" s="3">
        <f>IF(AND(G5&lt;&gt;"LIBSETS_SETTYPE_BATTLEGROUND",G5&lt;&gt;"LIBSETS_SETTYPE_SPECIAL"),IF(AND(AE5&lt;&gt;"",ISNUMBER(AE5),NOT(ISNA(AE5))),AE5,IF(AND(M5&lt;&gt;"",ISNUMBER(M5),M5&gt;0,NOT(ISNA(M5))),VLOOKUP(M5,'ESO wayshrines'!$K$3:$L$9972,2,FALSE),"")),"")</f>
        <v>339</v>
      </c>
      <c r="AG5" t="str">
        <f>IF(AND(AF5&lt;&gt;"",ISNUMBER(AF5),NOT(ISNA(AF5))),VLOOKUP(AF5,'ESO zones'!$A$5:$D$10003,4,FALSE),"")</f>
        <v>Hall of the Dead</v>
      </c>
      <c r="AH5" s="4" t="s">
        <v>221</v>
      </c>
      <c r="AK5" s="3">
        <f>IF(AND(G5&lt;&gt;"LIBSETS_SETTYPE_BATTLEGROUND",G5&lt;&gt;"LIBSETS_SETTYPE_SPECIAL"),IF(AL5&lt;&gt;"",VLOOKUP(AL5,'ESO zones'!$D$5:$H$4957,5,FALSE),""),"")</f>
        <v>101</v>
      </c>
      <c r="AL5" t="s">
        <v>409</v>
      </c>
      <c r="AM5" s="4" t="s">
        <v>224</v>
      </c>
      <c r="AP5" s="3">
        <f>IF(AND(G5&lt;&gt;"LIBSETS_SETTYPE_BATTLEGROUND",G5&lt;&gt;"LIBSETS_SETTYPE_SPECIAL"),IF(AQ5&lt;&gt;"",VLOOKUP(AQ5,'ESO zones'!$D$5:$H$4957,5,FALSE),""),"")</f>
        <v>101</v>
      </c>
      <c r="AQ5" t="s">
        <v>409</v>
      </c>
      <c r="AR5" s="80" t="s">
        <v>269</v>
      </c>
      <c r="AU5" s="3" t="str">
        <f>IF(AND(G5&lt;&gt;"LIBSETS_SETTYPE_BATTLEGROUND",G5&lt;&gt;"LIBSETS_SETTYPE_SPECIAL"),IF(AV5&lt;&gt;"",VLOOKUP(AV5,'ESO zones'!$D$5:$H$4957,5,FALSE),""),"")</f>
        <v/>
      </c>
      <c r="AZ5" s="49" t="s">
        <v>410</v>
      </c>
      <c r="BA5" s="49"/>
      <c r="BB5" s="49"/>
      <c r="BC5" s="49"/>
      <c r="BD5" s="49"/>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2">
        <v>22</v>
      </c>
      <c r="B6" t="s">
        <v>411</v>
      </c>
      <c r="C6" t="s">
        <v>412</v>
      </c>
      <c r="D6" s="3">
        <f t="shared" si="0"/>
        <v>22</v>
      </c>
      <c r="G6" s="9" t="s">
        <v>174</v>
      </c>
      <c r="I6" t="s">
        <v>401</v>
      </c>
      <c r="J6" t="s">
        <v>401</v>
      </c>
      <c r="K6">
        <v>17</v>
      </c>
      <c r="L6">
        <v>17</v>
      </c>
      <c r="M6">
        <v>17</v>
      </c>
      <c r="O6" s="5" t="s">
        <v>413</v>
      </c>
      <c r="Q6" s="3">
        <f>IF(AND(P6&lt;&gt;"",ISNUMBER(P6),NOT(ISNA(P6))),P6,IF(R6&lt;&gt;"",VLOOKUP(R6,'ESO zones'!$D$5:$H$10005,5,FALSE),""))</f>
        <v>19</v>
      </c>
      <c r="R6" t="str">
        <f>IF(AND(O6&lt;&gt;"",NOT(ISERROR(O6))),O6,IF(AND(P6&lt;&gt;"",ISNUMBER(P6),P6&gt;0,NOT(ISNA(P6))),VLOOKUP(P6,'ESO zones'!$A$5:$D$10003,4,FALSE),IF(AND(K6&lt;&gt;"",K6&gt;0,NOT(ISERROR(K6))),VLOOKUP(K6,'ESO wayshrines'!$K$3:$N$9972,4,FALSE),"")))</f>
        <v>Stormhaven</v>
      </c>
      <c r="T6" s="16" t="str">
        <f>IF(AND(S6&lt;&gt;"",NOT(ISERROR(S6))),S6,VLOOKUP(A6,'ESO Set&amp;DLCs'!$A$3:$D$99998,4,FALSE))</f>
        <v>DLC_BASE_GAME</v>
      </c>
      <c r="U6" s="3" t="str">
        <f>IF(T6&lt;&gt;"",VLOOKUP(T6,ConstDLCIds!$B$4:$C$1000,2,FALSE),"")</f>
        <v>Included in base game</v>
      </c>
      <c r="V6" s="57" t="s">
        <v>215</v>
      </c>
      <c r="Y6" s="5"/>
      <c r="Z6" s="3">
        <f>IF(AND(G6&lt;&gt;"LIBSETS_SETTYPE_BATTLEGROUND",G6&lt;&gt;"LIBSETS_SETTYPE_SPECIAL"),IF(AND(Y6&lt;&gt;"",ISNUMBER(Y6),NOT(ISNA(Y6))),Y6,IF(AND(L6&lt;&gt;"",ISNUMBER(L6),L6&gt;0,NOT(ISNA(L6))),VLOOKUP(L6,'ESO wayshrines'!$K$3:$L$9972,2,FALSE),"")),"")</f>
        <v>19</v>
      </c>
      <c r="AA6" t="str">
        <f>IF(AND(Z6&lt;&gt;"",ISNUMBER(Z6),NOT(ISNA(Z6))),VLOOKUP(Z6,'ESO zones'!$A$5:$D$10003,4,FALSE),"")</f>
        <v>Stormhaven</v>
      </c>
      <c r="AB6" s="57" t="s">
        <v>218</v>
      </c>
      <c r="AE6" s="3">
        <v>142</v>
      </c>
      <c r="AF6" s="3">
        <f>IF(AND(G6&lt;&gt;"LIBSETS_SETTYPE_BATTLEGROUND",G6&lt;&gt;"LIBSETS_SETTYPE_SPECIAL"),IF(AND(AE6&lt;&gt;"",ISNUMBER(AE6),NOT(ISNA(AE6))),AE6,IF(AND(M6&lt;&gt;"",ISNUMBER(M6),M6&gt;0,NOT(ISNA(M6))),VLOOKUP(M6,'ESO wayshrines'!$K$3:$L$9972,2,FALSE),"")),"")</f>
        <v>142</v>
      </c>
      <c r="AG6" t="str">
        <f>IF(AND(AF6&lt;&gt;"",ISNUMBER(AF6),NOT(ISNA(AF6))),VLOOKUP(AF6,'ESO zones'!$A$5:$D$10003,4,FALSE),"")</f>
        <v>Bonesnap Ruins</v>
      </c>
      <c r="AH6" s="4" t="s">
        <v>221</v>
      </c>
      <c r="AK6" s="3">
        <f>IF(AND(G6&lt;&gt;"LIBSETS_SETTYPE_BATTLEGROUND",G6&lt;&gt;"LIBSETS_SETTYPE_SPECIAL"),IF(AL6&lt;&gt;"",VLOOKUP(AL6,'ESO zones'!$D$5:$H$4957,5,FALSE),""),"")</f>
        <v>19</v>
      </c>
      <c r="AL6" t="s">
        <v>413</v>
      </c>
      <c r="AM6" s="4" t="s">
        <v>224</v>
      </c>
      <c r="AP6" s="3">
        <f>IF(AND(G6&lt;&gt;"LIBSETS_SETTYPE_BATTLEGROUND",G6&lt;&gt;"LIBSETS_SETTYPE_SPECIAL"),IF(AQ6&lt;&gt;"",VLOOKUP(AQ6,'ESO zones'!$D$5:$H$4957,5,FALSE),""),"")</f>
        <v>19</v>
      </c>
      <c r="AQ6" t="s">
        <v>413</v>
      </c>
      <c r="AR6" s="80" t="s">
        <v>269</v>
      </c>
      <c r="AU6" s="3" t="str">
        <f>IF(AND(G6&lt;&gt;"LIBSETS_SETTYPE_BATTLEGROUND",G6&lt;&gt;"LIBSETS_SETTYPE_SPECIAL"),IF(AV6&lt;&gt;"",VLOOKUP(AV6,'ESO zones'!$D$5:$H$4957,5,FALSE),""),"")</f>
        <v/>
      </c>
      <c r="AZ6" s="49" t="s">
        <v>403</v>
      </c>
      <c r="BA6" s="49"/>
      <c r="BB6" s="49"/>
      <c r="BC6" s="49"/>
      <c r="BD6" s="49"/>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2">
        <v>23</v>
      </c>
      <c r="B7" t="s">
        <v>414</v>
      </c>
      <c r="C7" t="s">
        <v>415</v>
      </c>
      <c r="D7" s="3">
        <f t="shared" si="0"/>
        <v>23</v>
      </c>
      <c r="G7" s="9" t="s">
        <v>159</v>
      </c>
      <c r="I7" t="s">
        <v>401</v>
      </c>
      <c r="J7" t="s">
        <v>401</v>
      </c>
      <c r="K7">
        <v>270</v>
      </c>
      <c r="L7">
        <v>270</v>
      </c>
      <c r="M7">
        <v>270</v>
      </c>
      <c r="O7" s="5" t="s">
        <v>416</v>
      </c>
      <c r="Q7" s="3">
        <f>IF(AND(P7&lt;&gt;"",ISNUMBER(P7),NOT(ISNA(P7))),P7,IF(R7&lt;&gt;"",VLOOKUP(R7,'ESO zones'!$D$5:$H$10005,5,FALSE),""))</f>
        <v>635</v>
      </c>
      <c r="R7" t="str">
        <f>IF(AND(O7&lt;&gt;"",NOT(ISERROR(O7))),O7,IF(AND(P7&lt;&gt;"",ISNUMBER(P7),P7&gt;0,NOT(ISNA(P7))),VLOOKUP(P7,'ESO zones'!$A$5:$D$10003,4,FALSE),IF(AND(K7&lt;&gt;"",K7&gt;0,NOT(ISERROR(K7))),VLOOKUP(K7,'ESO wayshrines'!$K$3:$N$9972,4,FALSE),"")))</f>
        <v>Dragonstar Arena</v>
      </c>
      <c r="T7" s="16" t="str">
        <f>IF(AND(S7&lt;&gt;"",NOT(ISERROR(S7))),S7,VLOOKUP(A7,'ESO Set&amp;DLCs'!$A$3:$D$99998,4,FALSE))</f>
        <v>DLC_BASE_GAME</v>
      </c>
      <c r="U7" s="3" t="str">
        <f>IF(T7&lt;&gt;"",VLOOKUP(T7,ConstDLCIds!$B$4:$C$1000,2,FALSE),"")</f>
        <v>Included in base game</v>
      </c>
      <c r="V7" s="57" t="s">
        <v>209</v>
      </c>
      <c r="Y7" s="5"/>
      <c r="Z7" s="3">
        <f>IF(AND(G7&lt;&gt;"LIBSETS_SETTYPE_BATTLEGROUND",G7&lt;&gt;"LIBSETS_SETTYPE_SPECIAL"),IF(AND(Y7&lt;&gt;"",ISNUMBER(Y7),NOT(ISNA(Y7))),Y7,IF(AND(L7&lt;&gt;"",ISNUMBER(L7),L7&gt;0,NOT(ISNA(L7))),VLOOKUP(L7,'ESO wayshrines'!$K$3:$L$9972,2,FALSE),"")),"")</f>
        <v>888</v>
      </c>
      <c r="AA7" t="str">
        <f>IF(AND(Z7&lt;&gt;"",ISNUMBER(Z7),NOT(ISNA(Z7))),VLOOKUP(Z7,'ESO zones'!$A$5:$D$10003,4,FALSE),"")</f>
        <v>Craglorn</v>
      </c>
      <c r="AB7" s="57"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zones'!$A$5:$D$10003,4,FALSE),"")</f>
        <v>Craglorn</v>
      </c>
      <c r="AK7" s="3" t="str">
        <f>IF(AND(G7&lt;&gt;"LIBSETS_SETTYPE_BATTLEGROUND",G7&lt;&gt;"LIBSETS_SETTYPE_SPECIAL"),IF(AL7&lt;&gt;"",VLOOKUP(AL7,'ESO zones'!$D$5:$H$4957,5,FALSE),""),"")</f>
        <v/>
      </c>
      <c r="AP7" s="3" t="str">
        <f>IF(AND(G7&lt;&gt;"LIBSETS_SETTYPE_BATTLEGROUND",G7&lt;&gt;"LIBSETS_SETTYPE_SPECIAL"),IF(AQ7&lt;&gt;"",VLOOKUP(AQ7,'ESO zones'!$D$5:$H$4957,5,FALSE),""),"")</f>
        <v/>
      </c>
      <c r="AU7" s="3" t="str">
        <f>IF(AND(G7&lt;&gt;"LIBSETS_SETTYPE_BATTLEGROUND",G7&lt;&gt;"LIBSETS_SETTYPE_SPECIAL"),IF(AV7&lt;&gt;"",VLOOKUP(AV7,'ESO zones'!$D$5:$H$4957,5,FALSE),""),"")</f>
        <v/>
      </c>
      <c r="AZ7" s="49" t="s">
        <v>410</v>
      </c>
      <c r="BA7" s="49"/>
      <c r="BB7" s="49"/>
      <c r="BC7" s="49"/>
      <c r="BD7" s="49"/>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2">
        <v>24</v>
      </c>
      <c r="B8" t="s">
        <v>417</v>
      </c>
      <c r="C8" t="s">
        <v>418</v>
      </c>
      <c r="D8" s="3">
        <f t="shared" si="0"/>
        <v>24</v>
      </c>
      <c r="G8" s="9" t="s">
        <v>159</v>
      </c>
      <c r="I8" t="s">
        <v>401</v>
      </c>
      <c r="J8" t="s">
        <v>401</v>
      </c>
      <c r="K8">
        <v>270</v>
      </c>
      <c r="L8">
        <v>270</v>
      </c>
      <c r="M8">
        <v>270</v>
      </c>
      <c r="O8" s="5" t="s">
        <v>416</v>
      </c>
      <c r="Q8" s="3">
        <f>IF(AND(P8&lt;&gt;"",ISNUMBER(P8),NOT(ISNA(P8))),P8,IF(R8&lt;&gt;"",VLOOKUP(R8,'ESO zones'!$D$5:$H$10005,5,FALSE),""))</f>
        <v>635</v>
      </c>
      <c r="R8" t="str">
        <f>IF(AND(O8&lt;&gt;"",NOT(ISERROR(O8))),O8,IF(AND(P8&lt;&gt;"",ISNUMBER(P8),P8&gt;0,NOT(ISNA(P8))),VLOOKUP(P8,'ESO zones'!$A$5:$D$10003,4,FALSE),IF(AND(K8&lt;&gt;"",K8&gt;0,NOT(ISERROR(K8))),VLOOKUP(K8,'ESO wayshrines'!$K$3:$N$9972,4,FALSE),"")))</f>
        <v>Dragonstar Arena</v>
      </c>
      <c r="T8" s="16" t="str">
        <f>IF(AND(S8&lt;&gt;"",NOT(ISERROR(S8))),S8,VLOOKUP(A8,'ESO Set&amp;DLCs'!$A$3:$D$99998,4,FALSE))</f>
        <v>DLC_BASE_GAME</v>
      </c>
      <c r="U8" s="3" t="str">
        <f>IF(T8&lt;&gt;"",VLOOKUP(T8,ConstDLCIds!$B$4:$C$1000,2,FALSE),"")</f>
        <v>Included in base game</v>
      </c>
      <c r="V8" s="57" t="s">
        <v>209</v>
      </c>
      <c r="Y8" s="5"/>
      <c r="Z8" s="3">
        <f>IF(AND(G8&lt;&gt;"LIBSETS_SETTYPE_BATTLEGROUND",G8&lt;&gt;"LIBSETS_SETTYPE_SPECIAL"),IF(AND(Y8&lt;&gt;"",ISNUMBER(Y8),NOT(ISNA(Y8))),Y8,IF(AND(L8&lt;&gt;"",ISNUMBER(L8),L8&gt;0,NOT(ISNA(L8))),VLOOKUP(L8,'ESO wayshrines'!$K$3:$L$9972,2,FALSE),"")),"")</f>
        <v>888</v>
      </c>
      <c r="AA8" t="str">
        <f>IF(AND(Z8&lt;&gt;"",ISNUMBER(Z8),NOT(ISNA(Z8))),VLOOKUP(Z8,'ESO zones'!$A$5:$D$10003,4,FALSE),"")</f>
        <v>Craglorn</v>
      </c>
      <c r="AB8" s="57"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zones'!$A$5:$D$10003,4,FALSE),"")</f>
        <v>Craglorn</v>
      </c>
      <c r="AK8" s="3" t="str">
        <f>IF(AND(G8&lt;&gt;"LIBSETS_SETTYPE_BATTLEGROUND",G8&lt;&gt;"LIBSETS_SETTYPE_SPECIAL"),IF(AL8&lt;&gt;"",VLOOKUP(AL8,'ESO zones'!$D$5:$H$4957,5,FALSE),""),"")</f>
        <v/>
      </c>
      <c r="AP8" s="3" t="str">
        <f>IF(AND(G8&lt;&gt;"LIBSETS_SETTYPE_BATTLEGROUND",G8&lt;&gt;"LIBSETS_SETTYPE_SPECIAL"),IF(AQ8&lt;&gt;"",VLOOKUP(AQ8,'ESO zones'!$D$5:$H$4957,5,FALSE),""),"")</f>
        <v/>
      </c>
      <c r="AU8" s="3" t="str">
        <f>IF(AND(G8&lt;&gt;"LIBSETS_SETTYPE_BATTLEGROUND",G8&lt;&gt;"LIBSETS_SETTYPE_SPECIAL"),IF(AV8&lt;&gt;"",VLOOKUP(AV8,'ESO zones'!$D$5:$H$4957,5,FALSE),""),"")</f>
        <v/>
      </c>
      <c r="AZ8" s="49" t="s">
        <v>403</v>
      </c>
      <c r="BA8" s="49"/>
      <c r="BB8" s="49"/>
      <c r="BC8" s="49"/>
      <c r="BD8" s="49"/>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2">
        <v>25</v>
      </c>
      <c r="B9" t="s">
        <v>419</v>
      </c>
      <c r="C9" t="s">
        <v>420</v>
      </c>
      <c r="D9" s="3">
        <f t="shared" si="0"/>
        <v>25</v>
      </c>
      <c r="G9" s="9" t="s">
        <v>165</v>
      </c>
      <c r="I9" t="s">
        <v>401</v>
      </c>
      <c r="J9" t="s">
        <v>401</v>
      </c>
      <c r="K9">
        <v>-1</v>
      </c>
      <c r="L9">
        <v>-1</v>
      </c>
      <c r="M9">
        <v>-1</v>
      </c>
      <c r="O9" s="5" t="s">
        <v>166</v>
      </c>
      <c r="Q9" s="3">
        <f>IF(AND(P9&lt;&gt;"",ISNUMBER(P9),NOT(ISNA(P9))),P9,IF(R9&lt;&gt;"",VLOOKUP(R9,'ESO zones'!$D$5:$H$10005,5,FALSE),""))</f>
        <v>181</v>
      </c>
      <c r="R9" t="str">
        <f>IF(AND(O9&lt;&gt;"",NOT(ISERROR(O9))),O9,IF(AND(P9&lt;&gt;"",ISNUMBER(P9),P9&gt;0,NOT(ISNA(P9))),VLOOKUP(P9,'ESO zones'!$A$5:$D$10003,4,FALSE),IF(AND(K9&lt;&gt;"",K9&gt;0,NOT(ISERROR(K9))),VLOOKUP(K9,'ESO wayshrines'!$K$3:$N$9972,4,FALSE),"")))</f>
        <v>Cyrodiil</v>
      </c>
      <c r="T9" s="16" t="str">
        <f>IF(AND(S9&lt;&gt;"",NOT(ISERROR(S9))),S9,VLOOKUP(A9,'ESO Set&amp;DLCs'!$A$3:$D$99998,4,FALSE))</f>
        <v>DLC_BASE_GAME</v>
      </c>
      <c r="U9" s="3" t="str">
        <f>IF(T9&lt;&gt;"",VLOOKUP(T9,ConstDLCIds!$B$4:$C$1000,2,FALSE),"")</f>
        <v>Included in base game</v>
      </c>
      <c r="V9" s="57" t="s">
        <v>203</v>
      </c>
      <c r="Y9" s="5">
        <v>181</v>
      </c>
      <c r="Z9" s="3">
        <f>IF(AND(G9&lt;&gt;"LIBSETS_SETTYPE_BATTLEGROUND",G9&lt;&gt;"LIBSETS_SETTYPE_SPECIAL"),IF(AND(Y9&lt;&gt;"",ISNUMBER(Y9),NOT(ISNA(Y9))),Y9,IF(AND(L9&lt;&gt;"",ISNUMBER(L9),L9&gt;0,NOT(ISNA(L9))),VLOOKUP(L9,'ESO wayshrines'!$K$3:$L$9972,2,FALSE),"")),"")</f>
        <v>181</v>
      </c>
      <c r="AA9" t="str">
        <f>IF(AND(Z9&lt;&gt;"",ISNUMBER(Z9),NOT(ISNA(Z9))),VLOOKUP(Z9,'ESO zones'!$A$5:$D$10003,4,FALSE),"")</f>
        <v>Cyrodiil</v>
      </c>
      <c r="AB9" s="4" t="s">
        <v>301</v>
      </c>
      <c r="AE9" s="5">
        <v>181</v>
      </c>
      <c r="AF9" s="3">
        <f>IF(AND(G9&lt;&gt;"LIBSETS_SETTYPE_BATTLEGROUND",G9&lt;&gt;"LIBSETS_SETTYPE_SPECIAL"),IF(AND(AE9&lt;&gt;"",ISNUMBER(AE9),NOT(ISNA(AE9))),AE9,IF(AND(M9&lt;&gt;"",ISNUMBER(M9),M9&gt;0,NOT(ISNA(M9))),VLOOKUP(M9,'ESO wayshrines'!$K$3:$L$9972,2,FALSE),"")),"")</f>
        <v>181</v>
      </c>
      <c r="AG9" t="str">
        <f>IF(AND(AF9&lt;&gt;"",ISNUMBER(AF9),NOT(ISNA(AF9))),VLOOKUP(AF9,'ESO zones'!$A$5:$D$10003,4,FALSE),"")</f>
        <v>Cyrodiil</v>
      </c>
      <c r="AH9" s="4" t="s">
        <v>248</v>
      </c>
      <c r="AK9" s="3">
        <f>IF(AND(G9&lt;&gt;"LIBSETS_SETTYPE_BATTLEGROUND",G9&lt;&gt;"LIBSETS_SETTYPE_SPECIAL"),IF(AL9&lt;&gt;"",VLOOKUP(AL9,'ESO zones'!$D$5:$H$4957,5,FALSE),""),"")</f>
        <v>181</v>
      </c>
      <c r="AL9" t="s">
        <v>166</v>
      </c>
      <c r="AM9" s="4" t="s">
        <v>298</v>
      </c>
      <c r="AP9" s="3">
        <f>IF(AND(G9&lt;&gt;"LIBSETS_SETTYPE_BATTLEGROUND",G9&lt;&gt;"LIBSETS_SETTYPE_SPECIAL"),IF(AQ9&lt;&gt;"",VLOOKUP(AQ9,'ESO zones'!$D$5:$H$4957,5,FALSE),""),"")</f>
        <v>181</v>
      </c>
      <c r="AQ9" t="s">
        <v>166</v>
      </c>
      <c r="AR9" s="4" t="s">
        <v>215</v>
      </c>
      <c r="AU9" s="3">
        <f>IF(AND(G9&lt;&gt;"LIBSETS_SETTYPE_BATTLEGROUND",G9&lt;&gt;"LIBSETS_SETTYPE_SPECIAL"),IF(AV9&lt;&gt;"",VLOOKUP(AV9,'ESO zones'!$D$5:$H$4957,5,FALSE),""),"")</f>
        <v>181</v>
      </c>
      <c r="AV9" t="s">
        <v>166</v>
      </c>
      <c r="AW9" s="4" t="s">
        <v>257</v>
      </c>
      <c r="AZ9" s="49" t="s">
        <v>403</v>
      </c>
      <c r="BA9" s="49"/>
      <c r="BB9" s="49"/>
      <c r="BC9" s="49"/>
      <c r="BD9" s="49"/>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2">
        <v>26</v>
      </c>
      <c r="B10" t="s">
        <v>421</v>
      </c>
      <c r="C10" t="s">
        <v>422</v>
      </c>
      <c r="D10" s="3">
        <f t="shared" si="0"/>
        <v>26</v>
      </c>
      <c r="G10" s="9" t="s">
        <v>174</v>
      </c>
      <c r="I10" t="s">
        <v>401</v>
      </c>
      <c r="J10" t="s">
        <v>401</v>
      </c>
      <c r="K10">
        <v>131</v>
      </c>
      <c r="L10">
        <v>131</v>
      </c>
      <c r="M10">
        <v>131</v>
      </c>
      <c r="O10" s="5" t="s">
        <v>423</v>
      </c>
      <c r="Q10" s="3">
        <f>IF(AND(P10&lt;&gt;"",ISNUMBER(P10),NOT(ISNA(P10))),P10,IF(R10&lt;&gt;"",VLOOKUP(R10,'ESO zones'!$D$5:$H$10005,5,FALSE),""))</f>
        <v>347</v>
      </c>
      <c r="R10" t="str">
        <f>IF(AND(O10&lt;&gt;"",NOT(ISERROR(O10))),O10,IF(AND(P10&lt;&gt;"",ISNUMBER(P10),P10&gt;0,NOT(ISNA(P10))),VLOOKUP(P10,'ESO zones'!$A$5:$D$10003,4,FALSE),IF(AND(K10&lt;&gt;"",K10&gt;0,NOT(ISERROR(K10))),VLOOKUP(K10,'ESO wayshrines'!$K$3:$N$9972,4,FALSE),"")))</f>
        <v>Coldharbour</v>
      </c>
      <c r="T10" s="16" t="str">
        <f>IF(AND(S10&lt;&gt;"",NOT(ISERROR(S10))),S10,VLOOKUP(A10,'ESO Set&amp;DLCs'!$A$3:$D$99998,4,FALSE))</f>
        <v>DLC_BASE_GAME</v>
      </c>
      <c r="U10" s="3" t="str">
        <f>IF(T10&lt;&gt;"",VLOOKUP(T10,ConstDLCIds!$B$4:$C$1000,2,FALSE),"")</f>
        <v>Included in base game</v>
      </c>
      <c r="V10" s="57" t="s">
        <v>215</v>
      </c>
      <c r="Y10" s="5"/>
      <c r="Z10" s="3">
        <f>IF(AND(G10&lt;&gt;"LIBSETS_SETTYPE_BATTLEGROUND",G10&lt;&gt;"LIBSETS_SETTYPE_SPECIAL"),IF(AND(Y10&lt;&gt;"",ISNUMBER(Y10),NOT(ISNA(Y10))),Y10,IF(AND(L10&lt;&gt;"",ISNUMBER(L10),L10&gt;0,NOT(ISNA(L10))),VLOOKUP(L10,'ESO wayshrines'!$K$3:$L$9972,2,FALSE),"")),"")</f>
        <v>347</v>
      </c>
      <c r="AA10" t="str">
        <f>IF(AND(Z10&lt;&gt;"",ISNUMBER(Z10),NOT(ISNA(Z10))),VLOOKUP(Z10,'ESO zones'!$A$5:$D$10003,4,FALSE),"")</f>
        <v>Coldharbour</v>
      </c>
      <c r="AB10" s="4" t="s">
        <v>218</v>
      </c>
      <c r="AE10" s="3">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zones'!$A$5:$D$10003,4,FALSE),"")</f>
        <v>Village of the Lost</v>
      </c>
      <c r="AH10" s="4" t="s">
        <v>221</v>
      </c>
      <c r="AK10" s="3">
        <f>IF(AND(G10&lt;&gt;"LIBSETS_SETTYPE_BATTLEGROUND",G10&lt;&gt;"LIBSETS_SETTYPE_SPECIAL"),IF(AL10&lt;&gt;"",VLOOKUP(AL10,'ESO zones'!$D$5:$H$4957,5,FALSE),""),"")</f>
        <v>347</v>
      </c>
      <c r="AL10" t="s">
        <v>423</v>
      </c>
      <c r="AM10" s="4" t="s">
        <v>224</v>
      </c>
      <c r="AP10" s="3">
        <f>IF(AND(G10&lt;&gt;"LIBSETS_SETTYPE_BATTLEGROUND",G10&lt;&gt;"LIBSETS_SETTYPE_SPECIAL"),IF(AQ10&lt;&gt;"",VLOOKUP(AQ10,'ESO zones'!$D$5:$H$4957,5,FALSE),""),"")</f>
        <v>347</v>
      </c>
      <c r="AQ10" t="s">
        <v>423</v>
      </c>
      <c r="AR10" s="80" t="s">
        <v>269</v>
      </c>
      <c r="AU10" s="3" t="str">
        <f>IF(AND(G10&lt;&gt;"LIBSETS_SETTYPE_BATTLEGROUND",G10&lt;&gt;"LIBSETS_SETTYPE_SPECIAL"),IF(AV10&lt;&gt;"",VLOOKUP(AV10,'ESO zones'!$D$5:$H$4957,5,FALSE),""),"")</f>
        <v/>
      </c>
      <c r="AZ10" s="49" t="s">
        <v>403</v>
      </c>
      <c r="BA10" s="49"/>
      <c r="BB10" s="49"/>
      <c r="BC10" s="49"/>
      <c r="BD10" s="49"/>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2">
        <v>27</v>
      </c>
      <c r="B11" t="s">
        <v>424</v>
      </c>
      <c r="C11" t="s">
        <v>425</v>
      </c>
      <c r="D11" s="3">
        <f t="shared" si="0"/>
        <v>27</v>
      </c>
      <c r="G11" s="9" t="s">
        <v>174</v>
      </c>
      <c r="I11" t="s">
        <v>401</v>
      </c>
      <c r="J11" t="s">
        <v>401</v>
      </c>
      <c r="K11">
        <v>93</v>
      </c>
      <c r="L11">
        <v>93</v>
      </c>
      <c r="M11">
        <v>93</v>
      </c>
      <c r="O11" s="5" t="s">
        <v>409</v>
      </c>
      <c r="Q11" s="3">
        <f>IF(AND(P11&lt;&gt;"",ISNUMBER(P11),NOT(ISNA(P11))),P11,IF(R11&lt;&gt;"",VLOOKUP(R11,'ESO zones'!$D$5:$H$10005,5,FALSE),""))</f>
        <v>101</v>
      </c>
      <c r="R11" t="str">
        <f>IF(AND(O11&lt;&gt;"",NOT(ISERROR(O11))),O11,IF(AND(P11&lt;&gt;"",ISNUMBER(P11),P11&gt;0,NOT(ISNA(P11))),VLOOKUP(P11,'ESO zones'!$A$5:$D$10003,4,FALSE),IF(AND(K11&lt;&gt;"",K11&gt;0,NOT(ISERROR(K11))),VLOOKUP(K11,'ESO wayshrines'!$K$3:$N$9972,4,FALSE),"")))</f>
        <v>Eastmarch</v>
      </c>
      <c r="T11" s="16" t="str">
        <f>IF(AND(S11&lt;&gt;"",NOT(ISERROR(S11))),S11,VLOOKUP(A11,'ESO Set&amp;DLCs'!$A$3:$D$99998,4,FALSE))</f>
        <v>DLC_BASE_GAME</v>
      </c>
      <c r="U11" s="3" t="str">
        <f>IF(T11&lt;&gt;"",VLOOKUP(T11,ConstDLCIds!$B$4:$C$1000,2,FALSE),"")</f>
        <v>Included in base game</v>
      </c>
      <c r="V11" s="57" t="s">
        <v>215</v>
      </c>
      <c r="Y11" s="5"/>
      <c r="Z11" s="3">
        <f>IF(AND(G11&lt;&gt;"LIBSETS_SETTYPE_BATTLEGROUND",G11&lt;&gt;"LIBSETS_SETTYPE_SPECIAL"),IF(AND(Y11&lt;&gt;"",ISNUMBER(Y11),NOT(ISNA(Y11))),Y11,IF(AND(L11&lt;&gt;"",ISNUMBER(L11),L11&gt;0,NOT(ISNA(L11))),VLOOKUP(L11,'ESO wayshrines'!$K$3:$L$9972,2,FALSE),"")),"")</f>
        <v>101</v>
      </c>
      <c r="AA11" t="str">
        <f>IF(AND(Z11&lt;&gt;"",ISNUMBER(Z11),NOT(ISNA(Z11))),VLOOKUP(Z11,'ESO zones'!$A$5:$D$10003,4,FALSE),"")</f>
        <v>Eastmarch</v>
      </c>
      <c r="AB11" s="4" t="s">
        <v>218</v>
      </c>
      <c r="AE11" s="3">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zones'!$A$5:$D$10003,4,FALSE),"")</f>
        <v>Hall of the Dead</v>
      </c>
      <c r="AH11" s="4" t="s">
        <v>221</v>
      </c>
      <c r="AK11" s="3">
        <f>IF(AND(G11&lt;&gt;"LIBSETS_SETTYPE_BATTLEGROUND",G11&lt;&gt;"LIBSETS_SETTYPE_SPECIAL"),IF(AL11&lt;&gt;"",VLOOKUP(AL11,'ESO zones'!$D$5:$H$4957,5,FALSE),""),"")</f>
        <v>101</v>
      </c>
      <c r="AL11" t="s">
        <v>409</v>
      </c>
      <c r="AM11" s="4" t="s">
        <v>224</v>
      </c>
      <c r="AP11" s="3">
        <f>IF(AND(G11&lt;&gt;"LIBSETS_SETTYPE_BATTLEGROUND",G11&lt;&gt;"LIBSETS_SETTYPE_SPECIAL"),IF(AQ11&lt;&gt;"",VLOOKUP(AQ11,'ESO zones'!$D$5:$H$4957,5,FALSE),""),"")</f>
        <v>101</v>
      </c>
      <c r="AQ11" t="s">
        <v>409</v>
      </c>
      <c r="AR11" s="80" t="s">
        <v>269</v>
      </c>
      <c r="AU11" s="3" t="str">
        <f>IF(AND(G11&lt;&gt;"LIBSETS_SETTYPE_BATTLEGROUND",G11&lt;&gt;"LIBSETS_SETTYPE_SPECIAL"),IF(AV11&lt;&gt;"",VLOOKUP(AV11,'ESO zones'!$D$5:$H$4957,5,FALSE),""),"")</f>
        <v/>
      </c>
      <c r="AZ11" s="49" t="s">
        <v>403</v>
      </c>
      <c r="BA11" s="49"/>
      <c r="BB11" s="49"/>
      <c r="BC11" s="49"/>
      <c r="BD11" s="49"/>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2">
        <v>28</v>
      </c>
      <c r="B12" t="s">
        <v>426</v>
      </c>
      <c r="C12" t="s">
        <v>427</v>
      </c>
      <c r="D12" s="3">
        <f t="shared" si="0"/>
        <v>28</v>
      </c>
      <c r="G12" s="9" t="s">
        <v>169</v>
      </c>
      <c r="I12" t="s">
        <v>401</v>
      </c>
      <c r="J12" t="s">
        <v>401</v>
      </c>
      <c r="K12">
        <v>191</v>
      </c>
      <c r="L12">
        <v>191</v>
      </c>
      <c r="M12">
        <v>191</v>
      </c>
      <c r="O12" s="5" t="s">
        <v>428</v>
      </c>
      <c r="Q12" s="3">
        <f>IF(AND(P12&lt;&gt;"",ISNUMBER(P12),NOT(ISNA(P12))),P12,IF(R12&lt;&gt;"",VLOOKUP(R12,'ESO zones'!$D$5:$H$10005,5,FALSE),""))</f>
        <v>126</v>
      </c>
      <c r="R12" t="str">
        <f>IF(AND(O12&lt;&gt;"",NOT(ISERROR(O12))),O12,IF(AND(P12&lt;&gt;"",ISNUMBER(P12),P12&gt;0,NOT(ISNA(P12))),VLOOKUP(P12,'ESO zones'!$A$5:$D$10003,4,FALSE),IF(AND(K12&lt;&gt;"",K12&gt;0,NOT(ISERROR(K12))),VLOOKUP(K12,'ESO wayshrines'!$K$3:$N$9972,4,FALSE),"")))</f>
        <v>Elden Hollow I</v>
      </c>
      <c r="T12" s="16" t="str">
        <f>IF(AND(S12&lt;&gt;"",NOT(ISERROR(S12))),S12,VLOOKUP(A12,'ESO Set&amp;DLCs'!$A$3:$D$99998,4,FALSE))</f>
        <v>DLC_BASE_GAME</v>
      </c>
      <c r="U12" s="3" t="str">
        <f>IF(T12&lt;&gt;"",VLOOKUP(T12,ConstDLCIds!$B$4:$C$1000,2,FALSE),"")</f>
        <v>Included in base game</v>
      </c>
      <c r="V12" s="57" t="s">
        <v>278</v>
      </c>
      <c r="Y12" s="5">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zones'!$A$5:$D$10003,4,FALSE),"")</f>
        <v>Elden Hollow II</v>
      </c>
      <c r="AB12" s="4"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zones'!$A$5:$D$10003,4,FALSE),"")</f>
        <v>Grahtwood</v>
      </c>
      <c r="AH12" s="57"/>
      <c r="AK12" s="3" t="str">
        <f>IF(AND(G12&lt;&gt;"LIBSETS_SETTYPE_BATTLEGROUND",G12&lt;&gt;"LIBSETS_SETTYPE_SPECIAL"),IF(AL12&lt;&gt;"",VLOOKUP(AL12,'ESO zones'!$D$5:$H$4957,5,FALSE),""),"")</f>
        <v/>
      </c>
      <c r="AP12" s="3">
        <f>IF(AND(G12&lt;&gt;"LIBSETS_SETTYPE_BATTLEGROUND",G12&lt;&gt;"LIBSETS_SETTYPE_SPECIAL"),IF(AQ12&lt;&gt;"",VLOOKUP(AQ12,'ESO zones'!$D$5:$H$4957,5,FALSE),""),"")</f>
        <v>58</v>
      </c>
      <c r="AQ12" t="s">
        <v>429</v>
      </c>
      <c r="AU12" s="3" t="str">
        <f>IF(AND(G12&lt;&gt;"LIBSETS_SETTYPE_BATTLEGROUND",G12&lt;&gt;"LIBSETS_SETTYPE_SPECIAL"),IF(AV12&lt;&gt;"",VLOOKUP(AV12,'ESO zones'!$D$5:$H$4957,5,FALSE),""),"")</f>
        <v/>
      </c>
      <c r="AZ12" s="49" t="s">
        <v>403</v>
      </c>
      <c r="BA12" s="49"/>
      <c r="BB12" s="49"/>
      <c r="BC12" s="49"/>
      <c r="BD12" s="49"/>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2">
        <v>29</v>
      </c>
      <c r="B13" t="s">
        <v>430</v>
      </c>
      <c r="C13" t="s">
        <v>431</v>
      </c>
      <c r="D13" s="3">
        <f t="shared" si="0"/>
        <v>29</v>
      </c>
      <c r="G13" s="9" t="s">
        <v>169</v>
      </c>
      <c r="I13" t="s">
        <v>401</v>
      </c>
      <c r="J13" t="s">
        <v>401</v>
      </c>
      <c r="K13">
        <v>189</v>
      </c>
      <c r="L13">
        <v>189</v>
      </c>
      <c r="M13">
        <v>189</v>
      </c>
      <c r="O13" s="5" t="s">
        <v>432</v>
      </c>
      <c r="Q13" s="3">
        <f>IF(AND(P13&lt;&gt;"",ISNUMBER(P13),NOT(ISNA(P13))),P13,IF(R13&lt;&gt;"",VLOOKUP(R13,'ESO zones'!$D$5:$H$10005,5,FALSE),""))</f>
        <v>146</v>
      </c>
      <c r="R13" t="str">
        <f>IF(AND(O13&lt;&gt;"",NOT(ISERROR(O13))),O13,IF(AND(P13&lt;&gt;"",ISNUMBER(P13),P13&gt;0,NOT(ISNA(P13))),VLOOKUP(P13,'ESO zones'!$A$5:$D$10003,4,FALSE),IF(AND(K13&lt;&gt;"",K13&gt;0,NOT(ISERROR(K13))),VLOOKUP(K13,'ESO wayshrines'!$K$3:$N$9972,4,FALSE),"")))</f>
        <v>Wayrest Sewers I</v>
      </c>
      <c r="T13" s="16" t="str">
        <f>IF(AND(S13&lt;&gt;"",NOT(ISERROR(S13))),S13,VLOOKUP(A13,'ESO Set&amp;DLCs'!$A$3:$D$99998,4,FALSE))</f>
        <v>DLC_BASE_GAME</v>
      </c>
      <c r="U13" s="3" t="str">
        <f>IF(T13&lt;&gt;"",VLOOKUP(T13,ConstDLCIds!$B$4:$C$1000,2,FALSE),"")</f>
        <v>Included in base game</v>
      </c>
      <c r="V13" s="57" t="s">
        <v>278</v>
      </c>
      <c r="Y13" s="5">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zones'!$A$5:$D$10003,4,FALSE),"")</f>
        <v>Wayrest Sewers II</v>
      </c>
      <c r="AB13" s="4"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zones'!$A$5:$D$10003,4,FALSE),"")</f>
        <v>Stormhaven</v>
      </c>
      <c r="AH13" s="57"/>
      <c r="AK13" s="3" t="str">
        <f>IF(AND(G13&lt;&gt;"LIBSETS_SETTYPE_BATTLEGROUND",G13&lt;&gt;"LIBSETS_SETTYPE_SPECIAL"),IF(AL13&lt;&gt;"",VLOOKUP(AL13,'ESO zones'!$D$5:$H$4957,5,FALSE),""),"")</f>
        <v/>
      </c>
      <c r="AP13" s="3">
        <f>IF(AND(G13&lt;&gt;"LIBSETS_SETTYPE_BATTLEGROUND",G13&lt;&gt;"LIBSETS_SETTYPE_SPECIAL"),IF(AQ13&lt;&gt;"",VLOOKUP(AQ13,'ESO zones'!$D$5:$H$4957,5,FALSE),""),"")</f>
        <v>41</v>
      </c>
      <c r="AQ13" t="s">
        <v>433</v>
      </c>
      <c r="AU13" s="3" t="str">
        <f>IF(AND(G13&lt;&gt;"LIBSETS_SETTYPE_BATTLEGROUND",G13&lt;&gt;"LIBSETS_SETTYPE_SPECIAL"),IF(AV13&lt;&gt;"",VLOOKUP(AV13,'ESO zones'!$D$5:$H$4957,5,FALSE),""),"")</f>
        <v/>
      </c>
      <c r="AZ13" s="49" t="s">
        <v>410</v>
      </c>
      <c r="BA13" s="49"/>
      <c r="BB13" s="49"/>
      <c r="BC13" s="49"/>
      <c r="BD13" s="49"/>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4" customFormat="1" x14ac:dyDescent="0.25">
      <c r="A14" s="12">
        <v>30</v>
      </c>
      <c r="B14" t="s">
        <v>434</v>
      </c>
      <c r="C14" t="s">
        <v>435</v>
      </c>
      <c r="D14" s="3">
        <f t="shared" si="0"/>
        <v>30</v>
      </c>
      <c r="E14"/>
      <c r="F14"/>
      <c r="G14" s="9" t="s">
        <v>174</v>
      </c>
      <c r="H14"/>
      <c r="I14" t="s">
        <v>401</v>
      </c>
      <c r="J14" t="s">
        <v>401</v>
      </c>
      <c r="K14">
        <v>102</v>
      </c>
      <c r="L14">
        <v>102</v>
      </c>
      <c r="M14">
        <v>102</v>
      </c>
      <c r="N14"/>
      <c r="O14" s="5" t="s">
        <v>429</v>
      </c>
      <c r="P14" s="5"/>
      <c r="Q14" s="3">
        <f>IF(AND(P14&lt;&gt;"",ISNUMBER(P14),NOT(ISNA(P14))),P14,IF(R14&lt;&gt;"",VLOOKUP(R14,'ESO zones'!$D$5:$H$10005,5,FALSE),""))</f>
        <v>58</v>
      </c>
      <c r="R14" t="str">
        <f>IF(AND(O14&lt;&gt;"",NOT(ISERROR(O14))),O14,IF(AND(P14&lt;&gt;"",ISNUMBER(P14),P14&gt;0,NOT(ISNA(P14))),VLOOKUP(P14,'ESO zones'!$A$5:$D$10003,4,FALSE),IF(AND(K14&lt;&gt;"",K14&gt;0,NOT(ISERROR(K14))),VLOOKUP(K14,'ESO wayshrines'!$K$3:$N$9972,4,FALSE),"")))</f>
        <v>Malabal Tor</v>
      </c>
      <c r="S14" s="5"/>
      <c r="T14" s="16" t="str">
        <f>IF(AND(S14&lt;&gt;"",NOT(ISERROR(S14))),S14,VLOOKUP(A14,'ESO Set&amp;DLCs'!$A$3:$D$99998,4,FALSE))</f>
        <v>DLC_BASE_GAME</v>
      </c>
      <c r="U14" s="3" t="str">
        <f>IF(T14&lt;&gt;"",VLOOKUP(T14,ConstDLCIds!$B$4:$C$1000,2,FALSE),"")</f>
        <v>Included in base game</v>
      </c>
      <c r="V14" s="57" t="s">
        <v>215</v>
      </c>
      <c r="W14" s="3"/>
      <c r="X14" s="3"/>
      <c r="Y14" s="5"/>
      <c r="Z14" s="3">
        <f>IF(AND(G14&lt;&gt;"LIBSETS_SETTYPE_BATTLEGROUND",G14&lt;&gt;"LIBSETS_SETTYPE_SPECIAL"),IF(AND(Y14&lt;&gt;"",ISNUMBER(Y14),NOT(ISNA(Y14))),Y14,IF(AND(L14&lt;&gt;"",ISNUMBER(L14),L14&gt;0,NOT(ISNA(L14))),VLOOKUP(L14,'ESO wayshrines'!$K$3:$L$9972,2,FALSE),"")),"")</f>
        <v>58</v>
      </c>
      <c r="AA14" t="str">
        <f>IF(AND(Z14&lt;&gt;"",ISNUMBER(Z14),NOT(ISNA(Z14))),VLOOKUP(Z14,'ESO zones'!$A$5:$D$10003,4,FALSE),"")</f>
        <v>Malabal Tor</v>
      </c>
      <c r="AB14" s="4" t="s">
        <v>218</v>
      </c>
      <c r="AC14" s="3"/>
      <c r="AD14" s="3"/>
      <c r="AE14" s="3">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zones'!$A$5:$D$10003,4,FALSE),"")</f>
        <v>Crimson Cove</v>
      </c>
      <c r="AH14" s="4" t="s">
        <v>221</v>
      </c>
      <c r="AI14" s="3"/>
      <c r="AJ14" s="3"/>
      <c r="AK14" s="3">
        <f>IF(AND(G14&lt;&gt;"LIBSETS_SETTYPE_BATTLEGROUND",G14&lt;&gt;"LIBSETS_SETTYPE_SPECIAL"),IF(AL14&lt;&gt;"",VLOOKUP(AL14,'ESO zones'!$D$5:$H$4957,5,FALSE),""),"")</f>
        <v>58</v>
      </c>
      <c r="AL14" t="s">
        <v>429</v>
      </c>
      <c r="AM14" s="4" t="s">
        <v>224</v>
      </c>
      <c r="AN14" s="3"/>
      <c r="AO14" s="3"/>
      <c r="AP14" s="3">
        <f>IF(AND(G14&lt;&gt;"LIBSETS_SETTYPE_BATTLEGROUND",G14&lt;&gt;"LIBSETS_SETTYPE_SPECIAL"),IF(AQ14&lt;&gt;"",VLOOKUP(AQ14,'ESO zones'!$D$5:$H$4957,5,FALSE),""),"")</f>
        <v>57</v>
      </c>
      <c r="AQ14" t="s">
        <v>436</v>
      </c>
      <c r="AR14" s="80" t="s">
        <v>269</v>
      </c>
      <c r="AS14" s="3"/>
      <c r="AT14" s="3"/>
      <c r="AU14" s="3" t="str">
        <f>IF(AND(G14&lt;&gt;"LIBSETS_SETTYPE_BATTLEGROUND",G14&lt;&gt;"LIBSETS_SETTYPE_SPECIAL"),IF(AV14&lt;&gt;"",VLOOKUP(AV14,'ESO zones'!$D$5:$H$4957,5,FALSE),""),"")</f>
        <v/>
      </c>
      <c r="AV14"/>
      <c r="AW14" s="4"/>
      <c r="AX14" s="3"/>
      <c r="AY14" s="3"/>
      <c r="AZ14" s="49" t="s">
        <v>403</v>
      </c>
      <c r="BA14" s="49"/>
      <c r="BB14" s="49"/>
      <c r="BC14" s="49"/>
      <c r="BD14" s="49"/>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2">
        <v>31</v>
      </c>
      <c r="B15" t="s">
        <v>437</v>
      </c>
      <c r="C15" t="s">
        <v>438</v>
      </c>
      <c r="D15" s="3">
        <f t="shared" si="0"/>
        <v>31</v>
      </c>
      <c r="G15" s="9" t="s">
        <v>174</v>
      </c>
      <c r="I15" t="s">
        <v>401</v>
      </c>
      <c r="J15" t="s">
        <v>401</v>
      </c>
      <c r="K15">
        <v>65</v>
      </c>
      <c r="L15">
        <v>65</v>
      </c>
      <c r="M15">
        <v>65</v>
      </c>
      <c r="O15" s="5" t="s">
        <v>433</v>
      </c>
      <c r="Q15" s="3">
        <f>IF(AND(P15&lt;&gt;"",ISNUMBER(P15),NOT(ISNA(P15))),P15,IF(R15&lt;&gt;"",VLOOKUP(R15,'ESO zones'!$D$5:$H$10005,5,FALSE),""))</f>
        <v>41</v>
      </c>
      <c r="R15" t="str">
        <f>IF(AND(O15&lt;&gt;"",NOT(ISERROR(O15))),O15,IF(AND(P15&lt;&gt;"",ISNUMBER(P15),P15&gt;0,NOT(ISNA(P15))),VLOOKUP(P15,'ESO zones'!$A$5:$D$10003,4,FALSE),IF(AND(K15&lt;&gt;"",K15&gt;0,NOT(ISERROR(K15))),VLOOKUP(K15,'ESO wayshrines'!$K$3:$N$9972,4,FALSE),"")))</f>
        <v>Stonefalls</v>
      </c>
      <c r="T15" s="16" t="str">
        <f>IF(AND(S15&lt;&gt;"",NOT(ISERROR(S15))),S15,VLOOKUP(A15,'ESO Set&amp;DLCs'!$A$3:$D$99998,4,FALSE))</f>
        <v>DLC_BASE_GAME</v>
      </c>
      <c r="U15" s="3" t="str">
        <f>IF(T15&lt;&gt;"",VLOOKUP(T15,ConstDLCIds!$B$4:$C$1000,2,FALSE),"")</f>
        <v>Included in base game</v>
      </c>
      <c r="V15" s="57" t="s">
        <v>215</v>
      </c>
      <c r="Y15" s="5"/>
      <c r="Z15" s="3">
        <f>IF(AND(G15&lt;&gt;"LIBSETS_SETTYPE_BATTLEGROUND",G15&lt;&gt;"LIBSETS_SETTYPE_SPECIAL"),IF(AND(Y15&lt;&gt;"",ISNUMBER(Y15),NOT(ISNA(Y15))),Y15,IF(AND(L15&lt;&gt;"",ISNUMBER(L15),L15&gt;0,NOT(ISNA(L15))),VLOOKUP(L15,'ESO wayshrines'!$K$3:$L$9972,2,FALSE),"")),"")</f>
        <v>41</v>
      </c>
      <c r="AA15" t="str">
        <f>IF(AND(Z15&lt;&gt;"",ISNUMBER(Z15),NOT(ISNA(Z15))),VLOOKUP(Z15,'ESO zones'!$A$5:$D$10003,4,FALSE),"")</f>
        <v>Stonefalls</v>
      </c>
      <c r="AB15" s="4" t="s">
        <v>218</v>
      </c>
      <c r="AE15" s="3">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zones'!$A$5:$D$10003,4,FALSE),"")</f>
        <v>Crow's Wood</v>
      </c>
      <c r="AH15" s="4" t="s">
        <v>221</v>
      </c>
      <c r="AK15" s="3">
        <f>IF(AND(G15&lt;&gt;"LIBSETS_SETTYPE_BATTLEGROUND",G15&lt;&gt;"LIBSETS_SETTYPE_SPECIAL"),IF(AL15&lt;&gt;"",VLOOKUP(AL15,'ESO zones'!$D$5:$H$4957,5,FALSE),""),"")</f>
        <v>41</v>
      </c>
      <c r="AL15" t="s">
        <v>433</v>
      </c>
      <c r="AM15" s="4" t="s">
        <v>224</v>
      </c>
      <c r="AP15" s="3">
        <f>IF(AND(G15&lt;&gt;"LIBSETS_SETTYPE_BATTLEGROUND",G15&lt;&gt;"LIBSETS_SETTYPE_SPECIAL"),IF(AQ15&lt;&gt;"",VLOOKUP(AQ15,'ESO zones'!$D$5:$H$4957,5,FALSE),""),"")</f>
        <v>381</v>
      </c>
      <c r="AQ15" t="s">
        <v>439</v>
      </c>
      <c r="AR15" s="80" t="s">
        <v>269</v>
      </c>
      <c r="AU15" s="3" t="str">
        <f>IF(AND(G15&lt;&gt;"LIBSETS_SETTYPE_BATTLEGROUND",G15&lt;&gt;"LIBSETS_SETTYPE_SPECIAL"),IF(AV15&lt;&gt;"",VLOOKUP(AV15,'ESO zones'!$D$5:$H$4957,5,FALSE),""),"")</f>
        <v/>
      </c>
      <c r="AZ15" s="49" t="s">
        <v>410</v>
      </c>
      <c r="BA15" s="49"/>
      <c r="BB15" s="49"/>
      <c r="BC15" s="49"/>
      <c r="BD15" s="49"/>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2">
        <v>32</v>
      </c>
      <c r="B16" t="s">
        <v>440</v>
      </c>
      <c r="C16" t="s">
        <v>441</v>
      </c>
      <c r="D16" s="3">
        <f t="shared" si="0"/>
        <v>32</v>
      </c>
      <c r="G16" s="9" t="s">
        <v>159</v>
      </c>
      <c r="I16" t="s">
        <v>401</v>
      </c>
      <c r="J16" t="s">
        <v>401</v>
      </c>
      <c r="K16">
        <v>270</v>
      </c>
      <c r="L16">
        <v>270</v>
      </c>
      <c r="M16">
        <v>270</v>
      </c>
      <c r="O16" s="5" t="s">
        <v>416</v>
      </c>
      <c r="Q16" s="3">
        <f>IF(AND(P16&lt;&gt;"",ISNUMBER(P16),NOT(ISNA(P16))),P16,IF(R16&lt;&gt;"",VLOOKUP(R16,'ESO zones'!$D$5:$H$10005,5,FALSE),""))</f>
        <v>635</v>
      </c>
      <c r="R16" t="str">
        <f>IF(AND(O16&lt;&gt;"",NOT(ISERROR(O16))),O16,IF(AND(P16&lt;&gt;"",ISNUMBER(P16),P16&gt;0,NOT(ISNA(P16))),VLOOKUP(P16,'ESO zones'!$A$5:$D$10003,4,FALSE),IF(AND(K16&lt;&gt;"",K16&gt;0,NOT(ISERROR(K16))),VLOOKUP(K16,'ESO wayshrines'!$K$3:$N$9972,4,FALSE),"")))</f>
        <v>Dragonstar Arena</v>
      </c>
      <c r="T16" s="16" t="str">
        <f>IF(AND(S16&lt;&gt;"",NOT(ISERROR(S16))),S16,VLOOKUP(A16,'ESO Set&amp;DLCs'!$A$3:$D$99998,4,FALSE))</f>
        <v>DLC_BASE_GAME</v>
      </c>
      <c r="U16" s="3" t="str">
        <f>IF(T16&lt;&gt;"",VLOOKUP(T16,ConstDLCIds!$B$4:$C$1000,2,FALSE),"")</f>
        <v>Included in base game</v>
      </c>
      <c r="V16" s="57" t="s">
        <v>209</v>
      </c>
      <c r="Y16" s="5"/>
      <c r="Z16" s="3">
        <f>IF(AND(G16&lt;&gt;"LIBSETS_SETTYPE_BATTLEGROUND",G16&lt;&gt;"LIBSETS_SETTYPE_SPECIAL"),IF(AND(Y16&lt;&gt;"",ISNUMBER(Y16),NOT(ISNA(Y16))),Y16,IF(AND(L16&lt;&gt;"",ISNUMBER(L16),L16&gt;0,NOT(ISNA(L16))),VLOOKUP(L16,'ESO wayshrines'!$K$3:$L$9972,2,FALSE),"")),"")</f>
        <v>888</v>
      </c>
      <c r="AA16" t="str">
        <f>IF(AND(Z16&lt;&gt;"",ISNUMBER(Z16),NOT(ISNA(Z16))),VLOOKUP(Z16,'ESO zones'!$A$5:$D$10003,4,FALSE),"")</f>
        <v>Craglorn</v>
      </c>
      <c r="AB16" s="4"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zones'!$A$5:$D$10003,4,FALSE),"")</f>
        <v>Craglorn</v>
      </c>
      <c r="AK16" s="3" t="str">
        <f>IF(AND(G16&lt;&gt;"LIBSETS_SETTYPE_BATTLEGROUND",G16&lt;&gt;"LIBSETS_SETTYPE_SPECIAL"),IF(AL16&lt;&gt;"",VLOOKUP(AL16,'ESO zones'!$D$5:$H$4957,5,FALSE),""),"")</f>
        <v/>
      </c>
      <c r="AP16" s="3">
        <f>IF(AND(G16&lt;&gt;"LIBSETS_SETTYPE_BATTLEGROUND",G16&lt;&gt;"LIBSETS_SETTYPE_SPECIAL"),IF(AQ16&lt;&gt;"",VLOOKUP(AQ16,'ESO zones'!$D$5:$H$4957,5,FALSE),""),"")</f>
        <v>104</v>
      </c>
      <c r="AQ16" t="s">
        <v>442</v>
      </c>
      <c r="AU16" s="3" t="str">
        <f>IF(AND(G16&lt;&gt;"LIBSETS_SETTYPE_BATTLEGROUND",G16&lt;&gt;"LIBSETS_SETTYPE_SPECIAL"),IF(AV16&lt;&gt;"",VLOOKUP(AV16,'ESO zones'!$D$5:$H$4957,5,FALSE),""),"")</f>
        <v/>
      </c>
      <c r="AZ16" s="49" t="s">
        <v>403</v>
      </c>
      <c r="BA16" s="49"/>
      <c r="BB16" s="49"/>
      <c r="BC16" s="49"/>
      <c r="BD16" s="49"/>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2">
        <v>33</v>
      </c>
      <c r="B17" t="s">
        <v>443</v>
      </c>
      <c r="C17" t="s">
        <v>444</v>
      </c>
      <c r="D17" s="3">
        <f t="shared" si="0"/>
        <v>33</v>
      </c>
      <c r="G17" s="9" t="s">
        <v>169</v>
      </c>
      <c r="I17" t="s">
        <v>401</v>
      </c>
      <c r="J17" t="s">
        <v>401</v>
      </c>
      <c r="K17">
        <v>98</v>
      </c>
      <c r="L17">
        <v>98</v>
      </c>
      <c r="M17">
        <v>98</v>
      </c>
      <c r="O17" s="5" t="s">
        <v>445</v>
      </c>
      <c r="Q17" s="3">
        <f>IF(AND(P17&lt;&gt;"",ISNUMBER(P17),NOT(ISNA(P17))),P17,IF(R17&lt;&gt;"",VLOOKUP(R17,'ESO zones'!$D$5:$H$10005,5,FALSE),""))</f>
        <v>283</v>
      </c>
      <c r="R17" t="str">
        <f>IF(AND(O17&lt;&gt;"",NOT(ISERROR(O17))),O17,IF(AND(P17&lt;&gt;"",ISNUMBER(P17),P17&gt;0,NOT(ISNA(P17))),VLOOKUP(P17,'ESO zones'!$A$5:$D$10003,4,FALSE),IF(AND(K17&lt;&gt;"",K17&gt;0,NOT(ISERROR(K17))),VLOOKUP(K17,'ESO wayshrines'!$K$3:$N$9972,4,FALSE),"")))</f>
        <v>Fungal Grotto I</v>
      </c>
      <c r="T17" s="16" t="str">
        <f>IF(AND(S17&lt;&gt;"",NOT(ISERROR(S17))),S17,VLOOKUP(A17,'ESO Set&amp;DLCs'!$A$3:$D$99998,4,FALSE))</f>
        <v>DLC_BASE_GAME</v>
      </c>
      <c r="U17" s="3" t="str">
        <f>IF(T17&lt;&gt;"",VLOOKUP(T17,ConstDLCIds!$B$4:$C$1000,2,FALSE),"")</f>
        <v>Included in base game</v>
      </c>
      <c r="V17" s="57" t="s">
        <v>278</v>
      </c>
      <c r="Y17" s="5">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zones'!$A$5:$D$10003,4,FALSE),"")</f>
        <v>Fungal Grotto II</v>
      </c>
      <c r="AB17" s="4"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zones'!$A$5:$D$10003,4,FALSE),"")</f>
        <v>Stonefalls</v>
      </c>
      <c r="AH17" s="57"/>
      <c r="AK17" s="3" t="str">
        <f>IF(AND(G17&lt;&gt;"LIBSETS_SETTYPE_BATTLEGROUND",G17&lt;&gt;"LIBSETS_SETTYPE_SPECIAL"),IF(AL17&lt;&gt;"",VLOOKUP(AL17,'ESO zones'!$D$5:$H$4957,5,FALSE),""),"")</f>
        <v/>
      </c>
      <c r="AP17" s="3">
        <f>IF(AND(G17&lt;&gt;"LIBSETS_SETTYPE_BATTLEGROUND",G17&lt;&gt;"LIBSETS_SETTYPE_SPECIAL"),IF(AQ17&lt;&gt;"",VLOOKUP(AQ17,'ESO zones'!$D$5:$H$4957,5,FALSE),""),"")</f>
        <v>41</v>
      </c>
      <c r="AQ17" t="s">
        <v>433</v>
      </c>
      <c r="AU17" s="3" t="str">
        <f>IF(AND(G17&lt;&gt;"LIBSETS_SETTYPE_BATTLEGROUND",G17&lt;&gt;"LIBSETS_SETTYPE_SPECIAL"),IF(AV17&lt;&gt;"",VLOOKUP(AV17,'ESO zones'!$D$5:$H$4957,5,FALSE),""),"")</f>
        <v/>
      </c>
      <c r="AZ17" s="49" t="s">
        <v>403</v>
      </c>
      <c r="BA17" s="49"/>
      <c r="BB17" s="49"/>
      <c r="BC17" s="49"/>
      <c r="BD17" s="49"/>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2">
        <v>34</v>
      </c>
      <c r="B18" t="s">
        <v>446</v>
      </c>
      <c r="C18" t="s">
        <v>447</v>
      </c>
      <c r="D18" s="3">
        <f t="shared" si="0"/>
        <v>34</v>
      </c>
      <c r="G18" s="9" t="s">
        <v>174</v>
      </c>
      <c r="I18" t="s">
        <v>401</v>
      </c>
      <c r="J18" t="s">
        <v>401</v>
      </c>
      <c r="K18">
        <v>28</v>
      </c>
      <c r="L18">
        <v>28</v>
      </c>
      <c r="M18">
        <v>28</v>
      </c>
      <c r="O18" s="5" t="s">
        <v>436</v>
      </c>
      <c r="Q18" s="3">
        <f>IF(AND(P18&lt;&gt;"",ISNUMBER(P18),NOT(ISNA(P18))),P18,IF(R18&lt;&gt;"",VLOOKUP(R18,'ESO zones'!$D$5:$H$10005,5,FALSE),""))</f>
        <v>57</v>
      </c>
      <c r="R18" t="str">
        <f>IF(AND(O18&lt;&gt;"",NOT(ISERROR(O18))),O18,IF(AND(P18&lt;&gt;"",ISNUMBER(P18),P18&gt;0,NOT(ISNA(P18))),VLOOKUP(P18,'ESO zones'!$A$5:$D$10003,4,FALSE),IF(AND(K18&lt;&gt;"",K18&gt;0,NOT(ISERROR(K18))),VLOOKUP(K18,'ESO wayshrines'!$K$3:$N$9972,4,FALSE),"")))</f>
        <v>Deshaan</v>
      </c>
      <c r="T18" s="16" t="str">
        <f>IF(AND(S18&lt;&gt;"",NOT(ISERROR(S18))),S18,VLOOKUP(A18,'ESO Set&amp;DLCs'!$A$3:$D$99998,4,FALSE))</f>
        <v>DLC_BASE_GAME</v>
      </c>
      <c r="U18" s="3" t="str">
        <f>IF(T18&lt;&gt;"",VLOOKUP(T18,ConstDLCIds!$B$4:$C$1000,2,FALSE),"")</f>
        <v>Included in base game</v>
      </c>
      <c r="V18" s="57" t="s">
        <v>215</v>
      </c>
      <c r="Y18" s="5"/>
      <c r="Z18" s="3">
        <f>IF(AND(G18&lt;&gt;"LIBSETS_SETTYPE_BATTLEGROUND",G18&lt;&gt;"LIBSETS_SETTYPE_SPECIAL"),IF(AND(Y18&lt;&gt;"",ISNUMBER(Y18),NOT(ISNA(Y18))),Y18,IF(AND(L18&lt;&gt;"",ISNUMBER(L18),L18&gt;0,NOT(ISNA(L18))),VLOOKUP(L18,'ESO wayshrines'!$K$3:$L$9972,2,FALSE),"")),"")</f>
        <v>57</v>
      </c>
      <c r="AA18" t="str">
        <f>IF(AND(Z18&lt;&gt;"",ISNUMBER(Z18),NOT(ISNA(Z18))),VLOOKUP(Z18,'ESO zones'!$A$5:$D$10003,4,FALSE),"")</f>
        <v>Deshaan</v>
      </c>
      <c r="AB18" s="4" t="s">
        <v>218</v>
      </c>
      <c r="AE18" s="3">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zones'!$A$5:$D$10003,4,FALSE),"")</f>
        <v>Forgotten Crypts</v>
      </c>
      <c r="AH18" s="4" t="s">
        <v>221</v>
      </c>
      <c r="AK18" s="3">
        <f>IF(AND(G18&lt;&gt;"LIBSETS_SETTYPE_BATTLEGROUND",G18&lt;&gt;"LIBSETS_SETTYPE_SPECIAL"),IF(AL18&lt;&gt;"",VLOOKUP(AL18,'ESO zones'!$D$5:$H$4957,5,FALSE),""),"")</f>
        <v>57</v>
      </c>
      <c r="AL18" t="s">
        <v>436</v>
      </c>
      <c r="AM18" s="4" t="s">
        <v>224</v>
      </c>
      <c r="AP18" s="3">
        <f>IF(AND(G18&lt;&gt;"LIBSETS_SETTYPE_BATTLEGROUND",G18&lt;&gt;"LIBSETS_SETTYPE_SPECIAL"),IF(AQ18&lt;&gt;"",VLOOKUP(AQ18,'ESO zones'!$D$5:$H$4957,5,FALSE),""),"")</f>
        <v>101</v>
      </c>
      <c r="AQ18" t="s">
        <v>409</v>
      </c>
      <c r="AR18" s="80" t="s">
        <v>269</v>
      </c>
      <c r="AU18" s="3" t="str">
        <f>IF(AND(G18&lt;&gt;"LIBSETS_SETTYPE_BATTLEGROUND",G18&lt;&gt;"LIBSETS_SETTYPE_SPECIAL"),IF(AV18&lt;&gt;"",VLOOKUP(AV18,'ESO zones'!$D$5:$H$4957,5,FALSE),""),"")</f>
        <v/>
      </c>
      <c r="AZ18" s="49" t="s">
        <v>410</v>
      </c>
      <c r="BA18" s="49"/>
      <c r="BB18" s="49"/>
      <c r="BC18" s="49"/>
      <c r="BD18" s="49"/>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2">
        <v>35</v>
      </c>
      <c r="B19" t="s">
        <v>448</v>
      </c>
      <c r="C19" t="s">
        <v>449</v>
      </c>
      <c r="D19" s="3">
        <f t="shared" si="0"/>
        <v>35</v>
      </c>
      <c r="G19" s="9" t="s">
        <v>169</v>
      </c>
      <c r="I19" t="s">
        <v>401</v>
      </c>
      <c r="J19" t="s">
        <v>401</v>
      </c>
      <c r="K19">
        <v>193</v>
      </c>
      <c r="L19">
        <v>193</v>
      </c>
      <c r="M19">
        <v>193</v>
      </c>
      <c r="O19" s="5" t="s">
        <v>450</v>
      </c>
      <c r="Q19" s="3">
        <f>IF(AND(P19&lt;&gt;"",ISNUMBER(P19),NOT(ISNA(P19))),P19,IF(R19&lt;&gt;"",VLOOKUP(R19,'ESO zones'!$D$5:$H$10005,5,FALSE),""))</f>
        <v>144</v>
      </c>
      <c r="R19" t="str">
        <f>IF(AND(O19&lt;&gt;"",NOT(ISERROR(O19))),O19,IF(AND(P19&lt;&gt;"",ISNUMBER(P19),P19&gt;0,NOT(ISNA(P19))),VLOOKUP(P19,'ESO zones'!$A$5:$D$10003,4,FALSE),IF(AND(K19&lt;&gt;"",K19&gt;0,NOT(ISERROR(K19))),VLOOKUP(K19,'ESO wayshrines'!$K$3:$N$9972,4,FALSE),"")))</f>
        <v>Spindleclutch I</v>
      </c>
      <c r="T19" s="16" t="str">
        <f>IF(AND(S19&lt;&gt;"",NOT(ISERROR(S19))),S19,VLOOKUP(A19,'ESO Set&amp;DLCs'!$A$3:$D$99998,4,FALSE))</f>
        <v>DLC_BASE_GAME</v>
      </c>
      <c r="U19" s="3" t="str">
        <f>IF(T19&lt;&gt;"",VLOOKUP(T19,ConstDLCIds!$B$4:$C$1000,2,FALSE),"")</f>
        <v>Included in base game</v>
      </c>
      <c r="V19" s="57" t="s">
        <v>278</v>
      </c>
      <c r="Y19" s="5">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zones'!$A$5:$D$10003,4,FALSE),"")</f>
        <v>Spindleclutch II</v>
      </c>
      <c r="AB19" s="4"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zones'!$A$5:$D$10003,4,FALSE),"")</f>
        <v>Glenumbra</v>
      </c>
      <c r="AH19" s="57"/>
      <c r="AK19" s="3" t="str">
        <f>IF(AND(G19&lt;&gt;"LIBSETS_SETTYPE_BATTLEGROUND",G19&lt;&gt;"LIBSETS_SETTYPE_SPECIAL"),IF(AL19&lt;&gt;"",VLOOKUP(AL19,'ESO zones'!$D$5:$H$4957,5,FALSE),""),"")</f>
        <v/>
      </c>
      <c r="AP19" s="3">
        <f>IF(AND(G19&lt;&gt;"LIBSETS_SETTYPE_BATTLEGROUND",G19&lt;&gt;"LIBSETS_SETTYPE_SPECIAL"),IF(AQ19&lt;&gt;"",VLOOKUP(AQ19,'ESO zones'!$D$5:$H$4957,5,FALSE),""),"")</f>
        <v>383</v>
      </c>
      <c r="AQ19" t="s">
        <v>451</v>
      </c>
      <c r="AU19" s="3" t="str">
        <f>IF(AND(G19&lt;&gt;"LIBSETS_SETTYPE_BATTLEGROUND",G19&lt;&gt;"LIBSETS_SETTYPE_SPECIAL"),IF(AV19&lt;&gt;"",VLOOKUP(AV19,'ESO zones'!$D$5:$H$4957,5,FALSE),""),"")</f>
        <v/>
      </c>
      <c r="AZ19" s="49" t="s">
        <v>403</v>
      </c>
      <c r="BA19" s="49"/>
      <c r="BB19" s="49"/>
      <c r="BC19" s="49"/>
      <c r="BD19" s="49"/>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2">
        <v>36</v>
      </c>
      <c r="B20" t="s">
        <v>452</v>
      </c>
      <c r="C20" t="s">
        <v>453</v>
      </c>
      <c r="D20" s="3">
        <f t="shared" si="0"/>
        <v>36</v>
      </c>
      <c r="G20" s="9" t="s">
        <v>174</v>
      </c>
      <c r="I20" t="s">
        <v>401</v>
      </c>
      <c r="J20" t="s">
        <v>401</v>
      </c>
      <c r="K20">
        <v>121</v>
      </c>
      <c r="L20">
        <v>121</v>
      </c>
      <c r="M20">
        <v>121</v>
      </c>
      <c r="O20" s="5" t="s">
        <v>439</v>
      </c>
      <c r="Q20" s="3">
        <f>IF(AND(P20&lt;&gt;"",ISNUMBER(P20),NOT(ISNA(P20))),P20,IF(R20&lt;&gt;"",VLOOKUP(R20,'ESO zones'!$D$5:$H$10005,5,FALSE),""))</f>
        <v>381</v>
      </c>
      <c r="R20" t="str">
        <f>IF(AND(O20&lt;&gt;"",NOT(ISERROR(O20))),O20,IF(AND(P20&lt;&gt;"",ISNUMBER(P20),P20&gt;0,NOT(ISNA(P20))),VLOOKUP(P20,'ESO zones'!$A$5:$D$10003,4,FALSE),IF(AND(K20&lt;&gt;"",K20&gt;0,NOT(ISERROR(K20))),VLOOKUP(K20,'ESO wayshrines'!$K$3:$N$9972,4,FALSE),"")))</f>
        <v>Auridon</v>
      </c>
      <c r="T20" s="16" t="str">
        <f>IF(AND(S20&lt;&gt;"",NOT(ISERROR(S20))),S20,VLOOKUP(A20,'ESO Set&amp;DLCs'!$A$3:$D$99998,4,FALSE))</f>
        <v>DLC_BASE_GAME</v>
      </c>
      <c r="U20" s="3" t="str">
        <f>IF(T20&lt;&gt;"",VLOOKUP(T20,ConstDLCIds!$B$4:$C$1000,2,FALSE),"")</f>
        <v>Included in base game</v>
      </c>
      <c r="V20" s="57" t="s">
        <v>215</v>
      </c>
      <c r="Y20" s="5"/>
      <c r="Z20" s="3">
        <f>IF(AND(G20&lt;&gt;"LIBSETS_SETTYPE_BATTLEGROUND",G20&lt;&gt;"LIBSETS_SETTYPE_SPECIAL"),IF(AND(Y20&lt;&gt;"",ISNUMBER(Y20),NOT(ISNA(Y20))),Y20,IF(AND(L20&lt;&gt;"",ISNUMBER(L20),L20&gt;0,NOT(ISNA(L20))),VLOOKUP(L20,'ESO wayshrines'!$K$3:$L$9972,2,FALSE),"")),"")</f>
        <v>381</v>
      </c>
      <c r="AA20" t="str">
        <f>IF(AND(Z20&lt;&gt;"",ISNUMBER(Z20),NOT(ISNA(Z20))),VLOOKUP(Z20,'ESO zones'!$A$5:$D$10003,4,FALSE),"")</f>
        <v>Auridon</v>
      </c>
      <c r="AB20" s="4" t="s">
        <v>218</v>
      </c>
      <c r="AE20" s="3">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zones'!$A$5:$D$10003,4,FALSE),"")</f>
        <v>Toothmaul Gully</v>
      </c>
      <c r="AH20" s="4" t="s">
        <v>221</v>
      </c>
      <c r="AK20" s="3">
        <f>IF(AND(G20&lt;&gt;"LIBSETS_SETTYPE_BATTLEGROUND",G20&lt;&gt;"LIBSETS_SETTYPE_SPECIAL"),IF(AL20&lt;&gt;"",VLOOKUP(AL20,'ESO zones'!$D$5:$H$4957,5,FALSE),""),"")</f>
        <v>381</v>
      </c>
      <c r="AL20" t="s">
        <v>439</v>
      </c>
      <c r="AM20" s="4" t="s">
        <v>224</v>
      </c>
      <c r="AP20" s="3">
        <f>IF(AND(G20&lt;&gt;"LIBSETS_SETTYPE_BATTLEGROUND",G20&lt;&gt;"LIBSETS_SETTYPE_SPECIAL"),IF(AQ20&lt;&gt;"",VLOOKUP(AQ20,'ESO zones'!$D$5:$H$4957,5,FALSE),""),"")</f>
        <v>347</v>
      </c>
      <c r="AQ20" t="s">
        <v>423</v>
      </c>
      <c r="AR20" s="80" t="s">
        <v>269</v>
      </c>
      <c r="AU20" s="3" t="str">
        <f>IF(AND(G20&lt;&gt;"LIBSETS_SETTYPE_BATTLEGROUND",G20&lt;&gt;"LIBSETS_SETTYPE_SPECIAL"),IF(AV20&lt;&gt;"",VLOOKUP(AV20,'ESO zones'!$D$5:$H$4957,5,FALSE),""),"")</f>
        <v/>
      </c>
      <c r="AZ20" s="49" t="s">
        <v>403</v>
      </c>
      <c r="BA20" s="49"/>
      <c r="BB20" s="49"/>
      <c r="BC20" s="49"/>
      <c r="BD20" s="49"/>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1">
        <v>37</v>
      </c>
      <c r="B21" t="s">
        <v>454</v>
      </c>
      <c r="C21" t="s">
        <v>455</v>
      </c>
      <c r="D21" s="3">
        <f t="shared" si="0"/>
        <v>37</v>
      </c>
      <c r="G21" s="9" t="s">
        <v>163</v>
      </c>
      <c r="I21" t="s">
        <v>401</v>
      </c>
      <c r="J21" t="s">
        <v>401</v>
      </c>
      <c r="K21">
        <v>1</v>
      </c>
      <c r="L21">
        <v>177</v>
      </c>
      <c r="M21">
        <v>71</v>
      </c>
      <c r="N21">
        <v>2</v>
      </c>
      <c r="Q21" s="3">
        <f>IF(AND(P21&lt;&gt;"",ISNUMBER(P21),NOT(ISNA(P21))),P21,IF(R21&lt;&gt;"",VLOOKUP(R21,'ESO zones'!$D$5:$H$10005,5,FALSE),""))</f>
        <v>3</v>
      </c>
      <c r="R21" t="str">
        <f>IF(AND(O21&lt;&gt;"",NOT(ISERROR(O21))),O21,IF(AND(P21&lt;&gt;"",ISNUMBER(P21),P21&gt;0,NOT(ISNA(P21))),VLOOKUP(P21,'ESO zones'!$A$5:$D$10003,4,FALSE),IF(AND(K21&lt;&gt;"",K21&gt;0,NOT(ISERROR(K21))),VLOOKUP(K21,'ESO wayshrines'!$K$3:$N$9972,4,FALSE),"")))</f>
        <v>Glenumbra</v>
      </c>
      <c r="T21" s="16" t="str">
        <f>IF(AND(S21&lt;&gt;"",NOT(ISERROR(S21))),S21,VLOOKUP(A21,'ESO Set&amp;DLCs'!$A$3:$D$99998,4,FALSE))</f>
        <v>DLC_BASE_GAME</v>
      </c>
      <c r="U21" s="3" t="str">
        <f>IF(T21&lt;&gt;"",VLOOKUP(T21,ConstDLCIds!$B$4:$C$1000,2,FALSE),"")</f>
        <v>Included in base game</v>
      </c>
      <c r="V21" s="4" t="s">
        <v>281</v>
      </c>
      <c r="Y21" s="5"/>
      <c r="Z21" s="3">
        <f>IF(AND(G21&lt;&gt;"LIBSETS_SETTYPE_BATTLEGROUND",G21&lt;&gt;"LIBSETS_SETTYPE_SPECIAL"),IF(AND(Y21&lt;&gt;"",ISNUMBER(Y21),NOT(ISNA(Y21))),Y21,IF(AND(L21&lt;&gt;"",ISNUMBER(L21),L21&gt;0,NOT(ISNA(L21))),VLOOKUP(L21,'ESO wayshrines'!$K$3:$L$9972,2,FALSE),"")),"")</f>
        <v>381</v>
      </c>
      <c r="AA21" t="str">
        <f>IF(AND(Z21&lt;&gt;"",ISNUMBER(Z21),NOT(ISNA(Z21))),VLOOKUP(Z21,'ESO zones'!$A$5:$D$10003,4,FALSE),"")</f>
        <v>Auridon</v>
      </c>
      <c r="AB21" s="4"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zones'!$A$5:$D$10003,4,FALSE),"")</f>
        <v>Stonefalls</v>
      </c>
      <c r="AH21" s="4" t="s">
        <v>281</v>
      </c>
      <c r="AK21" s="3" t="str">
        <f>IF(AND(G21&lt;&gt;"LIBSETS_SETTYPE_BATTLEGROUND",G21&lt;&gt;"LIBSETS_SETTYPE_SPECIAL"),IF(AL21&lt;&gt;"",VLOOKUP(AL21,'ESO zones'!$D$5:$H$4957,5,FALSE),""),"")</f>
        <v/>
      </c>
      <c r="AP21" s="3">
        <f>IF(AND(G21&lt;&gt;"LIBSETS_SETTYPE_BATTLEGROUND",G21&lt;&gt;"LIBSETS_SETTYPE_SPECIAL"),IF(AQ21&lt;&gt;"",VLOOKUP(AQ21,'ESO zones'!$D$5:$H$4957,5,FALSE),""),"")</f>
        <v>101</v>
      </c>
      <c r="AQ21" t="s">
        <v>409</v>
      </c>
      <c r="AU21" s="3" t="str">
        <f>IF(AND(G21&lt;&gt;"LIBSETS_SETTYPE_BATTLEGROUND",G21&lt;&gt;"LIBSETS_SETTYPE_SPECIAL"),IF(AV21&lt;&gt;"",VLOOKUP(AV21,'ESO zones'!$D$5:$H$4957,5,FALSE),""),"")</f>
        <v/>
      </c>
      <c r="AZ21" s="49" t="s">
        <v>403</v>
      </c>
      <c r="BA21" s="49"/>
      <c r="BB21" s="49"/>
      <c r="BC21" s="49"/>
      <c r="BD21" s="49"/>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1">
        <v>38</v>
      </c>
      <c r="B22" t="s">
        <v>456</v>
      </c>
      <c r="C22" t="s">
        <v>457</v>
      </c>
      <c r="D22" s="3">
        <f t="shared" si="0"/>
        <v>38</v>
      </c>
      <c r="G22" s="9" t="s">
        <v>163</v>
      </c>
      <c r="I22" t="s">
        <v>401</v>
      </c>
      <c r="J22" t="s">
        <v>401</v>
      </c>
      <c r="K22">
        <v>15</v>
      </c>
      <c r="L22">
        <v>169</v>
      </c>
      <c r="M22">
        <v>205</v>
      </c>
      <c r="N22">
        <v>3</v>
      </c>
      <c r="Q22" s="3">
        <f>IF(AND(P22&lt;&gt;"",ISNUMBER(P22),NOT(ISNA(P22))),P22,IF(R22&lt;&gt;"",VLOOKUP(R22,'ESO zones'!$D$5:$H$10005,5,FALSE),""))</f>
        <v>19</v>
      </c>
      <c r="R22" t="str">
        <f>IF(AND(O22&lt;&gt;"",NOT(ISERROR(O22))),O22,IF(AND(P22&lt;&gt;"",ISNUMBER(P22),P22&gt;0,NOT(ISNA(P22))),VLOOKUP(P22,'ESO zones'!$A$5:$D$10003,4,FALSE),IF(AND(K22&lt;&gt;"",K22&gt;0,NOT(ISERROR(K22))),VLOOKUP(K22,'ESO wayshrines'!$K$3:$N$9972,4,FALSE),"")))</f>
        <v>Stormhaven</v>
      </c>
      <c r="T22" s="16" t="str">
        <f>IF(AND(S22&lt;&gt;"",NOT(ISERROR(S22))),S22,VLOOKUP(A22,'ESO Set&amp;DLCs'!$A$3:$D$99998,4,FALSE))</f>
        <v>DLC_BASE_GAME</v>
      </c>
      <c r="U22" s="3" t="str">
        <f>IF(T22&lt;&gt;"",VLOOKUP(T22,ConstDLCIds!$B$4:$C$1000,2,FALSE),"")</f>
        <v>Included in base game</v>
      </c>
      <c r="V22" s="4" t="s">
        <v>281</v>
      </c>
      <c r="Y22" s="5"/>
      <c r="Z22" s="3">
        <f>IF(AND(G22&lt;&gt;"LIBSETS_SETTYPE_BATTLEGROUND",G22&lt;&gt;"LIBSETS_SETTYPE_SPECIAL"),IF(AND(Y22&lt;&gt;"",ISNUMBER(Y22),NOT(ISNA(Y22))),Y22,IF(AND(L22&lt;&gt;"",ISNUMBER(L22),L22&gt;0,NOT(ISNA(L22))),VLOOKUP(L22,'ESO wayshrines'!$K$3:$L$9972,2,FALSE),"")),"")</f>
        <v>383</v>
      </c>
      <c r="AA22" t="str">
        <f>IF(AND(Z22&lt;&gt;"",ISNUMBER(Z22),NOT(ISNA(Z22))),VLOOKUP(Z22,'ESO zones'!$A$5:$D$10003,4,FALSE),"")</f>
        <v>Grahtwood</v>
      </c>
      <c r="AB22" s="4"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zones'!$A$5:$D$10003,4,FALSE),"")</f>
        <v>Deshaan</v>
      </c>
      <c r="AH22" s="4" t="s">
        <v>281</v>
      </c>
      <c r="AK22" s="3" t="str">
        <f>IF(AND(G22&lt;&gt;"LIBSETS_SETTYPE_BATTLEGROUND",G22&lt;&gt;"LIBSETS_SETTYPE_SPECIAL"),IF(AL22&lt;&gt;"",VLOOKUP(AL22,'ESO zones'!$D$5:$H$4957,5,FALSE),""),"")</f>
        <v/>
      </c>
      <c r="AP22" s="3">
        <f>IF(AND(G22&lt;&gt;"LIBSETS_SETTYPE_BATTLEGROUND",G22&lt;&gt;"LIBSETS_SETTYPE_SPECIAL"),IF(AQ22&lt;&gt;"",VLOOKUP(AQ22,'ESO zones'!$D$5:$H$4957,5,FALSE),""),"")</f>
        <v>58</v>
      </c>
      <c r="AQ22" t="s">
        <v>429</v>
      </c>
      <c r="AU22" s="3" t="str">
        <f>IF(AND(G22&lt;&gt;"LIBSETS_SETTYPE_BATTLEGROUND",G22&lt;&gt;"LIBSETS_SETTYPE_SPECIAL"),IF(AV22&lt;&gt;"",VLOOKUP(AV22,'ESO zones'!$D$5:$H$4957,5,FALSE),""),"")</f>
        <v/>
      </c>
      <c r="AZ22" s="49" t="s">
        <v>410</v>
      </c>
      <c r="BA22" s="49"/>
      <c r="BB22" s="49"/>
      <c r="BC22" s="49"/>
      <c r="BD22" s="49"/>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2">
        <v>39</v>
      </c>
      <c r="B23" t="s">
        <v>458</v>
      </c>
      <c r="C23" t="s">
        <v>459</v>
      </c>
      <c r="D23" s="3">
        <f t="shared" si="0"/>
        <v>39</v>
      </c>
      <c r="G23" s="9" t="s">
        <v>165</v>
      </c>
      <c r="I23" t="s">
        <v>401</v>
      </c>
      <c r="J23" t="s">
        <v>401</v>
      </c>
      <c r="K23">
        <v>-1</v>
      </c>
      <c r="L23">
        <v>-1</v>
      </c>
      <c r="M23">
        <v>-1</v>
      </c>
      <c r="O23" s="5" t="s">
        <v>166</v>
      </c>
      <c r="Q23" s="3">
        <f>IF(AND(P23&lt;&gt;"",ISNUMBER(P23),NOT(ISNA(P23))),P23,IF(R23&lt;&gt;"",VLOOKUP(R23,'ESO zones'!$D$5:$H$10005,5,FALSE),""))</f>
        <v>181</v>
      </c>
      <c r="R23" t="str">
        <f>IF(AND(O23&lt;&gt;"",NOT(ISERROR(O23))),O23,IF(AND(P23&lt;&gt;"",ISNUMBER(P23),P23&gt;0,NOT(ISNA(P23))),VLOOKUP(P23,'ESO zones'!$A$5:$D$10003,4,FALSE),IF(AND(K23&lt;&gt;"",K23&gt;0,NOT(ISERROR(K23))),VLOOKUP(K23,'ESO wayshrines'!$K$3:$N$9972,4,FALSE),"")))</f>
        <v>Cyrodiil</v>
      </c>
      <c r="T23" s="16" t="str">
        <f>IF(AND(S23&lt;&gt;"",NOT(ISERROR(S23))),S23,VLOOKUP(A23,'ESO Set&amp;DLCs'!$A$3:$D$99998,4,FALSE))</f>
        <v>DLC_BASE_GAME</v>
      </c>
      <c r="U23" s="3" t="str">
        <f>IF(T23&lt;&gt;"",VLOOKUP(T23,ConstDLCIds!$B$4:$C$1000,2,FALSE),"")</f>
        <v>Included in base game</v>
      </c>
      <c r="V23" s="4" t="s">
        <v>206</v>
      </c>
      <c r="Y23" s="5">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zones'!$A$5:$D$10003,4,FALSE),"")</f>
        <v>Cyrodiil</v>
      </c>
      <c r="AB23" s="4" t="s">
        <v>301</v>
      </c>
      <c r="AE23" s="5">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zones'!$A$5:$D$10003,4,FALSE),"")</f>
        <v>Cyrodiil</v>
      </c>
      <c r="AH23" s="4" t="s">
        <v>248</v>
      </c>
      <c r="AK23" s="3">
        <f>IF(AND(G23&lt;&gt;"LIBSETS_SETTYPE_BATTLEGROUND",G23&lt;&gt;"LIBSETS_SETTYPE_SPECIAL"),IF(AL23&lt;&gt;"",VLOOKUP(AL23,'ESO zones'!$D$5:$H$4957,5,FALSE),""),"")</f>
        <v>181</v>
      </c>
      <c r="AL23" t="s">
        <v>166</v>
      </c>
      <c r="AM23" s="4" t="s">
        <v>298</v>
      </c>
      <c r="AP23" s="3">
        <f>IF(AND(G23&lt;&gt;"LIBSETS_SETTYPE_BATTLEGROUND",G23&lt;&gt;"LIBSETS_SETTYPE_SPECIAL"),IF(AQ23&lt;&gt;"",VLOOKUP(AQ23,'ESO zones'!$D$5:$H$4957,5,FALSE),""),"")</f>
        <v>41</v>
      </c>
      <c r="AQ23" t="s">
        <v>433</v>
      </c>
      <c r="AR23" s="4" t="s">
        <v>215</v>
      </c>
      <c r="AU23" s="3">
        <f>IF(AND(G23&lt;&gt;"LIBSETS_SETTYPE_BATTLEGROUND",G23&lt;&gt;"LIBSETS_SETTYPE_SPECIAL"),IF(AV23&lt;&gt;"",VLOOKUP(AV23,'ESO zones'!$D$5:$H$4957,5,FALSE),""),"")</f>
        <v>181</v>
      </c>
      <c r="AV23" t="s">
        <v>166</v>
      </c>
      <c r="AW23" s="4" t="s">
        <v>257</v>
      </c>
      <c r="AZ23" s="49" t="s">
        <v>403</v>
      </c>
      <c r="BA23" s="49"/>
      <c r="BB23" s="49"/>
      <c r="BC23" s="49"/>
      <c r="BD23" s="49"/>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1">
        <v>40</v>
      </c>
      <c r="B24" t="s">
        <v>460</v>
      </c>
      <c r="C24" t="s">
        <v>461</v>
      </c>
      <c r="D24" s="3">
        <f t="shared" si="0"/>
        <v>40</v>
      </c>
      <c r="G24" s="9" t="s">
        <v>163</v>
      </c>
      <c r="I24" t="s">
        <v>401</v>
      </c>
      <c r="J24" t="s">
        <v>401</v>
      </c>
      <c r="K24">
        <v>216</v>
      </c>
      <c r="L24">
        <v>121</v>
      </c>
      <c r="M24">
        <v>65</v>
      </c>
      <c r="N24">
        <v>2</v>
      </c>
      <c r="Q24" s="3">
        <f>IF(AND(P24&lt;&gt;"",ISNUMBER(P24),NOT(ISNA(P24))),P24,IF(R24&lt;&gt;"",VLOOKUP(R24,'ESO zones'!$D$5:$H$10005,5,FALSE),""))</f>
        <v>3</v>
      </c>
      <c r="R24" t="str">
        <f>IF(AND(O24&lt;&gt;"",NOT(ISERROR(O24))),O24,IF(AND(P24&lt;&gt;"",ISNUMBER(P24),P24&gt;0,NOT(ISNA(P24))),VLOOKUP(P24,'ESO zones'!$A$5:$D$10003,4,FALSE),IF(AND(K24&lt;&gt;"",K24&gt;0,NOT(ISERROR(K24))),VLOOKUP(K24,'ESO wayshrines'!$K$3:$N$9972,4,FALSE),"")))</f>
        <v>Glenumbra</v>
      </c>
      <c r="T24" s="16" t="str">
        <f>IF(AND(S24&lt;&gt;"",NOT(ISERROR(S24))),S24,VLOOKUP(A24,'ESO Set&amp;DLCs'!$A$3:$D$99998,4,FALSE))</f>
        <v>DLC_BASE_GAME</v>
      </c>
      <c r="U24" s="3" t="str">
        <f>IF(T24&lt;&gt;"",VLOOKUP(T24,ConstDLCIds!$B$4:$C$1000,2,FALSE),"")</f>
        <v>Included in base game</v>
      </c>
      <c r="V24" s="4" t="s">
        <v>281</v>
      </c>
      <c r="Y24" s="5"/>
      <c r="Z24" s="3">
        <f>IF(AND(G24&lt;&gt;"LIBSETS_SETTYPE_BATTLEGROUND",G24&lt;&gt;"LIBSETS_SETTYPE_SPECIAL"),IF(AND(Y24&lt;&gt;"",ISNUMBER(Y24),NOT(ISNA(Y24))),Y24,IF(AND(L24&lt;&gt;"",ISNUMBER(L24),L24&gt;0,NOT(ISNA(L24))),VLOOKUP(L24,'ESO wayshrines'!$K$3:$L$9972,2,FALSE),"")),"")</f>
        <v>381</v>
      </c>
      <c r="AA24" t="str">
        <f>IF(AND(Z24&lt;&gt;"",ISNUMBER(Z24),NOT(ISNA(Z24))),VLOOKUP(Z24,'ESO zones'!$A$5:$D$10003,4,FALSE),"")</f>
        <v>Auridon</v>
      </c>
      <c r="AB24" s="4"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zones'!$A$5:$D$10003,4,FALSE),"")</f>
        <v>Stonefalls</v>
      </c>
      <c r="AH24" s="4" t="s">
        <v>281</v>
      </c>
      <c r="AK24" s="3" t="str">
        <f>IF(AND(G24&lt;&gt;"LIBSETS_SETTYPE_BATTLEGROUND",G24&lt;&gt;"LIBSETS_SETTYPE_SPECIAL"),IF(AL24&lt;&gt;"",VLOOKUP(AL24,'ESO zones'!$D$5:$H$4957,5,FALSE),""),"")</f>
        <v/>
      </c>
      <c r="AP24" s="3">
        <f>IF(AND(G24&lt;&gt;"LIBSETS_SETTYPE_BATTLEGROUND",G24&lt;&gt;"LIBSETS_SETTYPE_SPECIAL"),IF(AQ24&lt;&gt;"",VLOOKUP(AQ24,'ESO zones'!$D$5:$H$4957,5,FALSE),""),"")</f>
        <v>57</v>
      </c>
      <c r="AQ24" t="s">
        <v>436</v>
      </c>
      <c r="AU24" s="3" t="str">
        <f>IF(AND(G24&lt;&gt;"LIBSETS_SETTYPE_BATTLEGROUND",G24&lt;&gt;"LIBSETS_SETTYPE_SPECIAL"),IF(AV24&lt;&gt;"",VLOOKUP(AV24,'ESO zones'!$D$5:$H$4957,5,FALSE),""),"")</f>
        <v/>
      </c>
      <c r="AZ24" s="49" t="s">
        <v>403</v>
      </c>
      <c r="BA24" s="49"/>
      <c r="BB24" s="49"/>
      <c r="BC24" s="49"/>
      <c r="BD24" s="49"/>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1">
        <v>41</v>
      </c>
      <c r="B25" t="s">
        <v>462</v>
      </c>
      <c r="C25" t="s">
        <v>463</v>
      </c>
      <c r="D25" s="3">
        <f t="shared" si="0"/>
        <v>41</v>
      </c>
      <c r="G25" s="9" t="s">
        <v>163</v>
      </c>
      <c r="I25" t="s">
        <v>401</v>
      </c>
      <c r="J25" t="s">
        <v>401</v>
      </c>
      <c r="K25">
        <v>82</v>
      </c>
      <c r="L25">
        <v>151</v>
      </c>
      <c r="M25">
        <v>78</v>
      </c>
      <c r="N25">
        <v>4</v>
      </c>
      <c r="Q25" s="3">
        <f>IF(AND(P25&lt;&gt;"",ISNUMBER(P25),NOT(ISNA(P25))),P25,IF(R25&lt;&gt;"",VLOOKUP(R25,'ESO zones'!$D$5:$H$10005,5,FALSE),""))</f>
        <v>20</v>
      </c>
      <c r="R25" t="str">
        <f>IF(AND(O25&lt;&gt;"",NOT(ISERROR(O25))),O25,IF(AND(P25&lt;&gt;"",ISNUMBER(P25),P25&gt;0,NOT(ISNA(P25))),VLOOKUP(P25,'ESO zones'!$A$5:$D$10003,4,FALSE),IF(AND(K25&lt;&gt;"",K25&gt;0,NOT(ISERROR(K25))),VLOOKUP(K25,'ESO wayshrines'!$K$3:$N$9972,4,FALSE),"")))</f>
        <v>Rivenspire</v>
      </c>
      <c r="T25" s="16" t="str">
        <f>IF(AND(S25&lt;&gt;"",NOT(ISERROR(S25))),S25,VLOOKUP(A25,'ESO Set&amp;DLCs'!$A$3:$D$99998,4,FALSE))</f>
        <v>DLC_BASE_GAME</v>
      </c>
      <c r="U25" s="3" t="str">
        <f>IF(T25&lt;&gt;"",VLOOKUP(T25,ConstDLCIds!$B$4:$C$1000,2,FALSE),"")</f>
        <v>Included in base game</v>
      </c>
      <c r="V25" s="4" t="s">
        <v>281</v>
      </c>
      <c r="Y25" s="5"/>
      <c r="Z25" s="3">
        <f>IF(AND(G25&lt;&gt;"LIBSETS_SETTYPE_BATTLEGROUND",G25&lt;&gt;"LIBSETS_SETTYPE_SPECIAL"),IF(AND(Y25&lt;&gt;"",ISNUMBER(Y25),NOT(ISNA(Y25))),Y25,IF(AND(L25&lt;&gt;"",ISNUMBER(L25),L25&gt;0,NOT(ISNA(L25))),VLOOKUP(L25,'ESO wayshrines'!$K$3:$L$9972,2,FALSE),"")),"")</f>
        <v>108</v>
      </c>
      <c r="AA25" t="str">
        <f>IF(AND(Z25&lt;&gt;"",ISNUMBER(Z25),NOT(ISNA(Z25))),VLOOKUP(Z25,'ESO zones'!$A$5:$D$10003,4,FALSE),"")</f>
        <v>Greenshade</v>
      </c>
      <c r="AB25" s="4"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zones'!$A$5:$D$10003,4,FALSE),"")</f>
        <v>Shadowfen</v>
      </c>
      <c r="AH25" s="4" t="s">
        <v>281</v>
      </c>
      <c r="AK25" s="3" t="str">
        <f>IF(AND(G25&lt;&gt;"LIBSETS_SETTYPE_BATTLEGROUND",G25&lt;&gt;"LIBSETS_SETTYPE_SPECIAL"),IF(AL25&lt;&gt;"",VLOOKUP(AL25,'ESO zones'!$D$5:$H$4957,5,FALSE),""),"")</f>
        <v/>
      </c>
      <c r="AP25" s="3">
        <f>IF(AND(G25&lt;&gt;"LIBSETS_SETTYPE_BATTLEGROUND",G25&lt;&gt;"LIBSETS_SETTYPE_SPECIAL"),IF(AQ25&lt;&gt;"",VLOOKUP(AQ25,'ESO zones'!$D$5:$H$4957,5,FALSE),""),"")</f>
        <v>381</v>
      </c>
      <c r="AQ25" t="s">
        <v>439</v>
      </c>
      <c r="AU25" s="3" t="str">
        <f>IF(AND(G25&lt;&gt;"LIBSETS_SETTYPE_BATTLEGROUND",G25&lt;&gt;"LIBSETS_SETTYPE_SPECIAL"),IF(AV25&lt;&gt;"",VLOOKUP(AV25,'ESO zones'!$D$5:$H$4957,5,FALSE),""),"")</f>
        <v/>
      </c>
      <c r="AZ25" s="49" t="s">
        <v>403</v>
      </c>
      <c r="BA25" s="49"/>
      <c r="BB25" s="49"/>
      <c r="BC25" s="49"/>
      <c r="BD25" s="49"/>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1">
        <v>43</v>
      </c>
      <c r="B26" t="s">
        <v>464</v>
      </c>
      <c r="C26" t="s">
        <v>465</v>
      </c>
      <c r="D26" s="3">
        <f t="shared" si="0"/>
        <v>43</v>
      </c>
      <c r="G26" s="9" t="s">
        <v>163</v>
      </c>
      <c r="I26" t="s">
        <v>401</v>
      </c>
      <c r="J26" t="s">
        <v>401</v>
      </c>
      <c r="K26">
        <v>23</v>
      </c>
      <c r="L26">
        <v>164</v>
      </c>
      <c r="M26">
        <v>32</v>
      </c>
      <c r="N26">
        <v>3</v>
      </c>
      <c r="Q26" s="3">
        <f>IF(AND(P26&lt;&gt;"",ISNUMBER(P26),NOT(ISNA(P26))),P26,IF(R26&lt;&gt;"",VLOOKUP(R26,'ESO zones'!$D$5:$H$10005,5,FALSE),""))</f>
        <v>19</v>
      </c>
      <c r="R26" t="str">
        <f>IF(AND(O26&lt;&gt;"",NOT(ISERROR(O26))),O26,IF(AND(P26&lt;&gt;"",ISNUMBER(P26),P26&gt;0,NOT(ISNA(P26))),VLOOKUP(P26,'ESO zones'!$A$5:$D$10003,4,FALSE),IF(AND(K26&lt;&gt;"",K26&gt;0,NOT(ISERROR(K26))),VLOOKUP(K26,'ESO wayshrines'!$K$3:$N$9972,4,FALSE),"")))</f>
        <v>Stormhaven</v>
      </c>
      <c r="T26" s="16" t="str">
        <f>IF(AND(S26&lt;&gt;"",NOT(ISERROR(S26))),S26,VLOOKUP(A26,'ESO Set&amp;DLCs'!$A$3:$D$99998,4,FALSE))</f>
        <v>DLC_BASE_GAME</v>
      </c>
      <c r="U26" s="3" t="str">
        <f>IF(T26&lt;&gt;"",VLOOKUP(T26,ConstDLCIds!$B$4:$C$1000,2,FALSE),"")</f>
        <v>Included in base game</v>
      </c>
      <c r="V26" s="4" t="s">
        <v>281</v>
      </c>
      <c r="Y26" s="5"/>
      <c r="Z26" s="3">
        <f>IF(AND(G26&lt;&gt;"LIBSETS_SETTYPE_BATTLEGROUND",G26&lt;&gt;"LIBSETS_SETTYPE_SPECIAL"),IF(AND(Y26&lt;&gt;"",ISNUMBER(Y26),NOT(ISNA(Y26))),Y26,IF(AND(L26&lt;&gt;"",ISNUMBER(L26),L26&gt;0,NOT(ISNA(L26))),VLOOKUP(L26,'ESO wayshrines'!$K$3:$L$9972,2,FALSE),"")),"")</f>
        <v>383</v>
      </c>
      <c r="AA26" t="str">
        <f>IF(AND(Z26&lt;&gt;"",ISNUMBER(Z26),NOT(ISNA(Z26))),VLOOKUP(Z26,'ESO zones'!$A$5:$D$10003,4,FALSE),"")</f>
        <v>Grahtwood</v>
      </c>
      <c r="AB26" s="4"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zones'!$A$5:$D$10003,4,FALSE),"")</f>
        <v>Deshaan</v>
      </c>
      <c r="AH26" s="4" t="s">
        <v>281</v>
      </c>
      <c r="AK26" s="3" t="str">
        <f>IF(AND(G26&lt;&gt;"LIBSETS_SETTYPE_BATTLEGROUND",G26&lt;&gt;"LIBSETS_SETTYPE_SPECIAL"),IF(AL26&lt;&gt;"",VLOOKUP(AL26,'ESO zones'!$D$5:$H$4957,5,FALSE),""),"")</f>
        <v/>
      </c>
      <c r="AP26" s="3">
        <f>IF(AND(G26&lt;&gt;"LIBSETS_SETTYPE_BATTLEGROUND",G26&lt;&gt;"LIBSETS_SETTYPE_SPECIAL"),IF(AQ26&lt;&gt;"",VLOOKUP(AQ26,'ESO zones'!$D$5:$H$4957,5,FALSE),""),"")</f>
        <v>104</v>
      </c>
      <c r="AQ26" t="s">
        <v>442</v>
      </c>
      <c r="AU26" s="3" t="str">
        <f>IF(AND(G26&lt;&gt;"LIBSETS_SETTYPE_BATTLEGROUND",G26&lt;&gt;"LIBSETS_SETTYPE_SPECIAL"),IF(AV26&lt;&gt;"",VLOOKUP(AV26,'ESO zones'!$D$5:$H$4957,5,FALSE),""),"")</f>
        <v/>
      </c>
      <c r="AZ26" s="49" t="s">
        <v>410</v>
      </c>
      <c r="BA26" s="49"/>
      <c r="BB26" s="49"/>
      <c r="BC26" s="49"/>
      <c r="BD26" s="49"/>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1">
        <v>44</v>
      </c>
      <c r="B27" t="s">
        <v>466</v>
      </c>
      <c r="C27" t="s">
        <v>467</v>
      </c>
      <c r="D27" s="3">
        <f t="shared" si="0"/>
        <v>44</v>
      </c>
      <c r="G27" s="9" t="s">
        <v>163</v>
      </c>
      <c r="I27" t="s">
        <v>401</v>
      </c>
      <c r="J27" t="s">
        <v>401</v>
      </c>
      <c r="K27">
        <v>58</v>
      </c>
      <c r="L27">
        <v>101</v>
      </c>
      <c r="M27">
        <v>93</v>
      </c>
      <c r="N27">
        <v>5</v>
      </c>
      <c r="Q27" s="3">
        <f>IF(AND(P27&lt;&gt;"",ISNUMBER(P27),NOT(ISNA(P27))),P27,IF(R27&lt;&gt;"",VLOOKUP(R27,'ESO zones'!$D$5:$H$10005,5,FALSE),""))</f>
        <v>104</v>
      </c>
      <c r="R27" t="str">
        <f>IF(AND(O27&lt;&gt;"",NOT(ISERROR(O27))),O27,IF(AND(P27&lt;&gt;"",ISNUMBER(P27),P27&gt;0,NOT(ISNA(P27))),VLOOKUP(P27,'ESO zones'!$A$5:$D$10003,4,FALSE),IF(AND(K27&lt;&gt;"",K27&gt;0,NOT(ISERROR(K27))),VLOOKUP(K27,'ESO wayshrines'!$K$3:$N$9972,4,FALSE),"")))</f>
        <v>Alik'r Desert</v>
      </c>
      <c r="T27" s="16" t="str">
        <f>IF(AND(S27&lt;&gt;"",NOT(ISERROR(S27))),S27,VLOOKUP(A27,'ESO Set&amp;DLCs'!$A$3:$D$99998,4,FALSE))</f>
        <v>DLC_BASE_GAME</v>
      </c>
      <c r="U27" s="3" t="str">
        <f>IF(T27&lt;&gt;"",VLOOKUP(T27,ConstDLCIds!$B$4:$C$1000,2,FALSE),"")</f>
        <v>Included in base game</v>
      </c>
      <c r="V27" s="4" t="s">
        <v>281</v>
      </c>
      <c r="Y27" s="5"/>
      <c r="Z27" s="3">
        <f>IF(AND(G27&lt;&gt;"LIBSETS_SETTYPE_BATTLEGROUND",G27&lt;&gt;"LIBSETS_SETTYPE_SPECIAL"),IF(AND(Y27&lt;&gt;"",ISNUMBER(Y27),NOT(ISNA(Y27))),Y27,IF(AND(L27&lt;&gt;"",ISNUMBER(L27),L27&gt;0,NOT(ISNA(L27))),VLOOKUP(L27,'ESO wayshrines'!$K$3:$L$9972,2,FALSE),"")),"")</f>
        <v>58</v>
      </c>
      <c r="AA27" t="str">
        <f>IF(AND(Z27&lt;&gt;"",ISNUMBER(Z27),NOT(ISNA(Z27))),VLOOKUP(Z27,'ESO zones'!$A$5:$D$10003,4,FALSE),"")</f>
        <v>Malabal Tor</v>
      </c>
      <c r="AB27" s="4"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zones'!$A$5:$D$10003,4,FALSE),"")</f>
        <v>Eastmarch</v>
      </c>
      <c r="AH27" s="4" t="s">
        <v>281</v>
      </c>
      <c r="AK27" s="3" t="str">
        <f>IF(AND(G27&lt;&gt;"LIBSETS_SETTYPE_BATTLEGROUND",G27&lt;&gt;"LIBSETS_SETTYPE_SPECIAL"),IF(AL27&lt;&gt;"",VLOOKUP(AL27,'ESO zones'!$D$5:$H$4957,5,FALSE),""),"")</f>
        <v/>
      </c>
      <c r="AP27" s="3">
        <f>IF(AND(G27&lt;&gt;"LIBSETS_SETTYPE_BATTLEGROUND",G27&lt;&gt;"LIBSETS_SETTYPE_SPECIAL"),IF(AQ27&lt;&gt;"",VLOOKUP(AQ27,'ESO zones'!$D$5:$H$4957,5,FALSE),""),"")</f>
        <v>41</v>
      </c>
      <c r="AQ27" t="s">
        <v>433</v>
      </c>
      <c r="AU27" s="3" t="str">
        <f>IF(AND(G27&lt;&gt;"LIBSETS_SETTYPE_BATTLEGROUND",G27&lt;&gt;"LIBSETS_SETTYPE_SPECIAL"),IF(AV27&lt;&gt;"",VLOOKUP(AV27,'ESO zones'!$D$5:$H$4957,5,FALSE),""),"")</f>
        <v/>
      </c>
      <c r="AZ27" s="49" t="s">
        <v>403</v>
      </c>
      <c r="BA27" s="49"/>
      <c r="BB27" s="49"/>
      <c r="BC27" s="49"/>
      <c r="BD27" s="49"/>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2">
        <v>46</v>
      </c>
      <c r="B28" t="s">
        <v>468</v>
      </c>
      <c r="C28" t="s">
        <v>469</v>
      </c>
      <c r="D28" s="3">
        <f t="shared" si="0"/>
        <v>46</v>
      </c>
      <c r="G28" s="9" t="s">
        <v>169</v>
      </c>
      <c r="I28" t="s">
        <v>401</v>
      </c>
      <c r="J28" t="s">
        <v>401</v>
      </c>
      <c r="K28">
        <v>187</v>
      </c>
      <c r="L28">
        <v>187</v>
      </c>
      <c r="M28">
        <v>187</v>
      </c>
      <c r="O28" s="5" t="s">
        <v>470</v>
      </c>
      <c r="Q28" s="3">
        <f>IF(AND(P28&lt;&gt;"",ISNUMBER(P28),NOT(ISNA(P28))),P28,IF(R28&lt;&gt;"",VLOOKUP(R28,'ESO zones'!$D$5:$H$10005,5,FALSE),""))</f>
        <v>64</v>
      </c>
      <c r="R28" t="str">
        <f>IF(AND(O28&lt;&gt;"",NOT(ISERROR(O28))),O28,IF(AND(P28&lt;&gt;"",ISNUMBER(P28),P28&gt;0,NOT(ISNA(P28))),VLOOKUP(P28,'ESO zones'!$A$5:$D$10003,4,FALSE),IF(AND(K28&lt;&gt;"",K28&gt;0,NOT(ISERROR(K28))),VLOOKUP(K28,'ESO wayshrines'!$K$3:$N$9972,4,FALSE),"")))</f>
        <v>Blessed Crucible</v>
      </c>
      <c r="T28" s="16" t="str">
        <f>IF(AND(S28&lt;&gt;"",NOT(ISERROR(S28))),S28,VLOOKUP(A28,'ESO Set&amp;DLCs'!$A$3:$D$99998,4,FALSE))</f>
        <v>DLC_BASE_GAME</v>
      </c>
      <c r="U28" s="3" t="str">
        <f>IF(T28&lt;&gt;"",VLOOKUP(T28,ConstDLCIds!$B$4:$C$1000,2,FALSE),"")</f>
        <v>Included in base game</v>
      </c>
      <c r="V28" s="4" t="s">
        <v>278</v>
      </c>
      <c r="Y28" s="5"/>
      <c r="Z28" s="3">
        <f>IF(AND(G28&lt;&gt;"LIBSETS_SETTYPE_BATTLEGROUND",G28&lt;&gt;"LIBSETS_SETTYPE_SPECIAL"),IF(AND(Y28&lt;&gt;"",ISNUMBER(Y28),NOT(ISNA(Y28))),Y28,IF(AND(L28&lt;&gt;"",ISNUMBER(L28),L28&gt;0,NOT(ISNA(L28))),VLOOKUP(L28,'ESO wayshrines'!$K$3:$L$9972,2,FALSE),"")),"")</f>
        <v>103</v>
      </c>
      <c r="AA28" t="str">
        <f>IF(AND(Z28&lt;&gt;"",ISNUMBER(Z28),NOT(ISNA(Z28))),VLOOKUP(Z28,'ESO zones'!$A$5:$D$10003,4,FALSE),"")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zones'!$A$5:$D$10003,4,FALSE),"")</f>
        <v>The Rift</v>
      </c>
      <c r="AK28" s="3" t="str">
        <f>IF(AND(G28&lt;&gt;"LIBSETS_SETTYPE_BATTLEGROUND",G28&lt;&gt;"LIBSETS_SETTYPE_SPECIAL"),IF(AL28&lt;&gt;"",VLOOKUP(AL28,'ESO zones'!$D$5:$H$4957,5,FALSE),""),"")</f>
        <v/>
      </c>
      <c r="AP28" s="3">
        <f>IF(AND(G28&lt;&gt;"LIBSETS_SETTYPE_BATTLEGROUND",G28&lt;&gt;"LIBSETS_SETTYPE_SPECIAL"),IF(AQ28&lt;&gt;"",VLOOKUP(AQ28,'ESO zones'!$D$5:$H$4957,5,FALSE),""),"")</f>
        <v>101</v>
      </c>
      <c r="AQ28" t="s">
        <v>409</v>
      </c>
      <c r="AU28" s="3" t="str">
        <f>IF(AND(G28&lt;&gt;"LIBSETS_SETTYPE_BATTLEGROUND",G28&lt;&gt;"LIBSETS_SETTYPE_SPECIAL"),IF(AV28&lt;&gt;"",VLOOKUP(AV28,'ESO zones'!$D$5:$H$4957,5,FALSE),""),"")</f>
        <v/>
      </c>
      <c r="AZ28" s="49" t="s">
        <v>403</v>
      </c>
      <c r="BA28" s="49"/>
      <c r="BB28" s="49"/>
      <c r="BC28" s="49"/>
      <c r="BD28" s="49"/>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2">
        <v>47</v>
      </c>
      <c r="B29" t="s">
        <v>471</v>
      </c>
      <c r="C29" t="s">
        <v>472</v>
      </c>
      <c r="D29" s="3">
        <f t="shared" si="0"/>
        <v>47</v>
      </c>
      <c r="G29" s="9" t="s">
        <v>174</v>
      </c>
      <c r="I29" t="s">
        <v>401</v>
      </c>
      <c r="J29" t="s">
        <v>401</v>
      </c>
      <c r="K29">
        <v>61</v>
      </c>
      <c r="L29">
        <v>61</v>
      </c>
      <c r="M29">
        <v>61</v>
      </c>
      <c r="O29" s="5" t="s">
        <v>442</v>
      </c>
      <c r="Q29" s="3">
        <f>IF(AND(P29&lt;&gt;"",ISNUMBER(P29),NOT(ISNA(P29))),P29,IF(R29&lt;&gt;"",VLOOKUP(R29,'ESO zones'!$D$5:$H$10005,5,FALSE),""))</f>
        <v>104</v>
      </c>
      <c r="R29" t="str">
        <f>IF(AND(O29&lt;&gt;"",NOT(ISERROR(O29))),O29,IF(AND(P29&lt;&gt;"",ISNUMBER(P29),P29&gt;0,NOT(ISNA(P29))),VLOOKUP(P29,'ESO zones'!$A$5:$D$10003,4,FALSE),IF(AND(K29&lt;&gt;"",K29&gt;0,NOT(ISERROR(K29))),VLOOKUP(K29,'ESO wayshrines'!$K$3:$N$9972,4,FALSE),"")))</f>
        <v>Alik'r Desert</v>
      </c>
      <c r="T29" s="16" t="str">
        <f>IF(AND(S29&lt;&gt;"",NOT(ISERROR(S29))),S29,VLOOKUP(A29,'ESO Set&amp;DLCs'!$A$3:$D$99998,4,FALSE))</f>
        <v>DLC_BASE_GAME</v>
      </c>
      <c r="U29" s="3" t="str">
        <f>IF(T29&lt;&gt;"",VLOOKUP(T29,ConstDLCIds!$B$4:$C$1000,2,FALSE),"")</f>
        <v>Included in base game</v>
      </c>
      <c r="V29" s="4" t="s">
        <v>215</v>
      </c>
      <c r="Y29" s="5"/>
      <c r="Z29" s="3">
        <f>IF(AND(G29&lt;&gt;"LIBSETS_SETTYPE_BATTLEGROUND",G29&lt;&gt;"LIBSETS_SETTYPE_SPECIAL"),IF(AND(Y29&lt;&gt;"",ISNUMBER(Y29),NOT(ISNA(Y29))),Y29,IF(AND(L29&lt;&gt;"",ISNUMBER(L29),L29&gt;0,NOT(ISNA(L29))),VLOOKUP(L29,'ESO wayshrines'!$K$3:$L$9972,2,FALSE),"")),"")</f>
        <v>104</v>
      </c>
      <c r="AA29" t="str">
        <f>IF(AND(Z29&lt;&gt;"",ISNUMBER(Z29),NOT(ISNA(Z29))),VLOOKUP(Z29,'ESO zones'!$A$5:$D$10003,4,FALSE),"")</f>
        <v>Alik'r Desert</v>
      </c>
      <c r="AB29" s="4" t="s">
        <v>218</v>
      </c>
      <c r="AE29" s="3">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zones'!$A$5:$D$10003,4,FALSE),"")</f>
        <v>Lost City of the Na-Totambu</v>
      </c>
      <c r="AH29" s="4" t="s">
        <v>221</v>
      </c>
      <c r="AK29" s="3">
        <f>IF(AND(G29&lt;&gt;"LIBSETS_SETTYPE_BATTLEGROUND",G29&lt;&gt;"LIBSETS_SETTYPE_SPECIAL"),IF(AL29&lt;&gt;"",VLOOKUP(AL29,'ESO zones'!$D$5:$H$4957,5,FALSE),""),"")</f>
        <v>104</v>
      </c>
      <c r="AL29" t="s">
        <v>442</v>
      </c>
      <c r="AM29" s="4" t="s">
        <v>224</v>
      </c>
      <c r="AP29" s="3">
        <f>IF(AND(G29&lt;&gt;"LIBSETS_SETTYPE_BATTLEGROUND",G29&lt;&gt;"LIBSETS_SETTYPE_SPECIAL"),IF(AQ29&lt;&gt;"",VLOOKUP(AQ29,'ESO zones'!$D$5:$H$4957,5,FALSE),""),"")</f>
        <v>383</v>
      </c>
      <c r="AQ29" t="s">
        <v>451</v>
      </c>
      <c r="AR29" s="80" t="s">
        <v>269</v>
      </c>
      <c r="AU29" s="3" t="str">
        <f>IF(AND(G29&lt;&gt;"LIBSETS_SETTYPE_BATTLEGROUND",G29&lt;&gt;"LIBSETS_SETTYPE_SPECIAL"),IF(AV29&lt;&gt;"",VLOOKUP(AV29,'ESO zones'!$D$5:$H$4957,5,FALSE),""),"")</f>
        <v/>
      </c>
      <c r="AZ29" s="49" t="s">
        <v>403</v>
      </c>
      <c r="BA29" s="49"/>
      <c r="BB29" s="49"/>
      <c r="BC29" s="49"/>
      <c r="BD29" s="49"/>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1">
        <v>48</v>
      </c>
      <c r="B30" t="s">
        <v>473</v>
      </c>
      <c r="C30" t="s">
        <v>474</v>
      </c>
      <c r="D30" s="3">
        <f t="shared" si="0"/>
        <v>48</v>
      </c>
      <c r="G30" s="9" t="s">
        <v>163</v>
      </c>
      <c r="I30" t="s">
        <v>401</v>
      </c>
      <c r="J30" t="s">
        <v>401</v>
      </c>
      <c r="K30">
        <v>13</v>
      </c>
      <c r="L30">
        <v>148</v>
      </c>
      <c r="M30">
        <v>48</v>
      </c>
      <c r="N30">
        <v>4</v>
      </c>
      <c r="Q30" s="3">
        <f>IF(AND(P30&lt;&gt;"",ISNUMBER(P30),NOT(ISNA(P30))),P30,IF(R30&lt;&gt;"",VLOOKUP(R30,'ESO zones'!$D$5:$H$10005,5,FALSE),""))</f>
        <v>20</v>
      </c>
      <c r="R30" t="str">
        <f>IF(AND(O30&lt;&gt;"",NOT(ISERROR(O30))),O30,IF(AND(P30&lt;&gt;"",ISNUMBER(P30),P30&gt;0,NOT(ISNA(P30))),VLOOKUP(P30,'ESO zones'!$A$5:$D$10003,4,FALSE),IF(AND(K30&lt;&gt;"",K30&gt;0,NOT(ISERROR(K30))),VLOOKUP(K30,'ESO wayshrines'!$K$3:$N$9972,4,FALSE),"")))</f>
        <v>Rivenspire</v>
      </c>
      <c r="T30" s="16" t="str">
        <f>IF(AND(S30&lt;&gt;"",NOT(ISERROR(S30))),S30,VLOOKUP(A30,'ESO Set&amp;DLCs'!$A$3:$D$99998,4,FALSE))</f>
        <v>DLC_BASE_GAME</v>
      </c>
      <c r="U30" s="3" t="str">
        <f>IF(T30&lt;&gt;"",VLOOKUP(T30,ConstDLCIds!$B$4:$C$1000,2,FALSE),"")</f>
        <v>Included in base game</v>
      </c>
      <c r="V30" s="4" t="s">
        <v>281</v>
      </c>
      <c r="Y30" s="5"/>
      <c r="Z30" s="3">
        <f>IF(AND(G30&lt;&gt;"LIBSETS_SETTYPE_BATTLEGROUND",G30&lt;&gt;"LIBSETS_SETTYPE_SPECIAL"),IF(AND(Y30&lt;&gt;"",ISNUMBER(Y30),NOT(ISNA(Y30))),Y30,IF(AND(L30&lt;&gt;"",ISNUMBER(L30),L30&gt;0,NOT(ISNA(L30))),VLOOKUP(L30,'ESO wayshrines'!$K$3:$L$9972,2,FALSE),"")),"")</f>
        <v>108</v>
      </c>
      <c r="AA30" t="str">
        <f>IF(AND(Z30&lt;&gt;"",ISNUMBER(Z30),NOT(ISNA(Z30))),VLOOKUP(Z30,'ESO zones'!$A$5:$D$10003,4,FALSE),"")</f>
        <v>Greenshade</v>
      </c>
      <c r="AB30" s="4"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zones'!$A$5:$D$10003,4,FALSE),"")</f>
        <v>Shadowfen</v>
      </c>
      <c r="AH30" s="4" t="s">
        <v>281</v>
      </c>
      <c r="AK30" s="3" t="str">
        <f>IF(AND(G30&lt;&gt;"LIBSETS_SETTYPE_BATTLEGROUND",G30&lt;&gt;"LIBSETS_SETTYPE_SPECIAL"),IF(AL30&lt;&gt;"",VLOOKUP(AL30,'ESO zones'!$D$5:$H$4957,5,FALSE),""),"")</f>
        <v/>
      </c>
      <c r="AP30" s="3">
        <f>IF(AND(G30&lt;&gt;"LIBSETS_SETTYPE_BATTLEGROUND",G30&lt;&gt;"LIBSETS_SETTYPE_SPECIAL"),IF(AQ30&lt;&gt;"",VLOOKUP(AQ30,'ESO zones'!$D$5:$H$4957,5,FALSE),""),"")</f>
        <v>347</v>
      </c>
      <c r="AQ30" t="s">
        <v>423</v>
      </c>
      <c r="AU30" s="3" t="str">
        <f>IF(AND(G30&lt;&gt;"LIBSETS_SETTYPE_BATTLEGROUND",G30&lt;&gt;"LIBSETS_SETTYPE_SPECIAL"),IF(AV30&lt;&gt;"",VLOOKUP(AV30,'ESO zones'!$D$5:$H$4957,5,FALSE),""),"")</f>
        <v/>
      </c>
      <c r="AZ30" s="49" t="s">
        <v>403</v>
      </c>
      <c r="BA30" s="49"/>
      <c r="BB30" s="49"/>
      <c r="BC30" s="49"/>
      <c r="BD30" s="49"/>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2">
        <v>49</v>
      </c>
      <c r="B31" t="s">
        <v>475</v>
      </c>
      <c r="C31" t="s">
        <v>476</v>
      </c>
      <c r="D31" s="3">
        <f t="shared" si="0"/>
        <v>49</v>
      </c>
      <c r="G31" s="9" t="s">
        <v>174</v>
      </c>
      <c r="I31" t="s">
        <v>401</v>
      </c>
      <c r="J31" t="s">
        <v>401</v>
      </c>
      <c r="K31">
        <v>65</v>
      </c>
      <c r="L31">
        <v>65</v>
      </c>
      <c r="M31">
        <v>65</v>
      </c>
      <c r="O31" s="5" t="s">
        <v>433</v>
      </c>
      <c r="Q31" s="3">
        <f>IF(AND(P31&lt;&gt;"",ISNUMBER(P31),NOT(ISNA(P31))),P31,IF(R31&lt;&gt;"",VLOOKUP(R31,'ESO zones'!$D$5:$H$10005,5,FALSE),""))</f>
        <v>41</v>
      </c>
      <c r="R31" t="str">
        <f>IF(AND(O31&lt;&gt;"",NOT(ISERROR(O31))),O31,IF(AND(P31&lt;&gt;"",ISNUMBER(P31),P31&gt;0,NOT(ISNA(P31))),VLOOKUP(P31,'ESO zones'!$A$5:$D$10003,4,FALSE),IF(AND(K31&lt;&gt;"",K31&gt;0,NOT(ISERROR(K31))),VLOOKUP(K31,'ESO wayshrines'!$K$3:$N$9972,4,FALSE),"")))</f>
        <v>Stonefalls</v>
      </c>
      <c r="T31" s="16" t="str">
        <f>IF(AND(S31&lt;&gt;"",NOT(ISERROR(S31))),S31,VLOOKUP(A31,'ESO Set&amp;DLCs'!$A$3:$D$99998,4,FALSE))</f>
        <v>DLC_BASE_GAME</v>
      </c>
      <c r="U31" s="3" t="str">
        <f>IF(T31&lt;&gt;"",VLOOKUP(T31,ConstDLCIds!$B$4:$C$1000,2,FALSE),"")</f>
        <v>Included in base game</v>
      </c>
      <c r="V31" s="4" t="s">
        <v>215</v>
      </c>
      <c r="Y31" s="5"/>
      <c r="Z31" s="3">
        <f>IF(AND(G31&lt;&gt;"LIBSETS_SETTYPE_BATTLEGROUND",G31&lt;&gt;"LIBSETS_SETTYPE_SPECIAL"),IF(AND(Y31&lt;&gt;"",ISNUMBER(Y31),NOT(ISNA(Y31))),Y31,IF(AND(L31&lt;&gt;"",ISNUMBER(L31),L31&gt;0,NOT(ISNA(L31))),VLOOKUP(L31,'ESO wayshrines'!$K$3:$L$9972,2,FALSE),"")),"")</f>
        <v>41</v>
      </c>
      <c r="AA31" t="str">
        <f>IF(AND(Z31&lt;&gt;"",ISNUMBER(Z31),NOT(ISNA(Z31))),VLOOKUP(Z31,'ESO zones'!$A$5:$D$10003,4,FALSE),"")</f>
        <v>Stonefalls</v>
      </c>
      <c r="AB31" s="4" t="s">
        <v>218</v>
      </c>
      <c r="AE31" s="3">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zones'!$A$5:$D$10003,4,FALSE),"")</f>
        <v>Crow's Wood</v>
      </c>
      <c r="AH31" s="4" t="s">
        <v>221</v>
      </c>
      <c r="AK31" s="3">
        <f>IF(AND(G31&lt;&gt;"LIBSETS_SETTYPE_BATTLEGROUND",G31&lt;&gt;"LIBSETS_SETTYPE_SPECIAL"),IF(AL31&lt;&gt;"",VLOOKUP(AL31,'ESO zones'!$D$5:$H$4957,5,FALSE),""),"")</f>
        <v>41</v>
      </c>
      <c r="AL31" t="s">
        <v>433</v>
      </c>
      <c r="AM31" s="4" t="s">
        <v>224</v>
      </c>
      <c r="AP31" s="3">
        <f>IF(AND(G31&lt;&gt;"LIBSETS_SETTYPE_BATTLEGROUND",G31&lt;&gt;"LIBSETS_SETTYPE_SPECIAL"),IF(AQ31&lt;&gt;"",VLOOKUP(AQ31,'ESO zones'!$D$5:$H$4957,5,FALSE),""),"")</f>
        <v>101</v>
      </c>
      <c r="AQ31" t="s">
        <v>409</v>
      </c>
      <c r="AR31" s="80" t="s">
        <v>269</v>
      </c>
      <c r="AU31" s="3" t="str">
        <f>IF(AND(G31&lt;&gt;"LIBSETS_SETTYPE_BATTLEGROUND",G31&lt;&gt;"LIBSETS_SETTYPE_SPECIAL"),IF(AV31&lt;&gt;"",VLOOKUP(AV31,'ESO zones'!$D$5:$H$4957,5,FALSE),""),"")</f>
        <v/>
      </c>
      <c r="AZ31" s="49" t="s">
        <v>403</v>
      </c>
      <c r="BA31" s="49"/>
      <c r="BB31" s="49"/>
      <c r="BC31" s="49"/>
      <c r="BD31" s="49"/>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2">
        <v>50</v>
      </c>
      <c r="B32" t="s">
        <v>477</v>
      </c>
      <c r="C32" t="s">
        <v>478</v>
      </c>
      <c r="D32" s="3">
        <f t="shared" si="0"/>
        <v>50</v>
      </c>
      <c r="G32" s="9" t="s">
        <v>165</v>
      </c>
      <c r="I32" t="s">
        <v>401</v>
      </c>
      <c r="J32" t="s">
        <v>401</v>
      </c>
      <c r="K32">
        <v>-1</v>
      </c>
      <c r="L32">
        <v>-1</v>
      </c>
      <c r="M32">
        <v>-1</v>
      </c>
      <c r="O32" s="5" t="s">
        <v>166</v>
      </c>
      <c r="Q32" s="3">
        <f>IF(AND(P32&lt;&gt;"",ISNUMBER(P32),NOT(ISNA(P32))),P32,IF(R32&lt;&gt;"",VLOOKUP(R32,'ESO zones'!$D$5:$H$10005,5,FALSE),""))</f>
        <v>181</v>
      </c>
      <c r="R32" t="str">
        <f>IF(AND(O32&lt;&gt;"",NOT(ISERROR(O32))),O32,IF(AND(P32&lt;&gt;"",ISNUMBER(P32),P32&gt;0,NOT(ISNA(P32))),VLOOKUP(P32,'ESO zones'!$A$5:$D$10003,4,FALSE),IF(AND(K32&lt;&gt;"",K32&gt;0,NOT(ISERROR(K32))),VLOOKUP(K32,'ESO wayshrines'!$K$3:$N$9972,4,FALSE),"")))</f>
        <v>Cyrodiil</v>
      </c>
      <c r="T32" s="16" t="str">
        <f>IF(AND(S32&lt;&gt;"",NOT(ISERROR(S32))),S32,VLOOKUP(A32,'ESO Set&amp;DLCs'!$A$3:$D$99998,4,FALSE))</f>
        <v>DLC_BASE_GAME</v>
      </c>
      <c r="U32" s="3" t="str">
        <f>IF(T32&lt;&gt;"",VLOOKUP(T32,ConstDLCIds!$B$4:$C$1000,2,FALSE),"")</f>
        <v>Included in base game</v>
      </c>
      <c r="V32" s="4" t="s">
        <v>200</v>
      </c>
      <c r="Y32" s="5">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zones'!$A$5:$D$10003,4,FALSE),"")</f>
        <v>Cyrodiil</v>
      </c>
      <c r="AB32" s="4" t="s">
        <v>301</v>
      </c>
      <c r="AE32" s="5">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zones'!$A$5:$D$10003,4,FALSE),"")</f>
        <v>Cyrodiil</v>
      </c>
      <c r="AH32" s="4" t="s">
        <v>248</v>
      </c>
      <c r="AK32" s="3">
        <f>IF(AND(G32&lt;&gt;"LIBSETS_SETTYPE_BATTLEGROUND",G32&lt;&gt;"LIBSETS_SETTYPE_SPECIAL"),IF(AL32&lt;&gt;"",VLOOKUP(AL32,'ESO zones'!$D$5:$H$4957,5,FALSE),""),"")</f>
        <v>181</v>
      </c>
      <c r="AL32" t="s">
        <v>166</v>
      </c>
      <c r="AM32" s="4" t="s">
        <v>298</v>
      </c>
      <c r="AP32" s="3">
        <f>IF(AND(G32&lt;&gt;"LIBSETS_SETTYPE_BATTLEGROUND",G32&lt;&gt;"LIBSETS_SETTYPE_SPECIAL"),IF(AQ32&lt;&gt;"",VLOOKUP(AQ32,'ESO zones'!$D$5:$H$4957,5,FALSE),""),"")</f>
        <v>58</v>
      </c>
      <c r="AQ32" t="s">
        <v>429</v>
      </c>
      <c r="AR32" s="4" t="s">
        <v>215</v>
      </c>
      <c r="AU32" s="3">
        <f>IF(AND(G32&lt;&gt;"LIBSETS_SETTYPE_BATTLEGROUND",G32&lt;&gt;"LIBSETS_SETTYPE_SPECIAL"),IF(AV32&lt;&gt;"",VLOOKUP(AV32,'ESO zones'!$D$5:$H$4957,5,FALSE),""),"")</f>
        <v>181</v>
      </c>
      <c r="AV32" t="s">
        <v>166</v>
      </c>
      <c r="AW32" s="4" t="s">
        <v>257</v>
      </c>
      <c r="AZ32" s="49" t="s">
        <v>403</v>
      </c>
      <c r="BA32" s="49"/>
      <c r="BB32" s="49"/>
      <c r="BC32" s="49"/>
      <c r="BD32" s="49"/>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1">
        <v>51</v>
      </c>
      <c r="B33" t="s">
        <v>479</v>
      </c>
      <c r="C33" t="s">
        <v>480</v>
      </c>
      <c r="D33" s="3">
        <f t="shared" si="0"/>
        <v>51</v>
      </c>
      <c r="G33" s="9" t="s">
        <v>163</v>
      </c>
      <c r="I33" t="s">
        <v>401</v>
      </c>
      <c r="J33" t="s">
        <v>401</v>
      </c>
      <c r="K33">
        <v>34</v>
      </c>
      <c r="L33">
        <v>156</v>
      </c>
      <c r="M33">
        <v>118</v>
      </c>
      <c r="N33">
        <v>6</v>
      </c>
      <c r="Q33" s="3">
        <f>IF(AND(P33&lt;&gt;"",ISNUMBER(P33),NOT(ISNA(P33))),P33,IF(R33&lt;&gt;"",VLOOKUP(R33,'ESO zones'!$D$5:$H$10005,5,FALSE),""))</f>
        <v>92</v>
      </c>
      <c r="R33" t="str">
        <f>IF(AND(O33&lt;&gt;"",NOT(ISERROR(O33))),O33,IF(AND(P33&lt;&gt;"",ISNUMBER(P33),P33&gt;0,NOT(ISNA(P33))),VLOOKUP(P33,'ESO zones'!$A$5:$D$10003,4,FALSE),IF(AND(K33&lt;&gt;"",K33&gt;0,NOT(ISERROR(K33))),VLOOKUP(K33,'ESO wayshrines'!$K$3:$N$9972,4,FALSE),"")))</f>
        <v>Bangkorai</v>
      </c>
      <c r="T33" s="16" t="str">
        <f>IF(AND(S33&lt;&gt;"",NOT(ISERROR(S33))),S33,VLOOKUP(A33,'ESO Set&amp;DLCs'!$A$3:$D$99998,4,FALSE))</f>
        <v>DLC_BASE_GAME</v>
      </c>
      <c r="U33" s="3" t="str">
        <f>IF(T33&lt;&gt;"",VLOOKUP(T33,ConstDLCIds!$B$4:$C$1000,2,FALSE),"")</f>
        <v>Included in base game</v>
      </c>
      <c r="V33" s="4" t="s">
        <v>281</v>
      </c>
      <c r="Y33" s="5"/>
      <c r="Z33" s="3">
        <f>IF(AND(G33&lt;&gt;"LIBSETS_SETTYPE_BATTLEGROUND",G33&lt;&gt;"LIBSETS_SETTYPE_SPECIAL"),IF(AND(Y33&lt;&gt;"",ISNUMBER(Y33),NOT(ISNA(Y33))),Y33,IF(AND(L33&lt;&gt;"",ISNUMBER(L33),L33&gt;0,NOT(ISNA(L33))),VLOOKUP(L33,'ESO wayshrines'!$K$3:$L$9972,2,FALSE),"")),"")</f>
        <v>382</v>
      </c>
      <c r="AA33" t="str">
        <f>IF(AND(Z33&lt;&gt;"",ISNUMBER(Z33),NOT(ISNA(Z33))),VLOOKUP(Z33,'ESO zones'!$A$5:$D$10003,4,FALSE),"")</f>
        <v>Reaper's March</v>
      </c>
      <c r="AB33" s="4"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zones'!$A$5:$D$10003,4,FALSE),"")</f>
        <v>The Rift</v>
      </c>
      <c r="AH33" s="4" t="s">
        <v>281</v>
      </c>
      <c r="AK33" s="3" t="str">
        <f>IF(AND(G33&lt;&gt;"LIBSETS_SETTYPE_BATTLEGROUND",G33&lt;&gt;"LIBSETS_SETTYPE_SPECIAL"),IF(AL33&lt;&gt;"",VLOOKUP(AL33,'ESO zones'!$D$5:$H$4957,5,FALSE),""),"")</f>
        <v/>
      </c>
      <c r="AP33" s="3">
        <f>IF(AND(G33&lt;&gt;"LIBSETS_SETTYPE_BATTLEGROUND",G33&lt;&gt;"LIBSETS_SETTYPE_SPECIAL"),IF(AQ33&lt;&gt;"",VLOOKUP(AQ33,'ESO zones'!$D$5:$H$4957,5,FALSE),""),"")</f>
        <v>41</v>
      </c>
      <c r="AQ33" t="s">
        <v>433</v>
      </c>
      <c r="AU33" s="3" t="str">
        <f>IF(AND(G33&lt;&gt;"LIBSETS_SETTYPE_BATTLEGROUND",G33&lt;&gt;"LIBSETS_SETTYPE_SPECIAL"),IF(AV33&lt;&gt;"",VLOOKUP(AV33,'ESO zones'!$D$5:$H$4957,5,FALSE),""),"")</f>
        <v/>
      </c>
      <c r="AZ33" s="49" t="s">
        <v>403</v>
      </c>
      <c r="BA33" s="49"/>
      <c r="BB33" s="49"/>
      <c r="BC33" s="49"/>
      <c r="BD33" s="49"/>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2">
        <v>52</v>
      </c>
      <c r="B34" t="s">
        <v>481</v>
      </c>
      <c r="C34" t="s">
        <v>482</v>
      </c>
      <c r="D34" s="3">
        <f t="shared" si="0"/>
        <v>52</v>
      </c>
      <c r="G34" s="9" t="s">
        <v>165</v>
      </c>
      <c r="I34" t="s">
        <v>401</v>
      </c>
      <c r="J34" t="s">
        <v>401</v>
      </c>
      <c r="K34">
        <v>-1</v>
      </c>
      <c r="L34">
        <v>-1</v>
      </c>
      <c r="M34">
        <v>-1</v>
      </c>
      <c r="O34" s="5" t="s">
        <v>166</v>
      </c>
      <c r="Q34" s="3">
        <f>IF(AND(P34&lt;&gt;"",ISNUMBER(P34),NOT(ISNA(P34))),P34,IF(R34&lt;&gt;"",VLOOKUP(R34,'ESO zones'!$D$5:$H$10005,5,FALSE),""))</f>
        <v>181</v>
      </c>
      <c r="R34" t="str">
        <f>IF(AND(O34&lt;&gt;"",NOT(ISERROR(O34))),O34,IF(AND(P34&lt;&gt;"",ISNUMBER(P34),P34&gt;0,NOT(ISNA(P34))),VLOOKUP(P34,'ESO zones'!$A$5:$D$10003,4,FALSE),IF(AND(K34&lt;&gt;"",K34&gt;0,NOT(ISERROR(K34))),VLOOKUP(K34,'ESO wayshrines'!$K$3:$N$9972,4,FALSE),"")))</f>
        <v>Cyrodiil</v>
      </c>
      <c r="T34" s="16" t="str">
        <f>IF(AND(S34&lt;&gt;"",NOT(ISERROR(S34))),S34,VLOOKUP(A34,'ESO Set&amp;DLCs'!$A$3:$D$99998,4,FALSE))</f>
        <v>DLC_BASE_GAME</v>
      </c>
      <c r="U34" s="3" t="str">
        <f>IF(T34&lt;&gt;"",VLOOKUP(T34,ConstDLCIds!$B$4:$C$1000,2,FALSE),"")</f>
        <v>Included in base game</v>
      </c>
      <c r="V34" s="4" t="s">
        <v>206</v>
      </c>
      <c r="Y34" s="5">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zones'!$A$5:$D$10003,4,FALSE),"")</f>
        <v>Cyrodiil</v>
      </c>
      <c r="AB34" s="4" t="s">
        <v>301</v>
      </c>
      <c r="AE34" s="5">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zones'!$A$5:$D$10003,4,FALSE),"")</f>
        <v>Cyrodiil</v>
      </c>
      <c r="AH34" s="4" t="s">
        <v>248</v>
      </c>
      <c r="AK34" s="3">
        <f>IF(AND(G34&lt;&gt;"LIBSETS_SETTYPE_BATTLEGROUND",G34&lt;&gt;"LIBSETS_SETTYPE_SPECIAL"),IF(AL34&lt;&gt;"",VLOOKUP(AL34,'ESO zones'!$D$5:$H$4957,5,FALSE),""),"")</f>
        <v>181</v>
      </c>
      <c r="AL34" t="s">
        <v>166</v>
      </c>
      <c r="AM34" s="4" t="s">
        <v>298</v>
      </c>
      <c r="AP34" s="3">
        <f>IF(AND(G34&lt;&gt;"LIBSETS_SETTYPE_BATTLEGROUND",G34&lt;&gt;"LIBSETS_SETTYPE_SPECIAL"),IF(AQ34&lt;&gt;"",VLOOKUP(AQ34,'ESO zones'!$D$5:$H$4957,5,FALSE),""),"")</f>
        <v>57</v>
      </c>
      <c r="AQ34" t="s">
        <v>436</v>
      </c>
      <c r="AR34" s="4" t="s">
        <v>215</v>
      </c>
      <c r="AU34" s="3">
        <f>IF(AND(G34&lt;&gt;"LIBSETS_SETTYPE_BATTLEGROUND",G34&lt;&gt;"LIBSETS_SETTYPE_SPECIAL"),IF(AV34&lt;&gt;"",VLOOKUP(AV34,'ESO zones'!$D$5:$H$4957,5,FALSE),""),"")</f>
        <v>181</v>
      </c>
      <c r="AV34" t="s">
        <v>166</v>
      </c>
      <c r="AW34" s="4" t="s">
        <v>257</v>
      </c>
      <c r="AZ34" s="49" t="s">
        <v>403</v>
      </c>
      <c r="BA34" s="49"/>
      <c r="BB34" s="49"/>
      <c r="BC34" s="49"/>
      <c r="BD34" s="49"/>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2">
        <v>53</v>
      </c>
      <c r="B35" t="s">
        <v>483</v>
      </c>
      <c r="C35" t="s">
        <v>484</v>
      </c>
      <c r="D35" s="3">
        <f t="shared" si="0"/>
        <v>53</v>
      </c>
      <c r="G35" s="9" t="s">
        <v>169</v>
      </c>
      <c r="I35" t="s">
        <v>401</v>
      </c>
      <c r="J35" t="s">
        <v>401</v>
      </c>
      <c r="K35">
        <v>195</v>
      </c>
      <c r="L35">
        <v>195</v>
      </c>
      <c r="M35">
        <v>195</v>
      </c>
      <c r="O35" s="5" t="s">
        <v>485</v>
      </c>
      <c r="Q35" s="3">
        <f>IF(AND(P35&lt;&gt;"",ISNUMBER(P35),NOT(ISNA(P35))),P35,IF(R35&lt;&gt;"",VLOOKUP(R35,'ESO zones'!$D$5:$H$10005,5,FALSE),""))</f>
        <v>449</v>
      </c>
      <c r="R35" t="str">
        <f>IF(AND(O35&lt;&gt;"",NOT(ISERROR(O35))),O35,IF(AND(P35&lt;&gt;"",ISNUMBER(P35),P35&gt;0,NOT(ISNA(P35))),VLOOKUP(P35,'ESO zones'!$A$5:$D$10003,4,FALSE),IF(AND(K35&lt;&gt;"",K35&gt;0,NOT(ISERROR(K35))),VLOOKUP(K35,'ESO wayshrines'!$K$3:$N$9972,4,FALSE),"")))</f>
        <v>Direfrost Keep</v>
      </c>
      <c r="T35" s="16" t="str">
        <f>IF(AND(S35&lt;&gt;"",NOT(ISERROR(S35))),S35,VLOOKUP(A35,'ESO Set&amp;DLCs'!$A$3:$D$99998,4,FALSE))</f>
        <v>DLC_BASE_GAME</v>
      </c>
      <c r="U35" s="3" t="str">
        <f>IF(T35&lt;&gt;"",VLOOKUP(T35,ConstDLCIds!$B$4:$C$1000,2,FALSE),"")</f>
        <v>Included in base game</v>
      </c>
      <c r="V35" s="4" t="s">
        <v>278</v>
      </c>
      <c r="Y35" s="5"/>
      <c r="Z35" s="3">
        <f>IF(AND(G35&lt;&gt;"LIBSETS_SETTYPE_BATTLEGROUND",G35&lt;&gt;"LIBSETS_SETTYPE_SPECIAL"),IF(AND(Y35&lt;&gt;"",ISNUMBER(Y35),NOT(ISNA(Y35))),Y35,IF(AND(L35&lt;&gt;"",ISNUMBER(L35),L35&gt;0,NOT(ISNA(L35))),VLOOKUP(L35,'ESO wayshrines'!$K$3:$L$9972,2,FALSE),"")),"")</f>
        <v>101</v>
      </c>
      <c r="AA35" t="str">
        <f>IF(AND(Z35&lt;&gt;"",ISNUMBER(Z35),NOT(ISNA(Z35))),VLOOKUP(Z35,'ESO zones'!$A$5:$D$10003,4,FALSE),"")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zones'!$A$5:$D$10003,4,FALSE),"")</f>
        <v>Eastmarch</v>
      </c>
      <c r="AK35" s="3" t="str">
        <f>IF(AND(G35&lt;&gt;"LIBSETS_SETTYPE_BATTLEGROUND",G35&lt;&gt;"LIBSETS_SETTYPE_SPECIAL"),IF(AL35&lt;&gt;"",VLOOKUP(AL35,'ESO zones'!$D$5:$H$4957,5,FALSE),""),"")</f>
        <v/>
      </c>
      <c r="AP35" s="3">
        <f>IF(AND(G35&lt;&gt;"LIBSETS_SETTYPE_BATTLEGROUND",G35&lt;&gt;"LIBSETS_SETTYPE_SPECIAL"),IF(AQ35&lt;&gt;"",VLOOKUP(AQ35,'ESO zones'!$D$5:$H$4957,5,FALSE),""),"")</f>
        <v>381</v>
      </c>
      <c r="AQ35" t="s">
        <v>439</v>
      </c>
      <c r="AU35" s="3" t="str">
        <f>IF(AND(G35&lt;&gt;"LIBSETS_SETTYPE_BATTLEGROUND",G35&lt;&gt;"LIBSETS_SETTYPE_SPECIAL"),IF(AV35&lt;&gt;"",VLOOKUP(AV35,'ESO zones'!$D$5:$H$4957,5,FALSE),""),"")</f>
        <v/>
      </c>
      <c r="AZ35" s="49" t="s">
        <v>403</v>
      </c>
      <c r="BA35" s="49"/>
      <c r="BB35" s="49"/>
      <c r="BC35" s="49"/>
      <c r="BD35" s="49"/>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1">
        <v>54</v>
      </c>
      <c r="B36" t="s">
        <v>486</v>
      </c>
      <c r="C36" t="s">
        <v>487</v>
      </c>
      <c r="D36" s="3">
        <f t="shared" si="0"/>
        <v>54</v>
      </c>
      <c r="G36" s="9" t="s">
        <v>163</v>
      </c>
      <c r="I36" t="s">
        <v>401</v>
      </c>
      <c r="J36" t="s">
        <v>401</v>
      </c>
      <c r="K36">
        <v>7</v>
      </c>
      <c r="L36">
        <v>175</v>
      </c>
      <c r="M36">
        <v>77</v>
      </c>
      <c r="N36">
        <v>2</v>
      </c>
      <c r="Q36" s="3">
        <f>IF(AND(P36&lt;&gt;"",ISNUMBER(P36),NOT(ISNA(P36))),P36,IF(R36&lt;&gt;"",VLOOKUP(R36,'ESO zones'!$D$5:$H$10005,5,FALSE),""))</f>
        <v>3</v>
      </c>
      <c r="R36" t="str">
        <f>IF(AND(O36&lt;&gt;"",NOT(ISERROR(O36))),O36,IF(AND(P36&lt;&gt;"",ISNUMBER(P36),P36&gt;0,NOT(ISNA(P36))),VLOOKUP(P36,'ESO zones'!$A$5:$D$10003,4,FALSE),IF(AND(K36&lt;&gt;"",K36&gt;0,NOT(ISERROR(K36))),VLOOKUP(K36,'ESO wayshrines'!$K$3:$N$9972,4,FALSE),"")))</f>
        <v>Glenumbra</v>
      </c>
      <c r="T36" s="16" t="str">
        <f>IF(AND(S36&lt;&gt;"",NOT(ISERROR(S36))),S36,VLOOKUP(A36,'ESO Set&amp;DLCs'!$A$3:$D$99998,4,FALSE))</f>
        <v>DLC_BASE_GAME</v>
      </c>
      <c r="U36" s="3" t="str">
        <f>IF(T36&lt;&gt;"",VLOOKUP(T36,ConstDLCIds!$B$4:$C$1000,2,FALSE),"")</f>
        <v>Included in base game</v>
      </c>
      <c r="V36" s="4" t="s">
        <v>281</v>
      </c>
      <c r="Y36" s="5"/>
      <c r="Z36" s="3">
        <f>IF(AND(G36&lt;&gt;"LIBSETS_SETTYPE_BATTLEGROUND",G36&lt;&gt;"LIBSETS_SETTYPE_SPECIAL"),IF(AND(Y36&lt;&gt;"",ISNUMBER(Y36),NOT(ISNA(Y36))),Y36,IF(AND(L36&lt;&gt;"",ISNUMBER(L36),L36&gt;0,NOT(ISNA(L36))),VLOOKUP(L36,'ESO wayshrines'!$K$3:$L$9972,2,FALSE),"")),"")</f>
        <v>381</v>
      </c>
      <c r="AA36" t="str">
        <f>IF(AND(Z36&lt;&gt;"",ISNUMBER(Z36),NOT(ISNA(Z36))),VLOOKUP(Z36,'ESO zones'!$A$5:$D$10003,4,FALSE),"")</f>
        <v>Auridon</v>
      </c>
      <c r="AB36" s="4"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zones'!$A$5:$D$10003,4,FALSE),"")</f>
        <v>Stonefalls</v>
      </c>
      <c r="AH36" s="4" t="s">
        <v>281</v>
      </c>
      <c r="AK36" s="3" t="str">
        <f>IF(AND(G36&lt;&gt;"LIBSETS_SETTYPE_BATTLEGROUND",G36&lt;&gt;"LIBSETS_SETTYPE_SPECIAL"),IF(AL36&lt;&gt;"",VLOOKUP(AL36,'ESO zones'!$D$5:$H$4957,5,FALSE),""),"")</f>
        <v/>
      </c>
      <c r="AP36" s="3">
        <f>IF(AND(G36&lt;&gt;"LIBSETS_SETTYPE_BATTLEGROUND",G36&lt;&gt;"LIBSETS_SETTYPE_SPECIAL"),IF(AQ36&lt;&gt;"",VLOOKUP(AQ36,'ESO zones'!$D$5:$H$4957,5,FALSE),""),"")</f>
        <v>104</v>
      </c>
      <c r="AQ36" t="s">
        <v>442</v>
      </c>
      <c r="AU36" s="3" t="str">
        <f>IF(AND(G36&lt;&gt;"LIBSETS_SETTYPE_BATTLEGROUND",G36&lt;&gt;"LIBSETS_SETTYPE_SPECIAL"),IF(AV36&lt;&gt;"",VLOOKUP(AV36,'ESO zones'!$D$5:$H$4957,5,FALSE),""),"")</f>
        <v/>
      </c>
      <c r="AZ36" s="49" t="s">
        <v>403</v>
      </c>
      <c r="BA36" s="49"/>
      <c r="BB36" s="49"/>
      <c r="BC36" s="49"/>
      <c r="BD36" s="49"/>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2">
        <v>55</v>
      </c>
      <c r="B37" t="s">
        <v>488</v>
      </c>
      <c r="C37" t="s">
        <v>489</v>
      </c>
      <c r="D37" s="3">
        <f t="shared" si="0"/>
        <v>55</v>
      </c>
      <c r="E37" s="41"/>
      <c r="G37" s="9" t="s">
        <v>169</v>
      </c>
      <c r="I37" t="s">
        <v>401</v>
      </c>
      <c r="J37" t="s">
        <v>401</v>
      </c>
      <c r="K37">
        <v>193</v>
      </c>
      <c r="L37">
        <v>193</v>
      </c>
      <c r="M37">
        <v>193</v>
      </c>
      <c r="O37" s="5" t="s">
        <v>450</v>
      </c>
      <c r="Q37" s="3">
        <f>IF(AND(P37&lt;&gt;"",ISNUMBER(P37),NOT(ISNA(P37))),P37,IF(R37&lt;&gt;"",VLOOKUP(R37,'ESO zones'!$D$5:$H$10005,5,FALSE),""))</f>
        <v>144</v>
      </c>
      <c r="R37" t="str">
        <f>IF(AND(O37&lt;&gt;"",NOT(ISERROR(O37))),O37,IF(AND(P37&lt;&gt;"",ISNUMBER(P37),P37&gt;0,NOT(ISNA(P37))),VLOOKUP(P37,'ESO zones'!$A$5:$D$10003,4,FALSE),IF(AND(K37&lt;&gt;"",K37&gt;0,NOT(ISERROR(K37))),VLOOKUP(K37,'ESO wayshrines'!$K$3:$N$9972,4,FALSE),"")))</f>
        <v>Spindleclutch I</v>
      </c>
      <c r="T37" s="16" t="str">
        <f>IF(AND(S37&lt;&gt;"",NOT(ISERROR(S37))),S37,VLOOKUP(A37,'ESO Set&amp;DLCs'!$A$3:$D$99998,4,FALSE))</f>
        <v>DLC_BASE_GAME</v>
      </c>
      <c r="U37" s="3" t="str">
        <f>IF(T37&lt;&gt;"",VLOOKUP(T37,ConstDLCIds!$B$4:$C$1000,2,FALSE),"")</f>
        <v>Included in base game</v>
      </c>
      <c r="V37" s="4" t="s">
        <v>278</v>
      </c>
      <c r="Y37" s="5">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zones'!$A$5:$D$10003,4,FALSE),"")</f>
        <v>Spindleclutch II</v>
      </c>
      <c r="AB37" s="4"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zones'!$A$5:$D$10003,4,FALSE),"")</f>
        <v>Glenumbra</v>
      </c>
      <c r="AH37" s="57"/>
      <c r="AK37" s="3" t="str">
        <f>IF(AND(G37&lt;&gt;"LIBSETS_SETTYPE_BATTLEGROUND",G37&lt;&gt;"LIBSETS_SETTYPE_SPECIAL"),IF(AL37&lt;&gt;"",VLOOKUP(AL37,'ESO zones'!$D$5:$H$4957,5,FALSE),""),"")</f>
        <v/>
      </c>
      <c r="AP37" s="3">
        <f>IF(AND(G37&lt;&gt;"LIBSETS_SETTYPE_BATTLEGROUND",G37&lt;&gt;"LIBSETS_SETTYPE_SPECIAL"),IF(AQ37&lt;&gt;"",VLOOKUP(AQ37,'ESO zones'!$D$5:$H$4957,5,FALSE),""),"")</f>
        <v>41</v>
      </c>
      <c r="AQ37" t="s">
        <v>433</v>
      </c>
      <c r="AU37" s="3" t="str">
        <f>IF(AND(G37&lt;&gt;"LIBSETS_SETTYPE_BATTLEGROUND",G37&lt;&gt;"LIBSETS_SETTYPE_SPECIAL"),IF(AV37&lt;&gt;"",VLOOKUP(AV37,'ESO zones'!$D$5:$H$4957,5,FALSE),""),"")</f>
        <v/>
      </c>
      <c r="AZ37" s="49" t="s">
        <v>403</v>
      </c>
      <c r="BA37" s="49"/>
      <c r="BB37" s="49"/>
      <c r="BC37" s="49"/>
      <c r="BD37" s="49"/>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2">
        <v>56</v>
      </c>
      <c r="B38" t="s">
        <v>490</v>
      </c>
      <c r="C38" t="s">
        <v>491</v>
      </c>
      <c r="D38" s="3">
        <f t="shared" si="0"/>
        <v>56</v>
      </c>
      <c r="E38" s="41"/>
      <c r="G38" s="9" t="s">
        <v>174</v>
      </c>
      <c r="I38" t="s">
        <v>401</v>
      </c>
      <c r="J38" t="s">
        <v>401</v>
      </c>
      <c r="K38">
        <v>93</v>
      </c>
      <c r="L38">
        <v>93</v>
      </c>
      <c r="M38">
        <v>93</v>
      </c>
      <c r="O38" s="5" t="s">
        <v>409</v>
      </c>
      <c r="Q38" s="3">
        <f>IF(AND(P38&lt;&gt;"",ISNUMBER(P38),NOT(ISNA(P38))),P38,IF(R38&lt;&gt;"",VLOOKUP(R38,'ESO zones'!$D$5:$H$10005,5,FALSE),""))</f>
        <v>101</v>
      </c>
      <c r="R38" t="str">
        <f>IF(AND(O38&lt;&gt;"",NOT(ISERROR(O38))),O38,IF(AND(P38&lt;&gt;"",ISNUMBER(P38),P38&gt;0,NOT(ISNA(P38))),VLOOKUP(P38,'ESO zones'!$A$5:$D$10003,4,FALSE),IF(AND(K38&lt;&gt;"",K38&gt;0,NOT(ISERROR(K38))),VLOOKUP(K38,'ESO wayshrines'!$K$3:$N$9972,4,FALSE),"")))</f>
        <v>Eastmarch</v>
      </c>
      <c r="T38" s="16" t="str">
        <f>IF(AND(S38&lt;&gt;"",NOT(ISERROR(S38))),S38,VLOOKUP(A38,'ESO Set&amp;DLCs'!$A$3:$D$99998,4,FALSE))</f>
        <v>DLC_BASE_GAME</v>
      </c>
      <c r="U38" s="3" t="str">
        <f>IF(T38&lt;&gt;"",VLOOKUP(T38,ConstDLCIds!$B$4:$C$1000,2,FALSE),"")</f>
        <v>Included in base game</v>
      </c>
      <c r="V38" s="4" t="s">
        <v>215</v>
      </c>
      <c r="Y38" s="5"/>
      <c r="Z38" s="3">
        <f>IF(AND(G38&lt;&gt;"LIBSETS_SETTYPE_BATTLEGROUND",G38&lt;&gt;"LIBSETS_SETTYPE_SPECIAL"),IF(AND(Y38&lt;&gt;"",ISNUMBER(Y38),NOT(ISNA(Y38))),Y38,IF(AND(L38&lt;&gt;"",ISNUMBER(L38),L38&gt;0,NOT(ISNA(L38))),VLOOKUP(L38,'ESO wayshrines'!$K$3:$L$9972,2,FALSE),"")),"")</f>
        <v>101</v>
      </c>
      <c r="AA38" t="str">
        <f>IF(AND(Z38&lt;&gt;"",ISNUMBER(Z38),NOT(ISNA(Z38))),VLOOKUP(Z38,'ESO zones'!$A$5:$D$10003,4,FALSE),"")</f>
        <v>Eastmarch</v>
      </c>
      <c r="AB38" s="4" t="s">
        <v>218</v>
      </c>
      <c r="AE38" s="3">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zones'!$A$5:$D$10003,4,FALSE),"")</f>
        <v>Hall of the Dead</v>
      </c>
      <c r="AH38" s="4" t="s">
        <v>221</v>
      </c>
      <c r="AK38" s="3">
        <f>IF(AND(G38&lt;&gt;"LIBSETS_SETTYPE_BATTLEGROUND",G38&lt;&gt;"LIBSETS_SETTYPE_SPECIAL"),IF(AL38&lt;&gt;"",VLOOKUP(AL38,'ESO zones'!$D$5:$H$4957,5,FALSE),""),"")</f>
        <v>101</v>
      </c>
      <c r="AL38" t="s">
        <v>409</v>
      </c>
      <c r="AM38" s="4" t="s">
        <v>224</v>
      </c>
      <c r="AP38" s="3">
        <f>IF(AND(G38&lt;&gt;"LIBSETS_SETTYPE_BATTLEGROUND",G38&lt;&gt;"LIBSETS_SETTYPE_SPECIAL"),IF(AQ38&lt;&gt;"",VLOOKUP(AQ38,'ESO zones'!$D$5:$H$4957,5,FALSE),""),"")</f>
        <v>101</v>
      </c>
      <c r="AQ38" t="s">
        <v>409</v>
      </c>
      <c r="AR38" s="80" t="s">
        <v>269</v>
      </c>
      <c r="AU38" s="3" t="str">
        <f>IF(AND(G38&lt;&gt;"LIBSETS_SETTYPE_BATTLEGROUND",G38&lt;&gt;"LIBSETS_SETTYPE_SPECIAL"),IF(AV38&lt;&gt;"",VLOOKUP(AV38,'ESO zones'!$D$5:$H$4957,5,FALSE),""),"")</f>
        <v/>
      </c>
      <c r="AZ38" s="49" t="s">
        <v>403</v>
      </c>
      <c r="BA38" s="49"/>
      <c r="BB38" s="49"/>
      <c r="BC38" s="49"/>
      <c r="BD38" s="49"/>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2">
        <v>57</v>
      </c>
      <c r="B39" t="s">
        <v>492</v>
      </c>
      <c r="C39" t="s">
        <v>493</v>
      </c>
      <c r="D39" s="3">
        <f t="shared" si="0"/>
        <v>57</v>
      </c>
      <c r="E39" s="41"/>
      <c r="G39" s="9" t="s">
        <v>174</v>
      </c>
      <c r="I39" t="s">
        <v>401</v>
      </c>
      <c r="J39" t="s">
        <v>401</v>
      </c>
      <c r="K39">
        <v>214</v>
      </c>
      <c r="L39">
        <v>214</v>
      </c>
      <c r="M39">
        <v>214</v>
      </c>
      <c r="O39" s="5" t="s">
        <v>451</v>
      </c>
      <c r="Q39" s="3">
        <f>IF(AND(P39&lt;&gt;"",ISNUMBER(P39),NOT(ISNA(P39))),P39,IF(R39&lt;&gt;"",VLOOKUP(R39,'ESO zones'!$D$5:$H$10005,5,FALSE),""))</f>
        <v>383</v>
      </c>
      <c r="R39" t="str">
        <f>IF(AND(O39&lt;&gt;"",NOT(ISERROR(O39))),O39,IF(AND(P39&lt;&gt;"",ISNUMBER(P39),P39&gt;0,NOT(ISNA(P39))),VLOOKUP(P39,'ESO zones'!$A$5:$D$10003,4,FALSE),IF(AND(K39&lt;&gt;"",K39&gt;0,NOT(ISERROR(K39))),VLOOKUP(K39,'ESO wayshrines'!$K$3:$N$9972,4,FALSE),"")))</f>
        <v>Grahtwood</v>
      </c>
      <c r="T39" s="16" t="str">
        <f>IF(AND(S39&lt;&gt;"",NOT(ISERROR(S39))),S39,VLOOKUP(A39,'ESO Set&amp;DLCs'!$A$3:$D$99998,4,FALSE))</f>
        <v>DLC_BASE_GAME</v>
      </c>
      <c r="U39" s="3" t="str">
        <f>IF(T39&lt;&gt;"",VLOOKUP(T39,ConstDLCIds!$B$4:$C$1000,2,FALSE),"")</f>
        <v>Included in base game</v>
      </c>
      <c r="V39" s="4" t="s">
        <v>215</v>
      </c>
      <c r="Y39" s="5"/>
      <c r="Z39" s="3">
        <f>IF(AND(G39&lt;&gt;"LIBSETS_SETTYPE_BATTLEGROUND",G39&lt;&gt;"LIBSETS_SETTYPE_SPECIAL"),IF(AND(Y39&lt;&gt;"",ISNUMBER(Y39),NOT(ISNA(Y39))),Y39,IF(AND(L39&lt;&gt;"",ISNUMBER(L39),L39&gt;0,NOT(ISNA(L39))),VLOOKUP(L39,'ESO wayshrines'!$K$3:$L$9972,2,FALSE),"")),"")</f>
        <v>383</v>
      </c>
      <c r="AA39" t="str">
        <f>IF(AND(Z39&lt;&gt;"",ISNUMBER(Z39),NOT(ISNA(Z39))),VLOOKUP(Z39,'ESO zones'!$A$5:$D$10003,4,FALSE),"")</f>
        <v>Grahtwood</v>
      </c>
      <c r="AB39" s="4" t="s">
        <v>218</v>
      </c>
      <c r="AE39" s="3">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zones'!$A$5:$D$10003,4,FALSE),"")</f>
        <v>Root Sunder Ruins</v>
      </c>
      <c r="AH39" s="4" t="s">
        <v>221</v>
      </c>
      <c r="AK39" s="3">
        <f>IF(AND(G39&lt;&gt;"LIBSETS_SETTYPE_BATTLEGROUND",G39&lt;&gt;"LIBSETS_SETTYPE_SPECIAL"),IF(AL39&lt;&gt;"",VLOOKUP(AL39,'ESO zones'!$D$5:$H$4957,5,FALSE),""),"")</f>
        <v>383</v>
      </c>
      <c r="AL39" t="s">
        <v>451</v>
      </c>
      <c r="AM39" s="4" t="s">
        <v>224</v>
      </c>
      <c r="AP39" s="3">
        <f>IF(AND(G39&lt;&gt;"LIBSETS_SETTYPE_BATTLEGROUND",G39&lt;&gt;"LIBSETS_SETTYPE_SPECIAL"),IF(AQ39&lt;&gt;"",VLOOKUP(AQ39,'ESO zones'!$D$5:$H$4957,5,FALSE),""),"")</f>
        <v>383</v>
      </c>
      <c r="AQ39" t="s">
        <v>451</v>
      </c>
      <c r="AR39" s="80" t="s">
        <v>269</v>
      </c>
      <c r="AU39" s="3" t="str">
        <f>IF(AND(G39&lt;&gt;"LIBSETS_SETTYPE_BATTLEGROUND",G39&lt;&gt;"LIBSETS_SETTYPE_SPECIAL"),IF(AV39&lt;&gt;"",VLOOKUP(AV39,'ESO zones'!$D$5:$H$4957,5,FALSE),""),"")</f>
        <v/>
      </c>
      <c r="AZ39" s="49" t="s">
        <v>403</v>
      </c>
      <c r="BA39" s="49"/>
      <c r="BB39" s="49"/>
      <c r="BC39" s="49"/>
      <c r="BD39" s="49"/>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2">
        <v>58</v>
      </c>
      <c r="B40" t="s">
        <v>494</v>
      </c>
      <c r="C40" t="s">
        <v>495</v>
      </c>
      <c r="D40" s="3">
        <f t="shared" si="0"/>
        <v>58</v>
      </c>
      <c r="E40" s="41"/>
      <c r="G40" s="9" t="s">
        <v>174</v>
      </c>
      <c r="I40" t="s">
        <v>401</v>
      </c>
      <c r="J40" t="s">
        <v>401</v>
      </c>
      <c r="K40">
        <v>62</v>
      </c>
      <c r="L40">
        <v>62</v>
      </c>
      <c r="M40">
        <v>62</v>
      </c>
      <c r="O40" s="5" t="s">
        <v>496</v>
      </c>
      <c r="Q40" s="3">
        <f>IF(AND(P40&lt;&gt;"",ISNUMBER(P40),NOT(ISNA(P40))),P40,IF(R40&lt;&gt;"",VLOOKUP(R40,'ESO zones'!$D$5:$H$10005,5,FALSE),""))</f>
        <v>3</v>
      </c>
      <c r="R40" t="str">
        <f>IF(AND(O40&lt;&gt;"",NOT(ISERROR(O40))),O40,IF(AND(P40&lt;&gt;"",ISNUMBER(P40),P40&gt;0,NOT(ISNA(P40))),VLOOKUP(P40,'ESO zones'!$A$5:$D$10003,4,FALSE),IF(AND(K40&lt;&gt;"",K40&gt;0,NOT(ISERROR(K40))),VLOOKUP(K40,'ESO wayshrines'!$K$3:$N$9972,4,FALSE),"")))</f>
        <v>Glenumbra</v>
      </c>
      <c r="T40" s="16" t="str">
        <f>IF(AND(S40&lt;&gt;"",NOT(ISERROR(S40))),S40,VLOOKUP(A40,'ESO Set&amp;DLCs'!$A$3:$D$99998,4,FALSE))</f>
        <v>DLC_BASE_GAME</v>
      </c>
      <c r="U40" s="3" t="str">
        <f>IF(T40&lt;&gt;"",VLOOKUP(T40,ConstDLCIds!$B$4:$C$1000,2,FALSE),"")</f>
        <v>Included in base game</v>
      </c>
      <c r="V40" s="4" t="s">
        <v>215</v>
      </c>
      <c r="Y40" s="5"/>
      <c r="Z40" s="3">
        <f>IF(AND(G40&lt;&gt;"LIBSETS_SETTYPE_BATTLEGROUND",G40&lt;&gt;"LIBSETS_SETTYPE_SPECIAL"),IF(AND(Y40&lt;&gt;"",ISNUMBER(Y40),NOT(ISNA(Y40))),Y40,IF(AND(L40&lt;&gt;"",ISNUMBER(L40),L40&gt;0,NOT(ISNA(L40))),VLOOKUP(L40,'ESO wayshrines'!$K$3:$L$9972,2,FALSE),"")),"")</f>
        <v>3</v>
      </c>
      <c r="AA40" t="str">
        <f>IF(AND(Z40&lt;&gt;"",ISNUMBER(Z40),NOT(ISNA(Z40))),VLOOKUP(Z40,'ESO zones'!$A$5:$D$10003,4,FALSE),"")</f>
        <v>Glenumbra</v>
      </c>
      <c r="AB40" s="4" t="s">
        <v>218</v>
      </c>
      <c r="AE40" s="3">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zones'!$A$5:$D$10003,4,FALSE),"")</f>
        <v>Bad Man's Hallows</v>
      </c>
      <c r="AH40" s="4" t="s">
        <v>221</v>
      </c>
      <c r="AK40" s="3">
        <f>IF(AND(G40&lt;&gt;"LIBSETS_SETTYPE_BATTLEGROUND",G40&lt;&gt;"LIBSETS_SETTYPE_SPECIAL"),IF(AL40&lt;&gt;"",VLOOKUP(AL40,'ESO zones'!$D$5:$H$4957,5,FALSE),""),"")</f>
        <v>3</v>
      </c>
      <c r="AL40" t="s">
        <v>496</v>
      </c>
      <c r="AM40" s="4" t="s">
        <v>224</v>
      </c>
      <c r="AP40" s="3">
        <f>IF(AND(G40&lt;&gt;"LIBSETS_SETTYPE_BATTLEGROUND",G40&lt;&gt;"LIBSETS_SETTYPE_SPECIAL"),IF(AQ40&lt;&gt;"",VLOOKUP(AQ40,'ESO zones'!$D$5:$H$4957,5,FALSE),""),"")</f>
        <v>3</v>
      </c>
      <c r="AQ40" t="s">
        <v>496</v>
      </c>
      <c r="AR40" s="80" t="s">
        <v>269</v>
      </c>
      <c r="AU40" s="3" t="str">
        <f>IF(AND(G40&lt;&gt;"LIBSETS_SETTYPE_BATTLEGROUND",G40&lt;&gt;"LIBSETS_SETTYPE_SPECIAL"),IF(AV40&lt;&gt;"",VLOOKUP(AV40,'ESO zones'!$D$5:$H$4957,5,FALSE),""),"")</f>
        <v/>
      </c>
      <c r="AZ40" s="49" t="s">
        <v>403</v>
      </c>
      <c r="BA40" s="49"/>
      <c r="BB40" s="49"/>
      <c r="BC40" s="49"/>
      <c r="BD40" s="49"/>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2">
        <v>59</v>
      </c>
      <c r="B41" t="s">
        <v>497</v>
      </c>
      <c r="C41" t="s">
        <v>498</v>
      </c>
      <c r="D41" s="3">
        <f t="shared" si="0"/>
        <v>59</v>
      </c>
      <c r="E41" s="41"/>
      <c r="G41" s="9" t="s">
        <v>165</v>
      </c>
      <c r="I41" t="s">
        <v>401</v>
      </c>
      <c r="J41" t="s">
        <v>401</v>
      </c>
      <c r="K41">
        <v>-1</v>
      </c>
      <c r="L41">
        <v>-1</v>
      </c>
      <c r="M41">
        <v>-1</v>
      </c>
      <c r="O41" s="5" t="s">
        <v>166</v>
      </c>
      <c r="Q41" s="3">
        <f>IF(AND(P41&lt;&gt;"",ISNUMBER(P41),NOT(ISNA(P41))),P41,IF(R41&lt;&gt;"",VLOOKUP(R41,'ESO zones'!$D$5:$H$10005,5,FALSE),""))</f>
        <v>181</v>
      </c>
      <c r="R41" t="str">
        <f>IF(AND(O41&lt;&gt;"",NOT(ISERROR(O41))),O41,IF(AND(P41&lt;&gt;"",ISNUMBER(P41),P41&gt;0,NOT(ISNA(P41))),VLOOKUP(P41,'ESO zones'!$A$5:$D$10003,4,FALSE),IF(AND(K41&lt;&gt;"",K41&gt;0,NOT(ISERROR(K41))),VLOOKUP(K41,'ESO wayshrines'!$K$3:$N$9972,4,FALSE),"")))</f>
        <v>Cyrodiil</v>
      </c>
      <c r="T41" s="16" t="str">
        <f>IF(AND(S41&lt;&gt;"",NOT(ISERROR(S41))),S41,VLOOKUP(A41,'ESO Set&amp;DLCs'!$A$3:$D$99998,4,FALSE))</f>
        <v>DLC_BASE_GAME</v>
      </c>
      <c r="U41" s="3" t="str">
        <f>IF(T41&lt;&gt;"",VLOOKUP(T41,ConstDLCIds!$B$4:$C$1000,2,FALSE),"")</f>
        <v>Included in base game</v>
      </c>
      <c r="V41" s="4" t="s">
        <v>200</v>
      </c>
      <c r="Y41" s="5">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zones'!$A$5:$D$10003,4,FALSE),"")</f>
        <v>Cyrodiil</v>
      </c>
      <c r="AB41" s="4" t="s">
        <v>301</v>
      </c>
      <c r="AE41" s="5">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zones'!$A$5:$D$10003,4,FALSE),"")</f>
        <v>Cyrodiil</v>
      </c>
      <c r="AH41" s="4" t="s">
        <v>248</v>
      </c>
      <c r="AK41" s="3">
        <f>IF(AND(G41&lt;&gt;"LIBSETS_SETTYPE_BATTLEGROUND",G41&lt;&gt;"LIBSETS_SETTYPE_SPECIAL"),IF(AL41&lt;&gt;"",VLOOKUP(AL41,'ESO zones'!$D$5:$H$4957,5,FALSE),""),"")</f>
        <v>181</v>
      </c>
      <c r="AL41" t="s">
        <v>166</v>
      </c>
      <c r="AM41" s="4" t="s">
        <v>298</v>
      </c>
      <c r="AP41" s="3">
        <f>IF(AND(G41&lt;&gt;"LIBSETS_SETTYPE_BATTLEGROUND",G41&lt;&gt;"LIBSETS_SETTYPE_SPECIAL"),IF(AQ41&lt;&gt;"",VLOOKUP(AQ41,'ESO zones'!$D$5:$H$4957,5,FALSE),""),"")</f>
        <v>181</v>
      </c>
      <c r="AQ41" t="s">
        <v>166</v>
      </c>
      <c r="AR41" s="4" t="s">
        <v>215</v>
      </c>
      <c r="AU41" s="3">
        <f>IF(AND(G41&lt;&gt;"LIBSETS_SETTYPE_BATTLEGROUND",G41&lt;&gt;"LIBSETS_SETTYPE_SPECIAL"),IF(AV41&lt;&gt;"",VLOOKUP(AV41,'ESO zones'!$D$5:$H$4957,5,FALSE),""),"")</f>
        <v>181</v>
      </c>
      <c r="AV41" t="s">
        <v>166</v>
      </c>
      <c r="AW41" s="4" t="s">
        <v>257</v>
      </c>
      <c r="AZ41" s="49" t="s">
        <v>403</v>
      </c>
      <c r="BA41" s="49"/>
      <c r="BB41" s="49"/>
      <c r="BC41" s="49"/>
      <c r="BD41" s="49"/>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2">
        <v>60</v>
      </c>
      <c r="B42" t="s">
        <v>499</v>
      </c>
      <c r="C42" t="s">
        <v>500</v>
      </c>
      <c r="D42" s="3">
        <f t="shared" si="0"/>
        <v>60</v>
      </c>
      <c r="E42" s="41"/>
      <c r="G42" s="9" t="s">
        <v>174</v>
      </c>
      <c r="I42" t="s">
        <v>401</v>
      </c>
      <c r="J42" t="s">
        <v>401</v>
      </c>
      <c r="K42">
        <v>55</v>
      </c>
      <c r="L42">
        <v>55</v>
      </c>
      <c r="M42">
        <v>55</v>
      </c>
      <c r="O42" s="5" t="s">
        <v>501</v>
      </c>
      <c r="Q42" s="3">
        <f>IF(AND(P42&lt;&gt;"",ISNUMBER(P42),NOT(ISNA(P42))),P42,IF(R42&lt;&gt;"",VLOOKUP(R42,'ESO zones'!$D$5:$H$10005,5,FALSE),""))</f>
        <v>20</v>
      </c>
      <c r="R42" t="str">
        <f>IF(AND(O42&lt;&gt;"",NOT(ISERROR(O42))),O42,IF(AND(P42&lt;&gt;"",ISNUMBER(P42),P42&gt;0,NOT(ISNA(P42))),VLOOKUP(P42,'ESO zones'!$A$5:$D$10003,4,FALSE),IF(AND(K42&lt;&gt;"",K42&gt;0,NOT(ISERROR(K42))),VLOOKUP(K42,'ESO wayshrines'!$K$3:$N$9972,4,FALSE),"")))</f>
        <v>Rivenspire</v>
      </c>
      <c r="T42" s="16" t="str">
        <f>IF(AND(S42&lt;&gt;"",NOT(ISERROR(S42))),S42,VLOOKUP(A42,'ESO Set&amp;DLCs'!$A$3:$D$99998,4,FALSE))</f>
        <v>DLC_BASE_GAME</v>
      </c>
      <c r="U42" s="3" t="str">
        <f>IF(T42&lt;&gt;"",VLOOKUP(T42,ConstDLCIds!$B$4:$C$1000,2,FALSE),"")</f>
        <v>Included in base game</v>
      </c>
      <c r="V42" s="4" t="s">
        <v>215</v>
      </c>
      <c r="Y42" s="5"/>
      <c r="Z42" s="3">
        <f>IF(AND(G42&lt;&gt;"LIBSETS_SETTYPE_BATTLEGROUND",G42&lt;&gt;"LIBSETS_SETTYPE_SPECIAL"),IF(AND(Y42&lt;&gt;"",ISNUMBER(Y42),NOT(ISNA(Y42))),Y42,IF(AND(L42&lt;&gt;"",ISNUMBER(L42),L42&gt;0,NOT(ISNA(L42))),VLOOKUP(L42,'ESO wayshrines'!$K$3:$L$9972,2,FALSE),"")),"")</f>
        <v>20</v>
      </c>
      <c r="AA42" t="str">
        <f>IF(AND(Z42&lt;&gt;"",ISNUMBER(Z42),NOT(ISNA(Z42))),VLOOKUP(Z42,'ESO zones'!$A$5:$D$10003,4,FALSE),"")</f>
        <v>Rivenspire</v>
      </c>
      <c r="AB42" s="4" t="s">
        <v>218</v>
      </c>
      <c r="AE42" s="3">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zones'!$A$5:$D$10003,4,FALSE),"")</f>
        <v>Obsidian Scar</v>
      </c>
      <c r="AH42" s="4" t="s">
        <v>221</v>
      </c>
      <c r="AK42" s="3">
        <f>IF(AND(G42&lt;&gt;"LIBSETS_SETTYPE_BATTLEGROUND",G42&lt;&gt;"LIBSETS_SETTYPE_SPECIAL"),IF(AL42&lt;&gt;"",VLOOKUP(AL42,'ESO zones'!$D$5:$H$4957,5,FALSE),""),"")</f>
        <v>20</v>
      </c>
      <c r="AL42" t="s">
        <v>501</v>
      </c>
      <c r="AM42" s="4" t="s">
        <v>224</v>
      </c>
      <c r="AP42" s="3">
        <f>IF(AND(G42&lt;&gt;"LIBSETS_SETTYPE_BATTLEGROUND",G42&lt;&gt;"LIBSETS_SETTYPE_SPECIAL"),IF(AQ42&lt;&gt;"",VLOOKUP(AQ42,'ESO zones'!$D$5:$H$4957,5,FALSE),""),"")</f>
        <v>20</v>
      </c>
      <c r="AQ42" t="s">
        <v>501</v>
      </c>
      <c r="AR42" s="80" t="s">
        <v>269</v>
      </c>
      <c r="AU42" s="3" t="str">
        <f>IF(AND(G42&lt;&gt;"LIBSETS_SETTYPE_BATTLEGROUND",G42&lt;&gt;"LIBSETS_SETTYPE_SPECIAL"),IF(AV42&lt;&gt;"",VLOOKUP(AV42,'ESO zones'!$D$5:$H$4957,5,FALSE),""),"")</f>
        <v/>
      </c>
      <c r="AZ42" s="49" t="s">
        <v>410</v>
      </c>
      <c r="BA42" s="49"/>
      <c r="BB42" s="49"/>
      <c r="BC42" s="49"/>
      <c r="BD42" s="49"/>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2">
        <v>61</v>
      </c>
      <c r="B43" t="s">
        <v>502</v>
      </c>
      <c r="C43" t="s">
        <v>503</v>
      </c>
      <c r="D43" s="3">
        <f t="shared" si="0"/>
        <v>61</v>
      </c>
      <c r="E43" s="41"/>
      <c r="G43" s="9" t="s">
        <v>169</v>
      </c>
      <c r="I43" t="s">
        <v>401</v>
      </c>
      <c r="J43" t="s">
        <v>401</v>
      </c>
      <c r="K43">
        <v>98</v>
      </c>
      <c r="L43">
        <v>98</v>
      </c>
      <c r="M43">
        <v>98</v>
      </c>
      <c r="O43" s="5" t="s">
        <v>445</v>
      </c>
      <c r="Q43" s="3">
        <f>IF(AND(P43&lt;&gt;"",ISNUMBER(P43),NOT(ISNA(P43))),P43,IF(R43&lt;&gt;"",VLOOKUP(R43,'ESO zones'!$D$5:$H$10005,5,FALSE),""))</f>
        <v>283</v>
      </c>
      <c r="R43" t="str">
        <f>IF(AND(O43&lt;&gt;"",NOT(ISERROR(O43))),O43,IF(AND(P43&lt;&gt;"",ISNUMBER(P43),P43&gt;0,NOT(ISNA(P43))),VLOOKUP(P43,'ESO zones'!$A$5:$D$10003,4,FALSE),IF(AND(K43&lt;&gt;"",K43&gt;0,NOT(ISERROR(K43))),VLOOKUP(K43,'ESO wayshrines'!$K$3:$N$9972,4,FALSE),"")))</f>
        <v>Fungal Grotto I</v>
      </c>
      <c r="T43" s="16" t="str">
        <f>IF(AND(S43&lt;&gt;"",NOT(ISERROR(S43))),S43,VLOOKUP(A43,'ESO Set&amp;DLCs'!$A$3:$D$99998,4,FALSE))</f>
        <v>DLC_BASE_GAME</v>
      </c>
      <c r="U43" s="3" t="str">
        <f>IF(T43&lt;&gt;"",VLOOKUP(T43,ConstDLCIds!$B$4:$C$1000,2,FALSE),"")</f>
        <v>Included in base game</v>
      </c>
      <c r="V43" s="4" t="s">
        <v>278</v>
      </c>
      <c r="Y43" s="5">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zones'!$A$5:$D$10003,4,FALSE),"")</f>
        <v>Fungal Grotto II</v>
      </c>
      <c r="AB43" s="4"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zones'!$A$5:$D$10003,4,FALSE),"")</f>
        <v>Stonefalls</v>
      </c>
      <c r="AH43" s="57"/>
      <c r="AK43" s="3" t="str">
        <f>IF(AND(G43&lt;&gt;"LIBSETS_SETTYPE_BATTLEGROUND",G43&lt;&gt;"LIBSETS_SETTYPE_SPECIAL"),IF(AL43&lt;&gt;"",VLOOKUP(AL43,'ESO zones'!$D$5:$H$4957,5,FALSE),""),"")</f>
        <v/>
      </c>
      <c r="AP43" s="3" t="str">
        <f>IF(AND(G43&lt;&gt;"LIBSETS_SETTYPE_BATTLEGROUND",G43&lt;&gt;"LIBSETS_SETTYPE_SPECIAL"),IF(AQ43&lt;&gt;"",VLOOKUP(AQ43,'ESO zones'!$D$5:$H$4957,5,FALSE),""),"")</f>
        <v/>
      </c>
      <c r="AU43" s="3" t="str">
        <f>IF(AND(G43&lt;&gt;"LIBSETS_SETTYPE_BATTLEGROUND",G43&lt;&gt;"LIBSETS_SETTYPE_SPECIAL"),IF(AV43&lt;&gt;"",VLOOKUP(AV43,'ESO zones'!$D$5:$H$4957,5,FALSE),""),"")</f>
        <v/>
      </c>
      <c r="AZ43" s="49" t="s">
        <v>403</v>
      </c>
      <c r="BA43" s="49"/>
      <c r="BB43" s="49"/>
      <c r="BC43" s="49"/>
      <c r="BD43" s="49"/>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2">
        <v>62</v>
      </c>
      <c r="B44" t="s">
        <v>504</v>
      </c>
      <c r="C44" t="s">
        <v>505</v>
      </c>
      <c r="D44" s="3">
        <f t="shared" si="0"/>
        <v>62</v>
      </c>
      <c r="E44" s="41"/>
      <c r="G44" s="9" t="s">
        <v>174</v>
      </c>
      <c r="I44" t="s">
        <v>401</v>
      </c>
      <c r="J44" t="s">
        <v>401</v>
      </c>
      <c r="K44">
        <v>48</v>
      </c>
      <c r="L44">
        <v>48</v>
      </c>
      <c r="M44">
        <v>48</v>
      </c>
      <c r="O44" s="5" t="s">
        <v>506</v>
      </c>
      <c r="Q44" s="3">
        <f>IF(AND(P44&lt;&gt;"",ISNUMBER(P44),NOT(ISNA(P44))),P44,IF(R44&lt;&gt;"",VLOOKUP(R44,'ESO zones'!$D$5:$H$10005,5,FALSE),""))</f>
        <v>117</v>
      </c>
      <c r="R44" t="str">
        <f>IF(AND(O44&lt;&gt;"",NOT(ISERROR(O44))),O44,IF(AND(P44&lt;&gt;"",ISNUMBER(P44),P44&gt;0,NOT(ISNA(P44))),VLOOKUP(P44,'ESO zones'!$A$5:$D$10003,4,FALSE),IF(AND(K44&lt;&gt;"",K44&gt;0,NOT(ISERROR(K44))),VLOOKUP(K44,'ESO wayshrines'!$K$3:$N$9972,4,FALSE),"")))</f>
        <v>Shadowfen</v>
      </c>
      <c r="T44" s="16" t="str">
        <f>IF(AND(S44&lt;&gt;"",NOT(ISERROR(S44))),S44,VLOOKUP(A44,'ESO Set&amp;DLCs'!$A$3:$D$99998,4,FALSE))</f>
        <v>DLC_BASE_GAME</v>
      </c>
      <c r="U44" s="3" t="str">
        <f>IF(T44&lt;&gt;"",VLOOKUP(T44,ConstDLCIds!$B$4:$C$1000,2,FALSE),"")</f>
        <v>Included in base game</v>
      </c>
      <c r="V44" s="4" t="s">
        <v>215</v>
      </c>
      <c r="Y44" s="5"/>
      <c r="Z44" s="3">
        <f>IF(AND(G44&lt;&gt;"LIBSETS_SETTYPE_BATTLEGROUND",G44&lt;&gt;"LIBSETS_SETTYPE_SPECIAL"),IF(AND(Y44&lt;&gt;"",ISNUMBER(Y44),NOT(ISNA(Y44))),Y44,IF(AND(L44&lt;&gt;"",ISNUMBER(L44),L44&gt;0,NOT(ISNA(L44))),VLOOKUP(L44,'ESO wayshrines'!$K$3:$L$9972,2,FALSE),"")),"")</f>
        <v>117</v>
      </c>
      <c r="AA44" t="str">
        <f>IF(AND(Z44&lt;&gt;"",ISNUMBER(Z44),NOT(ISNA(Z44))),VLOOKUP(Z44,'ESO zones'!$A$5:$D$10003,4,FALSE),"")</f>
        <v>Shadowfen</v>
      </c>
      <c r="AB44" s="4" t="s">
        <v>218</v>
      </c>
      <c r="AE44" s="3">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zones'!$A$5:$D$10003,4,FALSE),"")</f>
        <v>Sanguine's Demesne</v>
      </c>
      <c r="AH44" s="4" t="s">
        <v>221</v>
      </c>
      <c r="AK44" s="3">
        <f>IF(AND(G44&lt;&gt;"LIBSETS_SETTYPE_BATTLEGROUND",G44&lt;&gt;"LIBSETS_SETTYPE_SPECIAL"),IF(AL44&lt;&gt;"",VLOOKUP(AL44,'ESO zones'!$D$5:$H$4957,5,FALSE),""),"")</f>
        <v>117</v>
      </c>
      <c r="AL44" t="s">
        <v>506</v>
      </c>
      <c r="AM44" s="4" t="s">
        <v>224</v>
      </c>
      <c r="AP44" s="3">
        <f>IF(AND(G44&lt;&gt;"LIBSETS_SETTYPE_BATTLEGROUND",G44&lt;&gt;"LIBSETS_SETTYPE_SPECIAL"),IF(AQ44&lt;&gt;"",VLOOKUP(AQ44,'ESO zones'!$D$5:$H$4957,5,FALSE),""),"")</f>
        <v>117</v>
      </c>
      <c r="AQ44" t="s">
        <v>506</v>
      </c>
      <c r="AR44" s="80" t="s">
        <v>269</v>
      </c>
      <c r="AU44" s="3" t="str">
        <f>IF(AND(G44&lt;&gt;"LIBSETS_SETTYPE_BATTLEGROUND",G44&lt;&gt;"LIBSETS_SETTYPE_SPECIAL"),IF(AV44&lt;&gt;"",VLOOKUP(AV44,'ESO zones'!$D$5:$H$4957,5,FALSE),""),"")</f>
        <v/>
      </c>
      <c r="AZ44" s="49" t="s">
        <v>403</v>
      </c>
      <c r="BA44" s="49"/>
      <c r="BB44" s="49"/>
      <c r="BC44" s="49"/>
      <c r="BD44" s="49"/>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2">
        <v>63</v>
      </c>
      <c r="B45" t="s">
        <v>507</v>
      </c>
      <c r="C45" t="s">
        <v>508</v>
      </c>
      <c r="D45" s="3">
        <f t="shared" si="0"/>
        <v>63</v>
      </c>
      <c r="E45" s="41"/>
      <c r="G45" s="9" t="s">
        <v>165</v>
      </c>
      <c r="I45" t="s">
        <v>401</v>
      </c>
      <c r="J45" t="s">
        <v>401</v>
      </c>
      <c r="K45">
        <v>-1</v>
      </c>
      <c r="L45">
        <v>-1</v>
      </c>
      <c r="M45">
        <v>-1</v>
      </c>
      <c r="O45" s="5" t="s">
        <v>166</v>
      </c>
      <c r="Q45" s="3">
        <f>IF(AND(P45&lt;&gt;"",ISNUMBER(P45),NOT(ISNA(P45))),P45,IF(R45&lt;&gt;"",VLOOKUP(R45,'ESO zones'!$D$5:$H$10005,5,FALSE),""))</f>
        <v>181</v>
      </c>
      <c r="R45" t="str">
        <f>IF(AND(O45&lt;&gt;"",NOT(ISERROR(O45))),O45,IF(AND(P45&lt;&gt;"",ISNUMBER(P45),P45&gt;0,NOT(ISNA(P45))),VLOOKUP(P45,'ESO zones'!$A$5:$D$10003,4,FALSE),IF(AND(K45&lt;&gt;"",K45&gt;0,NOT(ISERROR(K45))),VLOOKUP(K45,'ESO wayshrines'!$K$3:$N$9972,4,FALSE),"")))</f>
        <v>Cyrodiil</v>
      </c>
      <c r="T45" s="16" t="str">
        <f>IF(AND(S45&lt;&gt;"",NOT(ISERROR(S45))),S45,VLOOKUP(A45,'ESO Set&amp;DLCs'!$A$3:$D$99998,4,FALSE))</f>
        <v>DLC_BASE_GAME</v>
      </c>
      <c r="U45" s="3" t="str">
        <f>IF(T45&lt;&gt;"",VLOOKUP(T45,ConstDLCIds!$B$4:$C$1000,2,FALSE),"")</f>
        <v>Included in base game</v>
      </c>
      <c r="V45" s="4" t="s">
        <v>206</v>
      </c>
      <c r="Y45" s="5">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zones'!$A$5:$D$10003,4,FALSE),"")</f>
        <v>Cyrodiil</v>
      </c>
      <c r="AB45" s="4" t="s">
        <v>301</v>
      </c>
      <c r="AE45" s="5">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zones'!$A$5:$D$10003,4,FALSE),"")</f>
        <v>Cyrodiil</v>
      </c>
      <c r="AH45" s="4" t="s">
        <v>248</v>
      </c>
      <c r="AK45" s="3">
        <f>IF(AND(G45&lt;&gt;"LIBSETS_SETTYPE_BATTLEGROUND",G45&lt;&gt;"LIBSETS_SETTYPE_SPECIAL"),IF(AL45&lt;&gt;"",VLOOKUP(AL45,'ESO zones'!$D$5:$H$4957,5,FALSE),""),"")</f>
        <v>181</v>
      </c>
      <c r="AL45" t="s">
        <v>166</v>
      </c>
      <c r="AM45" s="4" t="s">
        <v>298</v>
      </c>
      <c r="AP45" s="3">
        <f>IF(AND(G45&lt;&gt;"LIBSETS_SETTYPE_BATTLEGROUND",G45&lt;&gt;"LIBSETS_SETTYPE_SPECIAL"),IF(AQ45&lt;&gt;"",VLOOKUP(AQ45,'ESO zones'!$D$5:$H$4957,5,FALSE),""),"")</f>
        <v>181</v>
      </c>
      <c r="AQ45" t="s">
        <v>166</v>
      </c>
      <c r="AR45" s="4" t="s">
        <v>215</v>
      </c>
      <c r="AU45" s="3">
        <f>IF(AND(G45&lt;&gt;"LIBSETS_SETTYPE_BATTLEGROUND",G45&lt;&gt;"LIBSETS_SETTYPE_SPECIAL"),IF(AV45&lt;&gt;"",VLOOKUP(AV45,'ESO zones'!$D$5:$H$4957,5,FALSE),""),"")</f>
        <v>181</v>
      </c>
      <c r="AV45" t="s">
        <v>166</v>
      </c>
      <c r="AW45" s="4" t="s">
        <v>257</v>
      </c>
      <c r="AZ45" s="49" t="s">
        <v>403</v>
      </c>
      <c r="BA45" s="49"/>
      <c r="BB45" s="49"/>
      <c r="BC45" s="49"/>
      <c r="BD45" s="49"/>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2">
        <v>64</v>
      </c>
      <c r="B46" t="s">
        <v>509</v>
      </c>
      <c r="C46" t="s">
        <v>510</v>
      </c>
      <c r="D46" s="3">
        <f t="shared" si="0"/>
        <v>64</v>
      </c>
      <c r="E46" s="41"/>
      <c r="G46" s="9" t="s">
        <v>174</v>
      </c>
      <c r="I46" t="s">
        <v>401</v>
      </c>
      <c r="J46" t="s">
        <v>401</v>
      </c>
      <c r="K46">
        <v>143</v>
      </c>
      <c r="L46">
        <v>143</v>
      </c>
      <c r="M46">
        <v>143</v>
      </c>
      <c r="O46" s="5" t="s">
        <v>511</v>
      </c>
      <c r="Q46" s="3">
        <f>IF(AND(P46&lt;&gt;"",ISNUMBER(P46),NOT(ISNA(P46))),P46,IF(R46&lt;&gt;"",VLOOKUP(R46,'ESO zones'!$D$5:$H$10005,5,FALSE),""))</f>
        <v>108</v>
      </c>
      <c r="R46" t="str">
        <f>IF(AND(O46&lt;&gt;"",NOT(ISERROR(O46))),O46,IF(AND(P46&lt;&gt;"",ISNUMBER(P46),P46&gt;0,NOT(ISNA(P46))),VLOOKUP(P46,'ESO zones'!$A$5:$D$10003,4,FALSE),IF(AND(K46&lt;&gt;"",K46&gt;0,NOT(ISERROR(K46))),VLOOKUP(K46,'ESO wayshrines'!$K$3:$N$9972,4,FALSE),"")))</f>
        <v>Greenshade</v>
      </c>
      <c r="T46" s="16" t="str">
        <f>IF(AND(S46&lt;&gt;"",NOT(ISERROR(S46))),S46,VLOOKUP(A46,'ESO Set&amp;DLCs'!$A$3:$D$99998,4,FALSE))</f>
        <v>DLC_BASE_GAME</v>
      </c>
      <c r="U46" s="3" t="str">
        <f>IF(T46&lt;&gt;"",VLOOKUP(T46,ConstDLCIds!$B$4:$C$1000,2,FALSE),"")</f>
        <v>Included in base game</v>
      </c>
      <c r="V46" s="4" t="s">
        <v>215</v>
      </c>
      <c r="Y46" s="5"/>
      <c r="Z46" s="3">
        <f>IF(AND(G46&lt;&gt;"LIBSETS_SETTYPE_BATTLEGROUND",G46&lt;&gt;"LIBSETS_SETTYPE_SPECIAL"),IF(AND(Y46&lt;&gt;"",ISNUMBER(Y46),NOT(ISNA(Y46))),Y46,IF(AND(L46&lt;&gt;"",ISNUMBER(L46),L46&gt;0,NOT(ISNA(L46))),VLOOKUP(L46,'ESO wayshrines'!$K$3:$L$9972,2,FALSE),"")),"")</f>
        <v>108</v>
      </c>
      <c r="AA46" t="str">
        <f>IF(AND(Z46&lt;&gt;"",ISNUMBER(Z46),NOT(ISNA(Z46))),VLOOKUP(Z46,'ESO zones'!$A$5:$D$10003,4,FALSE),"")</f>
        <v>Greenshade</v>
      </c>
      <c r="AB46" s="4" t="s">
        <v>218</v>
      </c>
      <c r="AE46" s="3">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zones'!$A$5:$D$10003,4,FALSE),"")</f>
        <v>Rulanyil's Fall</v>
      </c>
      <c r="AH46" s="4" t="s">
        <v>221</v>
      </c>
      <c r="AK46" s="3">
        <f>IF(AND(G46&lt;&gt;"LIBSETS_SETTYPE_BATTLEGROUND",G46&lt;&gt;"LIBSETS_SETTYPE_SPECIAL"),IF(AL46&lt;&gt;"",VLOOKUP(AL46,'ESO zones'!$D$5:$H$4957,5,FALSE),""),"")</f>
        <v>108</v>
      </c>
      <c r="AL46" t="s">
        <v>511</v>
      </c>
      <c r="AM46" s="4" t="s">
        <v>224</v>
      </c>
      <c r="AP46" s="3">
        <f>IF(AND(G46&lt;&gt;"LIBSETS_SETTYPE_BATTLEGROUND",G46&lt;&gt;"LIBSETS_SETTYPE_SPECIAL"),IF(AQ46&lt;&gt;"",VLOOKUP(AQ46,'ESO zones'!$D$5:$H$4957,5,FALSE),""),"")</f>
        <v>108</v>
      </c>
      <c r="AQ46" t="s">
        <v>511</v>
      </c>
      <c r="AR46" s="80" t="s">
        <v>269</v>
      </c>
      <c r="AU46" s="3" t="str">
        <f>IF(AND(G46&lt;&gt;"LIBSETS_SETTYPE_BATTLEGROUND",G46&lt;&gt;"LIBSETS_SETTYPE_SPECIAL"),IF(AV46&lt;&gt;"",VLOOKUP(AV46,'ESO zones'!$D$5:$H$4957,5,FALSE),""),"")</f>
        <v/>
      </c>
      <c r="AZ46" s="49" t="s">
        <v>403</v>
      </c>
      <c r="BA46" s="49"/>
      <c r="BB46" s="49"/>
      <c r="BC46" s="49"/>
      <c r="BD46" s="49"/>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2">
        <v>65</v>
      </c>
      <c r="B47" t="s">
        <v>512</v>
      </c>
      <c r="C47" t="s">
        <v>513</v>
      </c>
      <c r="D47" s="3">
        <f t="shared" si="0"/>
        <v>65</v>
      </c>
      <c r="E47" s="41"/>
      <c r="G47" s="9" t="s">
        <v>174</v>
      </c>
      <c r="I47" t="s">
        <v>401</v>
      </c>
      <c r="J47" t="s">
        <v>401</v>
      </c>
      <c r="K47">
        <v>62</v>
      </c>
      <c r="L47">
        <v>62</v>
      </c>
      <c r="M47">
        <v>62</v>
      </c>
      <c r="O47" s="5" t="s">
        <v>496</v>
      </c>
      <c r="Q47" s="3">
        <f>IF(AND(P47&lt;&gt;"",ISNUMBER(P47),NOT(ISNA(P47))),P47,IF(R47&lt;&gt;"",VLOOKUP(R47,'ESO zones'!$D$5:$H$10005,5,FALSE),""))</f>
        <v>3</v>
      </c>
      <c r="R47" t="str">
        <f>IF(AND(O47&lt;&gt;"",NOT(ISERROR(O47))),O47,IF(AND(P47&lt;&gt;"",ISNUMBER(P47),P47&gt;0,NOT(ISNA(P47))),VLOOKUP(P47,'ESO zones'!$A$5:$D$10003,4,FALSE),IF(AND(K47&lt;&gt;"",K47&gt;0,NOT(ISERROR(K47))),VLOOKUP(K47,'ESO wayshrines'!$K$3:$N$9972,4,FALSE),"")))</f>
        <v>Glenumbra</v>
      </c>
      <c r="T47" s="16" t="str">
        <f>IF(AND(S47&lt;&gt;"",NOT(ISERROR(S47))),S47,VLOOKUP(A47,'ESO Set&amp;DLCs'!$A$3:$D$99998,4,FALSE))</f>
        <v>DLC_BASE_GAME</v>
      </c>
      <c r="U47" s="3" t="str">
        <f>IF(T47&lt;&gt;"",VLOOKUP(T47,ConstDLCIds!$B$4:$C$1000,2,FALSE),"")</f>
        <v>Included in base game</v>
      </c>
      <c r="V47" s="4" t="s">
        <v>215</v>
      </c>
      <c r="Y47" s="5"/>
      <c r="Z47" s="3">
        <f>IF(AND(G47&lt;&gt;"LIBSETS_SETTYPE_BATTLEGROUND",G47&lt;&gt;"LIBSETS_SETTYPE_SPECIAL"),IF(AND(Y47&lt;&gt;"",ISNUMBER(Y47),NOT(ISNA(Y47))),Y47,IF(AND(L47&lt;&gt;"",ISNUMBER(L47),L47&gt;0,NOT(ISNA(L47))),VLOOKUP(L47,'ESO wayshrines'!$K$3:$L$9972,2,FALSE),"")),"")</f>
        <v>3</v>
      </c>
      <c r="AA47" t="str">
        <f>IF(AND(Z47&lt;&gt;"",ISNUMBER(Z47),NOT(ISNA(Z47))),VLOOKUP(Z47,'ESO zones'!$A$5:$D$10003,4,FALSE),"")</f>
        <v>Glenumbra</v>
      </c>
      <c r="AB47" s="4" t="s">
        <v>218</v>
      </c>
      <c r="AE47" s="3">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zones'!$A$5:$D$10003,4,FALSE),"")</f>
        <v>Bad Man's Hallows</v>
      </c>
      <c r="AH47" s="4" t="s">
        <v>221</v>
      </c>
      <c r="AK47" s="3">
        <f>IF(AND(G47&lt;&gt;"LIBSETS_SETTYPE_BATTLEGROUND",G47&lt;&gt;"LIBSETS_SETTYPE_SPECIAL"),IF(AL47&lt;&gt;"",VLOOKUP(AL47,'ESO zones'!$D$5:$H$4957,5,FALSE),""),"")</f>
        <v>3</v>
      </c>
      <c r="AL47" t="s">
        <v>496</v>
      </c>
      <c r="AM47" s="4" t="s">
        <v>224</v>
      </c>
      <c r="AP47" s="3">
        <f>IF(AND(G47&lt;&gt;"LIBSETS_SETTYPE_BATTLEGROUND",G47&lt;&gt;"LIBSETS_SETTYPE_SPECIAL"),IF(AQ47&lt;&gt;"",VLOOKUP(AQ47,'ESO zones'!$D$5:$H$4957,5,FALSE),""),"")</f>
        <v>3</v>
      </c>
      <c r="AQ47" t="s">
        <v>496</v>
      </c>
      <c r="AR47" s="80" t="s">
        <v>269</v>
      </c>
      <c r="AU47" s="3" t="str">
        <f>IF(AND(G47&lt;&gt;"LIBSETS_SETTYPE_BATTLEGROUND",G47&lt;&gt;"LIBSETS_SETTYPE_SPECIAL"),IF(AV47&lt;&gt;"",VLOOKUP(AV47,'ESO zones'!$D$5:$H$4957,5,FALSE),""),"")</f>
        <v/>
      </c>
      <c r="AZ47" s="49" t="s">
        <v>403</v>
      </c>
      <c r="BA47" s="49"/>
      <c r="BB47" s="49"/>
      <c r="BC47" s="49"/>
      <c r="BD47" s="49"/>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2">
        <v>66</v>
      </c>
      <c r="B48" t="s">
        <v>514</v>
      </c>
      <c r="C48" t="s">
        <v>515</v>
      </c>
      <c r="D48" s="3">
        <f t="shared" si="0"/>
        <v>66</v>
      </c>
      <c r="E48" s="41"/>
      <c r="G48" s="9" t="s">
        <v>174</v>
      </c>
      <c r="I48" t="s">
        <v>401</v>
      </c>
      <c r="J48" t="s">
        <v>401</v>
      </c>
      <c r="K48">
        <v>48</v>
      </c>
      <c r="L48">
        <v>48</v>
      </c>
      <c r="M48">
        <v>48</v>
      </c>
      <c r="O48" s="5" t="s">
        <v>506</v>
      </c>
      <c r="Q48" s="3">
        <f>IF(AND(P48&lt;&gt;"",ISNUMBER(P48),NOT(ISNA(P48))),P48,IF(R48&lt;&gt;"",VLOOKUP(R48,'ESO zones'!$D$5:$H$10005,5,FALSE),""))</f>
        <v>117</v>
      </c>
      <c r="R48" t="str">
        <f>IF(AND(O48&lt;&gt;"",NOT(ISERROR(O48))),O48,IF(AND(P48&lt;&gt;"",ISNUMBER(P48),P48&gt;0,NOT(ISNA(P48))),VLOOKUP(P48,'ESO zones'!$A$5:$D$10003,4,FALSE),IF(AND(K48&lt;&gt;"",K48&gt;0,NOT(ISERROR(K48))),VLOOKUP(K48,'ESO wayshrines'!$K$3:$N$9972,4,FALSE),"")))</f>
        <v>Shadowfen</v>
      </c>
      <c r="T48" s="16" t="str">
        <f>IF(AND(S48&lt;&gt;"",NOT(ISERROR(S48))),S48,VLOOKUP(A48,'ESO Set&amp;DLCs'!$A$3:$D$99998,4,FALSE))</f>
        <v>DLC_BASE_GAME</v>
      </c>
      <c r="U48" s="3" t="str">
        <f>IF(T48&lt;&gt;"",VLOOKUP(T48,ConstDLCIds!$B$4:$C$1000,2,FALSE),"")</f>
        <v>Included in base game</v>
      </c>
      <c r="V48" s="4" t="s">
        <v>215</v>
      </c>
      <c r="Y48" s="5"/>
      <c r="Z48" s="3">
        <f>IF(AND(G48&lt;&gt;"LIBSETS_SETTYPE_BATTLEGROUND",G48&lt;&gt;"LIBSETS_SETTYPE_SPECIAL"),IF(AND(Y48&lt;&gt;"",ISNUMBER(Y48),NOT(ISNA(Y48))),Y48,IF(AND(L48&lt;&gt;"",ISNUMBER(L48),L48&gt;0,NOT(ISNA(L48))),VLOOKUP(L48,'ESO wayshrines'!$K$3:$L$9972,2,FALSE),"")),"")</f>
        <v>117</v>
      </c>
      <c r="AA48" t="str">
        <f>IF(AND(Z48&lt;&gt;"",ISNUMBER(Z48),NOT(ISNA(Z48))),VLOOKUP(Z48,'ESO zones'!$A$5:$D$10003,4,FALSE),"")</f>
        <v>Shadowfen</v>
      </c>
      <c r="AB48" s="4" t="s">
        <v>218</v>
      </c>
      <c r="AE48" s="3">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zones'!$A$5:$D$10003,4,FALSE),"")</f>
        <v>Sanguine's Demesne</v>
      </c>
      <c r="AH48" s="4" t="s">
        <v>221</v>
      </c>
      <c r="AK48" s="3">
        <f>IF(AND(G48&lt;&gt;"LIBSETS_SETTYPE_BATTLEGROUND",G48&lt;&gt;"LIBSETS_SETTYPE_SPECIAL"),IF(AL48&lt;&gt;"",VLOOKUP(AL48,'ESO zones'!$D$5:$H$4957,5,FALSE),""),"")</f>
        <v>117</v>
      </c>
      <c r="AL48" t="s">
        <v>506</v>
      </c>
      <c r="AM48" s="4" t="s">
        <v>224</v>
      </c>
      <c r="AP48" s="3">
        <f>IF(AND(G48&lt;&gt;"LIBSETS_SETTYPE_BATTLEGROUND",G48&lt;&gt;"LIBSETS_SETTYPE_SPECIAL"),IF(AQ48&lt;&gt;"",VLOOKUP(AQ48,'ESO zones'!$D$5:$H$4957,5,FALSE),""),"")</f>
        <v>117</v>
      </c>
      <c r="AQ48" t="s">
        <v>506</v>
      </c>
      <c r="AR48" s="80" t="s">
        <v>269</v>
      </c>
      <c r="AU48" s="3" t="str">
        <f>IF(AND(G48&lt;&gt;"LIBSETS_SETTYPE_BATTLEGROUND",G48&lt;&gt;"LIBSETS_SETTYPE_SPECIAL"),IF(AV48&lt;&gt;"",VLOOKUP(AV48,'ESO zones'!$D$5:$H$4957,5,FALSE),""),"")</f>
        <v/>
      </c>
      <c r="AZ48" s="49" t="s">
        <v>403</v>
      </c>
      <c r="BA48" s="49"/>
      <c r="BB48" s="49"/>
      <c r="BC48" s="49"/>
      <c r="BD48" s="49"/>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2">
        <v>67</v>
      </c>
      <c r="B49" t="s">
        <v>516</v>
      </c>
      <c r="C49" t="s">
        <v>517</v>
      </c>
      <c r="D49" s="3">
        <f t="shared" si="0"/>
        <v>67</v>
      </c>
      <c r="E49" s="41"/>
      <c r="G49" s="9" t="s">
        <v>165</v>
      </c>
      <c r="I49" t="s">
        <v>401</v>
      </c>
      <c r="J49" t="s">
        <v>401</v>
      </c>
      <c r="K49">
        <v>-1</v>
      </c>
      <c r="L49">
        <v>-1</v>
      </c>
      <c r="M49">
        <v>-1</v>
      </c>
      <c r="O49" s="5" t="s">
        <v>166</v>
      </c>
      <c r="Q49" s="3">
        <f>IF(AND(P49&lt;&gt;"",ISNUMBER(P49),NOT(ISNA(P49))),P49,IF(R49&lt;&gt;"",VLOOKUP(R49,'ESO zones'!$D$5:$H$10005,5,FALSE),""))</f>
        <v>181</v>
      </c>
      <c r="R49" t="str">
        <f>IF(AND(O49&lt;&gt;"",NOT(ISERROR(O49))),O49,IF(AND(P49&lt;&gt;"",ISNUMBER(P49),P49&gt;0,NOT(ISNA(P49))),VLOOKUP(P49,'ESO zones'!$A$5:$D$10003,4,FALSE),IF(AND(K49&lt;&gt;"",K49&gt;0,NOT(ISERROR(K49))),VLOOKUP(K49,'ESO wayshrines'!$K$3:$N$9972,4,FALSE),"")))</f>
        <v>Cyrodiil</v>
      </c>
      <c r="T49" s="16" t="str">
        <f>IF(AND(S49&lt;&gt;"",NOT(ISERROR(S49))),S49,VLOOKUP(A49,'ESO Set&amp;DLCs'!$A$3:$D$99998,4,FALSE))</f>
        <v>DLC_BASE_GAME</v>
      </c>
      <c r="U49" s="3" t="str">
        <f>IF(T49&lt;&gt;"",VLOOKUP(T49,ConstDLCIds!$B$4:$C$1000,2,FALSE),"")</f>
        <v>Included in base game</v>
      </c>
      <c r="V49" s="4" t="s">
        <v>200</v>
      </c>
      <c r="Y49" s="5">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zones'!$A$5:$D$10003,4,FALSE),"")</f>
        <v>Cyrodiil</v>
      </c>
      <c r="AB49" s="4" t="s">
        <v>301</v>
      </c>
      <c r="AE49" s="5">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zones'!$A$5:$D$10003,4,FALSE),"")</f>
        <v>Cyrodiil</v>
      </c>
      <c r="AH49" s="4" t="s">
        <v>248</v>
      </c>
      <c r="AK49" s="3">
        <f>IF(AND(G49&lt;&gt;"LIBSETS_SETTYPE_BATTLEGROUND",G49&lt;&gt;"LIBSETS_SETTYPE_SPECIAL"),IF(AL49&lt;&gt;"",VLOOKUP(AL49,'ESO zones'!$D$5:$H$4957,5,FALSE),""),"")</f>
        <v>181</v>
      </c>
      <c r="AL49" t="s">
        <v>166</v>
      </c>
      <c r="AM49" s="4" t="s">
        <v>298</v>
      </c>
      <c r="AP49" s="3">
        <f>IF(AND(G49&lt;&gt;"LIBSETS_SETTYPE_BATTLEGROUND",G49&lt;&gt;"LIBSETS_SETTYPE_SPECIAL"),IF(AQ49&lt;&gt;"",VLOOKUP(AQ49,'ESO zones'!$D$5:$H$4957,5,FALSE),""),"")</f>
        <v>181</v>
      </c>
      <c r="AQ49" t="s">
        <v>166</v>
      </c>
      <c r="AR49" s="4" t="s">
        <v>215</v>
      </c>
      <c r="AU49" s="3">
        <f>IF(AND(G49&lt;&gt;"LIBSETS_SETTYPE_BATTLEGROUND",G49&lt;&gt;"LIBSETS_SETTYPE_SPECIAL"),IF(AV49&lt;&gt;"",VLOOKUP(AV49,'ESO zones'!$D$5:$H$4957,5,FALSE),""),"")</f>
        <v>181</v>
      </c>
      <c r="AV49" t="s">
        <v>166</v>
      </c>
      <c r="AW49" s="4" t="s">
        <v>257</v>
      </c>
      <c r="AZ49" s="49" t="s">
        <v>403</v>
      </c>
      <c r="BA49" s="49"/>
      <c r="BB49" s="49"/>
      <c r="BC49" s="49"/>
      <c r="BD49" s="49"/>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2">
        <v>68</v>
      </c>
      <c r="B50" t="s">
        <v>518</v>
      </c>
      <c r="C50" t="s">
        <v>519</v>
      </c>
      <c r="D50" s="3">
        <f t="shared" si="0"/>
        <v>68</v>
      </c>
      <c r="E50" s="41"/>
      <c r="G50" s="9" t="s">
        <v>174</v>
      </c>
      <c r="I50" t="s">
        <v>401</v>
      </c>
      <c r="J50" t="s">
        <v>401</v>
      </c>
      <c r="K50">
        <v>131</v>
      </c>
      <c r="L50">
        <v>131</v>
      </c>
      <c r="M50">
        <v>131</v>
      </c>
      <c r="O50" s="5" t="s">
        <v>423</v>
      </c>
      <c r="Q50" s="3">
        <f>IF(AND(P50&lt;&gt;"",ISNUMBER(P50),NOT(ISNA(P50))),P50,IF(R50&lt;&gt;"",VLOOKUP(R50,'ESO zones'!$D$5:$H$10005,5,FALSE),""))</f>
        <v>347</v>
      </c>
      <c r="R50" t="str">
        <f>IF(AND(O50&lt;&gt;"",NOT(ISERROR(O50))),O50,IF(AND(P50&lt;&gt;"",ISNUMBER(P50),P50&gt;0,NOT(ISNA(P50))),VLOOKUP(P50,'ESO zones'!$A$5:$D$10003,4,FALSE),IF(AND(K50&lt;&gt;"",K50&gt;0,NOT(ISERROR(K50))),VLOOKUP(K50,'ESO wayshrines'!$K$3:$N$9972,4,FALSE),"")))</f>
        <v>Coldharbour</v>
      </c>
      <c r="T50" s="16" t="str">
        <f>IF(AND(S50&lt;&gt;"",NOT(ISERROR(S50))),S50,VLOOKUP(A50,'ESO Set&amp;DLCs'!$A$3:$D$99998,4,FALSE))</f>
        <v>DLC_BASE_GAME</v>
      </c>
      <c r="U50" s="3" t="str">
        <f>IF(T50&lt;&gt;"",VLOOKUP(T50,ConstDLCIds!$B$4:$C$1000,2,FALSE),"")</f>
        <v>Included in base game</v>
      </c>
      <c r="V50" s="4" t="s">
        <v>215</v>
      </c>
      <c r="Y50" s="5"/>
      <c r="Z50" s="3">
        <f>IF(AND(G50&lt;&gt;"LIBSETS_SETTYPE_BATTLEGROUND",G50&lt;&gt;"LIBSETS_SETTYPE_SPECIAL"),IF(AND(Y50&lt;&gt;"",ISNUMBER(Y50),NOT(ISNA(Y50))),Y50,IF(AND(L50&lt;&gt;"",ISNUMBER(L50),L50&gt;0,NOT(ISNA(L50))),VLOOKUP(L50,'ESO wayshrines'!$K$3:$L$9972,2,FALSE),"")),"")</f>
        <v>347</v>
      </c>
      <c r="AA50" t="str">
        <f>IF(AND(Z50&lt;&gt;"",ISNUMBER(Z50),NOT(ISNA(Z50))),VLOOKUP(Z50,'ESO zones'!$A$5:$D$10003,4,FALSE),"")</f>
        <v>Coldharbour</v>
      </c>
      <c r="AB50" s="4" t="s">
        <v>218</v>
      </c>
      <c r="AE50" s="3">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zones'!$A$5:$D$10003,4,FALSE),"")</f>
        <v>Village of the Lost</v>
      </c>
      <c r="AH50" s="4" t="s">
        <v>221</v>
      </c>
      <c r="AK50" s="3">
        <f>IF(AND(G50&lt;&gt;"LIBSETS_SETTYPE_BATTLEGROUND",G50&lt;&gt;"LIBSETS_SETTYPE_SPECIAL"),IF(AL50&lt;&gt;"",VLOOKUP(AL50,'ESO zones'!$D$5:$H$4957,5,FALSE),""),"")</f>
        <v>347</v>
      </c>
      <c r="AL50" t="s">
        <v>423</v>
      </c>
      <c r="AM50" s="4" t="s">
        <v>224</v>
      </c>
      <c r="AP50" s="3">
        <f>IF(AND(G50&lt;&gt;"LIBSETS_SETTYPE_BATTLEGROUND",G50&lt;&gt;"LIBSETS_SETTYPE_SPECIAL"),IF(AQ50&lt;&gt;"",VLOOKUP(AQ50,'ESO zones'!$D$5:$H$4957,5,FALSE),""),"")</f>
        <v>347</v>
      </c>
      <c r="AQ50" t="s">
        <v>423</v>
      </c>
      <c r="AR50" s="80" t="s">
        <v>269</v>
      </c>
      <c r="AU50" s="3" t="str">
        <f>IF(AND(G50&lt;&gt;"LIBSETS_SETTYPE_BATTLEGROUND",G50&lt;&gt;"LIBSETS_SETTYPE_SPECIAL"),IF(AV50&lt;&gt;"",VLOOKUP(AV50,'ESO zones'!$D$5:$H$4957,5,FALSE),""),"")</f>
        <v/>
      </c>
      <c r="AZ50" s="49" t="s">
        <v>403</v>
      </c>
      <c r="BA50" s="49"/>
      <c r="BB50" s="49"/>
      <c r="BC50" s="49"/>
      <c r="BD50" s="49"/>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2">
        <v>69</v>
      </c>
      <c r="B51" t="s">
        <v>520</v>
      </c>
      <c r="C51" t="s">
        <v>521</v>
      </c>
      <c r="D51" s="3">
        <f t="shared" si="0"/>
        <v>69</v>
      </c>
      <c r="E51" s="41"/>
      <c r="G51" s="9" t="s">
        <v>174</v>
      </c>
      <c r="I51" t="s">
        <v>401</v>
      </c>
      <c r="J51" t="s">
        <v>401</v>
      </c>
      <c r="K51">
        <v>214</v>
      </c>
      <c r="L51">
        <v>214</v>
      </c>
      <c r="M51">
        <v>214</v>
      </c>
      <c r="O51" s="5" t="s">
        <v>451</v>
      </c>
      <c r="Q51" s="3">
        <f>IF(AND(P51&lt;&gt;"",ISNUMBER(P51),NOT(ISNA(P51))),P51,IF(R51&lt;&gt;"",VLOOKUP(R51,'ESO zones'!$D$5:$H$10005,5,FALSE),""))</f>
        <v>383</v>
      </c>
      <c r="R51" t="str">
        <f>IF(AND(O51&lt;&gt;"",NOT(ISERROR(O51))),O51,IF(AND(P51&lt;&gt;"",ISNUMBER(P51),P51&gt;0,NOT(ISNA(P51))),VLOOKUP(P51,'ESO zones'!$A$5:$D$10003,4,FALSE),IF(AND(K51&lt;&gt;"",K51&gt;0,NOT(ISERROR(K51))),VLOOKUP(K51,'ESO wayshrines'!$K$3:$N$9972,4,FALSE),"")))</f>
        <v>Grahtwood</v>
      </c>
      <c r="T51" s="16" t="str">
        <f>IF(AND(S51&lt;&gt;"",NOT(ISERROR(S51))),S51,VLOOKUP(A51,'ESO Set&amp;DLCs'!$A$3:$D$99998,4,FALSE))</f>
        <v>DLC_BASE_GAME</v>
      </c>
      <c r="U51" s="3" t="str">
        <f>IF(T51&lt;&gt;"",VLOOKUP(T51,ConstDLCIds!$B$4:$C$1000,2,FALSE),"")</f>
        <v>Included in base game</v>
      </c>
      <c r="V51" s="4" t="s">
        <v>215</v>
      </c>
      <c r="Y51" s="5"/>
      <c r="Z51" s="3">
        <f>IF(AND(G51&lt;&gt;"LIBSETS_SETTYPE_BATTLEGROUND",G51&lt;&gt;"LIBSETS_SETTYPE_SPECIAL"),IF(AND(Y51&lt;&gt;"",ISNUMBER(Y51),NOT(ISNA(Y51))),Y51,IF(AND(L51&lt;&gt;"",ISNUMBER(L51),L51&gt;0,NOT(ISNA(L51))),VLOOKUP(L51,'ESO wayshrines'!$K$3:$L$9972,2,FALSE),"")),"")</f>
        <v>383</v>
      </c>
      <c r="AA51" t="str">
        <f>IF(AND(Z51&lt;&gt;"",ISNUMBER(Z51),NOT(ISNA(Z51))),VLOOKUP(Z51,'ESO zones'!$A$5:$D$10003,4,FALSE),"")</f>
        <v>Grahtwood</v>
      </c>
      <c r="AB51" s="4" t="s">
        <v>218</v>
      </c>
      <c r="AE51" s="3">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zones'!$A$5:$D$10003,4,FALSE),"")</f>
        <v>Root Sunder Ruins</v>
      </c>
      <c r="AH51" s="4" t="s">
        <v>221</v>
      </c>
      <c r="AK51" s="3">
        <f>IF(AND(G51&lt;&gt;"LIBSETS_SETTYPE_BATTLEGROUND",G51&lt;&gt;"LIBSETS_SETTYPE_SPECIAL"),IF(AL51&lt;&gt;"",VLOOKUP(AL51,'ESO zones'!$D$5:$H$4957,5,FALSE),""),"")</f>
        <v>383</v>
      </c>
      <c r="AL51" t="s">
        <v>451</v>
      </c>
      <c r="AM51" s="4" t="s">
        <v>224</v>
      </c>
      <c r="AP51" s="3">
        <f>IF(AND(G51&lt;&gt;"LIBSETS_SETTYPE_BATTLEGROUND",G51&lt;&gt;"LIBSETS_SETTYPE_SPECIAL"),IF(AQ51&lt;&gt;"",VLOOKUP(AQ51,'ESO zones'!$D$5:$H$4957,5,FALSE),""),"")</f>
        <v>383</v>
      </c>
      <c r="AQ51" t="s">
        <v>451</v>
      </c>
      <c r="AR51" s="80" t="s">
        <v>269</v>
      </c>
      <c r="AU51" s="3" t="str">
        <f>IF(AND(G51&lt;&gt;"LIBSETS_SETTYPE_BATTLEGROUND",G51&lt;&gt;"LIBSETS_SETTYPE_SPECIAL"),IF(AV51&lt;&gt;"",VLOOKUP(AV51,'ESO zones'!$D$5:$H$4957,5,FALSE),""),"")</f>
        <v/>
      </c>
      <c r="AZ51" s="49" t="s">
        <v>410</v>
      </c>
      <c r="BA51" s="49"/>
      <c r="BB51" s="49"/>
      <c r="BC51" s="49"/>
      <c r="BD51" s="49"/>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2">
        <v>70</v>
      </c>
      <c r="B52" t="s">
        <v>522</v>
      </c>
      <c r="C52" t="s">
        <v>523</v>
      </c>
      <c r="D52" s="3">
        <f t="shared" si="0"/>
        <v>70</v>
      </c>
      <c r="E52" s="41"/>
      <c r="G52" s="9" t="s">
        <v>174</v>
      </c>
      <c r="I52" t="s">
        <v>401</v>
      </c>
      <c r="J52" t="s">
        <v>401</v>
      </c>
      <c r="K52">
        <v>36</v>
      </c>
      <c r="L52">
        <v>36</v>
      </c>
      <c r="M52">
        <v>36</v>
      </c>
      <c r="O52" s="5" t="s">
        <v>524</v>
      </c>
      <c r="Q52" s="3">
        <f>IF(AND(P52&lt;&gt;"",ISNUMBER(P52),NOT(ISNA(P52))),P52,IF(R52&lt;&gt;"",VLOOKUP(R52,'ESO zones'!$D$5:$H$10005,5,FALSE),""))</f>
        <v>92</v>
      </c>
      <c r="R52" t="str">
        <f>IF(AND(O52&lt;&gt;"",NOT(ISERROR(O52))),O52,IF(AND(P52&lt;&gt;"",ISNUMBER(P52),P52&gt;0,NOT(ISNA(P52))),VLOOKUP(P52,'ESO zones'!$A$5:$D$10003,4,FALSE),IF(AND(K52&lt;&gt;"",K52&gt;0,NOT(ISERROR(K52))),VLOOKUP(K52,'ESO wayshrines'!$K$3:$N$9972,4,FALSE),"")))</f>
        <v>Bangkorai</v>
      </c>
      <c r="T52" s="16" t="str">
        <f>IF(AND(S52&lt;&gt;"",NOT(ISERROR(S52))),S52,VLOOKUP(A52,'ESO Set&amp;DLCs'!$A$3:$D$99998,4,FALSE))</f>
        <v>DLC_BASE_GAME</v>
      </c>
      <c r="U52" s="3" t="str">
        <f>IF(T52&lt;&gt;"",VLOOKUP(T52,ConstDLCIds!$B$4:$C$1000,2,FALSE),"")</f>
        <v>Included in base game</v>
      </c>
      <c r="V52" s="4" t="s">
        <v>215</v>
      </c>
      <c r="Y52" s="5"/>
      <c r="Z52" s="3">
        <f>IF(AND(G52&lt;&gt;"LIBSETS_SETTYPE_BATTLEGROUND",G52&lt;&gt;"LIBSETS_SETTYPE_SPECIAL"),IF(AND(Y52&lt;&gt;"",ISNUMBER(Y52),NOT(ISNA(Y52))),Y52,IF(AND(L52&lt;&gt;"",ISNUMBER(L52),L52&gt;0,NOT(ISNA(L52))),VLOOKUP(L52,'ESO wayshrines'!$K$3:$L$9972,2,FALSE),"")),"")</f>
        <v>92</v>
      </c>
      <c r="AA52" t="str">
        <f>IF(AND(Z52&lt;&gt;"",ISNUMBER(Z52),NOT(ISNA(Z52))),VLOOKUP(Z52,'ESO zones'!$A$5:$D$10003,4,FALSE),"")</f>
        <v>Bangkorai</v>
      </c>
      <c r="AB52" s="4" t="s">
        <v>218</v>
      </c>
      <c r="AE52" s="3">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zones'!$A$5:$D$10003,4,FALSE),"")</f>
        <v>Razak's Wheel</v>
      </c>
      <c r="AH52" s="4" t="s">
        <v>221</v>
      </c>
      <c r="AK52" s="3">
        <f>IF(AND(G52&lt;&gt;"LIBSETS_SETTYPE_BATTLEGROUND",G52&lt;&gt;"LIBSETS_SETTYPE_SPECIAL"),IF(AL52&lt;&gt;"",VLOOKUP(AL52,'ESO zones'!$D$5:$H$4957,5,FALSE),""),"")</f>
        <v>92</v>
      </c>
      <c r="AL52" t="s">
        <v>524</v>
      </c>
      <c r="AM52" s="4" t="s">
        <v>224</v>
      </c>
      <c r="AP52" s="3">
        <f>IF(AND(G52&lt;&gt;"LIBSETS_SETTYPE_BATTLEGROUND",G52&lt;&gt;"LIBSETS_SETTYPE_SPECIAL"),IF(AQ52&lt;&gt;"",VLOOKUP(AQ52,'ESO zones'!$D$5:$H$4957,5,FALSE),""),"")</f>
        <v>92</v>
      </c>
      <c r="AQ52" t="s">
        <v>524</v>
      </c>
      <c r="AR52" s="80" t="s">
        <v>269</v>
      </c>
      <c r="AU52" s="3" t="str">
        <f>IF(AND(G52&lt;&gt;"LIBSETS_SETTYPE_BATTLEGROUND",G52&lt;&gt;"LIBSETS_SETTYPE_SPECIAL"),IF(AV52&lt;&gt;"",VLOOKUP(AV52,'ESO zones'!$D$5:$H$4957,5,FALSE),""),"")</f>
        <v/>
      </c>
      <c r="AZ52" s="49" t="s">
        <v>403</v>
      </c>
      <c r="BA52" s="49"/>
      <c r="BB52" s="49"/>
      <c r="BC52" s="49"/>
      <c r="BD52" s="49"/>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2">
        <v>71</v>
      </c>
      <c r="B53" t="s">
        <v>525</v>
      </c>
      <c r="C53" t="s">
        <v>526</v>
      </c>
      <c r="D53" s="3">
        <f t="shared" si="0"/>
        <v>71</v>
      </c>
      <c r="E53" s="41"/>
      <c r="G53" s="9" t="s">
        <v>169</v>
      </c>
      <c r="I53" t="s">
        <v>401</v>
      </c>
      <c r="J53" t="s">
        <v>401</v>
      </c>
      <c r="K53">
        <v>185</v>
      </c>
      <c r="L53">
        <v>185</v>
      </c>
      <c r="M53">
        <v>185</v>
      </c>
      <c r="O53" s="5" t="s">
        <v>402</v>
      </c>
      <c r="Q53" s="3">
        <f>IF(AND(P53&lt;&gt;"",ISNUMBER(P53),NOT(ISNA(P53))),P53,IF(R53&lt;&gt;"",VLOOKUP(R53,'ESO zones'!$D$5:$H$10005,5,FALSE),""))</f>
        <v>31</v>
      </c>
      <c r="R53" t="str">
        <f>IF(AND(O53&lt;&gt;"",NOT(ISERROR(O53))),O53,IF(AND(P53&lt;&gt;"",ISNUMBER(P53),P53&gt;0,NOT(ISNA(P53))),VLOOKUP(P53,'ESO zones'!$A$5:$D$10003,4,FALSE),IF(AND(K53&lt;&gt;"",K53&gt;0,NOT(ISERROR(K53))),VLOOKUP(K53,'ESO wayshrines'!$K$3:$N$9972,4,FALSE),"")))</f>
        <v>Selene's Web</v>
      </c>
      <c r="T53" s="16" t="str">
        <f>IF(AND(S53&lt;&gt;"",NOT(ISERROR(S53))),S53,VLOOKUP(A53,'ESO Set&amp;DLCs'!$A$3:$D$99998,4,FALSE))</f>
        <v>DLC_BASE_GAME</v>
      </c>
      <c r="U53" s="3" t="str">
        <f>IF(T53&lt;&gt;"",VLOOKUP(T53,ConstDLCIds!$B$4:$C$1000,2,FALSE),"")</f>
        <v>Included in base game</v>
      </c>
      <c r="V53" s="4" t="s">
        <v>278</v>
      </c>
      <c r="Y53" s="5"/>
      <c r="Z53" s="3">
        <f>IF(AND(G53&lt;&gt;"LIBSETS_SETTYPE_BATTLEGROUND",G53&lt;&gt;"LIBSETS_SETTYPE_SPECIAL"),IF(AND(Y53&lt;&gt;"",ISNUMBER(Y53),NOT(ISNA(Y53))),Y53,IF(AND(L53&lt;&gt;"",ISNUMBER(L53),L53&gt;0,NOT(ISNA(L53))),VLOOKUP(L53,'ESO wayshrines'!$K$3:$L$9972,2,FALSE),"")),"")</f>
        <v>382</v>
      </c>
      <c r="AA53" t="str">
        <f>IF(AND(Z53&lt;&gt;"",ISNUMBER(Z53),NOT(ISNA(Z53))),VLOOKUP(Z53,'ESO zones'!$A$5:$D$10003,4,FALSE),"")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zones'!$A$5:$D$10003,4,FALSE),"")</f>
        <v>Reaper's March</v>
      </c>
      <c r="AK53" s="3" t="str">
        <f>IF(AND(G53&lt;&gt;"LIBSETS_SETTYPE_BATTLEGROUND",G53&lt;&gt;"LIBSETS_SETTYPE_SPECIAL"),IF(AL53&lt;&gt;"",VLOOKUP(AL53,'ESO zones'!$D$5:$H$4957,5,FALSE),""),"")</f>
        <v/>
      </c>
      <c r="AP53" s="3" t="str">
        <f>IF(AND(G53&lt;&gt;"LIBSETS_SETTYPE_BATTLEGROUND",G53&lt;&gt;"LIBSETS_SETTYPE_SPECIAL"),IF(AQ53&lt;&gt;"",VLOOKUP(AQ53,'ESO zones'!$D$5:$H$4957,5,FALSE),""),"")</f>
        <v/>
      </c>
      <c r="AU53" s="3" t="str">
        <f>IF(AND(G53&lt;&gt;"LIBSETS_SETTYPE_BATTLEGROUND",G53&lt;&gt;"LIBSETS_SETTYPE_SPECIAL"),IF(AV53&lt;&gt;"",VLOOKUP(AV53,'ESO zones'!$D$5:$H$4957,5,FALSE),""),"")</f>
        <v/>
      </c>
      <c r="AZ53" s="49" t="s">
        <v>403</v>
      </c>
      <c r="BA53" s="49"/>
      <c r="BB53" s="49"/>
      <c r="BC53" s="49"/>
      <c r="BD53" s="49"/>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2">
        <v>72</v>
      </c>
      <c r="B54" t="s">
        <v>527</v>
      </c>
      <c r="C54" t="s">
        <v>528</v>
      </c>
      <c r="D54" s="3">
        <f t="shared" si="0"/>
        <v>72</v>
      </c>
      <c r="E54" s="41"/>
      <c r="G54" s="9" t="s">
        <v>169</v>
      </c>
      <c r="I54" t="s">
        <v>401</v>
      </c>
      <c r="J54" t="s">
        <v>401</v>
      </c>
      <c r="K54">
        <v>187</v>
      </c>
      <c r="L54">
        <v>187</v>
      </c>
      <c r="M54">
        <v>187</v>
      </c>
      <c r="O54" s="5" t="s">
        <v>470</v>
      </c>
      <c r="Q54" s="3">
        <f>IF(AND(P54&lt;&gt;"",ISNUMBER(P54),NOT(ISNA(P54))),P54,IF(R54&lt;&gt;"",VLOOKUP(R54,'ESO zones'!$D$5:$H$10005,5,FALSE),""))</f>
        <v>64</v>
      </c>
      <c r="R54" t="str">
        <f>IF(AND(O54&lt;&gt;"",NOT(ISERROR(O54))),O54,IF(AND(P54&lt;&gt;"",ISNUMBER(P54),P54&gt;0,NOT(ISNA(P54))),VLOOKUP(P54,'ESO zones'!$A$5:$D$10003,4,FALSE),IF(AND(K54&lt;&gt;"",K54&gt;0,NOT(ISERROR(K54))),VLOOKUP(K54,'ESO wayshrines'!$K$3:$N$9972,4,FALSE),"")))</f>
        <v>Blessed Crucible</v>
      </c>
      <c r="T54" s="16" t="str">
        <f>IF(AND(S54&lt;&gt;"",NOT(ISERROR(S54))),S54,VLOOKUP(A54,'ESO Set&amp;DLCs'!$A$3:$D$99998,4,FALSE))</f>
        <v>DLC_BASE_GAME</v>
      </c>
      <c r="U54" s="3" t="str">
        <f>IF(T54&lt;&gt;"",VLOOKUP(T54,ConstDLCIds!$B$4:$C$1000,2,FALSE),"")</f>
        <v>Included in base game</v>
      </c>
      <c r="V54" s="4" t="s">
        <v>278</v>
      </c>
      <c r="Y54" s="5"/>
      <c r="Z54" s="3">
        <f>IF(AND(G54&lt;&gt;"LIBSETS_SETTYPE_BATTLEGROUND",G54&lt;&gt;"LIBSETS_SETTYPE_SPECIAL"),IF(AND(Y54&lt;&gt;"",ISNUMBER(Y54),NOT(ISNA(Y54))),Y54,IF(AND(L54&lt;&gt;"",ISNUMBER(L54),L54&gt;0,NOT(ISNA(L54))),VLOOKUP(L54,'ESO wayshrines'!$K$3:$L$9972,2,FALSE),"")),"")</f>
        <v>103</v>
      </c>
      <c r="AA54" t="str">
        <f>IF(AND(Z54&lt;&gt;"",ISNUMBER(Z54),NOT(ISNA(Z54))),VLOOKUP(Z54,'ESO zones'!$A$5:$D$10003,4,FALSE),"")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zones'!$A$5:$D$10003,4,FALSE),"")</f>
        <v>The Rift</v>
      </c>
      <c r="AK54" s="3" t="str">
        <f>IF(AND(G54&lt;&gt;"LIBSETS_SETTYPE_BATTLEGROUND",G54&lt;&gt;"LIBSETS_SETTYPE_SPECIAL"),IF(AL54&lt;&gt;"",VLOOKUP(AL54,'ESO zones'!$D$5:$H$4957,5,FALSE),""),"")</f>
        <v/>
      </c>
      <c r="AP54" s="3" t="str">
        <f>IF(AND(G54&lt;&gt;"LIBSETS_SETTYPE_BATTLEGROUND",G54&lt;&gt;"LIBSETS_SETTYPE_SPECIAL"),IF(AQ54&lt;&gt;"",VLOOKUP(AQ54,'ESO zones'!$D$5:$H$4957,5,FALSE),""),"")</f>
        <v/>
      </c>
      <c r="AU54" s="3" t="str">
        <f>IF(AND(G54&lt;&gt;"LIBSETS_SETTYPE_BATTLEGROUND",G54&lt;&gt;"LIBSETS_SETTYPE_SPECIAL"),IF(AV54&lt;&gt;"",VLOOKUP(AV54,'ESO zones'!$D$5:$H$4957,5,FALSE),""),"")</f>
        <v/>
      </c>
      <c r="AZ54" s="49" t="s">
        <v>403</v>
      </c>
      <c r="BA54" s="49"/>
      <c r="BB54" s="49"/>
      <c r="BC54" s="49"/>
      <c r="BD54" s="49"/>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1">
        <v>73</v>
      </c>
      <c r="B55" t="s">
        <v>529</v>
      </c>
      <c r="C55" t="s">
        <v>530</v>
      </c>
      <c r="D55" s="3">
        <f t="shared" si="0"/>
        <v>73</v>
      </c>
      <c r="E55" s="41"/>
      <c r="G55" s="9" t="s">
        <v>163</v>
      </c>
      <c r="I55" t="s">
        <v>401</v>
      </c>
      <c r="J55" t="s">
        <v>401</v>
      </c>
      <c r="K55">
        <v>135</v>
      </c>
      <c r="L55">
        <v>135</v>
      </c>
      <c r="M55">
        <v>135</v>
      </c>
      <c r="N55">
        <v>8</v>
      </c>
      <c r="Q55" s="3">
        <f>IF(AND(P55&lt;&gt;"",ISNUMBER(P55),NOT(ISNA(P55))),P55,IF(R55&lt;&gt;"",VLOOKUP(R55,'ESO zones'!$D$5:$H$10005,5,FALSE),""))</f>
        <v>347</v>
      </c>
      <c r="R55" t="str">
        <f>IF(AND(O55&lt;&gt;"",NOT(ISERROR(O55))),O55,IF(AND(P55&lt;&gt;"",ISNUMBER(P55),P55&gt;0,NOT(ISNA(P55))),VLOOKUP(P55,'ESO zones'!$A$5:$D$10003,4,FALSE),IF(AND(K55&lt;&gt;"",K55&gt;0,NOT(ISERROR(K55))),VLOOKUP(K55,'ESO wayshrines'!$K$3:$N$9972,4,FALSE),"")))</f>
        <v>Coldharbour</v>
      </c>
      <c r="T55" s="16" t="str">
        <f>IF(AND(S55&lt;&gt;"",NOT(ISERROR(S55))),S55,VLOOKUP(A55,'ESO Set&amp;DLCs'!$A$3:$D$99998,4,FALSE))</f>
        <v>DLC_BASE_GAME</v>
      </c>
      <c r="U55" s="3" t="str">
        <f>IF(T55&lt;&gt;"",VLOOKUP(T55,ConstDLCIds!$B$4:$C$1000,2,FALSE),"")</f>
        <v>Included in base game</v>
      </c>
      <c r="V55" s="4" t="s">
        <v>281</v>
      </c>
      <c r="Y55" s="5"/>
      <c r="Z55" s="3">
        <f>IF(AND(G55&lt;&gt;"LIBSETS_SETTYPE_BATTLEGROUND",G55&lt;&gt;"LIBSETS_SETTYPE_SPECIAL"),IF(AND(Y55&lt;&gt;"",ISNUMBER(Y55),NOT(ISNA(Y55))),Y55,IF(AND(L55&lt;&gt;"",ISNUMBER(L55),L55&gt;0,NOT(ISNA(L55))),VLOOKUP(L55,'ESO wayshrines'!$K$3:$L$9972,2,FALSE),"")),"")</f>
        <v>347</v>
      </c>
      <c r="AA55" t="str">
        <f>IF(AND(Z55&lt;&gt;"",ISNUMBER(Z55),NOT(ISNA(Z55))),VLOOKUP(Z55,'ESO zones'!$A$5:$D$10003,4,FALSE),"")</f>
        <v>Coldharbour</v>
      </c>
      <c r="AB55" s="4"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zones'!$A$5:$D$10003,4,FALSE),"")</f>
        <v>Coldharbour</v>
      </c>
      <c r="AK55" s="3" t="str">
        <f>IF(AND(G55&lt;&gt;"LIBSETS_SETTYPE_BATTLEGROUND",G55&lt;&gt;"LIBSETS_SETTYPE_SPECIAL"),IF(AL55&lt;&gt;"",VLOOKUP(AL55,'ESO zones'!$D$5:$H$4957,5,FALSE),""),"")</f>
        <v/>
      </c>
      <c r="AP55" s="3" t="str">
        <f>IF(AND(G55&lt;&gt;"LIBSETS_SETTYPE_BATTLEGROUND",G55&lt;&gt;"LIBSETS_SETTYPE_SPECIAL"),IF(AQ55&lt;&gt;"",VLOOKUP(AQ55,'ESO zones'!$D$5:$H$4957,5,FALSE),""),"")</f>
        <v/>
      </c>
      <c r="AU55" s="3" t="str">
        <f>IF(AND(G55&lt;&gt;"LIBSETS_SETTYPE_BATTLEGROUND",G55&lt;&gt;"LIBSETS_SETTYPE_SPECIAL"),IF(AV55&lt;&gt;"",VLOOKUP(AV55,'ESO zones'!$D$5:$H$4957,5,FALSE),""),"")</f>
        <v/>
      </c>
      <c r="AZ55" s="49" t="s">
        <v>403</v>
      </c>
      <c r="BA55" s="49"/>
      <c r="BB55" s="49"/>
      <c r="BC55" s="49"/>
      <c r="BD55" s="49"/>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1">
        <v>74</v>
      </c>
      <c r="B56" t="s">
        <v>531</v>
      </c>
      <c r="C56" t="s">
        <v>532</v>
      </c>
      <c r="D56" s="3">
        <f t="shared" si="0"/>
        <v>74</v>
      </c>
      <c r="E56" s="41"/>
      <c r="G56" s="9" t="s">
        <v>163</v>
      </c>
      <c r="I56" t="s">
        <v>401</v>
      </c>
      <c r="J56" t="s">
        <v>401</v>
      </c>
      <c r="K56">
        <v>133</v>
      </c>
      <c r="L56">
        <v>133</v>
      </c>
      <c r="M56">
        <v>133</v>
      </c>
      <c r="N56">
        <v>8</v>
      </c>
      <c r="Q56" s="3">
        <f>IF(AND(P56&lt;&gt;"",ISNUMBER(P56),NOT(ISNA(P56))),P56,IF(R56&lt;&gt;"",VLOOKUP(R56,'ESO zones'!$D$5:$H$10005,5,FALSE),""))</f>
        <v>347</v>
      </c>
      <c r="R56" t="str">
        <f>IF(AND(O56&lt;&gt;"",NOT(ISERROR(O56))),O56,IF(AND(P56&lt;&gt;"",ISNUMBER(P56),P56&gt;0,NOT(ISNA(P56))),VLOOKUP(P56,'ESO zones'!$A$5:$D$10003,4,FALSE),IF(AND(K56&lt;&gt;"",K56&gt;0,NOT(ISERROR(K56))),VLOOKUP(K56,'ESO wayshrines'!$K$3:$N$9972,4,FALSE),"")))</f>
        <v>Coldharbour</v>
      </c>
      <c r="T56" s="16" t="str">
        <f>IF(AND(S56&lt;&gt;"",NOT(ISERROR(S56))),S56,VLOOKUP(A56,'ESO Set&amp;DLCs'!$A$3:$D$99998,4,FALSE))</f>
        <v>DLC_BASE_GAME</v>
      </c>
      <c r="U56" s="3" t="str">
        <f>IF(T56&lt;&gt;"",VLOOKUP(T56,ConstDLCIds!$B$4:$C$1000,2,FALSE),"")</f>
        <v>Included in base game</v>
      </c>
      <c r="V56" s="4" t="s">
        <v>281</v>
      </c>
      <c r="Y56" s="5"/>
      <c r="Z56" s="3">
        <f>IF(AND(G56&lt;&gt;"LIBSETS_SETTYPE_BATTLEGROUND",G56&lt;&gt;"LIBSETS_SETTYPE_SPECIAL"),IF(AND(Y56&lt;&gt;"",ISNUMBER(Y56),NOT(ISNA(Y56))),Y56,IF(AND(L56&lt;&gt;"",ISNUMBER(L56),L56&gt;0,NOT(ISNA(L56))),VLOOKUP(L56,'ESO wayshrines'!$K$3:$L$9972,2,FALSE),"")),"")</f>
        <v>347</v>
      </c>
      <c r="AA56" t="str">
        <f>IF(AND(Z56&lt;&gt;"",ISNUMBER(Z56),NOT(ISNA(Z56))),VLOOKUP(Z56,'ESO zones'!$A$5:$D$10003,4,FALSE),"")</f>
        <v>Coldharbour</v>
      </c>
      <c r="AB56" s="4"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zones'!$A$5:$D$10003,4,FALSE),"")</f>
        <v>Coldharbour</v>
      </c>
      <c r="AK56" s="3" t="str">
        <f>IF(AND(G56&lt;&gt;"LIBSETS_SETTYPE_BATTLEGROUND",G56&lt;&gt;"LIBSETS_SETTYPE_SPECIAL"),IF(AL56&lt;&gt;"",VLOOKUP(AL56,'ESO zones'!$D$5:$H$4957,5,FALSE),""),"")</f>
        <v/>
      </c>
      <c r="AP56" s="3" t="str">
        <f>IF(AND(G56&lt;&gt;"LIBSETS_SETTYPE_BATTLEGROUND",G56&lt;&gt;"LIBSETS_SETTYPE_SPECIAL"),IF(AQ56&lt;&gt;"",VLOOKUP(AQ56,'ESO zones'!$D$5:$H$4957,5,FALSE),""),"")</f>
        <v/>
      </c>
      <c r="AU56" s="3" t="str">
        <f>IF(AND(G56&lt;&gt;"LIBSETS_SETTYPE_BATTLEGROUND",G56&lt;&gt;"LIBSETS_SETTYPE_SPECIAL"),IF(AV56&lt;&gt;"",VLOOKUP(AV56,'ESO zones'!$D$5:$H$4957,5,FALSE),""),"")</f>
        <v/>
      </c>
      <c r="AZ56" s="49" t="s">
        <v>403</v>
      </c>
      <c r="BA56" s="49"/>
      <c r="BB56" s="49"/>
      <c r="BC56" s="49"/>
      <c r="BD56" s="49"/>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1">
        <v>75</v>
      </c>
      <c r="B57" t="s">
        <v>533</v>
      </c>
      <c r="C57" t="s">
        <v>534</v>
      </c>
      <c r="D57" s="3">
        <f t="shared" si="0"/>
        <v>75</v>
      </c>
      <c r="E57" s="41"/>
      <c r="G57" s="9" t="s">
        <v>163</v>
      </c>
      <c r="I57" t="s">
        <v>401</v>
      </c>
      <c r="J57" t="s">
        <v>401</v>
      </c>
      <c r="K57">
        <v>19</v>
      </c>
      <c r="L57">
        <v>165</v>
      </c>
      <c r="M57">
        <v>24</v>
      </c>
      <c r="N57">
        <v>3</v>
      </c>
      <c r="Q57" s="3">
        <f>IF(AND(P57&lt;&gt;"",ISNUMBER(P57),NOT(ISNA(P57))),P57,IF(R57&lt;&gt;"",VLOOKUP(R57,'ESO zones'!$D$5:$H$10005,5,FALSE),""))</f>
        <v>19</v>
      </c>
      <c r="R57" t="str">
        <f>IF(AND(O57&lt;&gt;"",NOT(ISERROR(O57))),O57,IF(AND(P57&lt;&gt;"",ISNUMBER(P57),P57&gt;0,NOT(ISNA(P57))),VLOOKUP(P57,'ESO zones'!$A$5:$D$10003,4,FALSE),IF(AND(K57&lt;&gt;"",K57&gt;0,NOT(ISERROR(K57))),VLOOKUP(K57,'ESO wayshrines'!$K$3:$N$9972,4,FALSE),"")))</f>
        <v>Stormhaven</v>
      </c>
      <c r="T57" s="16" t="str">
        <f>IF(AND(S57&lt;&gt;"",NOT(ISERROR(S57))),S57,VLOOKUP(A57,'ESO Set&amp;DLCs'!$A$3:$D$99998,4,FALSE))</f>
        <v>DLC_BASE_GAME</v>
      </c>
      <c r="U57" s="3" t="str">
        <f>IF(T57&lt;&gt;"",VLOOKUP(T57,ConstDLCIds!$B$4:$C$1000,2,FALSE),"")</f>
        <v>Included in base game</v>
      </c>
      <c r="V57" s="4" t="s">
        <v>281</v>
      </c>
      <c r="Y57" s="5"/>
      <c r="Z57" s="3">
        <f>IF(AND(G57&lt;&gt;"LIBSETS_SETTYPE_BATTLEGROUND",G57&lt;&gt;"LIBSETS_SETTYPE_SPECIAL"),IF(AND(Y57&lt;&gt;"",ISNUMBER(Y57),NOT(ISNA(Y57))),Y57,IF(AND(L57&lt;&gt;"",ISNUMBER(L57),L57&gt;0,NOT(ISNA(L57))),VLOOKUP(L57,'ESO wayshrines'!$K$3:$L$9972,2,FALSE),"")),"")</f>
        <v>383</v>
      </c>
      <c r="AA57" t="str">
        <f>IF(AND(Z57&lt;&gt;"",ISNUMBER(Z57),NOT(ISNA(Z57))),VLOOKUP(Z57,'ESO zones'!$A$5:$D$10003,4,FALSE),"")</f>
        <v>Grahtwood</v>
      </c>
      <c r="AB57" s="4"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zones'!$A$5:$D$10003,4,FALSE),"")</f>
        <v>Deshaan</v>
      </c>
      <c r="AH57" s="4" t="s">
        <v>281</v>
      </c>
      <c r="AK57" s="3" t="str">
        <f>IF(AND(G57&lt;&gt;"LIBSETS_SETTYPE_BATTLEGROUND",G57&lt;&gt;"LIBSETS_SETTYPE_SPECIAL"),IF(AL57&lt;&gt;"",VLOOKUP(AL57,'ESO zones'!$D$5:$H$4957,5,FALSE),""),"")</f>
        <v/>
      </c>
      <c r="AP57" s="3" t="str">
        <f>IF(AND(G57&lt;&gt;"LIBSETS_SETTYPE_BATTLEGROUND",G57&lt;&gt;"LIBSETS_SETTYPE_SPECIAL"),IF(AQ57&lt;&gt;"",VLOOKUP(AQ57,'ESO zones'!$D$5:$H$4957,5,FALSE),""),"")</f>
        <v/>
      </c>
      <c r="AU57" s="3" t="str">
        <f>IF(AND(G57&lt;&gt;"LIBSETS_SETTYPE_BATTLEGROUND",G57&lt;&gt;"LIBSETS_SETTYPE_SPECIAL"),IF(AV57&lt;&gt;"",VLOOKUP(AV57,'ESO zones'!$D$5:$H$4957,5,FALSE),""),"")</f>
        <v/>
      </c>
      <c r="AZ57" s="49" t="s">
        <v>410</v>
      </c>
      <c r="BA57" s="49"/>
      <c r="BB57" s="49"/>
      <c r="BC57" s="49"/>
      <c r="BD57" s="49"/>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2">
        <v>76</v>
      </c>
      <c r="B58" t="s">
        <v>535</v>
      </c>
      <c r="C58" t="s">
        <v>536</v>
      </c>
      <c r="D58" s="3">
        <f t="shared" si="0"/>
        <v>76</v>
      </c>
      <c r="E58" s="41"/>
      <c r="G58" s="9" t="s">
        <v>165</v>
      </c>
      <c r="I58" t="s">
        <v>401</v>
      </c>
      <c r="J58" t="s">
        <v>401</v>
      </c>
      <c r="K58">
        <v>-1</v>
      </c>
      <c r="L58">
        <v>-1</v>
      </c>
      <c r="M58">
        <v>-1</v>
      </c>
      <c r="O58" s="5" t="s">
        <v>166</v>
      </c>
      <c r="Q58" s="3">
        <f>IF(AND(P58&lt;&gt;"",ISNUMBER(P58),NOT(ISNA(P58))),P58,IF(R58&lt;&gt;"",VLOOKUP(R58,'ESO zones'!$D$5:$H$10005,5,FALSE),""))</f>
        <v>181</v>
      </c>
      <c r="R58" t="str">
        <f>IF(AND(O58&lt;&gt;"",NOT(ISERROR(O58))),O58,IF(AND(P58&lt;&gt;"",ISNUMBER(P58),P58&gt;0,NOT(ISNA(P58))),VLOOKUP(P58,'ESO zones'!$A$5:$D$10003,4,FALSE),IF(AND(K58&lt;&gt;"",K58&gt;0,NOT(ISERROR(K58))),VLOOKUP(K58,'ESO wayshrines'!$K$3:$N$9972,4,FALSE),"")))</f>
        <v>Cyrodiil</v>
      </c>
      <c r="T58" s="16" t="str">
        <f>IF(AND(S58&lt;&gt;"",NOT(ISERROR(S58))),S58,VLOOKUP(A58,'ESO Set&amp;DLCs'!$A$3:$D$99998,4,FALSE))</f>
        <v>DLC_BASE_GAME</v>
      </c>
      <c r="U58" s="3" t="str">
        <f>IF(T58&lt;&gt;"",VLOOKUP(T58,ConstDLCIds!$B$4:$C$1000,2,FALSE),"")</f>
        <v>Included in base game</v>
      </c>
      <c r="V58" s="4" t="s">
        <v>203</v>
      </c>
      <c r="Y58" s="5">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zones'!$A$5:$D$10003,4,FALSE),"")</f>
        <v>Cyrodiil</v>
      </c>
      <c r="AB58" s="4" t="s">
        <v>301</v>
      </c>
      <c r="AE58" s="5">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zones'!$A$5:$D$10003,4,FALSE),"")</f>
        <v>Cyrodiil</v>
      </c>
      <c r="AH58" s="4" t="s">
        <v>248</v>
      </c>
      <c r="AK58" s="3">
        <f>IF(AND(G58&lt;&gt;"LIBSETS_SETTYPE_BATTLEGROUND",G58&lt;&gt;"LIBSETS_SETTYPE_SPECIAL"),IF(AL58&lt;&gt;"",VLOOKUP(AL58,'ESO zones'!$D$5:$H$4957,5,FALSE),""),"")</f>
        <v>181</v>
      </c>
      <c r="AL58" t="s">
        <v>166</v>
      </c>
      <c r="AM58" s="4" t="s">
        <v>298</v>
      </c>
      <c r="AP58" s="3">
        <f>IF(AND(G58&lt;&gt;"LIBSETS_SETTYPE_BATTLEGROUND",G58&lt;&gt;"LIBSETS_SETTYPE_SPECIAL"),IF(AQ58&lt;&gt;"",VLOOKUP(AQ58,'ESO zones'!$D$5:$H$4957,5,FALSE),""),"")</f>
        <v>181</v>
      </c>
      <c r="AQ58" t="s">
        <v>166</v>
      </c>
      <c r="AR58" s="4" t="s">
        <v>215</v>
      </c>
      <c r="AU58" s="3">
        <f>IF(AND(G58&lt;&gt;"LIBSETS_SETTYPE_BATTLEGROUND",G58&lt;&gt;"LIBSETS_SETTYPE_SPECIAL"),IF(AV58&lt;&gt;"",VLOOKUP(AV58,'ESO zones'!$D$5:$H$4957,5,FALSE),""),"")</f>
        <v>181</v>
      </c>
      <c r="AV58" t="s">
        <v>166</v>
      </c>
      <c r="AW58" s="4" t="s">
        <v>257</v>
      </c>
      <c r="AZ58" s="49" t="s">
        <v>410</v>
      </c>
      <c r="BA58" s="49"/>
      <c r="BB58" s="49"/>
      <c r="BC58" s="49"/>
      <c r="BD58" s="49"/>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2">
        <v>77</v>
      </c>
      <c r="B59" t="s">
        <v>537</v>
      </c>
      <c r="C59" t="s">
        <v>538</v>
      </c>
      <c r="D59" s="3">
        <f t="shared" si="0"/>
        <v>77</v>
      </c>
      <c r="E59" s="41"/>
      <c r="G59" s="9" t="s">
        <v>169</v>
      </c>
      <c r="I59" t="s">
        <v>401</v>
      </c>
      <c r="J59" t="s">
        <v>401</v>
      </c>
      <c r="K59">
        <v>196</v>
      </c>
      <c r="L59">
        <v>196</v>
      </c>
      <c r="M59">
        <v>196</v>
      </c>
      <c r="O59" s="5" t="s">
        <v>539</v>
      </c>
      <c r="Q59" s="3">
        <f>IF(AND(P59&lt;&gt;"",ISNUMBER(P59),NOT(ISNA(P59))),P59,IF(R59&lt;&gt;"",VLOOKUP(R59,'ESO zones'!$D$5:$H$10005,5,FALSE),""))</f>
        <v>22</v>
      </c>
      <c r="R59" t="str">
        <f>IF(AND(O59&lt;&gt;"",NOT(ISERROR(O59))),O59,IF(AND(P59&lt;&gt;"",ISNUMBER(P59),P59&gt;0,NOT(ISNA(P59))),VLOOKUP(P59,'ESO zones'!$A$5:$D$10003,4,FALSE),IF(AND(K59&lt;&gt;"",K59&gt;0,NOT(ISERROR(K59))),VLOOKUP(K59,'ESO wayshrines'!$K$3:$N$9972,4,FALSE),"")))</f>
        <v>Volenfell</v>
      </c>
      <c r="T59" s="16" t="str">
        <f>IF(AND(S59&lt;&gt;"",NOT(ISERROR(S59))),S59,VLOOKUP(A59,'ESO Set&amp;DLCs'!$A$3:$D$99998,4,FALSE))</f>
        <v>DLC_BASE_GAME</v>
      </c>
      <c r="U59" s="3" t="str">
        <f>IF(T59&lt;&gt;"",VLOOKUP(T59,ConstDLCIds!$B$4:$C$1000,2,FALSE),"")</f>
        <v>Included in base game</v>
      </c>
      <c r="V59" s="4" t="s">
        <v>278</v>
      </c>
      <c r="Y59" s="5"/>
      <c r="Z59" s="3">
        <f>IF(AND(G59&lt;&gt;"LIBSETS_SETTYPE_BATTLEGROUND",G59&lt;&gt;"LIBSETS_SETTYPE_SPECIAL"),IF(AND(Y59&lt;&gt;"",ISNUMBER(Y59),NOT(ISNA(Y59))),Y59,IF(AND(L59&lt;&gt;"",ISNUMBER(L59),L59&gt;0,NOT(ISNA(L59))),VLOOKUP(L59,'ESO wayshrines'!$K$3:$L$9972,2,FALSE),"")),"")</f>
        <v>104</v>
      </c>
      <c r="AA59" t="str">
        <f>IF(AND(Z59&lt;&gt;"",ISNUMBER(Z59),NOT(ISNA(Z59))),VLOOKUP(Z59,'ESO zones'!$A$5:$D$10003,4,FALSE),"")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zones'!$A$5:$D$10003,4,FALSE),"")</f>
        <v>Alik'r Desert</v>
      </c>
      <c r="AK59" s="3" t="str">
        <f>IF(AND(G59&lt;&gt;"LIBSETS_SETTYPE_BATTLEGROUND",G59&lt;&gt;"LIBSETS_SETTYPE_SPECIAL"),IF(AL59&lt;&gt;"",VLOOKUP(AL59,'ESO zones'!$D$5:$H$4957,5,FALSE),""),"")</f>
        <v/>
      </c>
      <c r="AP59" s="3" t="str">
        <f>IF(AND(G59&lt;&gt;"LIBSETS_SETTYPE_BATTLEGROUND",G59&lt;&gt;"LIBSETS_SETTYPE_SPECIAL"),IF(AQ59&lt;&gt;"",VLOOKUP(AQ59,'ESO zones'!$D$5:$H$4957,5,FALSE),""),"")</f>
        <v/>
      </c>
      <c r="AU59" s="3" t="str">
        <f>IF(AND(G59&lt;&gt;"LIBSETS_SETTYPE_BATTLEGROUND",G59&lt;&gt;"LIBSETS_SETTYPE_SPECIAL"),IF(AV59&lt;&gt;"",VLOOKUP(AV59,'ESO zones'!$D$5:$H$4957,5,FALSE),""),"")</f>
        <v/>
      </c>
      <c r="AZ59" s="49" t="s">
        <v>403</v>
      </c>
      <c r="BA59" s="49"/>
      <c r="BB59" s="49"/>
      <c r="BC59" s="49"/>
      <c r="BD59" s="49"/>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1">
        <v>78</v>
      </c>
      <c r="B60" t="s">
        <v>540</v>
      </c>
      <c r="C60" t="s">
        <v>541</v>
      </c>
      <c r="D60" s="3">
        <f t="shared" si="0"/>
        <v>78</v>
      </c>
      <c r="E60" s="41"/>
      <c r="G60" s="9" t="s">
        <v>163</v>
      </c>
      <c r="I60" t="s">
        <v>401</v>
      </c>
      <c r="J60" t="s">
        <v>401</v>
      </c>
      <c r="K60">
        <v>9</v>
      </c>
      <c r="L60">
        <v>154</v>
      </c>
      <c r="M60">
        <v>51</v>
      </c>
      <c r="N60">
        <v>4</v>
      </c>
      <c r="Q60" s="3">
        <f>IF(AND(P60&lt;&gt;"",ISNUMBER(P60),NOT(ISNA(P60))),P60,IF(R60&lt;&gt;"",VLOOKUP(R60,'ESO zones'!$D$5:$H$10005,5,FALSE),""))</f>
        <v>20</v>
      </c>
      <c r="R60" t="str">
        <f>IF(AND(O60&lt;&gt;"",NOT(ISERROR(O60))),O60,IF(AND(P60&lt;&gt;"",ISNUMBER(P60),P60&gt;0,NOT(ISNA(P60))),VLOOKUP(P60,'ESO zones'!$A$5:$D$10003,4,FALSE),IF(AND(K60&lt;&gt;"",K60&gt;0,NOT(ISERROR(K60))),VLOOKUP(K60,'ESO wayshrines'!$K$3:$N$9972,4,FALSE),"")))</f>
        <v>Rivenspire</v>
      </c>
      <c r="T60" s="16" t="str">
        <f>IF(AND(S60&lt;&gt;"",NOT(ISERROR(S60))),S60,VLOOKUP(A60,'ESO Set&amp;DLCs'!$A$3:$D$99998,4,FALSE))</f>
        <v>DLC_BASE_GAME</v>
      </c>
      <c r="U60" s="3" t="str">
        <f>IF(T60&lt;&gt;"",VLOOKUP(T60,ConstDLCIds!$B$4:$C$1000,2,FALSE),"")</f>
        <v>Included in base game</v>
      </c>
      <c r="V60" s="4" t="s">
        <v>281</v>
      </c>
      <c r="Y60" s="5"/>
      <c r="Z60" s="3">
        <f>IF(AND(G60&lt;&gt;"LIBSETS_SETTYPE_BATTLEGROUND",G60&lt;&gt;"LIBSETS_SETTYPE_SPECIAL"),IF(AND(Y60&lt;&gt;"",ISNUMBER(Y60),NOT(ISNA(Y60))),Y60,IF(AND(L60&lt;&gt;"",ISNUMBER(L60),L60&gt;0,NOT(ISNA(L60))),VLOOKUP(L60,'ESO wayshrines'!$K$3:$L$9972,2,FALSE),"")),"")</f>
        <v>108</v>
      </c>
      <c r="AA60" t="str">
        <f>IF(AND(Z60&lt;&gt;"",ISNUMBER(Z60),NOT(ISNA(Z60))),VLOOKUP(Z60,'ESO zones'!$A$5:$D$10003,4,FALSE),"")</f>
        <v>Greenshade</v>
      </c>
      <c r="AB60" s="4"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zones'!$A$5:$D$10003,4,FALSE),"")</f>
        <v>Shadowfen</v>
      </c>
      <c r="AH60" s="4" t="s">
        <v>281</v>
      </c>
      <c r="AK60" s="3" t="str">
        <f>IF(AND(G60&lt;&gt;"LIBSETS_SETTYPE_BATTLEGROUND",G60&lt;&gt;"LIBSETS_SETTYPE_SPECIAL"),IF(AL60&lt;&gt;"",VLOOKUP(AL60,'ESO zones'!$D$5:$H$4957,5,FALSE),""),"")</f>
        <v/>
      </c>
      <c r="AP60" s="3" t="str">
        <f>IF(AND(G60&lt;&gt;"LIBSETS_SETTYPE_BATTLEGROUND",G60&lt;&gt;"LIBSETS_SETTYPE_SPECIAL"),IF(AQ60&lt;&gt;"",VLOOKUP(AQ60,'ESO zones'!$D$5:$H$4957,5,FALSE),""),"")</f>
        <v/>
      </c>
      <c r="AU60" s="3" t="str">
        <f>IF(AND(G60&lt;&gt;"LIBSETS_SETTYPE_BATTLEGROUND",G60&lt;&gt;"LIBSETS_SETTYPE_SPECIAL"),IF(AV60&lt;&gt;"",VLOOKUP(AV60,'ESO zones'!$D$5:$H$4957,5,FALSE),""),"")</f>
        <v/>
      </c>
      <c r="AZ60" s="49" t="s">
        <v>403</v>
      </c>
      <c r="BA60" s="49"/>
      <c r="BB60" s="49"/>
      <c r="BC60" s="49"/>
      <c r="BD60" s="49"/>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1">
        <v>79</v>
      </c>
      <c r="B61" t="s">
        <v>542</v>
      </c>
      <c r="C61" t="s">
        <v>543</v>
      </c>
      <c r="D61" s="3">
        <f t="shared" si="0"/>
        <v>79</v>
      </c>
      <c r="E61" s="41"/>
      <c r="G61" s="9" t="s">
        <v>163</v>
      </c>
      <c r="I61" t="s">
        <v>401</v>
      </c>
      <c r="J61" t="s">
        <v>401</v>
      </c>
      <c r="K61">
        <v>35</v>
      </c>
      <c r="L61">
        <v>144</v>
      </c>
      <c r="M61">
        <v>111</v>
      </c>
      <c r="N61">
        <v>6</v>
      </c>
      <c r="Q61" s="3">
        <f>IF(AND(P61&lt;&gt;"",ISNUMBER(P61),NOT(ISNA(P61))),P61,IF(R61&lt;&gt;"",VLOOKUP(R61,'ESO zones'!$D$5:$H$10005,5,FALSE),""))</f>
        <v>92</v>
      </c>
      <c r="R61" t="str">
        <f>IF(AND(O61&lt;&gt;"",NOT(ISERROR(O61))),O61,IF(AND(P61&lt;&gt;"",ISNUMBER(P61),P61&gt;0,NOT(ISNA(P61))),VLOOKUP(P61,'ESO zones'!$A$5:$D$10003,4,FALSE),IF(AND(K61&lt;&gt;"",K61&gt;0,NOT(ISERROR(K61))),VLOOKUP(K61,'ESO wayshrines'!$K$3:$N$9972,4,FALSE),"")))</f>
        <v>Bangkorai</v>
      </c>
      <c r="T61" s="16" t="str">
        <f>IF(AND(S61&lt;&gt;"",NOT(ISERROR(S61))),S61,VLOOKUP(A61,'ESO Set&amp;DLCs'!$A$3:$D$99998,4,FALSE))</f>
        <v>DLC_BASE_GAME</v>
      </c>
      <c r="U61" s="3" t="str">
        <f>IF(T61&lt;&gt;"",VLOOKUP(T61,ConstDLCIds!$B$4:$C$1000,2,FALSE),"")</f>
        <v>Included in base game</v>
      </c>
      <c r="V61" s="4" t="s">
        <v>281</v>
      </c>
      <c r="Y61" s="5"/>
      <c r="Z61" s="3">
        <f>IF(AND(G61&lt;&gt;"LIBSETS_SETTYPE_BATTLEGROUND",G61&lt;&gt;"LIBSETS_SETTYPE_SPECIAL"),IF(AND(Y61&lt;&gt;"",ISNUMBER(Y61),NOT(ISNA(Y61))),Y61,IF(AND(L61&lt;&gt;"",ISNUMBER(L61),L61&gt;0,NOT(ISNA(L61))),VLOOKUP(L61,'ESO wayshrines'!$K$3:$L$9972,2,FALSE),"")),"")</f>
        <v>382</v>
      </c>
      <c r="AA61" t="str">
        <f>IF(AND(Z61&lt;&gt;"",ISNUMBER(Z61),NOT(ISNA(Z61))),VLOOKUP(Z61,'ESO zones'!$A$5:$D$10003,4,FALSE),"")</f>
        <v>Reaper's March</v>
      </c>
      <c r="AB61" s="4"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zones'!$A$5:$D$10003,4,FALSE),"")</f>
        <v>The Rift</v>
      </c>
      <c r="AH61" s="4" t="s">
        <v>281</v>
      </c>
      <c r="AK61" s="3" t="str">
        <f>IF(AND(G61&lt;&gt;"LIBSETS_SETTYPE_BATTLEGROUND",G61&lt;&gt;"LIBSETS_SETTYPE_SPECIAL"),IF(AL61&lt;&gt;"",VLOOKUP(AL61,'ESO zones'!$D$5:$H$4957,5,FALSE),""),"")</f>
        <v/>
      </c>
      <c r="AP61" s="3" t="str">
        <f>IF(AND(G61&lt;&gt;"LIBSETS_SETTYPE_BATTLEGROUND",G61&lt;&gt;"LIBSETS_SETTYPE_SPECIAL"),IF(AQ61&lt;&gt;"",VLOOKUP(AQ61,'ESO zones'!$D$5:$H$4957,5,FALSE),""),"")</f>
        <v/>
      </c>
      <c r="AU61" s="3" t="str">
        <f>IF(AND(G61&lt;&gt;"LIBSETS_SETTYPE_BATTLEGROUND",G61&lt;&gt;"LIBSETS_SETTYPE_SPECIAL"),IF(AV61&lt;&gt;"",VLOOKUP(AV61,'ESO zones'!$D$5:$H$4957,5,FALSE),""),"")</f>
        <v/>
      </c>
      <c r="AZ61" s="49" t="s">
        <v>410</v>
      </c>
      <c r="BA61" s="49"/>
      <c r="BB61" s="49"/>
      <c r="BC61" s="49"/>
      <c r="BD61" s="49"/>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1">
        <v>80</v>
      </c>
      <c r="B62" t="s">
        <v>544</v>
      </c>
      <c r="C62" t="s">
        <v>545</v>
      </c>
      <c r="D62" s="3">
        <f t="shared" si="0"/>
        <v>80</v>
      </c>
      <c r="E62" s="41"/>
      <c r="G62" s="9" t="s">
        <v>163</v>
      </c>
      <c r="I62" t="s">
        <v>401</v>
      </c>
      <c r="J62" t="s">
        <v>401</v>
      </c>
      <c r="K62">
        <v>39</v>
      </c>
      <c r="L62">
        <v>161</v>
      </c>
      <c r="M62">
        <v>113</v>
      </c>
      <c r="N62">
        <v>6</v>
      </c>
      <c r="Q62" s="3">
        <f>IF(AND(P62&lt;&gt;"",ISNUMBER(P62),NOT(ISNA(P62))),P62,IF(R62&lt;&gt;"",VLOOKUP(R62,'ESO zones'!$D$5:$H$10005,5,FALSE),""))</f>
        <v>92</v>
      </c>
      <c r="R62" t="str">
        <f>IF(AND(O62&lt;&gt;"",NOT(ISERROR(O62))),O62,IF(AND(P62&lt;&gt;"",ISNUMBER(P62),P62&gt;0,NOT(ISNA(P62))),VLOOKUP(P62,'ESO zones'!$A$5:$D$10003,4,FALSE),IF(AND(K62&lt;&gt;"",K62&gt;0,NOT(ISERROR(K62))),VLOOKUP(K62,'ESO wayshrines'!$K$3:$N$9972,4,FALSE),"")))</f>
        <v>Bangkorai</v>
      </c>
      <c r="T62" s="16" t="str">
        <f>IF(AND(S62&lt;&gt;"",NOT(ISERROR(S62))),S62,VLOOKUP(A62,'ESO Set&amp;DLCs'!$A$3:$D$99998,4,FALSE))</f>
        <v>DLC_BASE_GAME</v>
      </c>
      <c r="U62" s="3" t="str">
        <f>IF(T62&lt;&gt;"",VLOOKUP(T62,ConstDLCIds!$B$4:$C$1000,2,FALSE),"")</f>
        <v>Included in base game</v>
      </c>
      <c r="V62" s="4" t="s">
        <v>281</v>
      </c>
      <c r="Y62" s="5"/>
      <c r="Z62" s="3">
        <f>IF(AND(G62&lt;&gt;"LIBSETS_SETTYPE_BATTLEGROUND",G62&lt;&gt;"LIBSETS_SETTYPE_SPECIAL"),IF(AND(Y62&lt;&gt;"",ISNUMBER(Y62),NOT(ISNA(Y62))),Y62,IF(AND(L62&lt;&gt;"",ISNUMBER(L62),L62&gt;0,NOT(ISNA(L62))),VLOOKUP(L62,'ESO wayshrines'!$K$3:$L$9972,2,FALSE),"")),"")</f>
        <v>382</v>
      </c>
      <c r="AA62" t="str">
        <f>IF(AND(Z62&lt;&gt;"",ISNUMBER(Z62),NOT(ISNA(Z62))),VLOOKUP(Z62,'ESO zones'!$A$5:$D$10003,4,FALSE),"")</f>
        <v>Reaper's March</v>
      </c>
      <c r="AB62" s="4"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zones'!$A$5:$D$10003,4,FALSE),"")</f>
        <v>The Rift</v>
      </c>
      <c r="AH62" s="4" t="s">
        <v>281</v>
      </c>
      <c r="AK62" s="3" t="str">
        <f>IF(AND(G62&lt;&gt;"LIBSETS_SETTYPE_BATTLEGROUND",G62&lt;&gt;"LIBSETS_SETTYPE_SPECIAL"),IF(AL62&lt;&gt;"",VLOOKUP(AL62,'ESO zones'!$D$5:$H$4957,5,FALSE),""),"")</f>
        <v/>
      </c>
      <c r="AP62" s="3" t="str">
        <f>IF(AND(G62&lt;&gt;"LIBSETS_SETTYPE_BATTLEGROUND",G62&lt;&gt;"LIBSETS_SETTYPE_SPECIAL"),IF(AQ62&lt;&gt;"",VLOOKUP(AQ62,'ESO zones'!$D$5:$H$4957,5,FALSE),""),"")</f>
        <v/>
      </c>
      <c r="AU62" s="3" t="str">
        <f>IF(AND(G62&lt;&gt;"LIBSETS_SETTYPE_BATTLEGROUND",G62&lt;&gt;"LIBSETS_SETTYPE_SPECIAL"),IF(AV62&lt;&gt;"",VLOOKUP(AV62,'ESO zones'!$D$5:$H$4957,5,FALSE),""),"")</f>
        <v/>
      </c>
      <c r="AZ62" s="49" t="s">
        <v>403</v>
      </c>
      <c r="BA62" s="49"/>
      <c r="BB62" s="49"/>
      <c r="BC62" s="49"/>
      <c r="BD62" s="49"/>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1">
        <v>81</v>
      </c>
      <c r="B63" t="s">
        <v>546</v>
      </c>
      <c r="C63" t="s">
        <v>547</v>
      </c>
      <c r="D63" s="3">
        <f t="shared" si="0"/>
        <v>81</v>
      </c>
      <c r="G63" s="9" t="s">
        <v>163</v>
      </c>
      <c r="I63" t="s">
        <v>401</v>
      </c>
      <c r="J63" t="s">
        <v>401</v>
      </c>
      <c r="K63">
        <v>137</v>
      </c>
      <c r="L63">
        <v>103</v>
      </c>
      <c r="M63">
        <v>89</v>
      </c>
      <c r="N63">
        <v>5</v>
      </c>
      <c r="Q63" s="3">
        <f>IF(AND(P63&lt;&gt;"",ISNUMBER(P63),NOT(ISNA(P63))),P63,IF(R63&lt;&gt;"",VLOOKUP(R63,'ESO zones'!$D$5:$H$10005,5,FALSE),""))</f>
        <v>104</v>
      </c>
      <c r="R63" t="str">
        <f>IF(AND(O63&lt;&gt;"",NOT(ISERROR(O63))),O63,IF(AND(P63&lt;&gt;"",ISNUMBER(P63),P63&gt;0,NOT(ISNA(P63))),VLOOKUP(P63,'ESO zones'!$A$5:$D$10003,4,FALSE),IF(AND(K63&lt;&gt;"",K63&gt;0,NOT(ISERROR(K63))),VLOOKUP(K63,'ESO wayshrines'!$K$3:$N$9972,4,FALSE),"")))</f>
        <v>Alik'r Desert</v>
      </c>
      <c r="T63" s="16" t="str">
        <f>IF(AND(S63&lt;&gt;"",NOT(ISERROR(S63))),S63,VLOOKUP(A63,'ESO Set&amp;DLCs'!$A$3:$D$99998,4,FALSE))</f>
        <v>DLC_BASE_GAME</v>
      </c>
      <c r="U63" s="3" t="str">
        <f>IF(T63&lt;&gt;"",VLOOKUP(T63,ConstDLCIds!$B$4:$C$1000,2,FALSE),"")</f>
        <v>Included in base game</v>
      </c>
      <c r="V63" s="4" t="s">
        <v>281</v>
      </c>
      <c r="Y63" s="5"/>
      <c r="Z63" s="3">
        <f>IF(AND(G63&lt;&gt;"LIBSETS_SETTYPE_BATTLEGROUND",G63&lt;&gt;"LIBSETS_SETTYPE_SPECIAL"),IF(AND(Y63&lt;&gt;"",ISNUMBER(Y63),NOT(ISNA(Y63))),Y63,IF(AND(L63&lt;&gt;"",ISNUMBER(L63),L63&gt;0,NOT(ISNA(L63))),VLOOKUP(L63,'ESO wayshrines'!$K$3:$L$9972,2,FALSE),"")),"")</f>
        <v>58</v>
      </c>
      <c r="AA63" t="str">
        <f>IF(AND(Z63&lt;&gt;"",ISNUMBER(Z63),NOT(ISNA(Z63))),VLOOKUP(Z63,'ESO zones'!$A$5:$D$10003,4,FALSE),"")</f>
        <v>Malabal Tor</v>
      </c>
      <c r="AB63" s="4"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zones'!$A$5:$D$10003,4,FALSE),"")</f>
        <v>Eastmarch</v>
      </c>
      <c r="AH63" s="4" t="s">
        <v>281</v>
      </c>
      <c r="AK63" s="3" t="str">
        <f>IF(AND(G63&lt;&gt;"LIBSETS_SETTYPE_BATTLEGROUND",G63&lt;&gt;"LIBSETS_SETTYPE_SPECIAL"),IF(AL63&lt;&gt;"",VLOOKUP(AL63,'ESO zones'!$D$5:$H$4957,5,FALSE),""),"")</f>
        <v/>
      </c>
      <c r="AP63" s="3" t="str">
        <f>IF(AND(G63&lt;&gt;"LIBSETS_SETTYPE_BATTLEGROUND",G63&lt;&gt;"LIBSETS_SETTYPE_SPECIAL"),IF(AQ63&lt;&gt;"",VLOOKUP(AQ63,'ESO zones'!$D$5:$H$4957,5,FALSE),""),"")</f>
        <v/>
      </c>
      <c r="AU63" s="3" t="str">
        <f>IF(AND(G63&lt;&gt;"LIBSETS_SETTYPE_BATTLEGROUND",G63&lt;&gt;"LIBSETS_SETTYPE_SPECIAL"),IF(AV63&lt;&gt;"",VLOOKUP(AV63,'ESO zones'!$D$5:$H$4957,5,FALSE),""),"")</f>
        <v/>
      </c>
      <c r="AZ63" s="49" t="s">
        <v>403</v>
      </c>
      <c r="BA63" s="49"/>
      <c r="BB63" s="49"/>
      <c r="BC63" s="49"/>
      <c r="BD63" s="49"/>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1">
        <v>82</v>
      </c>
      <c r="B64" t="s">
        <v>548</v>
      </c>
      <c r="C64" t="s">
        <v>549</v>
      </c>
      <c r="D64" s="3">
        <f t="shared" si="0"/>
        <v>82</v>
      </c>
      <c r="G64" s="9" t="s">
        <v>163</v>
      </c>
      <c r="I64" t="s">
        <v>401</v>
      </c>
      <c r="J64" t="s">
        <v>401</v>
      </c>
      <c r="K64">
        <v>155</v>
      </c>
      <c r="L64">
        <v>105</v>
      </c>
      <c r="M64">
        <v>95</v>
      </c>
      <c r="N64">
        <v>5</v>
      </c>
      <c r="Q64" s="3">
        <f>IF(AND(P64&lt;&gt;"",ISNUMBER(P64),NOT(ISNA(P64))),P64,IF(R64&lt;&gt;"",VLOOKUP(R64,'ESO zones'!$D$5:$H$10005,5,FALSE),""))</f>
        <v>104</v>
      </c>
      <c r="R64" t="str">
        <f>IF(AND(O64&lt;&gt;"",NOT(ISERROR(O64))),O64,IF(AND(P64&lt;&gt;"",ISNUMBER(P64),P64&gt;0,NOT(ISNA(P64))),VLOOKUP(P64,'ESO zones'!$A$5:$D$10003,4,FALSE),IF(AND(K64&lt;&gt;"",K64&gt;0,NOT(ISERROR(K64))),VLOOKUP(K64,'ESO wayshrines'!$K$3:$N$9972,4,FALSE),"")))</f>
        <v>Alik'r Desert</v>
      </c>
      <c r="T64" s="16" t="str">
        <f>IF(AND(S64&lt;&gt;"",NOT(ISERROR(S64))),S64,VLOOKUP(A64,'ESO Set&amp;DLCs'!$A$3:$D$99998,4,FALSE))</f>
        <v>DLC_BASE_GAME</v>
      </c>
      <c r="U64" s="3" t="str">
        <f>IF(T64&lt;&gt;"",VLOOKUP(T64,ConstDLCIds!$B$4:$C$1000,2,FALSE),"")</f>
        <v>Included in base game</v>
      </c>
      <c r="V64" s="4"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zones'!$A$5:$D$10003,4,FALSE),"")</f>
        <v>Malabal Tor</v>
      </c>
      <c r="AB64" s="4"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zones'!$A$5:$D$10003,4,FALSE),"")</f>
        <v>Eastmarch</v>
      </c>
      <c r="AH64" s="4" t="s">
        <v>281</v>
      </c>
      <c r="AK64" s="3" t="str">
        <f>IF(AND(G64&lt;&gt;"LIBSETS_SETTYPE_BATTLEGROUND",G64&lt;&gt;"LIBSETS_SETTYPE_SPECIAL"),IF(AL64&lt;&gt;"",VLOOKUP(AL64,'ESO zones'!$D$5:$H$4957,5,FALSE),""),"")</f>
        <v/>
      </c>
      <c r="AP64" s="3" t="str">
        <f>IF(AND(G64&lt;&gt;"LIBSETS_SETTYPE_BATTLEGROUND",G64&lt;&gt;"LIBSETS_SETTYPE_SPECIAL"),IF(AQ64&lt;&gt;"",VLOOKUP(AQ64,'ESO zones'!$D$5:$H$4957,5,FALSE),""),"")</f>
        <v/>
      </c>
      <c r="AU64" s="3" t="str">
        <f>IF(AND(G64&lt;&gt;"LIBSETS_SETTYPE_BATTLEGROUND",G64&lt;&gt;"LIBSETS_SETTYPE_SPECIAL"),IF(AV64&lt;&gt;"",VLOOKUP(AV64,'ESO zones'!$D$5:$H$4957,5,FALSE),""),"")</f>
        <v/>
      </c>
      <c r="AZ64" s="49" t="s">
        <v>403</v>
      </c>
      <c r="BA64" s="49"/>
      <c r="BB64" s="49"/>
      <c r="BC64" s="49"/>
      <c r="BD64" s="49"/>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2">
        <v>83</v>
      </c>
      <c r="B65" t="s">
        <v>550</v>
      </c>
      <c r="C65" t="s">
        <v>551</v>
      </c>
      <c r="D65" s="3">
        <f t="shared" si="0"/>
        <v>83</v>
      </c>
      <c r="G65" s="9" t="s">
        <v>165</v>
      </c>
      <c r="I65" t="s">
        <v>401</v>
      </c>
      <c r="J65" t="s">
        <v>401</v>
      </c>
      <c r="K65">
        <v>-1</v>
      </c>
      <c r="L65">
        <v>-1</v>
      </c>
      <c r="M65">
        <v>-1</v>
      </c>
      <c r="O65" s="5" t="s">
        <v>166</v>
      </c>
      <c r="Q65" s="3">
        <f>IF(AND(P65&lt;&gt;"",ISNUMBER(P65),NOT(ISNA(P65))),P65,IF(R65&lt;&gt;"",VLOOKUP(R65,'ESO zones'!$D$5:$H$10005,5,FALSE),""))</f>
        <v>181</v>
      </c>
      <c r="R65" t="str">
        <f>IF(AND(O65&lt;&gt;"",NOT(ISERROR(O65))),O65,IF(AND(P65&lt;&gt;"",ISNUMBER(P65),P65&gt;0,NOT(ISNA(P65))),VLOOKUP(P65,'ESO zones'!$A$5:$D$10003,4,FALSE),IF(AND(K65&lt;&gt;"",K65&gt;0,NOT(ISERROR(K65))),VLOOKUP(K65,'ESO wayshrines'!$K$3:$N$9972,4,FALSE),"")))</f>
        <v>Cyrodiil</v>
      </c>
      <c r="T65" s="16" t="str">
        <f>IF(AND(S65&lt;&gt;"",NOT(ISERROR(S65))),S65,VLOOKUP(A65,'ESO Set&amp;DLCs'!$A$3:$D$99998,4,FALSE))</f>
        <v>DLC_BASE_GAME</v>
      </c>
      <c r="U65" s="3" t="str">
        <f>IF(T65&lt;&gt;"",VLOOKUP(T65,ConstDLCIds!$B$4:$C$1000,2,FALSE),"")</f>
        <v>Included in base game</v>
      </c>
      <c r="V65" s="4" t="s">
        <v>206</v>
      </c>
      <c r="Y65" s="5">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zones'!$A$5:$D$10003,4,FALSE),"")</f>
        <v>Cyrodiil</v>
      </c>
      <c r="AB65" s="4" t="s">
        <v>301</v>
      </c>
      <c r="AE65" s="5">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zones'!$A$5:$D$10003,4,FALSE),"")</f>
        <v>Cyrodiil</v>
      </c>
      <c r="AH65" s="4" t="s">
        <v>248</v>
      </c>
      <c r="AK65" s="3">
        <f>IF(AND(G65&lt;&gt;"LIBSETS_SETTYPE_BATTLEGROUND",G65&lt;&gt;"LIBSETS_SETTYPE_SPECIAL"),IF(AL65&lt;&gt;"",VLOOKUP(AL65,'ESO zones'!$D$5:$H$4957,5,FALSE),""),"")</f>
        <v>181</v>
      </c>
      <c r="AL65" t="s">
        <v>166</v>
      </c>
      <c r="AM65" s="4" t="s">
        <v>298</v>
      </c>
      <c r="AP65" s="3">
        <f>IF(AND(G65&lt;&gt;"LIBSETS_SETTYPE_BATTLEGROUND",G65&lt;&gt;"LIBSETS_SETTYPE_SPECIAL"),IF(AQ65&lt;&gt;"",VLOOKUP(AQ65,'ESO zones'!$D$5:$H$4957,5,FALSE),""),"")</f>
        <v>181</v>
      </c>
      <c r="AQ65" t="s">
        <v>166</v>
      </c>
      <c r="AR65" s="4" t="s">
        <v>215</v>
      </c>
      <c r="AU65" s="3">
        <f>IF(AND(G65&lt;&gt;"LIBSETS_SETTYPE_BATTLEGROUND",G65&lt;&gt;"LIBSETS_SETTYPE_SPECIAL"),IF(AV65&lt;&gt;"",VLOOKUP(AV65,'ESO zones'!$D$5:$H$4957,5,FALSE),""),"")</f>
        <v>181</v>
      </c>
      <c r="AV65" t="s">
        <v>166</v>
      </c>
      <c r="AW65" s="4" t="s">
        <v>257</v>
      </c>
      <c r="AZ65" s="49" t="s">
        <v>410</v>
      </c>
      <c r="BA65" s="49"/>
      <c r="BB65" s="49"/>
      <c r="BC65" s="49"/>
      <c r="BD65" s="49"/>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1">
        <v>84</v>
      </c>
      <c r="B66" t="s">
        <v>552</v>
      </c>
      <c r="C66" t="s">
        <v>553</v>
      </c>
      <c r="D66" s="3">
        <f t="shared" si="0"/>
        <v>84</v>
      </c>
      <c r="G66" s="9" t="s">
        <v>163</v>
      </c>
      <c r="I66" t="s">
        <v>401</v>
      </c>
      <c r="J66" t="s">
        <v>401</v>
      </c>
      <c r="K66">
        <v>-2</v>
      </c>
      <c r="L66">
        <v>-2</v>
      </c>
      <c r="M66">
        <v>-2</v>
      </c>
      <c r="N66">
        <v>8</v>
      </c>
      <c r="O66" s="5" t="s">
        <v>554</v>
      </c>
      <c r="Q66" s="3">
        <f>IF(AND(P66&lt;&gt;"",ISNUMBER(P66),NOT(ISNA(P66))),P66,IF(R66&lt;&gt;"",VLOOKUP(R66,'ESO zones'!$D$5:$H$10005,5,FALSE),""))</f>
        <v>208</v>
      </c>
      <c r="R66" t="str">
        <f>IF(AND(O66&lt;&gt;"",NOT(ISERROR(O66))),O66,IF(AND(P66&lt;&gt;"",ISNUMBER(P66),P66&gt;0,NOT(ISNA(P66))),VLOOKUP(P66,'ESO zones'!$A$5:$D$10003,4,FALSE),IF(AND(K66&lt;&gt;"",K66&gt;0,NOT(ISERROR(K66))),VLOOKUP(K66,'ESO wayshrines'!$K$3:$N$9972,4,FALSE),"")))</f>
        <v>The Earth Forge</v>
      </c>
      <c r="T66" s="16" t="str">
        <f>IF(AND(S66&lt;&gt;"",NOT(ISERROR(S66))),S66,VLOOKUP(A66,'ESO Set&amp;DLCs'!$A$3:$D$99998,4,FALSE))</f>
        <v>DLC_BASE_GAME</v>
      </c>
      <c r="U66" s="3" t="str">
        <f>IF(T66&lt;&gt;"",VLOOKUP(T66,ConstDLCIds!$B$4:$C$1000,2,FALSE),"")</f>
        <v>Included in base game</v>
      </c>
      <c r="V66" s="4" t="s">
        <v>281</v>
      </c>
      <c r="Y66" s="5">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zones'!$A$5:$D$10003,4,FALSE),"")</f>
        <v>Imperial Sewers</v>
      </c>
      <c r="AB66" s="4"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zones'!$A$5:$D$10003,4,FALSE),"")</f>
        <v/>
      </c>
      <c r="AK66" s="3" t="str">
        <f>IF(AND(G66&lt;&gt;"LIBSETS_SETTYPE_BATTLEGROUND",G66&lt;&gt;"LIBSETS_SETTYPE_SPECIAL"),IF(AL66&lt;&gt;"",VLOOKUP(AL66,'ESO zones'!$D$5:$H$4957,5,FALSE),""),"")</f>
        <v/>
      </c>
      <c r="AP66" s="3" t="str">
        <f>IF(AND(G66&lt;&gt;"LIBSETS_SETTYPE_BATTLEGROUND",G66&lt;&gt;"LIBSETS_SETTYPE_SPECIAL"),IF(AQ66&lt;&gt;"",VLOOKUP(AQ66,'ESO zones'!$D$5:$H$4957,5,FALSE),""),"")</f>
        <v/>
      </c>
      <c r="AU66" s="3" t="str">
        <f>IF(AND(G66&lt;&gt;"LIBSETS_SETTYPE_BATTLEGROUND",G66&lt;&gt;"LIBSETS_SETTYPE_SPECIAL"),IF(AV66&lt;&gt;"",VLOOKUP(AV66,'ESO zones'!$D$5:$H$4957,5,FALSE),""),"")</f>
        <v/>
      </c>
      <c r="AZ66" s="49" t="s">
        <v>410</v>
      </c>
      <c r="BA66" s="49"/>
      <c r="BB66" s="49"/>
      <c r="BC66" s="49"/>
      <c r="BD66" s="49"/>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2">
        <v>85</v>
      </c>
      <c r="B67" t="s">
        <v>555</v>
      </c>
      <c r="C67" t="s">
        <v>556</v>
      </c>
      <c r="D67" s="3">
        <f t="shared" ref="D67:D130" si="6">A67</f>
        <v>85</v>
      </c>
      <c r="G67" s="9" t="s">
        <v>165</v>
      </c>
      <c r="I67" t="s">
        <v>401</v>
      </c>
      <c r="J67" t="s">
        <v>401</v>
      </c>
      <c r="K67">
        <v>-1</v>
      </c>
      <c r="L67">
        <v>-1</v>
      </c>
      <c r="M67">
        <v>-1</v>
      </c>
      <c r="O67" s="5" t="s">
        <v>166</v>
      </c>
      <c r="Q67" s="3">
        <f>IF(AND(P67&lt;&gt;"",ISNUMBER(P67),NOT(ISNA(P67))),P67,IF(R67&lt;&gt;"",VLOOKUP(R67,'ESO zones'!$D$5:$H$10005,5,FALSE),""))</f>
        <v>181</v>
      </c>
      <c r="R67" t="str">
        <f>IF(AND(O67&lt;&gt;"",NOT(ISERROR(O67))),O67,IF(AND(P67&lt;&gt;"",ISNUMBER(P67),P67&gt;0,NOT(ISNA(P67))),VLOOKUP(P67,'ESO zones'!$A$5:$D$10003,4,FALSE),IF(AND(K67&lt;&gt;"",K67&gt;0,NOT(ISERROR(K67))),VLOOKUP(K67,'ESO wayshrines'!$K$3:$N$9972,4,FALSE),"")))</f>
        <v>Cyrodiil</v>
      </c>
      <c r="T67" s="16" t="str">
        <f>IF(AND(S67&lt;&gt;"",NOT(ISERROR(S67))),S67,VLOOKUP(A67,'ESO Set&amp;DLCs'!$A$3:$D$99998,4,FALSE))</f>
        <v>DLC_BASE_GAME</v>
      </c>
      <c r="U67" s="3" t="str">
        <f>IF(T67&lt;&gt;"",VLOOKUP(T67,ConstDLCIds!$B$4:$C$1000,2,FALSE),"")</f>
        <v>Included in base game</v>
      </c>
      <c r="V67" s="4" t="s">
        <v>203</v>
      </c>
      <c r="Y67" s="5">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zones'!$A$5:$D$10003,4,FALSE),"")</f>
        <v>Cyrodiil</v>
      </c>
      <c r="AB67" s="4" t="s">
        <v>301</v>
      </c>
      <c r="AE67" s="5">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zones'!$A$5:$D$10003,4,FALSE),"")</f>
        <v>Cyrodiil</v>
      </c>
      <c r="AH67" s="4" t="s">
        <v>248</v>
      </c>
      <c r="AK67" s="3">
        <f>IF(AND(G67&lt;&gt;"LIBSETS_SETTYPE_BATTLEGROUND",G67&lt;&gt;"LIBSETS_SETTYPE_SPECIAL"),IF(AL67&lt;&gt;"",VLOOKUP(AL67,'ESO zones'!$D$5:$H$4957,5,FALSE),""),"")</f>
        <v>181</v>
      </c>
      <c r="AL67" t="s">
        <v>166</v>
      </c>
      <c r="AM67" s="4" t="s">
        <v>298</v>
      </c>
      <c r="AP67" s="3">
        <f>IF(AND(G67&lt;&gt;"LIBSETS_SETTYPE_BATTLEGROUND",G67&lt;&gt;"LIBSETS_SETTYPE_SPECIAL"),IF(AQ67&lt;&gt;"",VLOOKUP(AQ67,'ESO zones'!$D$5:$H$4957,5,FALSE),""),"")</f>
        <v>181</v>
      </c>
      <c r="AQ67" t="s">
        <v>166</v>
      </c>
      <c r="AR67" s="4" t="s">
        <v>215</v>
      </c>
      <c r="AU67" s="3">
        <f>IF(AND(G67&lt;&gt;"LIBSETS_SETTYPE_BATTLEGROUND",G67&lt;&gt;"LIBSETS_SETTYPE_SPECIAL"),IF(AV67&lt;&gt;"",VLOOKUP(AV67,'ESO zones'!$D$5:$H$4957,5,FALSE),""),"")</f>
        <v>181</v>
      </c>
      <c r="AV67" t="s">
        <v>166</v>
      </c>
      <c r="AW67" s="4" t="s">
        <v>257</v>
      </c>
      <c r="AZ67" s="49" t="s">
        <v>403</v>
      </c>
      <c r="BA67" s="49"/>
      <c r="BB67" s="49"/>
      <c r="BC67" s="49"/>
      <c r="BD67" s="49"/>
      <c r="BE67" s="18"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8"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8" t="str">
        <f t="shared" ref="BG67:BG130" si="9">IF(A67&lt;&gt;"",IF(F67&lt;&gt;"Not in the game (anymore)",IF(A67&lt;&gt;"",", setType="&amp;G67,"")&amp;IF(G67="LIBSETS_SETTYPE_CLASS",", classId="&amp;BC67,"")&amp;IF(J67="true",", multiTrialSet=true",""),"")&amp;IF(AND(H67&lt;&gt;"",ISNUMBER(H67)),", undauntedChestId="&amp;H67,""),"")</f>
        <v>, setType=LIBSETS_SETTYPE_CYRODIIL</v>
      </c>
      <c r="BH67" s="18" t="str">
        <f t="shared" ref="BH67:BH130" si="10">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ref="BI67:BI130" si="11">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557</v>
      </c>
      <c r="C68" t="s">
        <v>558</v>
      </c>
      <c r="D68" s="3">
        <f t="shared" si="6"/>
        <v>86</v>
      </c>
      <c r="G68" s="9" t="s">
        <v>174</v>
      </c>
      <c r="I68" t="s">
        <v>401</v>
      </c>
      <c r="J68" t="s">
        <v>401</v>
      </c>
      <c r="K68">
        <v>121</v>
      </c>
      <c r="L68">
        <v>121</v>
      </c>
      <c r="M68">
        <v>121</v>
      </c>
      <c r="O68" s="5" t="s">
        <v>439</v>
      </c>
      <c r="Q68" s="3">
        <f>IF(AND(P68&lt;&gt;"",ISNUMBER(P68),NOT(ISNA(P68))),P68,IF(R68&lt;&gt;"",VLOOKUP(R68,'ESO zones'!$D$5:$H$10005,5,FALSE),""))</f>
        <v>381</v>
      </c>
      <c r="R68" t="str">
        <f>IF(AND(O68&lt;&gt;"",NOT(ISERROR(O68))),O68,IF(AND(P68&lt;&gt;"",ISNUMBER(P68),P68&gt;0,NOT(ISNA(P68))),VLOOKUP(P68,'ESO zones'!$A$5:$D$10003,4,FALSE),IF(AND(K68&lt;&gt;"",K68&gt;0,NOT(ISERROR(K68))),VLOOKUP(K68,'ESO wayshrines'!$K$3:$N$9972,4,FALSE),"")))</f>
        <v>Auridon</v>
      </c>
      <c r="T68" s="16" t="str">
        <f>IF(AND(S68&lt;&gt;"",NOT(ISERROR(S68))),S68,VLOOKUP(A68,'ESO Set&amp;DLCs'!$A$3:$D$99998,4,FALSE))</f>
        <v>DLC_BASE_GAME</v>
      </c>
      <c r="U68" s="3" t="str">
        <f>IF(T68&lt;&gt;"",VLOOKUP(T68,ConstDLCIds!$B$4:$C$1000,2,FALSE),"")</f>
        <v>Included in base game</v>
      </c>
      <c r="V68" s="4" t="s">
        <v>215</v>
      </c>
      <c r="Y68" s="5"/>
      <c r="Z68" s="3">
        <f>IF(AND(G68&lt;&gt;"LIBSETS_SETTYPE_BATTLEGROUND",G68&lt;&gt;"LIBSETS_SETTYPE_SPECIAL"),IF(AND(Y68&lt;&gt;"",ISNUMBER(Y68),NOT(ISNA(Y68))),Y68,IF(AND(L68&lt;&gt;"",ISNUMBER(L68),L68&gt;0,NOT(ISNA(L68))),VLOOKUP(L68,'ESO wayshrines'!$K$3:$L$9972,2,FALSE),"")),"")</f>
        <v>381</v>
      </c>
      <c r="AA68" t="str">
        <f>IF(AND(Z68&lt;&gt;"",ISNUMBER(Z68),NOT(ISNA(Z68))),VLOOKUP(Z68,'ESO zones'!$A$5:$D$10003,4,FALSE),"")</f>
        <v>Auridon</v>
      </c>
      <c r="AB68" s="4" t="s">
        <v>218</v>
      </c>
      <c r="AE68" s="3">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zones'!$A$5:$D$10003,4,FALSE),"")</f>
        <v>Toothmaul Gully</v>
      </c>
      <c r="AH68" s="4" t="s">
        <v>221</v>
      </c>
      <c r="AK68" s="3">
        <f>IF(AND(G68&lt;&gt;"LIBSETS_SETTYPE_BATTLEGROUND",G68&lt;&gt;"LIBSETS_SETTYPE_SPECIAL"),IF(AL68&lt;&gt;"",VLOOKUP(AL68,'ESO zones'!$D$5:$H$4957,5,FALSE),""),"")</f>
        <v>381</v>
      </c>
      <c r="AL68" t="s">
        <v>439</v>
      </c>
      <c r="AM68" s="4" t="s">
        <v>224</v>
      </c>
      <c r="AP68" s="3">
        <f>IF(AND(G68&lt;&gt;"LIBSETS_SETTYPE_BATTLEGROUND",G68&lt;&gt;"LIBSETS_SETTYPE_SPECIAL"),IF(AQ68&lt;&gt;"",VLOOKUP(AQ68,'ESO zones'!$D$5:$H$4957,5,FALSE),""),"")</f>
        <v>381</v>
      </c>
      <c r="AQ68" t="s">
        <v>439</v>
      </c>
      <c r="AR68" s="80" t="s">
        <v>269</v>
      </c>
      <c r="AU68" s="3" t="str">
        <f>IF(AND(G68&lt;&gt;"LIBSETS_SETTYPE_BATTLEGROUND",G68&lt;&gt;"LIBSETS_SETTYPE_SPECIAL"),IF(AV68&lt;&gt;"",VLOOKUP(AV68,'ESO zones'!$D$5:$H$4957,5,FALSE),""),"")</f>
        <v/>
      </c>
      <c r="AZ68" s="49" t="s">
        <v>403</v>
      </c>
      <c r="BA68" s="49"/>
      <c r="BB68" s="49"/>
      <c r="BC68" s="49"/>
      <c r="BD68" s="49"/>
      <c r="BE68" s="18" t="str">
        <f t="shared" si="7"/>
        <v>[86] = {wayshrines={121,121,121,}, dlcId=DLC_BASE_GAME</v>
      </c>
      <c r="BF68" s="18" t="str">
        <f t="shared" si="8"/>
        <v>, zoneIds={381,381,486,381,381}, veteran=false</v>
      </c>
      <c r="BG68" s="18" t="str">
        <f t="shared" si="9"/>
        <v>, setType=LIBSETS_SETTYPE_OVERLAND</v>
      </c>
      <c r="BH68" s="18" t="str">
        <f t="shared" si="10"/>
        <v>, dropMechanic={LIBSETS_DROP_MECHANIC_OVERLAND_BOSS_DELVE,LIBSETS_DROP_MECHANIC_OVERLAND_WORLDBOSS,LIBSETS_DROP_MECHANIC_OVERLAND_BOSS_PUBLIC_DUNGEON,LIBSETS_DROP_MECHANIC_OVERLAND_CHEST,LIBSETS_DROP_MECHANIC_OVERLAND_LOOT}</v>
      </c>
      <c r="BI68" s="18" t="str">
        <f t="shared" si="11"/>
        <v>}, --Queen\'s Elegance / Eleganz der Königin   [Auridon, Auridon, Toothmaul Gully, Auridon, Auridon]</v>
      </c>
    </row>
    <row r="69" spans="1:61" x14ac:dyDescent="0.25">
      <c r="A69" s="1">
        <v>87</v>
      </c>
      <c r="B69" t="s">
        <v>559</v>
      </c>
      <c r="C69" t="s">
        <v>560</v>
      </c>
      <c r="D69" s="3">
        <f t="shared" si="6"/>
        <v>87</v>
      </c>
      <c r="G69" s="9" t="s">
        <v>163</v>
      </c>
      <c r="I69" t="s">
        <v>401</v>
      </c>
      <c r="J69" t="s">
        <v>401</v>
      </c>
      <c r="K69">
        <v>-2</v>
      </c>
      <c r="L69">
        <v>-2</v>
      </c>
      <c r="M69">
        <v>-2</v>
      </c>
      <c r="N69">
        <v>8</v>
      </c>
      <c r="O69" s="5" t="s">
        <v>561</v>
      </c>
      <c r="Q69" s="3">
        <f>IF(AND(P69&lt;&gt;"",ISNUMBER(P69),NOT(ISNA(P69))),P69,IF(R69&lt;&gt;"",VLOOKUP(R69,'ESO zones'!$D$5:$H$10005,5,FALSE),""))</f>
        <v>267</v>
      </c>
      <c r="R69" t="str">
        <f>IF(AND(O69&lt;&gt;"",NOT(ISERROR(O69))),O69,IF(AND(P69&lt;&gt;"",ISNUMBER(P69),P69&gt;0,NOT(ISNA(P69))),VLOOKUP(P69,'ESO zones'!$A$5:$D$10003,4,FALSE),IF(AND(K69&lt;&gt;"",K69&gt;0,NOT(ISERROR(K69))),VLOOKUP(K69,'ESO wayshrines'!$K$3:$N$9972,4,FALSE),"")))</f>
        <v>Eyevea</v>
      </c>
      <c r="T69" s="16" t="str">
        <f>IF(AND(S69&lt;&gt;"",NOT(ISERROR(S69))),S69,VLOOKUP(A69,'ESO Set&amp;DLCs'!$A$3:$D$99998,4,FALSE))</f>
        <v>DLC_BASE_GAME</v>
      </c>
      <c r="U69" s="3" t="str">
        <f>IF(T69&lt;&gt;"",VLOOKUP(T69,ConstDLCIds!$B$4:$C$1000,2,FALSE),"")</f>
        <v>Included in base game</v>
      </c>
      <c r="V69" s="4" t="s">
        <v>281</v>
      </c>
      <c r="Y69" s="5">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zones'!$A$5:$D$10003,4,FALSE),"")</f>
        <v>Imperial Sewers</v>
      </c>
      <c r="AB69" s="4"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zones'!$A$5:$D$10003,4,FALSE),"")</f>
        <v/>
      </c>
      <c r="AK69" s="3" t="str">
        <f>IF(AND(G69&lt;&gt;"LIBSETS_SETTYPE_BATTLEGROUND",G69&lt;&gt;"LIBSETS_SETTYPE_SPECIAL"),IF(AL69&lt;&gt;"",VLOOKUP(AL69,'ESO zones'!$D$5:$H$4957,5,FALSE),""),"")</f>
        <v/>
      </c>
      <c r="AP69" s="3" t="str">
        <f>IF(AND(G69&lt;&gt;"LIBSETS_SETTYPE_BATTLEGROUND",G69&lt;&gt;"LIBSETS_SETTYPE_SPECIAL"),IF(AQ69&lt;&gt;"",VLOOKUP(AQ69,'ESO zones'!$D$5:$H$4957,5,FALSE),""),"")</f>
        <v/>
      </c>
      <c r="AU69" s="3" t="str">
        <f>IF(AND(G69&lt;&gt;"LIBSETS_SETTYPE_BATTLEGROUND",G69&lt;&gt;"LIBSETS_SETTYPE_SPECIAL"),IF(AV69&lt;&gt;"",VLOOKUP(AV69,'ESO zones'!$D$5:$H$4957,5,FALSE),""),"")</f>
        <v/>
      </c>
      <c r="AZ69" s="49" t="s">
        <v>410</v>
      </c>
      <c r="BA69" s="49"/>
      <c r="BB69" s="49"/>
      <c r="BC69" s="49"/>
      <c r="BD69" s="49"/>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2">
        <v>88</v>
      </c>
      <c r="B70" t="s">
        <v>562</v>
      </c>
      <c r="C70" t="s">
        <v>563</v>
      </c>
      <c r="D70" s="3">
        <f t="shared" si="6"/>
        <v>88</v>
      </c>
      <c r="G70" s="9" t="s">
        <v>159</v>
      </c>
      <c r="I70" t="s">
        <v>401</v>
      </c>
      <c r="J70" t="s">
        <v>401</v>
      </c>
      <c r="K70">
        <v>270</v>
      </c>
      <c r="L70">
        <v>270</v>
      </c>
      <c r="M70">
        <v>270</v>
      </c>
      <c r="O70" s="5" t="s">
        <v>416</v>
      </c>
      <c r="Q70" s="3">
        <f>IF(AND(P70&lt;&gt;"",ISNUMBER(P70),NOT(ISNA(P70))),P70,IF(R70&lt;&gt;"",VLOOKUP(R70,'ESO zones'!$D$5:$H$10005,5,FALSE),""))</f>
        <v>635</v>
      </c>
      <c r="R70" t="str">
        <f>IF(AND(O70&lt;&gt;"",NOT(ISERROR(O70))),O70,IF(AND(P70&lt;&gt;"",ISNUMBER(P70),P70&gt;0,NOT(ISNA(P70))),VLOOKUP(P70,'ESO zones'!$A$5:$D$10003,4,FALSE),IF(AND(K70&lt;&gt;"",K70&gt;0,NOT(ISERROR(K70))),VLOOKUP(K70,'ESO wayshrines'!$K$3:$N$9972,4,FALSE),"")))</f>
        <v>Dragonstar Arena</v>
      </c>
      <c r="T70" s="16" t="str">
        <f>IF(AND(S70&lt;&gt;"",NOT(ISERROR(S70))),S70,VLOOKUP(A70,'ESO Set&amp;DLCs'!$A$3:$D$99998,4,FALSE))</f>
        <v>DLC_BASE_GAME</v>
      </c>
      <c r="U70" s="3" t="str">
        <f>IF(T70&lt;&gt;"",VLOOKUP(T70,ConstDLCIds!$B$4:$C$1000,2,FALSE),"")</f>
        <v>Included in base game</v>
      </c>
      <c r="V70" s="4" t="s">
        <v>209</v>
      </c>
      <c r="Y70" s="5"/>
      <c r="Z70" s="3">
        <f>IF(AND(G70&lt;&gt;"LIBSETS_SETTYPE_BATTLEGROUND",G70&lt;&gt;"LIBSETS_SETTYPE_SPECIAL"),IF(AND(Y70&lt;&gt;"",ISNUMBER(Y70),NOT(ISNA(Y70))),Y70,IF(AND(L70&lt;&gt;"",ISNUMBER(L70),L70&gt;0,NOT(ISNA(L70))),VLOOKUP(L70,'ESO wayshrines'!$K$3:$L$9972,2,FALSE),"")),"")</f>
        <v>888</v>
      </c>
      <c r="AA70" t="str">
        <f>IF(AND(Z70&lt;&gt;"",ISNUMBER(Z70),NOT(ISNA(Z70))),VLOOKUP(Z70,'ESO zones'!$A$5:$D$10003,4,FALSE),"")</f>
        <v>Craglorn</v>
      </c>
      <c r="AB70" s="4"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zones'!$A$5:$D$10003,4,FALSE),"")</f>
        <v>Craglorn</v>
      </c>
      <c r="AK70" s="3" t="str">
        <f>IF(AND(G70&lt;&gt;"LIBSETS_SETTYPE_BATTLEGROUND",G70&lt;&gt;"LIBSETS_SETTYPE_SPECIAL"),IF(AL70&lt;&gt;"",VLOOKUP(AL70,'ESO zones'!$D$5:$H$4957,5,FALSE),""),"")</f>
        <v/>
      </c>
      <c r="AP70" s="3" t="str">
        <f>IF(AND(G70&lt;&gt;"LIBSETS_SETTYPE_BATTLEGROUND",G70&lt;&gt;"LIBSETS_SETTYPE_SPECIAL"),IF(AQ70&lt;&gt;"",VLOOKUP(AQ70,'ESO zones'!$D$5:$H$4957,5,FALSE),""),"")</f>
        <v/>
      </c>
      <c r="AU70" s="3" t="str">
        <f>IF(AND(G70&lt;&gt;"LIBSETS_SETTYPE_BATTLEGROUND",G70&lt;&gt;"LIBSETS_SETTYPE_SPECIAL"),IF(AV70&lt;&gt;"",VLOOKUP(AV70,'ESO zones'!$D$5:$H$4957,5,FALSE),""),"")</f>
        <v/>
      </c>
      <c r="AZ70" s="49" t="s">
        <v>410</v>
      </c>
      <c r="BA70" s="49"/>
      <c r="BB70" s="49"/>
      <c r="BC70" s="49"/>
      <c r="BD70" s="49"/>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2">
        <v>89</v>
      </c>
      <c r="B71" t="s">
        <v>564</v>
      </c>
      <c r="C71" t="s">
        <v>565</v>
      </c>
      <c r="D71" s="3">
        <f t="shared" si="6"/>
        <v>89</v>
      </c>
      <c r="G71" s="9" t="s">
        <v>165</v>
      </c>
      <c r="I71" t="s">
        <v>401</v>
      </c>
      <c r="J71" t="s">
        <v>401</v>
      </c>
      <c r="K71">
        <v>-1</v>
      </c>
      <c r="L71">
        <v>-1</v>
      </c>
      <c r="M71">
        <v>-1</v>
      </c>
      <c r="O71" s="5" t="s">
        <v>166</v>
      </c>
      <c r="Q71" s="3">
        <f>IF(AND(P71&lt;&gt;"",ISNUMBER(P71),NOT(ISNA(P71))),P71,IF(R71&lt;&gt;"",VLOOKUP(R71,'ESO zones'!$D$5:$H$10005,5,FALSE),""))</f>
        <v>181</v>
      </c>
      <c r="R71" t="str">
        <f>IF(AND(O71&lt;&gt;"",NOT(ISERROR(O71))),O71,IF(AND(P71&lt;&gt;"",ISNUMBER(P71),P71&gt;0,NOT(ISNA(P71))),VLOOKUP(P71,'ESO zones'!$A$5:$D$10003,4,FALSE),IF(AND(K71&lt;&gt;"",K71&gt;0,NOT(ISERROR(K71))),VLOOKUP(K71,'ESO wayshrines'!$K$3:$N$9972,4,FALSE),"")))</f>
        <v>Cyrodiil</v>
      </c>
      <c r="T71" s="16" t="str">
        <f>IF(AND(S71&lt;&gt;"",NOT(ISERROR(S71))),S71,VLOOKUP(A71,'ESO Set&amp;DLCs'!$A$3:$D$99998,4,FALSE))</f>
        <v>DLC_BASE_GAME</v>
      </c>
      <c r="U71" s="3" t="str">
        <f>IF(T71&lt;&gt;"",VLOOKUP(T71,ConstDLCIds!$B$4:$C$1000,2,FALSE),"")</f>
        <v>Included in base game</v>
      </c>
      <c r="V71" s="4" t="s">
        <v>200</v>
      </c>
      <c r="Y71" s="5">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zones'!$A$5:$D$10003,4,FALSE),"")</f>
        <v>Cyrodiil</v>
      </c>
      <c r="AB71" s="4" t="s">
        <v>301</v>
      </c>
      <c r="AE71" s="5">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zones'!$A$5:$D$10003,4,FALSE),"")</f>
        <v>Cyrodiil</v>
      </c>
      <c r="AH71" s="4" t="s">
        <v>248</v>
      </c>
      <c r="AK71" s="3">
        <f>IF(AND(G71&lt;&gt;"LIBSETS_SETTYPE_BATTLEGROUND",G71&lt;&gt;"LIBSETS_SETTYPE_SPECIAL"),IF(AL71&lt;&gt;"",VLOOKUP(AL71,'ESO zones'!$D$5:$H$4957,5,FALSE),""),"")</f>
        <v>181</v>
      </c>
      <c r="AL71" t="s">
        <v>166</v>
      </c>
      <c r="AM71" s="4" t="s">
        <v>298</v>
      </c>
      <c r="AP71" s="3">
        <f>IF(AND(G71&lt;&gt;"LIBSETS_SETTYPE_BATTLEGROUND",G71&lt;&gt;"LIBSETS_SETTYPE_SPECIAL"),IF(AQ71&lt;&gt;"",VLOOKUP(AQ71,'ESO zones'!$D$5:$H$4957,5,FALSE),""),"")</f>
        <v>181</v>
      </c>
      <c r="AQ71" t="s">
        <v>166</v>
      </c>
      <c r="AR71" s="4" t="s">
        <v>215</v>
      </c>
      <c r="AU71" s="3">
        <f>IF(AND(G71&lt;&gt;"LIBSETS_SETTYPE_BATTLEGROUND",G71&lt;&gt;"LIBSETS_SETTYPE_SPECIAL"),IF(AV71&lt;&gt;"",VLOOKUP(AV71,'ESO zones'!$D$5:$H$4957,5,FALSE),""),"")</f>
        <v>181</v>
      </c>
      <c r="AV71" t="s">
        <v>166</v>
      </c>
      <c r="AW71" s="4" t="s">
        <v>257</v>
      </c>
      <c r="AZ71" s="49" t="s">
        <v>403</v>
      </c>
      <c r="BA71" s="49"/>
      <c r="BB71" s="49"/>
      <c r="BC71" s="49"/>
      <c r="BD71" s="49"/>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2">
        <v>90</v>
      </c>
      <c r="B72" t="s">
        <v>566</v>
      </c>
      <c r="C72" t="s">
        <v>567</v>
      </c>
      <c r="D72" s="3">
        <f t="shared" si="6"/>
        <v>90</v>
      </c>
      <c r="G72" s="9" t="s">
        <v>174</v>
      </c>
      <c r="I72" t="s">
        <v>401</v>
      </c>
      <c r="J72" t="s">
        <v>401</v>
      </c>
      <c r="K72">
        <v>162</v>
      </c>
      <c r="L72">
        <v>162</v>
      </c>
      <c r="M72">
        <v>162</v>
      </c>
      <c r="O72" s="5" t="s">
        <v>568</v>
      </c>
      <c r="Q72" s="3">
        <f>IF(AND(P72&lt;&gt;"",ISNUMBER(P72),NOT(ISNA(P72))),P72,IF(R72&lt;&gt;"",VLOOKUP(R72,'ESO zones'!$D$5:$H$10005,5,FALSE),""))</f>
        <v>382</v>
      </c>
      <c r="R72" t="str">
        <f>IF(AND(O72&lt;&gt;"",NOT(ISERROR(O72))),O72,IF(AND(P72&lt;&gt;"",ISNUMBER(P72),P72&gt;0,NOT(ISNA(P72))),VLOOKUP(P72,'ESO zones'!$A$5:$D$10003,4,FALSE),IF(AND(K72&lt;&gt;"",K72&gt;0,NOT(ISERROR(K72))),VLOOKUP(K72,'ESO wayshrines'!$K$3:$N$9972,4,FALSE),"")))</f>
        <v>Reaper's March</v>
      </c>
      <c r="T72" s="16" t="str">
        <f>IF(AND(S72&lt;&gt;"",NOT(ISERROR(S72))),S72,VLOOKUP(A72,'ESO Set&amp;DLCs'!$A$3:$D$99998,4,FALSE))</f>
        <v>DLC_BASE_GAME</v>
      </c>
      <c r="U72" s="3" t="str">
        <f>IF(T72&lt;&gt;"",VLOOKUP(T72,ConstDLCIds!$B$4:$C$1000,2,FALSE),"")</f>
        <v>Included in base game</v>
      </c>
      <c r="V72" s="4" t="s">
        <v>215</v>
      </c>
      <c r="Y72" s="5"/>
      <c r="Z72" s="3">
        <f>IF(AND(G72&lt;&gt;"LIBSETS_SETTYPE_BATTLEGROUND",G72&lt;&gt;"LIBSETS_SETTYPE_SPECIAL"),IF(AND(Y72&lt;&gt;"",ISNUMBER(Y72),NOT(ISNA(Y72))),Y72,IF(AND(L72&lt;&gt;"",ISNUMBER(L72),L72&gt;0,NOT(ISNA(L72))),VLOOKUP(L72,'ESO wayshrines'!$K$3:$L$9972,2,FALSE),"")),"")</f>
        <v>382</v>
      </c>
      <c r="AA72" t="str">
        <f>IF(AND(Z72&lt;&gt;"",ISNUMBER(Z72),NOT(ISNA(Z72))),VLOOKUP(Z72,'ESO zones'!$A$5:$D$10003,4,FALSE),"")</f>
        <v>Reaper's March</v>
      </c>
      <c r="AB72" s="4" t="s">
        <v>218</v>
      </c>
      <c r="AE72" s="3">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zones'!$A$5:$D$10003,4,FALSE),"")</f>
        <v>The Vile Manse</v>
      </c>
      <c r="AH72" s="4" t="s">
        <v>221</v>
      </c>
      <c r="AK72" s="3">
        <f>IF(AND(G72&lt;&gt;"LIBSETS_SETTYPE_BATTLEGROUND",G72&lt;&gt;"LIBSETS_SETTYPE_SPECIAL"),IF(AL72&lt;&gt;"",VLOOKUP(AL72,'ESO zones'!$D$5:$H$4957,5,FALSE),""),"")</f>
        <v>382</v>
      </c>
      <c r="AL72" t="s">
        <v>568</v>
      </c>
      <c r="AM72" s="4" t="s">
        <v>224</v>
      </c>
      <c r="AP72" s="3">
        <f>IF(AND(G72&lt;&gt;"LIBSETS_SETTYPE_BATTLEGROUND",G72&lt;&gt;"LIBSETS_SETTYPE_SPECIAL"),IF(AQ72&lt;&gt;"",VLOOKUP(AQ72,'ESO zones'!$D$5:$H$4957,5,FALSE),""),"")</f>
        <v>382</v>
      </c>
      <c r="AQ72" t="s">
        <v>568</v>
      </c>
      <c r="AR72" s="80" t="s">
        <v>269</v>
      </c>
      <c r="AU72" s="3" t="str">
        <f>IF(AND(G72&lt;&gt;"LIBSETS_SETTYPE_BATTLEGROUND",G72&lt;&gt;"LIBSETS_SETTYPE_SPECIAL"),IF(AV72&lt;&gt;"",VLOOKUP(AV72,'ESO zones'!$D$5:$H$4957,5,FALSE),""),"")</f>
        <v/>
      </c>
      <c r="AZ72" s="49" t="s">
        <v>403</v>
      </c>
      <c r="BA72" s="49"/>
      <c r="BB72" s="49"/>
      <c r="BC72" s="49"/>
      <c r="BD72" s="49"/>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2">
        <v>91</v>
      </c>
      <c r="B73" t="s">
        <v>569</v>
      </c>
      <c r="C73" t="s">
        <v>570</v>
      </c>
      <c r="D73" s="3">
        <f t="shared" si="6"/>
        <v>91</v>
      </c>
      <c r="G73" s="9" t="s">
        <v>169</v>
      </c>
      <c r="I73" t="s">
        <v>401</v>
      </c>
      <c r="J73" t="s">
        <v>401</v>
      </c>
      <c r="K73">
        <v>184</v>
      </c>
      <c r="L73">
        <v>184</v>
      </c>
      <c r="M73">
        <v>184</v>
      </c>
      <c r="O73" s="5" t="s">
        <v>571</v>
      </c>
      <c r="Q73" s="3">
        <f>IF(AND(P73&lt;&gt;"",ISNUMBER(P73),NOT(ISNA(P73))),P73,IF(R73&lt;&gt;"",VLOOKUP(R73,'ESO zones'!$D$5:$H$10005,5,FALSE),""))</f>
        <v>11</v>
      </c>
      <c r="R73" t="str">
        <f>IF(AND(O73&lt;&gt;"",NOT(ISERROR(O73))),O73,IF(AND(P73&lt;&gt;"",ISNUMBER(P73),P73&gt;0,NOT(ISNA(P73))),VLOOKUP(P73,'ESO zones'!$A$5:$D$10003,4,FALSE),IF(AND(K73&lt;&gt;"",K73&gt;0,NOT(ISERROR(K73))),VLOOKUP(K73,'ESO wayshrines'!$K$3:$N$9972,4,FALSE),"")))</f>
        <v>Vaults of Madness</v>
      </c>
      <c r="T73" s="16" t="str">
        <f>IF(AND(S73&lt;&gt;"",NOT(ISERROR(S73))),S73,VLOOKUP(A73,'ESO Set&amp;DLCs'!$A$3:$D$99998,4,FALSE))</f>
        <v>DLC_BASE_GAME</v>
      </c>
      <c r="U73" s="3" t="str">
        <f>IF(T73&lt;&gt;"",VLOOKUP(T73,ConstDLCIds!$B$4:$C$1000,2,FALSE),"")</f>
        <v>Included in base game</v>
      </c>
      <c r="V73" s="4" t="s">
        <v>278</v>
      </c>
      <c r="Y73" s="5"/>
      <c r="Z73" s="3">
        <f>IF(AND(G73&lt;&gt;"LIBSETS_SETTYPE_BATTLEGROUND",G73&lt;&gt;"LIBSETS_SETTYPE_SPECIAL"),IF(AND(Y73&lt;&gt;"",ISNUMBER(Y73),NOT(ISNA(Y73))),Y73,IF(AND(L73&lt;&gt;"",ISNUMBER(L73),L73&gt;0,NOT(ISNA(L73))),VLOOKUP(L73,'ESO wayshrines'!$K$3:$L$9972,2,FALSE),"")),"")</f>
        <v>347</v>
      </c>
      <c r="AA73" t="str">
        <f>IF(AND(Z73&lt;&gt;"",ISNUMBER(Z73),NOT(ISNA(Z73))),VLOOKUP(Z73,'ESO zones'!$A$5:$D$10003,4,FALSE),"")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zones'!$A$5:$D$10003,4,FALSE),"")</f>
        <v>Coldharbour</v>
      </c>
      <c r="AK73" s="3" t="str">
        <f>IF(AND(G73&lt;&gt;"LIBSETS_SETTYPE_BATTLEGROUND",G73&lt;&gt;"LIBSETS_SETTYPE_SPECIAL"),IF(AL73&lt;&gt;"",VLOOKUP(AL73,'ESO zones'!$D$5:$H$4957,5,FALSE),""),"")</f>
        <v/>
      </c>
      <c r="AP73" s="3" t="str">
        <f>IF(AND(G73&lt;&gt;"LIBSETS_SETTYPE_BATTLEGROUND",G73&lt;&gt;"LIBSETS_SETTYPE_SPECIAL"),IF(AQ73&lt;&gt;"",VLOOKUP(AQ73,'ESO zones'!$D$5:$H$4957,5,FALSE),""),"")</f>
        <v/>
      </c>
      <c r="AU73" s="3" t="str">
        <f>IF(AND(G73&lt;&gt;"LIBSETS_SETTYPE_BATTLEGROUND",G73&lt;&gt;"LIBSETS_SETTYPE_SPECIAL"),IF(AV73&lt;&gt;"",VLOOKUP(AV73,'ESO zones'!$D$5:$H$4957,5,FALSE),""),"")</f>
        <v/>
      </c>
      <c r="AZ73" s="49" t="s">
        <v>403</v>
      </c>
      <c r="BA73" s="49"/>
      <c r="BB73" s="49"/>
      <c r="BC73" s="49"/>
      <c r="BD73" s="49"/>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1">
        <v>92</v>
      </c>
      <c r="B74" t="s">
        <v>572</v>
      </c>
      <c r="C74" t="s">
        <v>573</v>
      </c>
      <c r="D74" s="3">
        <f t="shared" si="6"/>
        <v>92</v>
      </c>
      <c r="G74" s="9" t="s">
        <v>163</v>
      </c>
      <c r="I74" t="s">
        <v>401</v>
      </c>
      <c r="J74" t="s">
        <v>401</v>
      </c>
      <c r="K74">
        <v>-2</v>
      </c>
      <c r="L74">
        <v>-2</v>
      </c>
      <c r="M74">
        <v>-2</v>
      </c>
      <c r="N74">
        <v>8</v>
      </c>
      <c r="O74" s="5" t="s">
        <v>554</v>
      </c>
      <c r="Q74" s="3">
        <f>IF(AND(P74&lt;&gt;"",ISNUMBER(P74),NOT(ISNA(P74))),P74,IF(R74&lt;&gt;"",VLOOKUP(R74,'ESO zones'!$D$5:$H$10005,5,FALSE),""))</f>
        <v>208</v>
      </c>
      <c r="R74" t="str">
        <f>IF(AND(O74&lt;&gt;"",NOT(ISERROR(O74))),O74,IF(AND(P74&lt;&gt;"",ISNUMBER(P74),P74&gt;0,NOT(ISNA(P74))),VLOOKUP(P74,'ESO zones'!$A$5:$D$10003,4,FALSE),IF(AND(K74&lt;&gt;"",K74&gt;0,NOT(ISERROR(K74))),VLOOKUP(K74,'ESO wayshrines'!$K$3:$N$9972,4,FALSE),"")))</f>
        <v>The Earth Forge</v>
      </c>
      <c r="T74" s="16" t="str">
        <f>IF(AND(S74&lt;&gt;"",NOT(ISERROR(S74))),S74,VLOOKUP(A74,'ESO Set&amp;DLCs'!$A$3:$D$99998,4,FALSE))</f>
        <v>DLC_BASE_GAME</v>
      </c>
      <c r="U74" s="3" t="str">
        <f>IF(T74&lt;&gt;"",VLOOKUP(T74,ConstDLCIds!$B$4:$C$1000,2,FALSE),"")</f>
        <v>Included in base game</v>
      </c>
      <c r="V74" s="4" t="s">
        <v>281</v>
      </c>
      <c r="Y74" s="5">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zones'!$A$5:$D$10003,4,FALSE),"")</f>
        <v>Imperial Sewers</v>
      </c>
      <c r="AB74" s="4"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zones'!$A$5:$D$10003,4,FALSE),"")</f>
        <v/>
      </c>
      <c r="AK74" s="3" t="str">
        <f>IF(AND(G74&lt;&gt;"LIBSETS_SETTYPE_BATTLEGROUND",G74&lt;&gt;"LIBSETS_SETTYPE_SPECIAL"),IF(AL74&lt;&gt;"",VLOOKUP(AL74,'ESO zones'!$D$5:$H$4957,5,FALSE),""),"")</f>
        <v/>
      </c>
      <c r="AP74" s="3" t="str">
        <f>IF(AND(G74&lt;&gt;"LIBSETS_SETTYPE_BATTLEGROUND",G74&lt;&gt;"LIBSETS_SETTYPE_SPECIAL"),IF(AQ74&lt;&gt;"",VLOOKUP(AQ74,'ESO zones'!$D$5:$H$4957,5,FALSE),""),"")</f>
        <v/>
      </c>
      <c r="AU74" s="3" t="str">
        <f>IF(AND(G74&lt;&gt;"LIBSETS_SETTYPE_BATTLEGROUND",G74&lt;&gt;"LIBSETS_SETTYPE_SPECIAL"),IF(AV74&lt;&gt;"",VLOOKUP(AV74,'ESO zones'!$D$5:$H$4957,5,FALSE),""),"")</f>
        <v/>
      </c>
      <c r="AZ74" s="49" t="s">
        <v>403</v>
      </c>
      <c r="BA74" s="49"/>
      <c r="BB74" s="49"/>
      <c r="BC74" s="49"/>
      <c r="BD74" s="49"/>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2">
        <v>93</v>
      </c>
      <c r="B75" t="s">
        <v>574</v>
      </c>
      <c r="C75" t="s">
        <v>575</v>
      </c>
      <c r="D75" s="3">
        <f t="shared" si="6"/>
        <v>93</v>
      </c>
      <c r="G75" s="9" t="s">
        <v>174</v>
      </c>
      <c r="I75" t="s">
        <v>401</v>
      </c>
      <c r="J75" t="s">
        <v>401</v>
      </c>
      <c r="K75">
        <v>17</v>
      </c>
      <c r="L75">
        <v>17</v>
      </c>
      <c r="M75">
        <v>17</v>
      </c>
      <c r="O75" s="5" t="s">
        <v>413</v>
      </c>
      <c r="Q75" s="3">
        <f>IF(AND(P75&lt;&gt;"",ISNUMBER(P75),NOT(ISNA(P75))),P75,IF(R75&lt;&gt;"",VLOOKUP(R75,'ESO zones'!$D$5:$H$10005,5,FALSE),""))</f>
        <v>19</v>
      </c>
      <c r="R75" t="str">
        <f>IF(AND(O75&lt;&gt;"",NOT(ISERROR(O75))),O75,IF(AND(P75&lt;&gt;"",ISNUMBER(P75),P75&gt;0,NOT(ISNA(P75))),VLOOKUP(P75,'ESO zones'!$A$5:$D$10003,4,FALSE),IF(AND(K75&lt;&gt;"",K75&gt;0,NOT(ISERROR(K75))),VLOOKUP(K75,'ESO wayshrines'!$K$3:$N$9972,4,FALSE),"")))</f>
        <v>Stormhaven</v>
      </c>
      <c r="T75" s="16" t="str">
        <f>IF(AND(S75&lt;&gt;"",NOT(ISERROR(S75))),S75,VLOOKUP(A75,'ESO Set&amp;DLCs'!$A$3:$D$99998,4,FALSE))</f>
        <v>DLC_BASE_GAME</v>
      </c>
      <c r="U75" s="3" t="str">
        <f>IF(T75&lt;&gt;"",VLOOKUP(T75,ConstDLCIds!$B$4:$C$1000,2,FALSE),"")</f>
        <v>Included in base game</v>
      </c>
      <c r="V75" s="4" t="s">
        <v>215</v>
      </c>
      <c r="Y75" s="5"/>
      <c r="Z75" s="3">
        <f>IF(AND(G75&lt;&gt;"LIBSETS_SETTYPE_BATTLEGROUND",G75&lt;&gt;"LIBSETS_SETTYPE_SPECIAL"),IF(AND(Y75&lt;&gt;"",ISNUMBER(Y75),NOT(ISNA(Y75))),Y75,IF(AND(L75&lt;&gt;"",ISNUMBER(L75),L75&gt;0,NOT(ISNA(L75))),VLOOKUP(L75,'ESO wayshrines'!$K$3:$L$9972,2,FALSE),"")),"")</f>
        <v>19</v>
      </c>
      <c r="AA75" t="str">
        <f>IF(AND(Z75&lt;&gt;"",ISNUMBER(Z75),NOT(ISNA(Z75))),VLOOKUP(Z75,'ESO zones'!$A$5:$D$10003,4,FALSE),"")</f>
        <v>Stormhaven</v>
      </c>
      <c r="AB75" s="4" t="s">
        <v>218</v>
      </c>
      <c r="AE75" s="3">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zones'!$A$5:$D$10003,4,FALSE),"")</f>
        <v>Bonesnap Ruins</v>
      </c>
      <c r="AH75" s="4" t="s">
        <v>221</v>
      </c>
      <c r="AK75" s="3">
        <f>IF(AND(G75&lt;&gt;"LIBSETS_SETTYPE_BATTLEGROUND",G75&lt;&gt;"LIBSETS_SETTYPE_SPECIAL"),IF(AL75&lt;&gt;"",VLOOKUP(AL75,'ESO zones'!$D$5:$H$4957,5,FALSE),""),"")</f>
        <v>19</v>
      </c>
      <c r="AL75" t="s">
        <v>413</v>
      </c>
      <c r="AM75" s="4" t="s">
        <v>224</v>
      </c>
      <c r="AP75" s="3">
        <f>IF(AND(G75&lt;&gt;"LIBSETS_SETTYPE_BATTLEGROUND",G75&lt;&gt;"LIBSETS_SETTYPE_SPECIAL"),IF(AQ75&lt;&gt;"",VLOOKUP(AQ75,'ESO zones'!$D$5:$H$4957,5,FALSE),""),"")</f>
        <v>19</v>
      </c>
      <c r="AQ75" t="s">
        <v>413</v>
      </c>
      <c r="AR75" s="80" t="s">
        <v>269</v>
      </c>
      <c r="AU75" s="3" t="str">
        <f>IF(AND(G75&lt;&gt;"LIBSETS_SETTYPE_BATTLEGROUND",G75&lt;&gt;"LIBSETS_SETTYPE_SPECIAL"),IF(AV75&lt;&gt;"",VLOOKUP(AV75,'ESO zones'!$D$5:$H$4957,5,FALSE),""),"")</f>
        <v/>
      </c>
      <c r="AZ75" s="49" t="s">
        <v>403</v>
      </c>
      <c r="BA75" s="49"/>
      <c r="BB75" s="49"/>
      <c r="BC75" s="49"/>
      <c r="BD75" s="49"/>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2">
        <v>94</v>
      </c>
      <c r="B76" t="s">
        <v>576</v>
      </c>
      <c r="C76" t="s">
        <v>577</v>
      </c>
      <c r="D76" s="3">
        <f t="shared" si="6"/>
        <v>94</v>
      </c>
      <c r="G76" s="9" t="s">
        <v>174</v>
      </c>
      <c r="I76" t="s">
        <v>401</v>
      </c>
      <c r="J76" t="s">
        <v>401</v>
      </c>
      <c r="K76">
        <v>131</v>
      </c>
      <c r="L76">
        <v>131</v>
      </c>
      <c r="M76">
        <v>131</v>
      </c>
      <c r="O76" s="5" t="s">
        <v>423</v>
      </c>
      <c r="Q76" s="3">
        <f>IF(AND(P76&lt;&gt;"",ISNUMBER(P76),NOT(ISNA(P76))),P76,IF(R76&lt;&gt;"",VLOOKUP(R76,'ESO zones'!$D$5:$H$10005,5,FALSE),""))</f>
        <v>347</v>
      </c>
      <c r="R76" t="str">
        <f>IF(AND(O76&lt;&gt;"",NOT(ISERROR(O76))),O76,IF(AND(P76&lt;&gt;"",ISNUMBER(P76),P76&gt;0,NOT(ISNA(P76))),VLOOKUP(P76,'ESO zones'!$A$5:$D$10003,4,FALSE),IF(AND(K76&lt;&gt;"",K76&gt;0,NOT(ISERROR(K76))),VLOOKUP(K76,'ESO wayshrines'!$K$3:$N$9972,4,FALSE),"")))</f>
        <v>Coldharbour</v>
      </c>
      <c r="T76" s="16" t="str">
        <f>IF(AND(S76&lt;&gt;"",NOT(ISERROR(S76))),S76,VLOOKUP(A76,'ESO Set&amp;DLCs'!$A$3:$D$99998,4,FALSE))</f>
        <v>DLC_BASE_GAME</v>
      </c>
      <c r="U76" s="3" t="str">
        <f>IF(T76&lt;&gt;"",VLOOKUP(T76,ConstDLCIds!$B$4:$C$1000,2,FALSE),"")</f>
        <v>Included in base game</v>
      </c>
      <c r="V76" s="4" t="s">
        <v>215</v>
      </c>
      <c r="Y76" s="5"/>
      <c r="Z76" s="3">
        <f>IF(AND(G76&lt;&gt;"LIBSETS_SETTYPE_BATTLEGROUND",G76&lt;&gt;"LIBSETS_SETTYPE_SPECIAL"),IF(AND(Y76&lt;&gt;"",ISNUMBER(Y76),NOT(ISNA(Y76))),Y76,IF(AND(L76&lt;&gt;"",ISNUMBER(L76),L76&gt;0,NOT(ISNA(L76))),VLOOKUP(L76,'ESO wayshrines'!$K$3:$L$9972,2,FALSE),"")),"")</f>
        <v>347</v>
      </c>
      <c r="AA76" t="str">
        <f>IF(AND(Z76&lt;&gt;"",ISNUMBER(Z76),NOT(ISNA(Z76))),VLOOKUP(Z76,'ESO zones'!$A$5:$D$10003,4,FALSE),"")</f>
        <v>Coldharbour</v>
      </c>
      <c r="AB76" s="4" t="s">
        <v>218</v>
      </c>
      <c r="AE76" s="3">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zones'!$A$5:$D$10003,4,FALSE),"")</f>
        <v>Village of the Lost</v>
      </c>
      <c r="AH76" s="4" t="s">
        <v>221</v>
      </c>
      <c r="AK76" s="3">
        <f>IF(AND(G76&lt;&gt;"LIBSETS_SETTYPE_BATTLEGROUND",G76&lt;&gt;"LIBSETS_SETTYPE_SPECIAL"),IF(AL76&lt;&gt;"",VLOOKUP(AL76,'ESO zones'!$D$5:$H$4957,5,FALSE),""),"")</f>
        <v>347</v>
      </c>
      <c r="AL76" t="s">
        <v>423</v>
      </c>
      <c r="AM76" s="4" t="s">
        <v>224</v>
      </c>
      <c r="AP76" s="3">
        <f>IF(AND(G76&lt;&gt;"LIBSETS_SETTYPE_BATTLEGROUND",G76&lt;&gt;"LIBSETS_SETTYPE_SPECIAL"),IF(AQ76&lt;&gt;"",VLOOKUP(AQ76,'ESO zones'!$D$5:$H$4957,5,FALSE),""),"")</f>
        <v>347</v>
      </c>
      <c r="AQ76" t="s">
        <v>423</v>
      </c>
      <c r="AR76" s="80" t="s">
        <v>269</v>
      </c>
      <c r="AU76" s="3" t="str">
        <f>IF(AND(G76&lt;&gt;"LIBSETS_SETTYPE_BATTLEGROUND",G76&lt;&gt;"LIBSETS_SETTYPE_SPECIAL"),IF(AV76&lt;&gt;"",VLOOKUP(AV76,'ESO zones'!$D$5:$H$4957,5,FALSE),""),"")</f>
        <v/>
      </c>
      <c r="AZ76" s="49" t="s">
        <v>403</v>
      </c>
      <c r="BA76" s="49"/>
      <c r="BB76" s="49"/>
      <c r="BC76" s="49"/>
      <c r="BD76" s="49"/>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1">
        <v>95</v>
      </c>
      <c r="B77" t="s">
        <v>578</v>
      </c>
      <c r="C77" t="s">
        <v>579</v>
      </c>
      <c r="D77" s="3">
        <f t="shared" si="6"/>
        <v>95</v>
      </c>
      <c r="G77" s="9" t="s">
        <v>163</v>
      </c>
      <c r="I77" t="s">
        <v>401</v>
      </c>
      <c r="J77" t="s">
        <v>401</v>
      </c>
      <c r="K77">
        <v>-2</v>
      </c>
      <c r="L77">
        <v>-2</v>
      </c>
      <c r="M77">
        <v>-2</v>
      </c>
      <c r="N77">
        <v>8</v>
      </c>
      <c r="O77" s="5" t="s">
        <v>561</v>
      </c>
      <c r="Q77" s="3">
        <f>IF(AND(P77&lt;&gt;"",ISNUMBER(P77),NOT(ISNA(P77))),P77,IF(R77&lt;&gt;"",VLOOKUP(R77,'ESO zones'!$D$5:$H$10005,5,FALSE),""))</f>
        <v>267</v>
      </c>
      <c r="R77" t="str">
        <f>IF(AND(O77&lt;&gt;"",NOT(ISERROR(O77))),O77,IF(AND(P77&lt;&gt;"",ISNUMBER(P77),P77&gt;0,NOT(ISNA(P77))),VLOOKUP(P77,'ESO zones'!$A$5:$D$10003,4,FALSE),IF(AND(K77&lt;&gt;"",K77&gt;0,NOT(ISERROR(K77))),VLOOKUP(K77,'ESO wayshrines'!$K$3:$N$9972,4,FALSE),"")))</f>
        <v>Eyevea</v>
      </c>
      <c r="T77" s="16" t="str">
        <f>IF(AND(S77&lt;&gt;"",NOT(ISERROR(S77))),S77,VLOOKUP(A77,'ESO Set&amp;DLCs'!$A$3:$D$99998,4,FALSE))</f>
        <v>DLC_BASE_GAME</v>
      </c>
      <c r="U77" s="3" t="str">
        <f>IF(T77&lt;&gt;"",VLOOKUP(T77,ConstDLCIds!$B$4:$C$1000,2,FALSE),"")</f>
        <v>Included in base game</v>
      </c>
      <c r="V77" s="4" t="s">
        <v>281</v>
      </c>
      <c r="Y77" s="5">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zones'!$A$5:$D$10003,4,FALSE),"")</f>
        <v>Imperial Sewers</v>
      </c>
      <c r="AB77" s="4"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zones'!$A$5:$D$10003,4,FALSE),"")</f>
        <v/>
      </c>
      <c r="AK77" s="3" t="str">
        <f>IF(AND(G77&lt;&gt;"LIBSETS_SETTYPE_BATTLEGROUND",G77&lt;&gt;"LIBSETS_SETTYPE_SPECIAL"),IF(AL77&lt;&gt;"",VLOOKUP(AL77,'ESO zones'!$D$5:$H$4957,5,FALSE),""),"")</f>
        <v/>
      </c>
      <c r="AP77" s="3" t="str">
        <f>IF(AND(G77&lt;&gt;"LIBSETS_SETTYPE_BATTLEGROUND",G77&lt;&gt;"LIBSETS_SETTYPE_SPECIAL"),IF(AQ77&lt;&gt;"",VLOOKUP(AQ77,'ESO zones'!$D$5:$H$4957,5,FALSE),""),"")</f>
        <v/>
      </c>
      <c r="AU77" s="3" t="str">
        <f>IF(AND(G77&lt;&gt;"LIBSETS_SETTYPE_BATTLEGROUND",G77&lt;&gt;"LIBSETS_SETTYPE_SPECIAL"),IF(AV77&lt;&gt;"",VLOOKUP(AV77,'ESO zones'!$D$5:$H$4957,5,FALSE),""),"")</f>
        <v/>
      </c>
      <c r="AZ77" s="49" t="s">
        <v>403</v>
      </c>
      <c r="BA77" s="49"/>
      <c r="BB77" s="49"/>
      <c r="BC77" s="49"/>
      <c r="BD77" s="49"/>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2">
        <v>96</v>
      </c>
      <c r="B78" t="s">
        <v>580</v>
      </c>
      <c r="C78" t="s">
        <v>581</v>
      </c>
      <c r="D78" s="3">
        <f t="shared" si="6"/>
        <v>96</v>
      </c>
      <c r="G78" s="9" t="s">
        <v>169</v>
      </c>
      <c r="I78" t="s">
        <v>401</v>
      </c>
      <c r="J78" t="s">
        <v>401</v>
      </c>
      <c r="K78">
        <v>198</v>
      </c>
      <c r="L78">
        <v>198</v>
      </c>
      <c r="M78">
        <v>198</v>
      </c>
      <c r="O78" s="5" t="s">
        <v>582</v>
      </c>
      <c r="Q78" s="3">
        <f>IF(AND(P78&lt;&gt;"",ISNUMBER(P78),NOT(ISNA(P78))),P78,IF(R78&lt;&gt;"",VLOOKUP(R78,'ESO zones'!$D$5:$H$10005,5,FALSE),""))</f>
        <v>63</v>
      </c>
      <c r="R78" t="str">
        <f>IF(AND(O78&lt;&gt;"",NOT(ISERROR(O78))),O78,IF(AND(P78&lt;&gt;"",ISNUMBER(P78),P78&gt;0,NOT(ISNA(P78))),VLOOKUP(P78,'ESO zones'!$A$5:$D$10003,4,FALSE),IF(AND(K78&lt;&gt;"",K78&gt;0,NOT(ISERROR(K78))),VLOOKUP(K78,'ESO wayshrines'!$K$3:$N$9972,4,FALSE),"")))</f>
        <v>Darkshade Caverns I</v>
      </c>
      <c r="T78" s="16" t="str">
        <f>IF(AND(S78&lt;&gt;"",NOT(ISERROR(S78))),S78,VLOOKUP(A78,'ESO Set&amp;DLCs'!$A$3:$D$99998,4,FALSE))</f>
        <v>DLC_BASE_GAME</v>
      </c>
      <c r="U78" s="3" t="str">
        <f>IF(T78&lt;&gt;"",VLOOKUP(T78,ConstDLCIds!$B$4:$C$1000,2,FALSE),"")</f>
        <v>Included in base game</v>
      </c>
      <c r="V78" s="4" t="s">
        <v>278</v>
      </c>
      <c r="Y78" s="5">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zones'!$A$5:$D$10003,4,FALSE),"")</f>
        <v>Darkshade Caverns II</v>
      </c>
      <c r="AB78" s="4"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zones'!$A$5:$D$10003,4,FALSE),"")</f>
        <v>Deshaan</v>
      </c>
      <c r="AH78" s="57"/>
      <c r="AK78" s="3" t="str">
        <f>IF(AND(G78&lt;&gt;"LIBSETS_SETTYPE_BATTLEGROUND",G78&lt;&gt;"LIBSETS_SETTYPE_SPECIAL"),IF(AL78&lt;&gt;"",VLOOKUP(AL78,'ESO zones'!$D$5:$H$4957,5,FALSE),""),"")</f>
        <v/>
      </c>
      <c r="AP78" s="3" t="str">
        <f>IF(AND(G78&lt;&gt;"LIBSETS_SETTYPE_BATTLEGROUND",G78&lt;&gt;"LIBSETS_SETTYPE_SPECIAL"),IF(AQ78&lt;&gt;"",VLOOKUP(AQ78,'ESO zones'!$D$5:$H$4957,5,FALSE),""),"")</f>
        <v/>
      </c>
      <c r="AU78" s="3" t="str">
        <f>IF(AND(G78&lt;&gt;"LIBSETS_SETTYPE_BATTLEGROUND",G78&lt;&gt;"LIBSETS_SETTYPE_SPECIAL"),IF(AV78&lt;&gt;"",VLOOKUP(AV78,'ESO zones'!$D$5:$H$4957,5,FALSE),""),"")</f>
        <v/>
      </c>
      <c r="AZ78" s="49" t="s">
        <v>403</v>
      </c>
      <c r="BA78" s="49"/>
      <c r="BB78" s="49"/>
      <c r="BC78" s="49"/>
      <c r="BD78" s="49"/>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2">
        <v>97</v>
      </c>
      <c r="B79" t="s">
        <v>583</v>
      </c>
      <c r="C79" t="s">
        <v>584</v>
      </c>
      <c r="D79" s="3">
        <f t="shared" si="6"/>
        <v>97</v>
      </c>
      <c r="G79" s="9" t="s">
        <v>165</v>
      </c>
      <c r="I79" t="s">
        <v>401</v>
      </c>
      <c r="J79" t="s">
        <v>401</v>
      </c>
      <c r="K79">
        <v>-1</v>
      </c>
      <c r="L79">
        <v>-1</v>
      </c>
      <c r="M79">
        <v>-1</v>
      </c>
      <c r="O79" s="5" t="s">
        <v>166</v>
      </c>
      <c r="Q79" s="3">
        <f>IF(AND(P79&lt;&gt;"",ISNUMBER(P79),NOT(ISNA(P79))),P79,IF(R79&lt;&gt;"",VLOOKUP(R79,'ESO zones'!$D$5:$H$10005,5,FALSE),""))</f>
        <v>181</v>
      </c>
      <c r="R79" t="str">
        <f>IF(AND(O79&lt;&gt;"",NOT(ISERROR(O79))),O79,IF(AND(P79&lt;&gt;"",ISNUMBER(P79),P79&gt;0,NOT(ISNA(P79))),VLOOKUP(P79,'ESO zones'!$A$5:$D$10003,4,FALSE),IF(AND(K79&lt;&gt;"",K79&gt;0,NOT(ISERROR(K79))),VLOOKUP(K79,'ESO wayshrines'!$K$3:$N$9972,4,FALSE),"")))</f>
        <v>Cyrodiil</v>
      </c>
      <c r="T79" s="16" t="str">
        <f>IF(AND(S79&lt;&gt;"",NOT(ISERROR(S79))),S79,VLOOKUP(A79,'ESO Set&amp;DLCs'!$A$3:$D$99998,4,FALSE))</f>
        <v>DLC_BASE_GAME</v>
      </c>
      <c r="U79" s="3" t="str">
        <f>IF(T79&lt;&gt;"",VLOOKUP(T79,ConstDLCIds!$B$4:$C$1000,2,FALSE),"")</f>
        <v>Included in base game</v>
      </c>
      <c r="V79" s="4" t="s">
        <v>203</v>
      </c>
      <c r="Y79" s="5">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zones'!$A$5:$D$10003,4,FALSE),"")</f>
        <v>Cyrodiil</v>
      </c>
      <c r="AB79" s="4" t="s">
        <v>301</v>
      </c>
      <c r="AE79" s="5">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zones'!$A$5:$D$10003,4,FALSE),"")</f>
        <v>Cyrodiil</v>
      </c>
      <c r="AH79" s="4" t="s">
        <v>248</v>
      </c>
      <c r="AK79" s="3">
        <f>IF(AND(G79&lt;&gt;"LIBSETS_SETTYPE_BATTLEGROUND",G79&lt;&gt;"LIBSETS_SETTYPE_SPECIAL"),IF(AL79&lt;&gt;"",VLOOKUP(AL79,'ESO zones'!$D$5:$H$4957,5,FALSE),""),"")</f>
        <v>181</v>
      </c>
      <c r="AL79" t="s">
        <v>166</v>
      </c>
      <c r="AM79" s="4" t="s">
        <v>298</v>
      </c>
      <c r="AP79" s="3">
        <f>IF(AND(G79&lt;&gt;"LIBSETS_SETTYPE_BATTLEGROUND",G79&lt;&gt;"LIBSETS_SETTYPE_SPECIAL"),IF(AQ79&lt;&gt;"",VLOOKUP(AQ79,'ESO zones'!$D$5:$H$4957,5,FALSE),""),"")</f>
        <v>181</v>
      </c>
      <c r="AQ79" t="s">
        <v>166</v>
      </c>
      <c r="AR79" s="4" t="s">
        <v>215</v>
      </c>
      <c r="AU79" s="3">
        <f>IF(AND(G79&lt;&gt;"LIBSETS_SETTYPE_BATTLEGROUND",G79&lt;&gt;"LIBSETS_SETTYPE_SPECIAL"),IF(AV79&lt;&gt;"",VLOOKUP(AV79,'ESO zones'!$D$5:$H$4957,5,FALSE),""),"")</f>
        <v>181</v>
      </c>
      <c r="AV79" t="s">
        <v>166</v>
      </c>
      <c r="AW79" s="4" t="s">
        <v>257</v>
      </c>
      <c r="AZ79" s="49" t="s">
        <v>403</v>
      </c>
      <c r="BA79" s="49"/>
      <c r="BB79" s="49"/>
      <c r="BC79" s="49"/>
      <c r="BD79" s="49"/>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2">
        <v>98</v>
      </c>
      <c r="B80" t="s">
        <v>585</v>
      </c>
      <c r="C80" t="s">
        <v>586</v>
      </c>
      <c r="D80" s="3">
        <f t="shared" si="6"/>
        <v>98</v>
      </c>
      <c r="G80" s="9" t="s">
        <v>174</v>
      </c>
      <c r="I80" t="s">
        <v>401</v>
      </c>
      <c r="J80" t="s">
        <v>401</v>
      </c>
      <c r="K80">
        <v>55</v>
      </c>
      <c r="L80">
        <v>55</v>
      </c>
      <c r="M80">
        <v>55</v>
      </c>
      <c r="O80" s="5" t="s">
        <v>501</v>
      </c>
      <c r="Q80" s="3">
        <f>IF(AND(P80&lt;&gt;"",ISNUMBER(P80),NOT(ISNA(P80))),P80,IF(R80&lt;&gt;"",VLOOKUP(R80,'ESO zones'!$D$5:$H$10005,5,FALSE),""))</f>
        <v>20</v>
      </c>
      <c r="R80" t="str">
        <f>IF(AND(O80&lt;&gt;"",NOT(ISERROR(O80))),O80,IF(AND(P80&lt;&gt;"",ISNUMBER(P80),P80&gt;0,NOT(ISNA(P80))),VLOOKUP(P80,'ESO zones'!$A$5:$D$10003,4,FALSE),IF(AND(K80&lt;&gt;"",K80&gt;0,NOT(ISERROR(K80))),VLOOKUP(K80,'ESO wayshrines'!$K$3:$N$9972,4,FALSE),"")))</f>
        <v>Rivenspire</v>
      </c>
      <c r="T80" s="16" t="str">
        <f>IF(AND(S80&lt;&gt;"",NOT(ISERROR(S80))),S80,VLOOKUP(A80,'ESO Set&amp;DLCs'!$A$3:$D$99998,4,FALSE))</f>
        <v>DLC_BASE_GAME</v>
      </c>
      <c r="U80" s="3" t="str">
        <f>IF(T80&lt;&gt;"",VLOOKUP(T80,ConstDLCIds!$B$4:$C$1000,2,FALSE),"")</f>
        <v>Included in base game</v>
      </c>
      <c r="V80" s="4" t="s">
        <v>215</v>
      </c>
      <c r="Y80" s="5"/>
      <c r="Z80" s="3">
        <f>IF(AND(G80&lt;&gt;"LIBSETS_SETTYPE_BATTLEGROUND",G80&lt;&gt;"LIBSETS_SETTYPE_SPECIAL"),IF(AND(Y80&lt;&gt;"",ISNUMBER(Y80),NOT(ISNA(Y80))),Y80,IF(AND(L80&lt;&gt;"",ISNUMBER(L80),L80&gt;0,NOT(ISNA(L80))),VLOOKUP(L80,'ESO wayshrines'!$K$3:$L$9972,2,FALSE),"")),"")</f>
        <v>20</v>
      </c>
      <c r="AA80" t="str">
        <f>IF(AND(Z80&lt;&gt;"",ISNUMBER(Z80),NOT(ISNA(Z80))),VLOOKUP(Z80,'ESO zones'!$A$5:$D$10003,4,FALSE),"")</f>
        <v>Rivenspire</v>
      </c>
      <c r="AB80" s="4" t="s">
        <v>218</v>
      </c>
      <c r="AE80" s="3">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zones'!$A$5:$D$10003,4,FALSE),"")</f>
        <v>Obsidian Scar</v>
      </c>
      <c r="AH80" s="4" t="s">
        <v>221</v>
      </c>
      <c r="AK80" s="3">
        <f>IF(AND(G80&lt;&gt;"LIBSETS_SETTYPE_BATTLEGROUND",G80&lt;&gt;"LIBSETS_SETTYPE_SPECIAL"),IF(AL80&lt;&gt;"",VLOOKUP(AL80,'ESO zones'!$D$5:$H$4957,5,FALSE),""),"")</f>
        <v>20</v>
      </c>
      <c r="AL80" t="s">
        <v>501</v>
      </c>
      <c r="AM80" s="4" t="s">
        <v>224</v>
      </c>
      <c r="AP80" s="3">
        <f>IF(AND(G80&lt;&gt;"LIBSETS_SETTYPE_BATTLEGROUND",G80&lt;&gt;"LIBSETS_SETTYPE_SPECIAL"),IF(AQ80&lt;&gt;"",VLOOKUP(AQ80,'ESO zones'!$D$5:$H$4957,5,FALSE),""),"")</f>
        <v>20</v>
      </c>
      <c r="AQ80" t="s">
        <v>501</v>
      </c>
      <c r="AR80" s="80" t="s">
        <v>269</v>
      </c>
      <c r="AU80" s="3" t="str">
        <f>IF(AND(G80&lt;&gt;"LIBSETS_SETTYPE_BATTLEGROUND",G80&lt;&gt;"LIBSETS_SETTYPE_SPECIAL"),IF(AV80&lt;&gt;"",VLOOKUP(AV80,'ESO zones'!$D$5:$H$4957,5,FALSE),""),"")</f>
        <v/>
      </c>
      <c r="AZ80" s="49" t="s">
        <v>403</v>
      </c>
      <c r="BA80" s="49"/>
      <c r="BB80" s="49"/>
      <c r="BC80" s="49"/>
      <c r="BD80" s="49"/>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2">
        <v>99</v>
      </c>
      <c r="B81" t="s">
        <v>587</v>
      </c>
      <c r="C81" t="s">
        <v>588</v>
      </c>
      <c r="D81" s="3">
        <f t="shared" si="6"/>
        <v>99</v>
      </c>
      <c r="G81" s="9" t="s">
        <v>174</v>
      </c>
      <c r="I81" t="s">
        <v>401</v>
      </c>
      <c r="J81" t="s">
        <v>401</v>
      </c>
      <c r="K81">
        <v>102</v>
      </c>
      <c r="L81">
        <v>102</v>
      </c>
      <c r="M81">
        <v>102</v>
      </c>
      <c r="O81" s="5" t="s">
        <v>429</v>
      </c>
      <c r="Q81" s="3">
        <f>IF(AND(P81&lt;&gt;"",ISNUMBER(P81),NOT(ISNA(P81))),P81,IF(R81&lt;&gt;"",VLOOKUP(R81,'ESO zones'!$D$5:$H$10005,5,FALSE),""))</f>
        <v>58</v>
      </c>
      <c r="R81" t="str">
        <f>IF(AND(O81&lt;&gt;"",NOT(ISERROR(O81))),O81,IF(AND(P81&lt;&gt;"",ISNUMBER(P81),P81&gt;0,NOT(ISNA(P81))),VLOOKUP(P81,'ESO zones'!$A$5:$D$10003,4,FALSE),IF(AND(K81&lt;&gt;"",K81&gt;0,NOT(ISERROR(K81))),VLOOKUP(K81,'ESO wayshrines'!$K$3:$N$9972,4,FALSE),"")))</f>
        <v>Malabal Tor</v>
      </c>
      <c r="T81" s="16" t="str">
        <f>IF(AND(S81&lt;&gt;"",NOT(ISERROR(S81))),S81,VLOOKUP(A81,'ESO Set&amp;DLCs'!$A$3:$D$99998,4,FALSE))</f>
        <v>DLC_BASE_GAME</v>
      </c>
      <c r="U81" s="3" t="str">
        <f>IF(T81&lt;&gt;"",VLOOKUP(T81,ConstDLCIds!$B$4:$C$1000,2,FALSE),"")</f>
        <v>Included in base game</v>
      </c>
      <c r="V81" s="4" t="s">
        <v>215</v>
      </c>
      <c r="Y81" s="5"/>
      <c r="Z81" s="3">
        <f>IF(AND(G81&lt;&gt;"LIBSETS_SETTYPE_BATTLEGROUND",G81&lt;&gt;"LIBSETS_SETTYPE_SPECIAL"),IF(AND(Y81&lt;&gt;"",ISNUMBER(Y81),NOT(ISNA(Y81))),Y81,IF(AND(L81&lt;&gt;"",ISNUMBER(L81),L81&gt;0,NOT(ISNA(L81))),VLOOKUP(L81,'ESO wayshrines'!$K$3:$L$9972,2,FALSE),"")),"")</f>
        <v>58</v>
      </c>
      <c r="AA81" t="str">
        <f>IF(AND(Z81&lt;&gt;"",ISNUMBER(Z81),NOT(ISNA(Z81))),VLOOKUP(Z81,'ESO zones'!$A$5:$D$10003,4,FALSE),"")</f>
        <v>Malabal Tor</v>
      </c>
      <c r="AB81" s="4" t="s">
        <v>218</v>
      </c>
      <c r="AE81" s="3">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zones'!$A$5:$D$10003,4,FALSE),"")</f>
        <v>Crimson Cove</v>
      </c>
      <c r="AH81" s="4" t="s">
        <v>221</v>
      </c>
      <c r="AK81" s="3">
        <f>IF(AND(G81&lt;&gt;"LIBSETS_SETTYPE_BATTLEGROUND",G81&lt;&gt;"LIBSETS_SETTYPE_SPECIAL"),IF(AL81&lt;&gt;"",VLOOKUP(AL81,'ESO zones'!$D$5:$H$4957,5,FALSE),""),"")</f>
        <v>58</v>
      </c>
      <c r="AL81" t="s">
        <v>429</v>
      </c>
      <c r="AM81" s="4" t="s">
        <v>224</v>
      </c>
      <c r="AP81" s="3">
        <f>IF(AND(G81&lt;&gt;"LIBSETS_SETTYPE_BATTLEGROUND",G81&lt;&gt;"LIBSETS_SETTYPE_SPECIAL"),IF(AQ81&lt;&gt;"",VLOOKUP(AQ81,'ESO zones'!$D$5:$H$4957,5,FALSE),""),"")</f>
        <v>58</v>
      </c>
      <c r="AQ81" t="s">
        <v>429</v>
      </c>
      <c r="AR81" s="80" t="s">
        <v>269</v>
      </c>
      <c r="AU81" s="3" t="str">
        <f>IF(AND(G81&lt;&gt;"LIBSETS_SETTYPE_BATTLEGROUND",G81&lt;&gt;"LIBSETS_SETTYPE_SPECIAL"),IF(AV81&lt;&gt;"",VLOOKUP(AV81,'ESO zones'!$D$5:$H$4957,5,FALSE),""),"")</f>
        <v/>
      </c>
      <c r="AZ81" s="49" t="s">
        <v>410</v>
      </c>
      <c r="BA81" s="49"/>
      <c r="BB81" s="49"/>
      <c r="BC81" s="49"/>
      <c r="BD81" s="49"/>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2">
        <v>100</v>
      </c>
      <c r="B82" t="s">
        <v>589</v>
      </c>
      <c r="C82" t="s">
        <v>590</v>
      </c>
      <c r="D82" s="3">
        <f t="shared" si="6"/>
        <v>100</v>
      </c>
      <c r="G82" s="9" t="s">
        <v>165</v>
      </c>
      <c r="I82" t="s">
        <v>401</v>
      </c>
      <c r="J82" t="s">
        <v>401</v>
      </c>
      <c r="K82">
        <v>-1</v>
      </c>
      <c r="L82">
        <v>-1</v>
      </c>
      <c r="M82">
        <v>-1</v>
      </c>
      <c r="O82" s="5" t="s">
        <v>166</v>
      </c>
      <c r="Q82" s="3">
        <f>IF(AND(P82&lt;&gt;"",ISNUMBER(P82),NOT(ISNA(P82))),P82,IF(R82&lt;&gt;"",VLOOKUP(R82,'ESO zones'!$D$5:$H$10005,5,FALSE),""))</f>
        <v>181</v>
      </c>
      <c r="R82" t="str">
        <f>IF(AND(O82&lt;&gt;"",NOT(ISERROR(O82))),O82,IF(AND(P82&lt;&gt;"",ISNUMBER(P82),P82&gt;0,NOT(ISNA(P82))),VLOOKUP(P82,'ESO zones'!$A$5:$D$10003,4,FALSE),IF(AND(K82&lt;&gt;"",K82&gt;0,NOT(ISERROR(K82))),VLOOKUP(K82,'ESO wayshrines'!$K$3:$N$9972,4,FALSE),"")))</f>
        <v>Cyrodiil</v>
      </c>
      <c r="T82" s="16" t="str">
        <f>IF(AND(S82&lt;&gt;"",NOT(ISERROR(S82))),S82,VLOOKUP(A82,'ESO Set&amp;DLCs'!$A$3:$D$99998,4,FALSE))</f>
        <v>DLC_BASE_GAME</v>
      </c>
      <c r="U82" s="3" t="str">
        <f>IF(T82&lt;&gt;"",VLOOKUP(T82,ConstDLCIds!$B$4:$C$1000,2,FALSE),"")</f>
        <v>Included in base game</v>
      </c>
      <c r="V82" s="4" t="s">
        <v>200</v>
      </c>
      <c r="Y82" s="5">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zones'!$A$5:$D$10003,4,FALSE),"")</f>
        <v>Cyrodiil</v>
      </c>
      <c r="AB82" s="4" t="s">
        <v>301</v>
      </c>
      <c r="AE82" s="5">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zones'!$A$5:$D$10003,4,FALSE),"")</f>
        <v>Cyrodiil</v>
      </c>
      <c r="AH82" s="4" t="s">
        <v>248</v>
      </c>
      <c r="AK82" s="3">
        <f>IF(AND(G82&lt;&gt;"LIBSETS_SETTYPE_BATTLEGROUND",G82&lt;&gt;"LIBSETS_SETTYPE_SPECIAL"),IF(AL82&lt;&gt;"",VLOOKUP(AL82,'ESO zones'!$D$5:$H$4957,5,FALSE),""),"")</f>
        <v>181</v>
      </c>
      <c r="AL82" t="s">
        <v>166</v>
      </c>
      <c r="AM82" s="4" t="s">
        <v>298</v>
      </c>
      <c r="AP82" s="3">
        <f>IF(AND(G82&lt;&gt;"LIBSETS_SETTYPE_BATTLEGROUND",G82&lt;&gt;"LIBSETS_SETTYPE_SPECIAL"),IF(AQ82&lt;&gt;"",VLOOKUP(AQ82,'ESO zones'!$D$5:$H$4957,5,FALSE),""),"")</f>
        <v>181</v>
      </c>
      <c r="AQ82" t="s">
        <v>166</v>
      </c>
      <c r="AR82" s="4" t="s">
        <v>215</v>
      </c>
      <c r="AU82" s="3">
        <f>IF(AND(G82&lt;&gt;"LIBSETS_SETTYPE_BATTLEGROUND",G82&lt;&gt;"LIBSETS_SETTYPE_SPECIAL"),IF(AV82&lt;&gt;"",VLOOKUP(AV82,'ESO zones'!$D$5:$H$4957,5,FALSE),""),"")</f>
        <v>181</v>
      </c>
      <c r="AV82" t="s">
        <v>166</v>
      </c>
      <c r="AW82" s="4" t="s">
        <v>257</v>
      </c>
      <c r="AZ82" s="49" t="s">
        <v>410</v>
      </c>
      <c r="BA82" s="49"/>
      <c r="BB82" s="49"/>
      <c r="BC82" s="49"/>
      <c r="BD82" s="49"/>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2">
        <v>101</v>
      </c>
      <c r="B83" t="s">
        <v>591</v>
      </c>
      <c r="C83" t="s">
        <v>592</v>
      </c>
      <c r="D83" s="3">
        <f t="shared" si="6"/>
        <v>101</v>
      </c>
      <c r="G83" s="9" t="s">
        <v>165</v>
      </c>
      <c r="I83" t="s">
        <v>401</v>
      </c>
      <c r="J83" t="s">
        <v>401</v>
      </c>
      <c r="K83">
        <v>-1</v>
      </c>
      <c r="L83">
        <v>-1</v>
      </c>
      <c r="M83">
        <v>-1</v>
      </c>
      <c r="O83" s="5" t="s">
        <v>166</v>
      </c>
      <c r="Q83" s="3">
        <f>IF(AND(P83&lt;&gt;"",ISNUMBER(P83),NOT(ISNA(P83))),P83,IF(R83&lt;&gt;"",VLOOKUP(R83,'ESO zones'!$D$5:$H$10005,5,FALSE),""))</f>
        <v>181</v>
      </c>
      <c r="R83" t="str">
        <f>IF(AND(O83&lt;&gt;"",NOT(ISERROR(O83))),O83,IF(AND(P83&lt;&gt;"",ISNUMBER(P83),P83&gt;0,NOT(ISNA(P83))),VLOOKUP(P83,'ESO zones'!$A$5:$D$10003,4,FALSE),IF(AND(K83&lt;&gt;"",K83&gt;0,NOT(ISERROR(K83))),VLOOKUP(K83,'ESO wayshrines'!$K$3:$N$9972,4,FALSE),"")))</f>
        <v>Cyrodiil</v>
      </c>
      <c r="T83" s="16" t="str">
        <f>IF(AND(S83&lt;&gt;"",NOT(ISERROR(S83))),S83,VLOOKUP(A83,'ESO Set&amp;DLCs'!$A$3:$D$99998,4,FALSE))</f>
        <v>DLC_BASE_GAME</v>
      </c>
      <c r="U83" s="3" t="str">
        <f>IF(T83&lt;&gt;"",VLOOKUP(T83,ConstDLCIds!$B$4:$C$1000,2,FALSE),"")</f>
        <v>Included in base game</v>
      </c>
      <c r="V83" s="4" t="s">
        <v>206</v>
      </c>
      <c r="Y83" s="5">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zones'!$A$5:$D$10003,4,FALSE),"")</f>
        <v>Cyrodiil</v>
      </c>
      <c r="AB83" s="4" t="s">
        <v>301</v>
      </c>
      <c r="AE83" s="5">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zones'!$A$5:$D$10003,4,FALSE),"")</f>
        <v>Cyrodiil</v>
      </c>
      <c r="AH83" s="4" t="s">
        <v>248</v>
      </c>
      <c r="AK83" s="3">
        <f>IF(AND(G83&lt;&gt;"LIBSETS_SETTYPE_BATTLEGROUND",G83&lt;&gt;"LIBSETS_SETTYPE_SPECIAL"),IF(AL83&lt;&gt;"",VLOOKUP(AL83,'ESO zones'!$D$5:$H$4957,5,FALSE),""),"")</f>
        <v>181</v>
      </c>
      <c r="AL83" t="s">
        <v>166</v>
      </c>
      <c r="AM83" s="4" t="s">
        <v>298</v>
      </c>
      <c r="AP83" s="3">
        <f>IF(AND(G83&lt;&gt;"LIBSETS_SETTYPE_BATTLEGROUND",G83&lt;&gt;"LIBSETS_SETTYPE_SPECIAL"),IF(AQ83&lt;&gt;"",VLOOKUP(AQ83,'ESO zones'!$D$5:$H$4957,5,FALSE),""),"")</f>
        <v>181</v>
      </c>
      <c r="AQ83" t="s">
        <v>166</v>
      </c>
      <c r="AR83" s="4" t="s">
        <v>215</v>
      </c>
      <c r="AU83" s="3">
        <f>IF(AND(G83&lt;&gt;"LIBSETS_SETTYPE_BATTLEGROUND",G83&lt;&gt;"LIBSETS_SETTYPE_SPECIAL"),IF(AV83&lt;&gt;"",VLOOKUP(AV83,'ESO zones'!$D$5:$H$4957,5,FALSE),""),"")</f>
        <v>181</v>
      </c>
      <c r="AV83" t="s">
        <v>166</v>
      </c>
      <c r="AW83" s="4" t="s">
        <v>257</v>
      </c>
      <c r="AZ83" s="49" t="s">
        <v>403</v>
      </c>
      <c r="BA83" s="49"/>
      <c r="BB83" s="49"/>
      <c r="BC83" s="49"/>
      <c r="BD83" s="49"/>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2">
        <v>102</v>
      </c>
      <c r="B84" t="s">
        <v>593</v>
      </c>
      <c r="C84" t="s">
        <v>594</v>
      </c>
      <c r="D84" s="3">
        <f t="shared" si="6"/>
        <v>102</v>
      </c>
      <c r="G84" s="9" t="s">
        <v>169</v>
      </c>
      <c r="I84" t="s">
        <v>401</v>
      </c>
      <c r="J84" t="s">
        <v>401</v>
      </c>
      <c r="K84">
        <v>196</v>
      </c>
      <c r="L84">
        <v>196</v>
      </c>
      <c r="M84">
        <v>196</v>
      </c>
      <c r="O84" s="5" t="s">
        <v>539</v>
      </c>
      <c r="Q84" s="3">
        <f>IF(AND(P84&lt;&gt;"",ISNUMBER(P84),NOT(ISNA(P84))),P84,IF(R84&lt;&gt;"",VLOOKUP(R84,'ESO zones'!$D$5:$H$10005,5,FALSE),""))</f>
        <v>22</v>
      </c>
      <c r="R84" t="str">
        <f>IF(AND(O84&lt;&gt;"",NOT(ISERROR(O84))),O84,IF(AND(P84&lt;&gt;"",ISNUMBER(P84),P84&gt;0,NOT(ISNA(P84))),VLOOKUP(P84,'ESO zones'!$A$5:$D$10003,4,FALSE),IF(AND(K84&lt;&gt;"",K84&gt;0,NOT(ISERROR(K84))),VLOOKUP(K84,'ESO wayshrines'!$K$3:$N$9972,4,FALSE),"")))</f>
        <v>Volenfell</v>
      </c>
      <c r="T84" s="16" t="str">
        <f>IF(AND(S84&lt;&gt;"",NOT(ISERROR(S84))),S84,VLOOKUP(A84,'ESO Set&amp;DLCs'!$A$3:$D$99998,4,FALSE))</f>
        <v>DLC_BASE_GAME</v>
      </c>
      <c r="U84" s="3" t="str">
        <f>IF(T84&lt;&gt;"",VLOOKUP(T84,ConstDLCIds!$B$4:$C$1000,2,FALSE),"")</f>
        <v>Included in base game</v>
      </c>
      <c r="V84" s="4" t="s">
        <v>278</v>
      </c>
      <c r="Y84" s="5"/>
      <c r="Z84" s="3">
        <f>IF(AND(G84&lt;&gt;"LIBSETS_SETTYPE_BATTLEGROUND",G84&lt;&gt;"LIBSETS_SETTYPE_SPECIAL"),IF(AND(Y84&lt;&gt;"",ISNUMBER(Y84),NOT(ISNA(Y84))),Y84,IF(AND(L84&lt;&gt;"",ISNUMBER(L84),L84&gt;0,NOT(ISNA(L84))),VLOOKUP(L84,'ESO wayshrines'!$K$3:$L$9972,2,FALSE),"")),"")</f>
        <v>104</v>
      </c>
      <c r="AA84" t="str">
        <f>IF(AND(Z84&lt;&gt;"",ISNUMBER(Z84),NOT(ISNA(Z84))),VLOOKUP(Z84,'ESO zones'!$A$5:$D$10003,4,FALSE),"")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zones'!$A$5:$D$10003,4,FALSE),"")</f>
        <v>Alik'r Desert</v>
      </c>
      <c r="AK84" s="3" t="str">
        <f>IF(AND(G84&lt;&gt;"LIBSETS_SETTYPE_BATTLEGROUND",G84&lt;&gt;"LIBSETS_SETTYPE_SPECIAL"),IF(AL84&lt;&gt;"",VLOOKUP(AL84,'ESO zones'!$D$5:$H$4957,5,FALSE),""),"")</f>
        <v/>
      </c>
      <c r="AP84" s="3" t="str">
        <f>IF(AND(G84&lt;&gt;"LIBSETS_SETTYPE_BATTLEGROUND",G84&lt;&gt;"LIBSETS_SETTYPE_SPECIAL"),IF(AQ84&lt;&gt;"",VLOOKUP(AQ84,'ESO zones'!$D$5:$H$4957,5,FALSE),""),"")</f>
        <v/>
      </c>
      <c r="AU84" s="3" t="str">
        <f>IF(AND(G84&lt;&gt;"LIBSETS_SETTYPE_BATTLEGROUND",G84&lt;&gt;"LIBSETS_SETTYPE_SPECIAL"),IF(AV84&lt;&gt;"",VLOOKUP(AV84,'ESO zones'!$D$5:$H$4957,5,FALSE),""),"")</f>
        <v/>
      </c>
      <c r="AZ84" s="49" t="s">
        <v>410</v>
      </c>
      <c r="BA84" s="49"/>
      <c r="BB84" s="49"/>
      <c r="BC84" s="49"/>
      <c r="BD84" s="49"/>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2">
        <v>103</v>
      </c>
      <c r="B85" t="s">
        <v>595</v>
      </c>
      <c r="C85" t="s">
        <v>596</v>
      </c>
      <c r="D85" s="3">
        <f t="shared" si="6"/>
        <v>103</v>
      </c>
      <c r="G85" s="9" t="s">
        <v>169</v>
      </c>
      <c r="I85" t="s">
        <v>401</v>
      </c>
      <c r="J85" t="s">
        <v>401</v>
      </c>
      <c r="K85">
        <v>195</v>
      </c>
      <c r="L85">
        <v>195</v>
      </c>
      <c r="M85">
        <v>195</v>
      </c>
      <c r="O85" s="5" t="s">
        <v>485</v>
      </c>
      <c r="Q85" s="3">
        <f>IF(AND(P85&lt;&gt;"",ISNUMBER(P85),NOT(ISNA(P85))),P85,IF(R85&lt;&gt;"",VLOOKUP(R85,'ESO zones'!$D$5:$H$10005,5,FALSE),""))</f>
        <v>449</v>
      </c>
      <c r="R85" t="str">
        <f>IF(AND(O85&lt;&gt;"",NOT(ISERROR(O85))),O85,IF(AND(P85&lt;&gt;"",ISNUMBER(P85),P85&gt;0,NOT(ISNA(P85))),VLOOKUP(P85,'ESO zones'!$A$5:$D$10003,4,FALSE),IF(AND(K85&lt;&gt;"",K85&gt;0,NOT(ISERROR(K85))),VLOOKUP(K85,'ESO wayshrines'!$K$3:$N$9972,4,FALSE),"")))</f>
        <v>Direfrost Keep</v>
      </c>
      <c r="T85" s="16" t="str">
        <f>IF(AND(S85&lt;&gt;"",NOT(ISERROR(S85))),S85,VLOOKUP(A85,'ESO Set&amp;DLCs'!$A$3:$D$99998,4,FALSE))</f>
        <v>DLC_BASE_GAME</v>
      </c>
      <c r="U85" s="3" t="str">
        <f>IF(T85&lt;&gt;"",VLOOKUP(T85,ConstDLCIds!$B$4:$C$1000,2,FALSE),"")</f>
        <v>Included in base game</v>
      </c>
      <c r="V85" s="4" t="s">
        <v>278</v>
      </c>
      <c r="Y85" s="5"/>
      <c r="Z85" s="3">
        <f>IF(AND(G85&lt;&gt;"LIBSETS_SETTYPE_BATTLEGROUND",G85&lt;&gt;"LIBSETS_SETTYPE_SPECIAL"),IF(AND(Y85&lt;&gt;"",ISNUMBER(Y85),NOT(ISNA(Y85))),Y85,IF(AND(L85&lt;&gt;"",ISNUMBER(L85),L85&gt;0,NOT(ISNA(L85))),VLOOKUP(L85,'ESO wayshrines'!$K$3:$L$9972,2,FALSE),"")),"")</f>
        <v>101</v>
      </c>
      <c r="AA85" t="str">
        <f>IF(AND(Z85&lt;&gt;"",ISNUMBER(Z85),NOT(ISNA(Z85))),VLOOKUP(Z85,'ESO zones'!$A$5:$D$10003,4,FALSE),"")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zones'!$A$5:$D$10003,4,FALSE),"")</f>
        <v>Eastmarch</v>
      </c>
      <c r="AK85" s="3" t="str">
        <f>IF(AND(G85&lt;&gt;"LIBSETS_SETTYPE_BATTLEGROUND",G85&lt;&gt;"LIBSETS_SETTYPE_SPECIAL"),IF(AL85&lt;&gt;"",VLOOKUP(AL85,'ESO zones'!$D$5:$H$4957,5,FALSE),""),"")</f>
        <v/>
      </c>
      <c r="AP85" s="3" t="str">
        <f>IF(AND(G85&lt;&gt;"LIBSETS_SETTYPE_BATTLEGROUND",G85&lt;&gt;"LIBSETS_SETTYPE_SPECIAL"),IF(AQ85&lt;&gt;"",VLOOKUP(AQ85,'ESO zones'!$D$5:$H$4957,5,FALSE),""),"")</f>
        <v/>
      </c>
      <c r="AU85" s="3" t="str">
        <f>IF(AND(G85&lt;&gt;"LIBSETS_SETTYPE_BATTLEGROUND",G85&lt;&gt;"LIBSETS_SETTYPE_SPECIAL"),IF(AV85&lt;&gt;"",VLOOKUP(AV85,'ESO zones'!$D$5:$H$4957,5,FALSE),""),"")</f>
        <v/>
      </c>
      <c r="AZ85" s="49" t="s">
        <v>403</v>
      </c>
      <c r="BA85" s="49"/>
      <c r="BB85" s="49"/>
      <c r="BC85" s="49"/>
      <c r="BD85" s="49"/>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2">
        <v>104</v>
      </c>
      <c r="B86" t="s">
        <v>597</v>
      </c>
      <c r="C86" t="s">
        <v>598</v>
      </c>
      <c r="D86" s="3">
        <f t="shared" si="6"/>
        <v>104</v>
      </c>
      <c r="G86" s="9" t="s">
        <v>165</v>
      </c>
      <c r="I86" t="s">
        <v>401</v>
      </c>
      <c r="J86" t="s">
        <v>401</v>
      </c>
      <c r="K86">
        <v>-1</v>
      </c>
      <c r="L86">
        <v>-1</v>
      </c>
      <c r="M86">
        <v>-1</v>
      </c>
      <c r="O86" s="5" t="s">
        <v>166</v>
      </c>
      <c r="Q86" s="3">
        <f>IF(AND(P86&lt;&gt;"",ISNUMBER(P86),NOT(ISNA(P86))),P86,IF(R86&lt;&gt;"",VLOOKUP(R86,'ESO zones'!$D$5:$H$10005,5,FALSE),""))</f>
        <v>181</v>
      </c>
      <c r="R86" t="str">
        <f>IF(AND(O86&lt;&gt;"",NOT(ISERROR(O86))),O86,IF(AND(P86&lt;&gt;"",ISNUMBER(P86),P86&gt;0,NOT(ISNA(P86))),VLOOKUP(P86,'ESO zones'!$A$5:$D$10003,4,FALSE),IF(AND(K86&lt;&gt;"",K86&gt;0,NOT(ISERROR(K86))),VLOOKUP(K86,'ESO wayshrines'!$K$3:$N$9972,4,FALSE),"")))</f>
        <v>Cyrodiil</v>
      </c>
      <c r="T86" s="16" t="str">
        <f>IF(AND(S86&lt;&gt;"",NOT(ISERROR(S86))),S86,VLOOKUP(A86,'ESO Set&amp;DLCs'!$A$3:$D$99998,4,FALSE))</f>
        <v>DLC_BASE_GAME</v>
      </c>
      <c r="U86" s="3" t="str">
        <f>IF(T86&lt;&gt;"",VLOOKUP(T86,ConstDLCIds!$B$4:$C$1000,2,FALSE),"")</f>
        <v>Included in base game</v>
      </c>
      <c r="V86" s="4" t="s">
        <v>203</v>
      </c>
      <c r="Y86" s="5">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zones'!$A$5:$D$10003,4,FALSE),"")</f>
        <v>Cyrodiil</v>
      </c>
      <c r="AB86" s="4" t="s">
        <v>301</v>
      </c>
      <c r="AE86" s="5">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zones'!$A$5:$D$10003,4,FALSE),"")</f>
        <v>Cyrodiil</v>
      </c>
      <c r="AH86" s="4" t="s">
        <v>248</v>
      </c>
      <c r="AK86" s="3">
        <f>IF(AND(G86&lt;&gt;"LIBSETS_SETTYPE_BATTLEGROUND",G86&lt;&gt;"LIBSETS_SETTYPE_SPECIAL"),IF(AL86&lt;&gt;"",VLOOKUP(AL86,'ESO zones'!$D$5:$H$4957,5,FALSE),""),"")</f>
        <v>181</v>
      </c>
      <c r="AL86" t="s">
        <v>166</v>
      </c>
      <c r="AM86" s="4" t="s">
        <v>298</v>
      </c>
      <c r="AP86" s="3">
        <f>IF(AND(G86&lt;&gt;"LIBSETS_SETTYPE_BATTLEGROUND",G86&lt;&gt;"LIBSETS_SETTYPE_SPECIAL"),IF(AQ86&lt;&gt;"",VLOOKUP(AQ86,'ESO zones'!$D$5:$H$4957,5,FALSE),""),"")</f>
        <v>181</v>
      </c>
      <c r="AQ86" t="s">
        <v>166</v>
      </c>
      <c r="AR86" s="4" t="s">
        <v>215</v>
      </c>
      <c r="AU86" s="3">
        <f>IF(AND(G86&lt;&gt;"LIBSETS_SETTYPE_BATTLEGROUND",G86&lt;&gt;"LIBSETS_SETTYPE_SPECIAL"),IF(AV86&lt;&gt;"",VLOOKUP(AV86,'ESO zones'!$D$5:$H$4957,5,FALSE),""),"")</f>
        <v>181</v>
      </c>
      <c r="AV86" t="s">
        <v>166</v>
      </c>
      <c r="AW86" s="4" t="s">
        <v>257</v>
      </c>
      <c r="AZ86" s="49" t="s">
        <v>403</v>
      </c>
      <c r="BA86" s="49"/>
      <c r="BB86" s="49"/>
      <c r="BC86" s="49"/>
      <c r="BD86" s="49"/>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2">
        <v>105</v>
      </c>
      <c r="B87" t="s">
        <v>599</v>
      </c>
      <c r="C87" t="s">
        <v>600</v>
      </c>
      <c r="D87" s="3">
        <f t="shared" si="6"/>
        <v>105</v>
      </c>
      <c r="G87" s="9" t="s">
        <v>174</v>
      </c>
      <c r="I87" t="s">
        <v>401</v>
      </c>
      <c r="J87" t="s">
        <v>401</v>
      </c>
      <c r="K87">
        <v>121</v>
      </c>
      <c r="L87">
        <v>121</v>
      </c>
      <c r="M87">
        <v>121</v>
      </c>
      <c r="O87" s="5" t="s">
        <v>439</v>
      </c>
      <c r="Q87" s="3">
        <f>IF(AND(P87&lt;&gt;"",ISNUMBER(P87),NOT(ISNA(P87))),P87,IF(R87&lt;&gt;"",VLOOKUP(R87,'ESO zones'!$D$5:$H$10005,5,FALSE),""))</f>
        <v>381</v>
      </c>
      <c r="R87" t="str">
        <f>IF(AND(O87&lt;&gt;"",NOT(ISERROR(O87))),O87,IF(AND(P87&lt;&gt;"",ISNUMBER(P87),P87&gt;0,NOT(ISNA(P87))),VLOOKUP(P87,'ESO zones'!$A$5:$D$10003,4,FALSE),IF(AND(K87&lt;&gt;"",K87&gt;0,NOT(ISERROR(K87))),VLOOKUP(K87,'ESO wayshrines'!$K$3:$N$9972,4,FALSE),"")))</f>
        <v>Auridon</v>
      </c>
      <c r="T87" s="16" t="str">
        <f>IF(AND(S87&lt;&gt;"",NOT(ISERROR(S87))),S87,VLOOKUP(A87,'ESO Set&amp;DLCs'!$A$3:$D$99998,4,FALSE))</f>
        <v>DLC_BASE_GAME</v>
      </c>
      <c r="U87" s="3" t="str">
        <f>IF(T87&lt;&gt;"",VLOOKUP(T87,ConstDLCIds!$B$4:$C$1000,2,FALSE),"")</f>
        <v>Included in base game</v>
      </c>
      <c r="V87" s="4" t="s">
        <v>215</v>
      </c>
      <c r="Y87" s="5"/>
      <c r="Z87" s="3">
        <f>IF(AND(G87&lt;&gt;"LIBSETS_SETTYPE_BATTLEGROUND",G87&lt;&gt;"LIBSETS_SETTYPE_SPECIAL"),IF(AND(Y87&lt;&gt;"",ISNUMBER(Y87),NOT(ISNA(Y87))),Y87,IF(AND(L87&lt;&gt;"",ISNUMBER(L87),L87&gt;0,NOT(ISNA(L87))),VLOOKUP(L87,'ESO wayshrines'!$K$3:$L$9972,2,FALSE),"")),"")</f>
        <v>381</v>
      </c>
      <c r="AA87" t="str">
        <f>IF(AND(Z87&lt;&gt;"",ISNUMBER(Z87),NOT(ISNA(Z87))),VLOOKUP(Z87,'ESO zones'!$A$5:$D$10003,4,FALSE),"")</f>
        <v>Auridon</v>
      </c>
      <c r="AB87" s="4" t="s">
        <v>218</v>
      </c>
      <c r="AE87" s="3">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zones'!$A$5:$D$10003,4,FALSE),"")</f>
        <v>Toothmaul Gully</v>
      </c>
      <c r="AH87" s="4" t="s">
        <v>221</v>
      </c>
      <c r="AK87" s="3">
        <f>IF(AND(G87&lt;&gt;"LIBSETS_SETTYPE_BATTLEGROUND",G87&lt;&gt;"LIBSETS_SETTYPE_SPECIAL"),IF(AL87&lt;&gt;"",VLOOKUP(AL87,'ESO zones'!$D$5:$H$4957,5,FALSE),""),"")</f>
        <v>381</v>
      </c>
      <c r="AL87" t="s">
        <v>439</v>
      </c>
      <c r="AM87" s="4" t="s">
        <v>224</v>
      </c>
      <c r="AP87" s="3">
        <f>IF(AND(G87&lt;&gt;"LIBSETS_SETTYPE_BATTLEGROUND",G87&lt;&gt;"LIBSETS_SETTYPE_SPECIAL"),IF(AQ87&lt;&gt;"",VLOOKUP(AQ87,'ESO zones'!$D$5:$H$4957,5,FALSE),""),"")</f>
        <v>381</v>
      </c>
      <c r="AQ87" t="s">
        <v>439</v>
      </c>
      <c r="AR87" s="80" t="s">
        <v>269</v>
      </c>
      <c r="AU87" s="3" t="str">
        <f>IF(AND(G87&lt;&gt;"LIBSETS_SETTYPE_BATTLEGROUND",G87&lt;&gt;"LIBSETS_SETTYPE_SPECIAL"),IF(AV87&lt;&gt;"",VLOOKUP(AV87,'ESO zones'!$D$5:$H$4957,5,FALSE),""),"")</f>
        <v/>
      </c>
      <c r="AZ87" s="49" t="s">
        <v>403</v>
      </c>
      <c r="BA87" s="49"/>
      <c r="BB87" s="49"/>
      <c r="BC87" s="49"/>
      <c r="BD87" s="49"/>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2">
        <v>106</v>
      </c>
      <c r="B88" t="s">
        <v>601</v>
      </c>
      <c r="C88" t="s">
        <v>602</v>
      </c>
      <c r="D88" s="3">
        <f t="shared" si="6"/>
        <v>106</v>
      </c>
      <c r="G88" s="9" t="s">
        <v>174</v>
      </c>
      <c r="I88" t="s">
        <v>401</v>
      </c>
      <c r="J88" t="s">
        <v>401</v>
      </c>
      <c r="K88">
        <v>143</v>
      </c>
      <c r="L88">
        <v>143</v>
      </c>
      <c r="M88">
        <v>143</v>
      </c>
      <c r="O88" s="5" t="s">
        <v>511</v>
      </c>
      <c r="Q88" s="3">
        <f>IF(AND(P88&lt;&gt;"",ISNUMBER(P88),NOT(ISNA(P88))),P88,IF(R88&lt;&gt;"",VLOOKUP(R88,'ESO zones'!$D$5:$H$10005,5,FALSE),""))</f>
        <v>108</v>
      </c>
      <c r="R88" t="str">
        <f>IF(AND(O88&lt;&gt;"",NOT(ISERROR(O88))),O88,IF(AND(P88&lt;&gt;"",ISNUMBER(P88),P88&gt;0,NOT(ISNA(P88))),VLOOKUP(P88,'ESO zones'!$A$5:$D$10003,4,FALSE),IF(AND(K88&lt;&gt;"",K88&gt;0,NOT(ISERROR(K88))),VLOOKUP(K88,'ESO wayshrines'!$K$3:$N$9972,4,FALSE),"")))</f>
        <v>Greenshade</v>
      </c>
      <c r="T88" s="16" t="str">
        <f>IF(AND(S88&lt;&gt;"",NOT(ISERROR(S88))),S88,VLOOKUP(A88,'ESO Set&amp;DLCs'!$A$3:$D$99998,4,FALSE))</f>
        <v>DLC_BASE_GAME</v>
      </c>
      <c r="U88" s="3" t="str">
        <f>IF(T88&lt;&gt;"",VLOOKUP(T88,ConstDLCIds!$B$4:$C$1000,2,FALSE),"")</f>
        <v>Included in base game</v>
      </c>
      <c r="V88" s="4" t="s">
        <v>215</v>
      </c>
      <c r="Y88" s="5"/>
      <c r="Z88" s="3">
        <f>IF(AND(G88&lt;&gt;"LIBSETS_SETTYPE_BATTLEGROUND",G88&lt;&gt;"LIBSETS_SETTYPE_SPECIAL"),IF(AND(Y88&lt;&gt;"",ISNUMBER(Y88),NOT(ISNA(Y88))),Y88,IF(AND(L88&lt;&gt;"",ISNUMBER(L88),L88&gt;0,NOT(ISNA(L88))),VLOOKUP(L88,'ESO wayshrines'!$K$3:$L$9972,2,FALSE),"")),"")</f>
        <v>108</v>
      </c>
      <c r="AA88" t="str">
        <f>IF(AND(Z88&lt;&gt;"",ISNUMBER(Z88),NOT(ISNA(Z88))),VLOOKUP(Z88,'ESO zones'!$A$5:$D$10003,4,FALSE),"")</f>
        <v>Greenshade</v>
      </c>
      <c r="AB88" s="4" t="s">
        <v>218</v>
      </c>
      <c r="AE88" s="3">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zones'!$A$5:$D$10003,4,FALSE),"")</f>
        <v>Rulanyil's Fall</v>
      </c>
      <c r="AH88" s="4" t="s">
        <v>221</v>
      </c>
      <c r="AK88" s="3">
        <f>IF(AND(G88&lt;&gt;"LIBSETS_SETTYPE_BATTLEGROUND",G88&lt;&gt;"LIBSETS_SETTYPE_SPECIAL"),IF(AL88&lt;&gt;"",VLOOKUP(AL88,'ESO zones'!$D$5:$H$4957,5,FALSE),""),"")</f>
        <v>108</v>
      </c>
      <c r="AL88" t="s">
        <v>511</v>
      </c>
      <c r="AM88" s="4" t="s">
        <v>224</v>
      </c>
      <c r="AP88" s="3">
        <f>IF(AND(G88&lt;&gt;"LIBSETS_SETTYPE_BATTLEGROUND",G88&lt;&gt;"LIBSETS_SETTYPE_SPECIAL"),IF(AQ88&lt;&gt;"",VLOOKUP(AQ88,'ESO zones'!$D$5:$H$4957,5,FALSE),""),"")</f>
        <v>108</v>
      </c>
      <c r="AQ88" t="s">
        <v>511</v>
      </c>
      <c r="AR88" s="80" t="s">
        <v>269</v>
      </c>
      <c r="AU88" s="3" t="str">
        <f>IF(AND(G88&lt;&gt;"LIBSETS_SETTYPE_BATTLEGROUND",G88&lt;&gt;"LIBSETS_SETTYPE_SPECIAL"),IF(AV88&lt;&gt;"",VLOOKUP(AV88,'ESO zones'!$D$5:$H$4957,5,FALSE),""),"")</f>
        <v/>
      </c>
      <c r="AZ88" s="49" t="s">
        <v>403</v>
      </c>
      <c r="BA88" s="49"/>
      <c r="BB88" s="49"/>
      <c r="BC88" s="49"/>
      <c r="BD88" s="49"/>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2">
        <v>107</v>
      </c>
      <c r="B89" t="s">
        <v>603</v>
      </c>
      <c r="C89" t="s">
        <v>604</v>
      </c>
      <c r="D89" s="3">
        <f t="shared" si="6"/>
        <v>107</v>
      </c>
      <c r="G89" s="9" t="s">
        <v>174</v>
      </c>
      <c r="I89" t="s">
        <v>401</v>
      </c>
      <c r="J89" t="s">
        <v>401</v>
      </c>
      <c r="K89">
        <v>62</v>
      </c>
      <c r="L89">
        <v>62</v>
      </c>
      <c r="M89">
        <v>62</v>
      </c>
      <c r="O89" s="5" t="s">
        <v>496</v>
      </c>
      <c r="Q89" s="3">
        <f>IF(AND(P89&lt;&gt;"",ISNUMBER(P89),NOT(ISNA(P89))),P89,IF(R89&lt;&gt;"",VLOOKUP(R89,'ESO zones'!$D$5:$H$10005,5,FALSE),""))</f>
        <v>3</v>
      </c>
      <c r="R89" t="str">
        <f>IF(AND(O89&lt;&gt;"",NOT(ISERROR(O89))),O89,IF(AND(P89&lt;&gt;"",ISNUMBER(P89),P89&gt;0,NOT(ISNA(P89))),VLOOKUP(P89,'ESO zones'!$A$5:$D$10003,4,FALSE),IF(AND(K89&lt;&gt;"",K89&gt;0,NOT(ISERROR(K89))),VLOOKUP(K89,'ESO wayshrines'!$K$3:$N$9972,4,FALSE),"")))</f>
        <v>Glenumbra</v>
      </c>
      <c r="T89" s="16" t="str">
        <f>IF(AND(S89&lt;&gt;"",NOT(ISERROR(S89))),S89,VLOOKUP(A89,'ESO Set&amp;DLCs'!$A$3:$D$99998,4,FALSE))</f>
        <v>DLC_BASE_GAME</v>
      </c>
      <c r="U89" s="3" t="str">
        <f>IF(T89&lt;&gt;"",VLOOKUP(T89,ConstDLCIds!$B$4:$C$1000,2,FALSE),"")</f>
        <v>Included in base game</v>
      </c>
      <c r="V89" s="4"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zones'!$A$5:$D$10003,4,FALSE),"")</f>
        <v>Glenumbra</v>
      </c>
      <c r="AB89" s="4" t="s">
        <v>218</v>
      </c>
      <c r="AE89" s="3">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zones'!$A$5:$D$10003,4,FALSE),"")</f>
        <v>Bad Man's Hallows</v>
      </c>
      <c r="AH89" s="4" t="s">
        <v>221</v>
      </c>
      <c r="AK89" s="3">
        <f>IF(AND(G89&lt;&gt;"LIBSETS_SETTYPE_BATTLEGROUND",G89&lt;&gt;"LIBSETS_SETTYPE_SPECIAL"),IF(AL89&lt;&gt;"",VLOOKUP(AL89,'ESO zones'!$D$5:$H$4957,5,FALSE),""),"")</f>
        <v>3</v>
      </c>
      <c r="AL89" t="s">
        <v>496</v>
      </c>
      <c r="AM89" s="4" t="s">
        <v>224</v>
      </c>
      <c r="AP89" s="3">
        <f>IF(AND(G89&lt;&gt;"LIBSETS_SETTYPE_BATTLEGROUND",G89&lt;&gt;"LIBSETS_SETTYPE_SPECIAL"),IF(AQ89&lt;&gt;"",VLOOKUP(AQ89,'ESO zones'!$D$5:$H$4957,5,FALSE),""),"")</f>
        <v>3</v>
      </c>
      <c r="AQ89" t="s">
        <v>496</v>
      </c>
      <c r="AR89" s="80" t="s">
        <v>269</v>
      </c>
      <c r="AU89" s="3" t="str">
        <f>IF(AND(G89&lt;&gt;"LIBSETS_SETTYPE_BATTLEGROUND",G89&lt;&gt;"LIBSETS_SETTYPE_SPECIAL"),IF(AV89&lt;&gt;"",VLOOKUP(AV89,'ESO zones'!$D$5:$H$4957,5,FALSE),""),"")</f>
        <v/>
      </c>
      <c r="AZ89" s="49" t="s">
        <v>403</v>
      </c>
      <c r="BA89" s="49"/>
      <c r="BB89" s="49"/>
      <c r="BC89" s="49"/>
      <c r="BD89" s="49"/>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2">
        <v>108</v>
      </c>
      <c r="B90" t="s">
        <v>605</v>
      </c>
      <c r="C90" t="s">
        <v>606</v>
      </c>
      <c r="D90" s="3">
        <f t="shared" si="6"/>
        <v>108</v>
      </c>
      <c r="G90" s="9" t="s">
        <v>165</v>
      </c>
      <c r="I90" t="s">
        <v>401</v>
      </c>
      <c r="J90" t="s">
        <v>401</v>
      </c>
      <c r="K90">
        <v>-1</v>
      </c>
      <c r="L90">
        <v>-1</v>
      </c>
      <c r="M90">
        <v>-1</v>
      </c>
      <c r="O90" s="5" t="s">
        <v>166</v>
      </c>
      <c r="Q90" s="3">
        <f>IF(AND(P90&lt;&gt;"",ISNUMBER(P90),NOT(ISNA(P90))),P90,IF(R90&lt;&gt;"",VLOOKUP(R90,'ESO zones'!$D$5:$H$10005,5,FALSE),""))</f>
        <v>181</v>
      </c>
      <c r="R90" t="str">
        <f>IF(AND(O90&lt;&gt;"",NOT(ISERROR(O90))),O90,IF(AND(P90&lt;&gt;"",ISNUMBER(P90),P90&gt;0,NOT(ISNA(P90))),VLOOKUP(P90,'ESO zones'!$A$5:$D$10003,4,FALSE),IF(AND(K90&lt;&gt;"",K90&gt;0,NOT(ISERROR(K90))),VLOOKUP(K90,'ESO wayshrines'!$K$3:$N$9972,4,FALSE),"")))</f>
        <v>Cyrodiil</v>
      </c>
      <c r="T90" s="16" t="str">
        <f>IF(AND(S90&lt;&gt;"",NOT(ISERROR(S90))),S90,VLOOKUP(A90,'ESO Set&amp;DLCs'!$A$3:$D$99998,4,FALSE))</f>
        <v>DLC_BASE_GAME</v>
      </c>
      <c r="U90" s="3" t="str">
        <f>IF(T90&lt;&gt;"",VLOOKUP(T90,ConstDLCIds!$B$4:$C$1000,2,FALSE),"")</f>
        <v>Included in base game</v>
      </c>
      <c r="V90" s="4" t="s">
        <v>206</v>
      </c>
      <c r="Y90" s="5">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zones'!$A$5:$D$10003,4,FALSE),"")</f>
        <v>Cyrodiil</v>
      </c>
      <c r="AB90" s="4" t="s">
        <v>301</v>
      </c>
      <c r="AE90" s="5">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zones'!$A$5:$D$10003,4,FALSE),"")</f>
        <v>Cyrodiil</v>
      </c>
      <c r="AH90" s="4" t="s">
        <v>248</v>
      </c>
      <c r="AK90" s="3">
        <f>IF(AND(G90&lt;&gt;"LIBSETS_SETTYPE_BATTLEGROUND",G90&lt;&gt;"LIBSETS_SETTYPE_SPECIAL"),IF(AL90&lt;&gt;"",VLOOKUP(AL90,'ESO zones'!$D$5:$H$4957,5,FALSE),""),"")</f>
        <v>181</v>
      </c>
      <c r="AL90" t="s">
        <v>166</v>
      </c>
      <c r="AM90" s="4" t="s">
        <v>298</v>
      </c>
      <c r="AP90" s="3">
        <f>IF(AND(G90&lt;&gt;"LIBSETS_SETTYPE_BATTLEGROUND",G90&lt;&gt;"LIBSETS_SETTYPE_SPECIAL"),IF(AQ90&lt;&gt;"",VLOOKUP(AQ90,'ESO zones'!$D$5:$H$4957,5,FALSE),""),"")</f>
        <v>181</v>
      </c>
      <c r="AQ90" t="s">
        <v>166</v>
      </c>
      <c r="AR90" s="4" t="s">
        <v>215</v>
      </c>
      <c r="AU90" s="3">
        <f>IF(AND(G90&lt;&gt;"LIBSETS_SETTYPE_BATTLEGROUND",G90&lt;&gt;"LIBSETS_SETTYPE_SPECIAL"),IF(AV90&lt;&gt;"",VLOOKUP(AV90,'ESO zones'!$D$5:$H$4957,5,FALSE),""),"")</f>
        <v>181</v>
      </c>
      <c r="AV90" t="s">
        <v>166</v>
      </c>
      <c r="AW90" s="4" t="s">
        <v>257</v>
      </c>
      <c r="AZ90" s="49" t="s">
        <v>403</v>
      </c>
      <c r="BA90" s="49"/>
      <c r="BB90" s="49"/>
      <c r="BC90" s="49"/>
      <c r="BD90" s="49"/>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4" customFormat="1" x14ac:dyDescent="0.25">
      <c r="A91" s="12">
        <v>109</v>
      </c>
      <c r="B91" t="s">
        <v>607</v>
      </c>
      <c r="C91" t="s">
        <v>608</v>
      </c>
      <c r="D91" s="3">
        <f t="shared" si="6"/>
        <v>109</v>
      </c>
      <c r="E91"/>
      <c r="F91"/>
      <c r="G91" s="9" t="s">
        <v>165</v>
      </c>
      <c r="H91"/>
      <c r="I91" t="s">
        <v>401</v>
      </c>
      <c r="J91" t="s">
        <v>401</v>
      </c>
      <c r="K91">
        <v>-1</v>
      </c>
      <c r="L91">
        <v>-1</v>
      </c>
      <c r="M91">
        <v>-1</v>
      </c>
      <c r="N91"/>
      <c r="O91" s="5" t="s">
        <v>166</v>
      </c>
      <c r="P91" s="5"/>
      <c r="Q91" s="3">
        <f>IF(AND(P91&lt;&gt;"",ISNUMBER(P91),NOT(ISNA(P91))),P91,IF(R91&lt;&gt;"",VLOOKUP(R91,'ESO zones'!$D$5:$H$10005,5,FALSE),""))</f>
        <v>181</v>
      </c>
      <c r="R91" t="str">
        <f>IF(AND(O91&lt;&gt;"",NOT(ISERROR(O91))),O91,IF(AND(P91&lt;&gt;"",ISNUMBER(P91),P91&gt;0,NOT(ISNA(P91))),VLOOKUP(P91,'ESO zones'!$A$5:$D$10003,4,FALSE),IF(AND(K91&lt;&gt;"",K91&gt;0,NOT(ISERROR(K91))),VLOOKUP(K91,'ESO wayshrines'!$K$3:$N$9972,4,FALSE),"")))</f>
        <v>Cyrodiil</v>
      </c>
      <c r="S91" s="5"/>
      <c r="T91" s="16" t="str">
        <f>IF(AND(S91&lt;&gt;"",NOT(ISERROR(S91))),S91,VLOOKUP(A91,'ESO Set&amp;DLCs'!$A$3:$D$99998,4,FALSE))</f>
        <v>DLC_BASE_GAME</v>
      </c>
      <c r="U91" s="3" t="str">
        <f>IF(T91&lt;&gt;"",VLOOKUP(T91,ConstDLCIds!$B$4:$C$1000,2,FALSE),"")</f>
        <v>Included in base game</v>
      </c>
      <c r="V91" s="4" t="s">
        <v>203</v>
      </c>
      <c r="W91" s="3"/>
      <c r="X91" s="3"/>
      <c r="Y91" s="5">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zones'!$A$5:$D$10003,4,FALSE),"")</f>
        <v>Cyrodiil</v>
      </c>
      <c r="AB91" s="4" t="s">
        <v>301</v>
      </c>
      <c r="AC91" s="3"/>
      <c r="AD91" s="3"/>
      <c r="AE91" s="5">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zones'!$A$5:$D$10003,4,FALSE),"")</f>
        <v>Cyrodiil</v>
      </c>
      <c r="AH91" s="4" t="s">
        <v>248</v>
      </c>
      <c r="AI91" s="3"/>
      <c r="AJ91" s="3"/>
      <c r="AK91" s="3">
        <f>IF(AND(G91&lt;&gt;"LIBSETS_SETTYPE_BATTLEGROUND",G91&lt;&gt;"LIBSETS_SETTYPE_SPECIAL"),IF(AL91&lt;&gt;"",VLOOKUP(AL91,'ESO zones'!$D$5:$H$4957,5,FALSE),""),"")</f>
        <v>181</v>
      </c>
      <c r="AL91" t="s">
        <v>166</v>
      </c>
      <c r="AM91" s="4" t="s">
        <v>298</v>
      </c>
      <c r="AN91" s="3"/>
      <c r="AO91" s="3"/>
      <c r="AP91" s="3">
        <f>IF(AND(G91&lt;&gt;"LIBSETS_SETTYPE_BATTLEGROUND",G91&lt;&gt;"LIBSETS_SETTYPE_SPECIAL"),IF(AQ91&lt;&gt;"",VLOOKUP(AQ91,'ESO zones'!$D$5:$H$4957,5,FALSE),""),"")</f>
        <v>181</v>
      </c>
      <c r="AQ91" t="s">
        <v>166</v>
      </c>
      <c r="AR91" s="4" t="s">
        <v>215</v>
      </c>
      <c r="AS91" s="3"/>
      <c r="AT91" s="3"/>
      <c r="AU91" s="3">
        <f>IF(AND(G91&lt;&gt;"LIBSETS_SETTYPE_BATTLEGROUND",G91&lt;&gt;"LIBSETS_SETTYPE_SPECIAL"),IF(AV91&lt;&gt;"",VLOOKUP(AV91,'ESO zones'!$D$5:$H$4957,5,FALSE),""),"")</f>
        <v>181</v>
      </c>
      <c r="AV91" t="s">
        <v>166</v>
      </c>
      <c r="AW91" s="4" t="s">
        <v>257</v>
      </c>
      <c r="AX91" s="3"/>
      <c r="AY91" s="3"/>
      <c r="AZ91" s="49" t="s">
        <v>403</v>
      </c>
      <c r="BA91" s="49"/>
      <c r="BB91" s="49"/>
      <c r="BC91" s="49"/>
      <c r="BD91" s="49"/>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2">
        <v>110</v>
      </c>
      <c r="B92" t="s">
        <v>609</v>
      </c>
      <c r="C92" t="s">
        <v>610</v>
      </c>
      <c r="D92" s="3">
        <f t="shared" si="6"/>
        <v>110</v>
      </c>
      <c r="G92" s="9" t="s">
        <v>169</v>
      </c>
      <c r="I92" t="s">
        <v>401</v>
      </c>
      <c r="J92" t="s">
        <v>401</v>
      </c>
      <c r="K92">
        <v>194</v>
      </c>
      <c r="L92">
        <v>194</v>
      </c>
      <c r="M92">
        <v>194</v>
      </c>
      <c r="O92" s="5" t="s">
        <v>611</v>
      </c>
      <c r="Q92" s="3">
        <f>IF(AND(P92&lt;&gt;"",ISNUMBER(P92),NOT(ISNA(P92))),P92,IF(R92&lt;&gt;"",VLOOKUP(R92,'ESO zones'!$D$5:$H$10005,5,FALSE),""))</f>
        <v>380</v>
      </c>
      <c r="R92" t="str">
        <f>IF(AND(O92&lt;&gt;"",NOT(ISERROR(O92))),O92,IF(AND(P92&lt;&gt;"",ISNUMBER(P92),P92&gt;0,NOT(ISNA(P92))),VLOOKUP(P92,'ESO zones'!$A$5:$D$10003,4,FALSE),IF(AND(K92&lt;&gt;"",K92&gt;0,NOT(ISERROR(K92))),VLOOKUP(K92,'ESO wayshrines'!$K$3:$N$9972,4,FALSE),"")))</f>
        <v>The Banished Cells I</v>
      </c>
      <c r="T92" s="16" t="str">
        <f>IF(AND(S92&lt;&gt;"",NOT(ISERROR(S92))),S92,VLOOKUP(A92,'ESO Set&amp;DLCs'!$A$3:$D$99998,4,FALSE))</f>
        <v>DLC_BASE_GAME</v>
      </c>
      <c r="U92" s="3" t="str">
        <f>IF(T92&lt;&gt;"",VLOOKUP(T92,ConstDLCIds!$B$4:$C$1000,2,FALSE),"")</f>
        <v>Included in base game</v>
      </c>
      <c r="V92" s="4" t="s">
        <v>278</v>
      </c>
      <c r="Y92" s="5">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zones'!$A$5:$D$10003,4,FALSE),"")</f>
        <v>The Banished Cells II</v>
      </c>
      <c r="AB92" s="4"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zones'!$A$5:$D$10003,4,FALSE),"")</f>
        <v>Auridon</v>
      </c>
      <c r="AH92" s="57"/>
      <c r="AK92" s="3" t="str">
        <f>IF(AND(G92&lt;&gt;"LIBSETS_SETTYPE_BATTLEGROUND",G92&lt;&gt;"LIBSETS_SETTYPE_SPECIAL"),IF(AL92&lt;&gt;"",VLOOKUP(AL92,'ESO zones'!$D$5:$H$4957,5,FALSE),""),"")</f>
        <v/>
      </c>
      <c r="AP92" s="3" t="str">
        <f>IF(AND(G92&lt;&gt;"LIBSETS_SETTYPE_BATTLEGROUND",G92&lt;&gt;"LIBSETS_SETTYPE_SPECIAL"),IF(AQ92&lt;&gt;"",VLOOKUP(AQ92,'ESO zones'!$D$5:$H$4957,5,FALSE),""),"")</f>
        <v/>
      </c>
      <c r="AU92" s="3" t="str">
        <f>IF(AND(G92&lt;&gt;"LIBSETS_SETTYPE_BATTLEGROUND",G92&lt;&gt;"LIBSETS_SETTYPE_SPECIAL"),IF(AV92&lt;&gt;"",VLOOKUP(AV92,'ESO zones'!$D$5:$H$4957,5,FALSE),""),"")</f>
        <v/>
      </c>
      <c r="AZ92" s="49" t="s">
        <v>403</v>
      </c>
      <c r="BA92" s="49"/>
      <c r="BB92" s="49"/>
      <c r="BC92" s="49"/>
      <c r="BD92" s="49"/>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2">
        <v>111</v>
      </c>
      <c r="B93" t="s">
        <v>612</v>
      </c>
      <c r="C93" t="s">
        <v>613</v>
      </c>
      <c r="D93" s="3">
        <f t="shared" si="6"/>
        <v>111</v>
      </c>
      <c r="G93" s="9" t="s">
        <v>165</v>
      </c>
      <c r="I93" t="s">
        <v>401</v>
      </c>
      <c r="J93" t="s">
        <v>401</v>
      </c>
      <c r="K93">
        <v>-1</v>
      </c>
      <c r="L93">
        <v>-1</v>
      </c>
      <c r="M93">
        <v>-1</v>
      </c>
      <c r="O93" s="5" t="s">
        <v>166</v>
      </c>
      <c r="Q93" s="3">
        <f>IF(AND(P93&lt;&gt;"",ISNUMBER(P93),NOT(ISNA(P93))),P93,IF(R93&lt;&gt;"",VLOOKUP(R93,'ESO zones'!$D$5:$H$10005,5,FALSE),""))</f>
        <v>181</v>
      </c>
      <c r="R93" t="str">
        <f>IF(AND(O93&lt;&gt;"",NOT(ISERROR(O93))),O93,IF(AND(P93&lt;&gt;"",ISNUMBER(P93),P93&gt;0,NOT(ISNA(P93))),VLOOKUP(P93,'ESO zones'!$A$5:$D$10003,4,FALSE),IF(AND(K93&lt;&gt;"",K93&gt;0,NOT(ISERROR(K93))),VLOOKUP(K93,'ESO wayshrines'!$K$3:$N$9972,4,FALSE),"")))</f>
        <v>Cyrodiil</v>
      </c>
      <c r="T93" s="16" t="str">
        <f>IF(AND(S93&lt;&gt;"",NOT(ISERROR(S93))),S93,VLOOKUP(A93,'ESO Set&amp;DLCs'!$A$3:$D$99998,4,FALSE))</f>
        <v>DLC_BASE_GAME</v>
      </c>
      <c r="U93" s="3" t="str">
        <f>IF(T93&lt;&gt;"",VLOOKUP(T93,ConstDLCIds!$B$4:$C$1000,2,FALSE),"")</f>
        <v>Included in base game</v>
      </c>
      <c r="V93" s="4" t="s">
        <v>200</v>
      </c>
      <c r="Y93" s="5">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zones'!$A$5:$D$10003,4,FALSE),"")</f>
        <v>Cyrodiil</v>
      </c>
      <c r="AB93" s="4" t="s">
        <v>301</v>
      </c>
      <c r="AE93" s="5">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zones'!$A$5:$D$10003,4,FALSE),"")</f>
        <v>Cyrodiil</v>
      </c>
      <c r="AH93" s="4" t="s">
        <v>248</v>
      </c>
      <c r="AK93" s="3">
        <f>IF(AND(G93&lt;&gt;"LIBSETS_SETTYPE_BATTLEGROUND",G93&lt;&gt;"LIBSETS_SETTYPE_SPECIAL"),IF(AL93&lt;&gt;"",VLOOKUP(AL93,'ESO zones'!$D$5:$H$4957,5,FALSE),""),"")</f>
        <v>181</v>
      </c>
      <c r="AL93" t="s">
        <v>166</v>
      </c>
      <c r="AM93" s="4" t="s">
        <v>298</v>
      </c>
      <c r="AP93" s="3">
        <f>IF(AND(G93&lt;&gt;"LIBSETS_SETTYPE_BATTLEGROUND",G93&lt;&gt;"LIBSETS_SETTYPE_SPECIAL"),IF(AQ93&lt;&gt;"",VLOOKUP(AQ93,'ESO zones'!$D$5:$H$4957,5,FALSE),""),"")</f>
        <v>181</v>
      </c>
      <c r="AQ93" t="s">
        <v>166</v>
      </c>
      <c r="AR93" s="4" t="s">
        <v>215</v>
      </c>
      <c r="AU93" s="3">
        <f>IF(AND(G93&lt;&gt;"LIBSETS_SETTYPE_BATTLEGROUND",G93&lt;&gt;"LIBSETS_SETTYPE_SPECIAL"),IF(AV93&lt;&gt;"",VLOOKUP(AV93,'ESO zones'!$D$5:$H$4957,5,FALSE),""),"")</f>
        <v>181</v>
      </c>
      <c r="AV93" t="s">
        <v>166</v>
      </c>
      <c r="AW93" s="4" t="s">
        <v>257</v>
      </c>
      <c r="AZ93" s="49" t="s">
        <v>403</v>
      </c>
      <c r="BA93" s="49"/>
      <c r="BB93" s="49"/>
      <c r="BC93" s="49"/>
      <c r="BD93" s="49"/>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2">
        <v>112</v>
      </c>
      <c r="B94" t="s">
        <v>614</v>
      </c>
      <c r="C94" t="s">
        <v>615</v>
      </c>
      <c r="D94" s="3">
        <f t="shared" si="6"/>
        <v>112</v>
      </c>
      <c r="G94" s="9" t="s">
        <v>174</v>
      </c>
      <c r="I94" t="s">
        <v>401</v>
      </c>
      <c r="J94" t="s">
        <v>401</v>
      </c>
      <c r="K94">
        <v>17</v>
      </c>
      <c r="L94">
        <v>17</v>
      </c>
      <c r="M94">
        <v>17</v>
      </c>
      <c r="O94" s="5" t="s">
        <v>413</v>
      </c>
      <c r="Q94" s="3">
        <f>IF(AND(P94&lt;&gt;"",ISNUMBER(P94),NOT(ISNA(P94))),P94,IF(R94&lt;&gt;"",VLOOKUP(R94,'ESO zones'!$D$5:$H$10005,5,FALSE),""))</f>
        <v>19</v>
      </c>
      <c r="R94" t="str">
        <f>IF(AND(O94&lt;&gt;"",NOT(ISERROR(O94))),O94,IF(AND(P94&lt;&gt;"",ISNUMBER(P94),P94&gt;0,NOT(ISNA(P94))),VLOOKUP(P94,'ESO zones'!$A$5:$D$10003,4,FALSE),IF(AND(K94&lt;&gt;"",K94&gt;0,NOT(ISERROR(K94))),VLOOKUP(K94,'ESO wayshrines'!$K$3:$N$9972,4,FALSE),"")))</f>
        <v>Stormhaven</v>
      </c>
      <c r="T94" s="16" t="str">
        <f>IF(AND(S94&lt;&gt;"",NOT(ISERROR(S94))),S94,VLOOKUP(A94,'ESO Set&amp;DLCs'!$A$3:$D$99998,4,FALSE))</f>
        <v>DLC_BASE_GAME</v>
      </c>
      <c r="U94" s="3" t="str">
        <f>IF(T94&lt;&gt;"",VLOOKUP(T94,ConstDLCIds!$B$4:$C$1000,2,FALSE),"")</f>
        <v>Included in base game</v>
      </c>
      <c r="V94" s="4" t="s">
        <v>215</v>
      </c>
      <c r="Y94" s="5"/>
      <c r="Z94" s="3">
        <f>IF(AND(G94&lt;&gt;"LIBSETS_SETTYPE_BATTLEGROUND",G94&lt;&gt;"LIBSETS_SETTYPE_SPECIAL"),IF(AND(Y94&lt;&gt;"",ISNUMBER(Y94),NOT(ISNA(Y94))),Y94,IF(AND(L94&lt;&gt;"",ISNUMBER(L94),L94&gt;0,NOT(ISNA(L94))),VLOOKUP(L94,'ESO wayshrines'!$K$3:$L$9972,2,FALSE),"")),"")</f>
        <v>19</v>
      </c>
      <c r="AA94" t="str">
        <f>IF(AND(Z94&lt;&gt;"",ISNUMBER(Z94),NOT(ISNA(Z94))),VLOOKUP(Z94,'ESO zones'!$A$5:$D$10003,4,FALSE),"")</f>
        <v>Stormhaven</v>
      </c>
      <c r="AB94" s="4" t="s">
        <v>218</v>
      </c>
      <c r="AE94" s="3">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zones'!$A$5:$D$10003,4,FALSE),"")</f>
        <v>Bonesnap Ruins</v>
      </c>
      <c r="AH94" s="4" t="s">
        <v>221</v>
      </c>
      <c r="AK94" s="3">
        <f>IF(AND(G94&lt;&gt;"LIBSETS_SETTYPE_BATTLEGROUND",G94&lt;&gt;"LIBSETS_SETTYPE_SPECIAL"),IF(AL94&lt;&gt;"",VLOOKUP(AL94,'ESO zones'!$D$5:$H$4957,5,FALSE),""),"")</f>
        <v>19</v>
      </c>
      <c r="AL94" t="s">
        <v>413</v>
      </c>
      <c r="AM94" s="4" t="s">
        <v>224</v>
      </c>
      <c r="AP94" s="3">
        <f>IF(AND(G94&lt;&gt;"LIBSETS_SETTYPE_BATTLEGROUND",G94&lt;&gt;"LIBSETS_SETTYPE_SPECIAL"),IF(AQ94&lt;&gt;"",VLOOKUP(AQ94,'ESO zones'!$D$5:$H$4957,5,FALSE),""),"")</f>
        <v>19</v>
      </c>
      <c r="AQ94" t="s">
        <v>413</v>
      </c>
      <c r="AR94" s="80" t="s">
        <v>269</v>
      </c>
      <c r="AU94" s="3" t="str">
        <f>IF(AND(G94&lt;&gt;"LIBSETS_SETTYPE_BATTLEGROUND",G94&lt;&gt;"LIBSETS_SETTYPE_SPECIAL"),IF(AV94&lt;&gt;"",VLOOKUP(AV94,'ESO zones'!$D$5:$H$4957,5,FALSE),""),"")</f>
        <v/>
      </c>
      <c r="AZ94" s="49" t="s">
        <v>410</v>
      </c>
      <c r="BA94" s="49"/>
      <c r="BB94" s="49"/>
      <c r="BC94" s="49"/>
      <c r="BD94" s="49"/>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2">
        <v>113</v>
      </c>
      <c r="B95" t="s">
        <v>616</v>
      </c>
      <c r="C95" t="s">
        <v>617</v>
      </c>
      <c r="D95" s="3">
        <f t="shared" si="6"/>
        <v>113</v>
      </c>
      <c r="G95" s="9" t="s">
        <v>165</v>
      </c>
      <c r="I95" t="s">
        <v>401</v>
      </c>
      <c r="J95" t="s">
        <v>401</v>
      </c>
      <c r="K95">
        <v>-1</v>
      </c>
      <c r="L95">
        <v>-1</v>
      </c>
      <c r="M95">
        <v>-1</v>
      </c>
      <c r="O95" s="5" t="s">
        <v>166</v>
      </c>
      <c r="Q95" s="3">
        <f>IF(AND(P95&lt;&gt;"",ISNUMBER(P95),NOT(ISNA(P95))),P95,IF(R95&lt;&gt;"",VLOOKUP(R95,'ESO zones'!$D$5:$H$10005,5,FALSE),""))</f>
        <v>181</v>
      </c>
      <c r="R95" t="str">
        <f>IF(AND(O95&lt;&gt;"",NOT(ISERROR(O95))),O95,IF(AND(P95&lt;&gt;"",ISNUMBER(P95),P95&gt;0,NOT(ISNA(P95))),VLOOKUP(P95,'ESO zones'!$A$5:$D$10003,4,FALSE),IF(AND(K95&lt;&gt;"",K95&gt;0,NOT(ISERROR(K95))),VLOOKUP(K95,'ESO wayshrines'!$K$3:$N$9972,4,FALSE),"")))</f>
        <v>Cyrodiil</v>
      </c>
      <c r="T95" s="16" t="str">
        <f>IF(AND(S95&lt;&gt;"",NOT(ISERROR(S95))),S95,VLOOKUP(A95,'ESO Set&amp;DLCs'!$A$3:$D$99998,4,FALSE))</f>
        <v>DLC_BASE_GAME</v>
      </c>
      <c r="U95" s="3" t="str">
        <f>IF(T95&lt;&gt;"",VLOOKUP(T95,ConstDLCIds!$B$4:$C$1000,2,FALSE),"")</f>
        <v>Included in base game</v>
      </c>
      <c r="V95" s="4" t="s">
        <v>206</v>
      </c>
      <c r="Y95" s="5">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zones'!$A$5:$D$10003,4,FALSE),"")</f>
        <v>Cyrodiil</v>
      </c>
      <c r="AB95" s="4" t="s">
        <v>301</v>
      </c>
      <c r="AE95" s="5">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zones'!$A$5:$D$10003,4,FALSE),"")</f>
        <v>Cyrodiil</v>
      </c>
      <c r="AH95" s="4" t="s">
        <v>248</v>
      </c>
      <c r="AK95" s="3">
        <f>IF(AND(G95&lt;&gt;"LIBSETS_SETTYPE_BATTLEGROUND",G95&lt;&gt;"LIBSETS_SETTYPE_SPECIAL"),IF(AL95&lt;&gt;"",VLOOKUP(AL95,'ESO zones'!$D$5:$H$4957,5,FALSE),""),"")</f>
        <v>181</v>
      </c>
      <c r="AL95" t="s">
        <v>166</v>
      </c>
      <c r="AM95" s="4" t="s">
        <v>298</v>
      </c>
      <c r="AP95" s="3">
        <f>IF(AND(G95&lt;&gt;"LIBSETS_SETTYPE_BATTLEGROUND",G95&lt;&gt;"LIBSETS_SETTYPE_SPECIAL"),IF(AQ95&lt;&gt;"",VLOOKUP(AQ95,'ESO zones'!$D$5:$H$4957,5,FALSE),""),"")</f>
        <v>181</v>
      </c>
      <c r="AQ95" t="s">
        <v>166</v>
      </c>
      <c r="AR95" s="4" t="s">
        <v>215</v>
      </c>
      <c r="AU95" s="3">
        <f>IF(AND(G95&lt;&gt;"LIBSETS_SETTYPE_BATTLEGROUND",G95&lt;&gt;"LIBSETS_SETTYPE_SPECIAL"),IF(AV95&lt;&gt;"",VLOOKUP(AV95,'ESO zones'!$D$5:$H$4957,5,FALSE),""),"")</f>
        <v>181</v>
      </c>
      <c r="AV95" t="s">
        <v>166</v>
      </c>
      <c r="AW95" s="4" t="s">
        <v>257</v>
      </c>
      <c r="AZ95" s="49" t="s">
        <v>403</v>
      </c>
      <c r="BA95" s="49"/>
      <c r="BB95" s="49"/>
      <c r="BC95" s="49"/>
      <c r="BD95" s="49"/>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2">
        <v>114</v>
      </c>
      <c r="B96" t="s">
        <v>618</v>
      </c>
      <c r="C96" t="s">
        <v>619</v>
      </c>
      <c r="D96" s="3">
        <f t="shared" si="6"/>
        <v>114</v>
      </c>
      <c r="G96" s="9" t="s">
        <v>174</v>
      </c>
      <c r="I96" t="s">
        <v>401</v>
      </c>
      <c r="J96" t="s">
        <v>401</v>
      </c>
      <c r="K96">
        <v>162</v>
      </c>
      <c r="L96">
        <v>162</v>
      </c>
      <c r="M96">
        <v>162</v>
      </c>
      <c r="O96" s="5" t="s">
        <v>568</v>
      </c>
      <c r="Q96" s="3">
        <f>IF(AND(P96&lt;&gt;"",ISNUMBER(P96),NOT(ISNA(P96))),P96,IF(R96&lt;&gt;"",VLOOKUP(R96,'ESO zones'!$D$5:$H$10005,5,FALSE),""))</f>
        <v>382</v>
      </c>
      <c r="R96" t="str">
        <f>IF(AND(O96&lt;&gt;"",NOT(ISERROR(O96))),O96,IF(AND(P96&lt;&gt;"",ISNUMBER(P96),P96&gt;0,NOT(ISNA(P96))),VLOOKUP(P96,'ESO zones'!$A$5:$D$10003,4,FALSE),IF(AND(K96&lt;&gt;"",K96&gt;0,NOT(ISERROR(K96))),VLOOKUP(K96,'ESO wayshrines'!$K$3:$N$9972,4,FALSE),"")))</f>
        <v>Reaper's March</v>
      </c>
      <c r="T96" s="16" t="str">
        <f>IF(AND(S96&lt;&gt;"",NOT(ISERROR(S96))),S96,VLOOKUP(A96,'ESO Set&amp;DLCs'!$A$3:$D$99998,4,FALSE))</f>
        <v>DLC_BASE_GAME</v>
      </c>
      <c r="U96" s="3" t="str">
        <f>IF(T96&lt;&gt;"",VLOOKUP(T96,ConstDLCIds!$B$4:$C$1000,2,FALSE),"")</f>
        <v>Included in base game</v>
      </c>
      <c r="V96" s="4" t="s">
        <v>215</v>
      </c>
      <c r="Y96" s="5"/>
      <c r="Z96" s="3">
        <f>IF(AND(G96&lt;&gt;"LIBSETS_SETTYPE_BATTLEGROUND",G96&lt;&gt;"LIBSETS_SETTYPE_SPECIAL"),IF(AND(Y96&lt;&gt;"",ISNUMBER(Y96),NOT(ISNA(Y96))),Y96,IF(AND(L96&lt;&gt;"",ISNUMBER(L96),L96&gt;0,NOT(ISNA(L96))),VLOOKUP(L96,'ESO wayshrines'!$K$3:$L$9972,2,FALSE),"")),"")</f>
        <v>382</v>
      </c>
      <c r="AA96" t="str">
        <f>IF(AND(Z96&lt;&gt;"",ISNUMBER(Z96),NOT(ISNA(Z96))),VLOOKUP(Z96,'ESO zones'!$A$5:$D$10003,4,FALSE),"")</f>
        <v>Reaper's March</v>
      </c>
      <c r="AB96" s="4" t="s">
        <v>218</v>
      </c>
      <c r="AE96" s="3">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zones'!$A$5:$D$10003,4,FALSE),"")</f>
        <v>The Vile Manse</v>
      </c>
      <c r="AH96" s="4" t="s">
        <v>221</v>
      </c>
      <c r="AK96" s="3">
        <f>IF(AND(G96&lt;&gt;"LIBSETS_SETTYPE_BATTLEGROUND",G96&lt;&gt;"LIBSETS_SETTYPE_SPECIAL"),IF(AL96&lt;&gt;"",VLOOKUP(AL96,'ESO zones'!$D$5:$H$4957,5,FALSE),""),"")</f>
        <v>382</v>
      </c>
      <c r="AL96" t="s">
        <v>568</v>
      </c>
      <c r="AM96" s="4" t="s">
        <v>224</v>
      </c>
      <c r="AP96" s="3">
        <f>IF(AND(G96&lt;&gt;"LIBSETS_SETTYPE_BATTLEGROUND",G96&lt;&gt;"LIBSETS_SETTYPE_SPECIAL"),IF(AQ96&lt;&gt;"",VLOOKUP(AQ96,'ESO zones'!$D$5:$H$4957,5,FALSE),""),"")</f>
        <v>382</v>
      </c>
      <c r="AQ96" t="s">
        <v>568</v>
      </c>
      <c r="AR96" s="80" t="s">
        <v>269</v>
      </c>
      <c r="AU96" s="3" t="str">
        <f>IF(AND(G96&lt;&gt;"LIBSETS_SETTYPE_BATTLEGROUND",G96&lt;&gt;"LIBSETS_SETTYPE_SPECIAL"),IF(AV96&lt;&gt;"",VLOOKUP(AV96,'ESO zones'!$D$5:$H$4957,5,FALSE),""),"")</f>
        <v/>
      </c>
      <c r="AZ96" s="49" t="s">
        <v>403</v>
      </c>
      <c r="BA96" s="49"/>
      <c r="BB96" s="49"/>
      <c r="BC96" s="49"/>
      <c r="BD96" s="49"/>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2">
        <v>116</v>
      </c>
      <c r="B97" t="s">
        <v>620</v>
      </c>
      <c r="C97" t="s">
        <v>621</v>
      </c>
      <c r="D97" s="3">
        <f t="shared" si="6"/>
        <v>116</v>
      </c>
      <c r="G97" s="9" t="s">
        <v>169</v>
      </c>
      <c r="I97" t="s">
        <v>401</v>
      </c>
      <c r="J97" t="s">
        <v>401</v>
      </c>
      <c r="K97">
        <v>194</v>
      </c>
      <c r="L97">
        <v>194</v>
      </c>
      <c r="M97">
        <v>194</v>
      </c>
      <c r="O97" s="5" t="s">
        <v>611</v>
      </c>
      <c r="Q97" s="3">
        <v>381</v>
      </c>
      <c r="R97" t="str">
        <f>IF(AND(O97&lt;&gt;"",NOT(ISERROR(O97))),O97,IF(AND(P97&lt;&gt;"",ISNUMBER(P97),P97&gt;0,NOT(ISNA(P97))),VLOOKUP(P97,'ESO zones'!$A$5:$D$10003,4,FALSE),IF(AND(K97&lt;&gt;"",K97&gt;0,NOT(ISERROR(K97))),VLOOKUP(K97,'ESO wayshrines'!$K$3:$N$9972,4,FALSE),"")))</f>
        <v>The Banished Cells I</v>
      </c>
      <c r="T97" s="16" t="str">
        <f>IF(AND(S97&lt;&gt;"",NOT(ISERROR(S97))),S97,VLOOKUP(A97,'ESO Set&amp;DLCs'!$A$3:$D$99998,4,FALSE))</f>
        <v>DLC_BASE_GAME</v>
      </c>
      <c r="U97" s="3" t="str">
        <f>IF(T97&lt;&gt;"",VLOOKUP(T97,ConstDLCIds!$B$4:$C$1000,2,FALSE),"")</f>
        <v>Included in base game</v>
      </c>
      <c r="V97" s="4" t="s">
        <v>278</v>
      </c>
      <c r="Y97" s="5">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zones'!$A$5:$D$10003,4,FALSE),"")</f>
        <v>Wayrest Sewers I</v>
      </c>
      <c r="AB97" s="4" t="s">
        <v>278</v>
      </c>
      <c r="AE97" s="3">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zones'!$A$5:$D$10003,4,FALSE),"")</f>
        <v>Elden Hollow I</v>
      </c>
      <c r="AH97" s="4" t="s">
        <v>278</v>
      </c>
      <c r="AK97" s="3">
        <f>IF(AND(G97&lt;&gt;"LIBSETS_SETTYPE_BATTLEGROUND",G97&lt;&gt;"LIBSETS_SETTYPE_SPECIAL"),IF(AL97&lt;&gt;"",VLOOKUP(AL97,'ESO zones'!$D$5:$H$4957,5,FALSE),""),"")</f>
        <v>63</v>
      </c>
      <c r="AL97" t="s">
        <v>582</v>
      </c>
      <c r="AM97" s="4" t="s">
        <v>278</v>
      </c>
      <c r="AP97" s="3">
        <f>IF(AND(G97&lt;&gt;"LIBSETS_SETTYPE_BATTLEGROUND",G97&lt;&gt;"LIBSETS_SETTYPE_SPECIAL"),IF(AQ97&lt;&gt;"",VLOOKUP(AQ97,'ESO zones'!$D$5:$H$4957,5,FALSE),""),"")</f>
        <v>283</v>
      </c>
      <c r="AQ97" t="s">
        <v>445</v>
      </c>
      <c r="AR97" s="4" t="s">
        <v>278</v>
      </c>
      <c r="AU97" s="3" t="str">
        <f>IF(AND(G97&lt;&gt;"LIBSETS_SETTYPE_BATTLEGROUND",G97&lt;&gt;"LIBSETS_SETTYPE_SPECIAL"),IF(AV97&lt;&gt;"",VLOOKUP(AV97,'ESO zones'!$D$5:$H$4957,5,FALSE),""),"")</f>
        <v/>
      </c>
      <c r="AZ97" s="49" t="s">
        <v>403</v>
      </c>
      <c r="BA97" s="49"/>
      <c r="BB97" s="49"/>
      <c r="BC97" s="49"/>
      <c r="BD97" s="49"/>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2">
        <v>117</v>
      </c>
      <c r="B98" t="s">
        <v>622</v>
      </c>
      <c r="C98" t="s">
        <v>623</v>
      </c>
      <c r="D98" s="3">
        <f t="shared" si="6"/>
        <v>117</v>
      </c>
      <c r="G98" s="9" t="s">
        <v>169</v>
      </c>
      <c r="I98" t="s">
        <v>401</v>
      </c>
      <c r="J98" t="s">
        <v>401</v>
      </c>
      <c r="K98">
        <v>194</v>
      </c>
      <c r="L98">
        <v>194</v>
      </c>
      <c r="M98">
        <v>194</v>
      </c>
      <c r="O98" s="5" t="s">
        <v>611</v>
      </c>
      <c r="Q98" s="3">
        <v>381</v>
      </c>
      <c r="R98" t="str">
        <f>IF(AND(O98&lt;&gt;"",NOT(ISERROR(O98))),O98,IF(AND(P98&lt;&gt;"",ISNUMBER(P98),P98&gt;0,NOT(ISNA(P98))),VLOOKUP(P98,'ESO zones'!$A$5:$D$10003,4,FALSE),IF(AND(K98&lt;&gt;"",K98&gt;0,NOT(ISERROR(K98))),VLOOKUP(K98,'ESO wayshrines'!$K$3:$N$9972,4,FALSE),"")))</f>
        <v>The Banished Cells I</v>
      </c>
      <c r="T98" s="16" t="str">
        <f>IF(AND(S98&lt;&gt;"",NOT(ISERROR(S98))),S98,VLOOKUP(A98,'ESO Set&amp;DLCs'!$A$3:$D$99998,4,FALSE))</f>
        <v>DLC_BASE_GAME</v>
      </c>
      <c r="U98" s="3" t="str">
        <f>IF(T98&lt;&gt;"",VLOOKUP(T98,ConstDLCIds!$B$4:$C$1000,2,FALSE),"")</f>
        <v>Included in base game</v>
      </c>
      <c r="V98" s="4" t="s">
        <v>278</v>
      </c>
      <c r="Y98" s="5">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zones'!$A$5:$D$10003,4,FALSE),"")</f>
        <v>Wayrest Sewers I</v>
      </c>
      <c r="AB98" s="4" t="s">
        <v>278</v>
      </c>
      <c r="AE98" s="3">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zones'!$A$5:$D$10003,4,FALSE),"")</f>
        <v>Elden Hollow I</v>
      </c>
      <c r="AH98" s="4" t="s">
        <v>278</v>
      </c>
      <c r="AK98" s="3">
        <f>IF(AND(G98&lt;&gt;"LIBSETS_SETTYPE_BATTLEGROUND",G98&lt;&gt;"LIBSETS_SETTYPE_SPECIAL"),IF(AL98&lt;&gt;"",VLOOKUP(AL98,'ESO zones'!$D$5:$H$4957,5,FALSE),""),"")</f>
        <v>63</v>
      </c>
      <c r="AL98" t="s">
        <v>582</v>
      </c>
      <c r="AM98" s="4" t="s">
        <v>278</v>
      </c>
      <c r="AP98" s="3">
        <f>IF(AND(G98&lt;&gt;"LIBSETS_SETTYPE_BATTLEGROUND",G98&lt;&gt;"LIBSETS_SETTYPE_SPECIAL"),IF(AQ98&lt;&gt;"",VLOOKUP(AQ98,'ESO zones'!$D$5:$H$4957,5,FALSE),""),"")</f>
        <v>283</v>
      </c>
      <c r="AQ98" t="s">
        <v>445</v>
      </c>
      <c r="AR98" s="4" t="s">
        <v>278</v>
      </c>
      <c r="AU98" s="3" t="str">
        <f>IF(AND(G98&lt;&gt;"LIBSETS_SETTYPE_BATTLEGROUND",G98&lt;&gt;"LIBSETS_SETTYPE_SPECIAL"),IF(AV98&lt;&gt;"",VLOOKUP(AV98,'ESO zones'!$D$5:$H$4957,5,FALSE),""),"")</f>
        <v/>
      </c>
      <c r="AZ98" s="49" t="s">
        <v>410</v>
      </c>
      <c r="BA98" s="49"/>
      <c r="BB98" s="49"/>
      <c r="BC98" s="49"/>
      <c r="BD98" s="49"/>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2">
        <v>118</v>
      </c>
      <c r="B99" t="s">
        <v>624</v>
      </c>
      <c r="C99" t="s">
        <v>625</v>
      </c>
      <c r="D99" s="3">
        <f t="shared" si="6"/>
        <v>118</v>
      </c>
      <c r="G99" s="9" t="s">
        <v>169</v>
      </c>
      <c r="I99" t="s">
        <v>401</v>
      </c>
      <c r="J99" t="s">
        <v>401</v>
      </c>
      <c r="K99">
        <v>194</v>
      </c>
      <c r="L99">
        <v>194</v>
      </c>
      <c r="M99">
        <v>194</v>
      </c>
      <c r="O99" s="5" t="s">
        <v>611</v>
      </c>
      <c r="Q99" s="3">
        <v>381</v>
      </c>
      <c r="R99" t="str">
        <f>IF(AND(O99&lt;&gt;"",NOT(ISERROR(O99))),O99,IF(AND(P99&lt;&gt;"",ISNUMBER(P99),P99&gt;0,NOT(ISNA(P99))),VLOOKUP(P99,'ESO zones'!$A$5:$D$10003,4,FALSE),IF(AND(K99&lt;&gt;"",K99&gt;0,NOT(ISERROR(K99))),VLOOKUP(K99,'ESO wayshrines'!$K$3:$N$9972,4,FALSE),"")))</f>
        <v>The Banished Cells I</v>
      </c>
      <c r="T99" s="16" t="str">
        <f>IF(AND(S99&lt;&gt;"",NOT(ISERROR(S99))),S99,VLOOKUP(A99,'ESO Set&amp;DLCs'!$A$3:$D$99998,4,FALSE))</f>
        <v>DLC_BASE_GAME</v>
      </c>
      <c r="U99" s="3" t="str">
        <f>IF(T99&lt;&gt;"",VLOOKUP(T99,ConstDLCIds!$B$4:$C$1000,2,FALSE),"")</f>
        <v>Included in base game</v>
      </c>
      <c r="V99" s="4" t="s">
        <v>278</v>
      </c>
      <c r="Y99" s="5">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zones'!$A$5:$D$10003,4,FALSE),"")</f>
        <v>Wayrest Sewers I</v>
      </c>
      <c r="AB99" s="4" t="s">
        <v>278</v>
      </c>
      <c r="AE99" s="3">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zones'!$A$5:$D$10003,4,FALSE),"")</f>
        <v>Elden Hollow I</v>
      </c>
      <c r="AH99" s="4" t="s">
        <v>278</v>
      </c>
      <c r="AK99" s="3">
        <f>IF(AND(G99&lt;&gt;"LIBSETS_SETTYPE_BATTLEGROUND",G99&lt;&gt;"LIBSETS_SETTYPE_SPECIAL"),IF(AL99&lt;&gt;"",VLOOKUP(AL99,'ESO zones'!$D$5:$H$4957,5,FALSE),""),"")</f>
        <v>63</v>
      </c>
      <c r="AL99" t="s">
        <v>582</v>
      </c>
      <c r="AM99" s="4" t="s">
        <v>278</v>
      </c>
      <c r="AP99" s="3">
        <f>IF(AND(G99&lt;&gt;"LIBSETS_SETTYPE_BATTLEGROUND",G99&lt;&gt;"LIBSETS_SETTYPE_SPECIAL"),IF(AQ99&lt;&gt;"",VLOOKUP(AQ99,'ESO zones'!$D$5:$H$4957,5,FALSE),""),"")</f>
        <v>283</v>
      </c>
      <c r="AQ99" t="s">
        <v>445</v>
      </c>
      <c r="AR99" s="4" t="s">
        <v>278</v>
      </c>
      <c r="AU99" s="3" t="str">
        <f>IF(AND(G99&lt;&gt;"LIBSETS_SETTYPE_BATTLEGROUND",G99&lt;&gt;"LIBSETS_SETTYPE_SPECIAL"),IF(AV99&lt;&gt;"",VLOOKUP(AV99,'ESO zones'!$D$5:$H$4957,5,FALSE),""),"")</f>
        <v/>
      </c>
      <c r="AZ99" s="49" t="s">
        <v>403</v>
      </c>
      <c r="BA99" s="49"/>
      <c r="BB99" s="49"/>
      <c r="BC99" s="49"/>
      <c r="BD99" s="49"/>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2">
        <v>119</v>
      </c>
      <c r="B100" t="s">
        <v>626</v>
      </c>
      <c r="C100" t="s">
        <v>627</v>
      </c>
      <c r="D100" s="3">
        <f t="shared" si="6"/>
        <v>119</v>
      </c>
      <c r="G100" s="9" t="s">
        <v>169</v>
      </c>
      <c r="I100" t="s">
        <v>401</v>
      </c>
      <c r="J100" t="s">
        <v>401</v>
      </c>
      <c r="K100">
        <v>194</v>
      </c>
      <c r="L100">
        <v>194</v>
      </c>
      <c r="M100">
        <v>194</v>
      </c>
      <c r="O100" s="5" t="s">
        <v>611</v>
      </c>
      <c r="Q100" s="3">
        <v>381</v>
      </c>
      <c r="R100" t="str">
        <f>IF(AND(O100&lt;&gt;"",NOT(ISERROR(O100))),O100,IF(AND(P100&lt;&gt;"",ISNUMBER(P100),P100&gt;0,NOT(ISNA(P100))),VLOOKUP(P100,'ESO zones'!$A$5:$D$10003,4,FALSE),IF(AND(K100&lt;&gt;"",K100&gt;0,NOT(ISERROR(K100))),VLOOKUP(K100,'ESO wayshrines'!$K$3:$N$9972,4,FALSE),"")))</f>
        <v>The Banished Cells I</v>
      </c>
      <c r="T100" s="16" t="str">
        <f>IF(AND(S100&lt;&gt;"",NOT(ISERROR(S100))),S100,VLOOKUP(A100,'ESO Set&amp;DLCs'!$A$3:$D$99998,4,FALSE))</f>
        <v>DLC_BASE_GAME</v>
      </c>
      <c r="U100" s="3" t="str">
        <f>IF(T100&lt;&gt;"",VLOOKUP(T100,ConstDLCIds!$B$4:$C$1000,2,FALSE),"")</f>
        <v>Included in base game</v>
      </c>
      <c r="V100" s="4" t="s">
        <v>278</v>
      </c>
      <c r="Y100" s="5">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zones'!$A$5:$D$10003,4,FALSE),"")</f>
        <v>Wayrest Sewers I</v>
      </c>
      <c r="AB100" s="4" t="s">
        <v>278</v>
      </c>
      <c r="AE100" s="3">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zones'!$A$5:$D$10003,4,FALSE),"")</f>
        <v>Elden Hollow I</v>
      </c>
      <c r="AH100" s="4" t="s">
        <v>278</v>
      </c>
      <c r="AK100" s="3">
        <f>IF(AND(G100&lt;&gt;"LIBSETS_SETTYPE_BATTLEGROUND",G100&lt;&gt;"LIBSETS_SETTYPE_SPECIAL"),IF(AL100&lt;&gt;"",VLOOKUP(AL100,'ESO zones'!$D$5:$H$4957,5,FALSE),""),"")</f>
        <v>63</v>
      </c>
      <c r="AL100" t="s">
        <v>582</v>
      </c>
      <c r="AM100" s="4" t="s">
        <v>278</v>
      </c>
      <c r="AP100" s="3">
        <f>IF(AND(G100&lt;&gt;"LIBSETS_SETTYPE_BATTLEGROUND",G100&lt;&gt;"LIBSETS_SETTYPE_SPECIAL"),IF(AQ100&lt;&gt;"",VLOOKUP(AQ100,'ESO zones'!$D$5:$H$4957,5,FALSE),""),"")</f>
        <v>283</v>
      </c>
      <c r="AQ100" t="s">
        <v>445</v>
      </c>
      <c r="AR100" s="4" t="s">
        <v>278</v>
      </c>
      <c r="AU100" s="3" t="str">
        <f>IF(AND(G100&lt;&gt;"LIBSETS_SETTYPE_BATTLEGROUND",G100&lt;&gt;"LIBSETS_SETTYPE_SPECIAL"),IF(AV100&lt;&gt;"",VLOOKUP(AV100,'ESO zones'!$D$5:$H$4957,5,FALSE),""),"")</f>
        <v/>
      </c>
      <c r="AZ100" s="49" t="s">
        <v>403</v>
      </c>
      <c r="BA100" s="49"/>
      <c r="BB100" s="49"/>
      <c r="BC100" s="49"/>
      <c r="BD100" s="49"/>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2">
        <v>120</v>
      </c>
      <c r="B101" t="s">
        <v>628</v>
      </c>
      <c r="C101" t="s">
        <v>629</v>
      </c>
      <c r="D101" s="3">
        <f t="shared" si="6"/>
        <v>120</v>
      </c>
      <c r="G101" s="9" t="s">
        <v>169</v>
      </c>
      <c r="I101" t="s">
        <v>401</v>
      </c>
      <c r="J101" t="s">
        <v>401</v>
      </c>
      <c r="K101">
        <v>194</v>
      </c>
      <c r="L101">
        <v>194</v>
      </c>
      <c r="M101">
        <v>194</v>
      </c>
      <c r="O101" s="5" t="s">
        <v>611</v>
      </c>
      <c r="Q101" s="3">
        <v>381</v>
      </c>
      <c r="R101" t="str">
        <f>IF(AND(O101&lt;&gt;"",NOT(ISERROR(O101))),O101,IF(AND(P101&lt;&gt;"",ISNUMBER(P101),P101&gt;0,NOT(ISNA(P101))),VLOOKUP(P101,'ESO zones'!$A$5:$D$10003,4,FALSE),IF(AND(K101&lt;&gt;"",K101&gt;0,NOT(ISERROR(K101))),VLOOKUP(K101,'ESO wayshrines'!$K$3:$N$9972,4,FALSE),"")))</f>
        <v>The Banished Cells I</v>
      </c>
      <c r="T101" s="16" t="str">
        <f>IF(AND(S101&lt;&gt;"",NOT(ISERROR(S101))),S101,VLOOKUP(A101,'ESO Set&amp;DLCs'!$A$3:$D$99998,4,FALSE))</f>
        <v>DLC_BASE_GAME</v>
      </c>
      <c r="U101" s="3" t="str">
        <f>IF(T101&lt;&gt;"",VLOOKUP(T101,ConstDLCIds!$B$4:$C$1000,2,FALSE),"")</f>
        <v>Included in base game</v>
      </c>
      <c r="V101" s="4" t="s">
        <v>278</v>
      </c>
      <c r="Y101" s="5">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zones'!$A$5:$D$10003,4,FALSE),"")</f>
        <v>Wayrest Sewers I</v>
      </c>
      <c r="AB101" s="4" t="s">
        <v>278</v>
      </c>
      <c r="AE101" s="3">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zones'!$A$5:$D$10003,4,FALSE),"")</f>
        <v>Elden Hollow I</v>
      </c>
      <c r="AH101" s="4" t="s">
        <v>278</v>
      </c>
      <c r="AK101" s="3">
        <f>IF(AND(G101&lt;&gt;"LIBSETS_SETTYPE_BATTLEGROUND",G101&lt;&gt;"LIBSETS_SETTYPE_SPECIAL"),IF(AL101&lt;&gt;"",VLOOKUP(AL101,'ESO zones'!$D$5:$H$4957,5,FALSE),""),"")</f>
        <v>63</v>
      </c>
      <c r="AL101" t="s">
        <v>582</v>
      </c>
      <c r="AM101" s="4" t="s">
        <v>278</v>
      </c>
      <c r="AP101" s="3">
        <f>IF(AND(G101&lt;&gt;"LIBSETS_SETTYPE_BATTLEGROUND",G101&lt;&gt;"LIBSETS_SETTYPE_SPECIAL"),IF(AQ101&lt;&gt;"",VLOOKUP(AQ101,'ESO zones'!$D$5:$H$4957,5,FALSE),""),"")</f>
        <v>283</v>
      </c>
      <c r="AQ101" t="s">
        <v>445</v>
      </c>
      <c r="AR101" s="4" t="s">
        <v>278</v>
      </c>
      <c r="AU101" s="3" t="str">
        <f>IF(AND(G101&lt;&gt;"LIBSETS_SETTYPE_BATTLEGROUND",G101&lt;&gt;"LIBSETS_SETTYPE_SPECIAL"),IF(AV101&lt;&gt;"",VLOOKUP(AV101,'ESO zones'!$D$5:$H$4957,5,FALSE),""),"")</f>
        <v/>
      </c>
      <c r="AZ101" s="49" t="s">
        <v>403</v>
      </c>
      <c r="BA101" s="49"/>
      <c r="BB101" s="49"/>
      <c r="BC101" s="49"/>
      <c r="BD101" s="49"/>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2">
        <v>121</v>
      </c>
      <c r="B102" t="s">
        <v>630</v>
      </c>
      <c r="C102" t="s">
        <v>631</v>
      </c>
      <c r="D102" s="3">
        <f t="shared" si="6"/>
        <v>121</v>
      </c>
      <c r="G102" s="9" t="s">
        <v>169</v>
      </c>
      <c r="I102" t="s">
        <v>401</v>
      </c>
      <c r="J102" t="s">
        <v>401</v>
      </c>
      <c r="K102">
        <v>194</v>
      </c>
      <c r="L102">
        <v>194</v>
      </c>
      <c r="M102">
        <v>194</v>
      </c>
      <c r="O102" s="5" t="s">
        <v>611</v>
      </c>
      <c r="Q102" s="3">
        <v>381</v>
      </c>
      <c r="R102" t="str">
        <f>IF(AND(O102&lt;&gt;"",NOT(ISERROR(O102))),O102,IF(AND(P102&lt;&gt;"",ISNUMBER(P102),P102&gt;0,NOT(ISNA(P102))),VLOOKUP(P102,'ESO zones'!$A$5:$D$10003,4,FALSE),IF(AND(K102&lt;&gt;"",K102&gt;0,NOT(ISERROR(K102))),VLOOKUP(K102,'ESO wayshrines'!$K$3:$N$9972,4,FALSE),"")))</f>
        <v>The Banished Cells I</v>
      </c>
      <c r="T102" s="16" t="str">
        <f>IF(AND(S102&lt;&gt;"",NOT(ISERROR(S102))),S102,VLOOKUP(A102,'ESO Set&amp;DLCs'!$A$3:$D$99998,4,FALSE))</f>
        <v>DLC_BASE_GAME</v>
      </c>
      <c r="U102" s="3" t="str">
        <f>IF(T102&lt;&gt;"",VLOOKUP(T102,ConstDLCIds!$B$4:$C$1000,2,FALSE),"")</f>
        <v>Included in base game</v>
      </c>
      <c r="V102" s="4" t="s">
        <v>278</v>
      </c>
      <c r="Y102" s="5">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zones'!$A$5:$D$10003,4,FALSE),"")</f>
        <v>Wayrest Sewers I</v>
      </c>
      <c r="AB102" s="4" t="s">
        <v>278</v>
      </c>
      <c r="AE102" s="3">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zones'!$A$5:$D$10003,4,FALSE),"")</f>
        <v>Elden Hollow I</v>
      </c>
      <c r="AH102" s="4" t="s">
        <v>278</v>
      </c>
      <c r="AK102" s="3">
        <f>IF(AND(G102&lt;&gt;"LIBSETS_SETTYPE_BATTLEGROUND",G102&lt;&gt;"LIBSETS_SETTYPE_SPECIAL"),IF(AL102&lt;&gt;"",VLOOKUP(AL102,'ESO zones'!$D$5:$H$4957,5,FALSE),""),"")</f>
        <v>63</v>
      </c>
      <c r="AL102" t="s">
        <v>582</v>
      </c>
      <c r="AM102" s="4" t="s">
        <v>278</v>
      </c>
      <c r="AP102" s="3">
        <f>IF(AND(G102&lt;&gt;"LIBSETS_SETTYPE_BATTLEGROUND",G102&lt;&gt;"LIBSETS_SETTYPE_SPECIAL"),IF(AQ102&lt;&gt;"",VLOOKUP(AQ102,'ESO zones'!$D$5:$H$4957,5,FALSE),""),"")</f>
        <v>283</v>
      </c>
      <c r="AQ102" t="s">
        <v>445</v>
      </c>
      <c r="AR102" s="4" t="s">
        <v>278</v>
      </c>
      <c r="AU102" s="3" t="str">
        <f>IF(AND(G102&lt;&gt;"LIBSETS_SETTYPE_BATTLEGROUND",G102&lt;&gt;"LIBSETS_SETTYPE_SPECIAL"),IF(AV102&lt;&gt;"",VLOOKUP(AV102,'ESO zones'!$D$5:$H$4957,5,FALSE),""),"")</f>
        <v/>
      </c>
      <c r="AZ102" s="49" t="s">
        <v>403</v>
      </c>
      <c r="BA102" s="49"/>
      <c r="BB102" s="49"/>
      <c r="BC102" s="49"/>
      <c r="BD102" s="49"/>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2">
        <v>122</v>
      </c>
      <c r="B103" t="s">
        <v>632</v>
      </c>
      <c r="C103" t="s">
        <v>633</v>
      </c>
      <c r="D103" s="3">
        <f t="shared" si="6"/>
        <v>122</v>
      </c>
      <c r="G103" s="9" t="s">
        <v>169</v>
      </c>
      <c r="I103" t="s">
        <v>401</v>
      </c>
      <c r="J103" t="s">
        <v>401</v>
      </c>
      <c r="K103">
        <v>190</v>
      </c>
      <c r="L103">
        <v>190</v>
      </c>
      <c r="M103">
        <v>190</v>
      </c>
      <c r="O103" s="5" t="s">
        <v>634</v>
      </c>
      <c r="Q103" s="3">
        <f>IF(AND(P103&lt;&gt;"",ISNUMBER(P103),NOT(ISNA(P103))),P103,IF(R103&lt;&gt;"",VLOOKUP(R103,'ESO zones'!$D$5:$H$10005,5,FALSE),""))</f>
        <v>130</v>
      </c>
      <c r="R103" t="str">
        <f>IF(AND(O103&lt;&gt;"",NOT(ISERROR(O103))),O103,IF(AND(P103&lt;&gt;"",ISNUMBER(P103),P103&gt;0,NOT(ISNA(P103))),VLOOKUP(P103,'ESO zones'!$A$5:$D$10003,4,FALSE),IF(AND(K103&lt;&gt;"",K103&gt;0,NOT(ISERROR(K103))),VLOOKUP(K103,'ESO wayshrines'!$K$3:$N$9972,4,FALSE),"")))</f>
        <v>Crypt of Hearts I</v>
      </c>
      <c r="T103" s="16" t="str">
        <f>IF(AND(S103&lt;&gt;"",NOT(ISERROR(S103))),S103,VLOOKUP(A103,'ESO Set&amp;DLCs'!$A$3:$D$99998,4,FALSE))</f>
        <v>DLC_BASE_GAME</v>
      </c>
      <c r="U103" s="3" t="str">
        <f>IF(T103&lt;&gt;"",VLOOKUP(T103,ConstDLCIds!$B$4:$C$1000,2,FALSE),"")</f>
        <v>Included in base game</v>
      </c>
      <c r="V103" s="4" t="s">
        <v>278</v>
      </c>
      <c r="Y103" s="5">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zones'!$A$5:$D$10003,4,FALSE),"")</f>
        <v>Crypt of Hearts II</v>
      </c>
      <c r="AB103" s="4"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zones'!$A$5:$D$10003,4,FALSE),"")</f>
        <v>Rivenspire</v>
      </c>
      <c r="AH103" s="57"/>
      <c r="AK103" s="3" t="str">
        <f>IF(AND(G103&lt;&gt;"LIBSETS_SETTYPE_BATTLEGROUND",G103&lt;&gt;"LIBSETS_SETTYPE_SPECIAL"),IF(AL103&lt;&gt;"",VLOOKUP(AL103,'ESO zones'!$D$5:$H$4957,5,FALSE),""),"")</f>
        <v/>
      </c>
      <c r="AP103" s="3" t="str">
        <f>IF(AND(G103&lt;&gt;"LIBSETS_SETTYPE_BATTLEGROUND",G103&lt;&gt;"LIBSETS_SETTYPE_SPECIAL"),IF(AQ103&lt;&gt;"",VLOOKUP(AQ103,'ESO zones'!$D$5:$H$4957,5,FALSE),""),"")</f>
        <v/>
      </c>
      <c r="AU103" s="3" t="str">
        <f>IF(AND(G103&lt;&gt;"LIBSETS_SETTYPE_BATTLEGROUND",G103&lt;&gt;"LIBSETS_SETTYPE_SPECIAL"),IF(AV103&lt;&gt;"",VLOOKUP(AV103,'ESO zones'!$D$5:$H$4957,5,FALSE),""),"")</f>
        <v/>
      </c>
      <c r="AZ103" s="49" t="s">
        <v>403</v>
      </c>
      <c r="BA103" s="49"/>
      <c r="BB103" s="49"/>
      <c r="BC103" s="49"/>
      <c r="BD103" s="49"/>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2">
        <v>123</v>
      </c>
      <c r="B104" t="s">
        <v>635</v>
      </c>
      <c r="C104" t="s">
        <v>636</v>
      </c>
      <c r="D104" s="3">
        <f t="shared" si="6"/>
        <v>123</v>
      </c>
      <c r="G104" s="9" t="s">
        <v>169</v>
      </c>
      <c r="I104" t="s">
        <v>401</v>
      </c>
      <c r="J104" t="s">
        <v>401</v>
      </c>
      <c r="K104">
        <v>185</v>
      </c>
      <c r="L104">
        <v>185</v>
      </c>
      <c r="M104">
        <v>185</v>
      </c>
      <c r="O104" s="5" t="s">
        <v>402</v>
      </c>
      <c r="Q104" s="3">
        <f>IF(AND(P104&lt;&gt;"",ISNUMBER(P104),NOT(ISNA(P104))),P104,IF(R104&lt;&gt;"",VLOOKUP(R104,'ESO zones'!$D$5:$H$10005,5,FALSE),""))</f>
        <v>31</v>
      </c>
      <c r="R104" t="str">
        <f>IF(AND(O104&lt;&gt;"",NOT(ISERROR(O104))),O104,IF(AND(P104&lt;&gt;"",ISNUMBER(P104),P104&gt;0,NOT(ISNA(P104))),VLOOKUP(P104,'ESO zones'!$A$5:$D$10003,4,FALSE),IF(AND(K104&lt;&gt;"",K104&gt;0,NOT(ISERROR(K104))),VLOOKUP(K104,'ESO wayshrines'!$K$3:$N$9972,4,FALSE),"")))</f>
        <v>Selene's Web</v>
      </c>
      <c r="T104" s="16" t="str">
        <f>IF(AND(S104&lt;&gt;"",NOT(ISERROR(S104))),S104,VLOOKUP(A104,'ESO Set&amp;DLCs'!$A$3:$D$99998,4,FALSE))</f>
        <v>DLC_BASE_GAME</v>
      </c>
      <c r="U104" s="3" t="str">
        <f>IF(T104&lt;&gt;"",VLOOKUP(T104,ConstDLCIds!$B$4:$C$1000,2,FALSE),"")</f>
        <v>Included in base game</v>
      </c>
      <c r="V104" s="4" t="s">
        <v>278</v>
      </c>
      <c r="Y104" s="5"/>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zones'!$A$5:$D$10003,4,FALSE),"")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zones'!$A$5:$D$10003,4,FALSE),"")</f>
        <v>Reaper's March</v>
      </c>
      <c r="AK104" s="3" t="str">
        <f>IF(AND(G104&lt;&gt;"LIBSETS_SETTYPE_BATTLEGROUND",G104&lt;&gt;"LIBSETS_SETTYPE_SPECIAL"),IF(AL104&lt;&gt;"",VLOOKUP(AL104,'ESO zones'!$D$5:$H$4957,5,FALSE),""),"")</f>
        <v/>
      </c>
      <c r="AP104" s="3" t="str">
        <f>IF(AND(G104&lt;&gt;"LIBSETS_SETTYPE_BATTLEGROUND",G104&lt;&gt;"LIBSETS_SETTYPE_SPECIAL"),IF(AQ104&lt;&gt;"",VLOOKUP(AQ104,'ESO zones'!$D$5:$H$4957,5,FALSE),""),"")</f>
        <v/>
      </c>
      <c r="AU104" s="3" t="str">
        <f>IF(AND(G104&lt;&gt;"LIBSETS_SETTYPE_BATTLEGROUND",G104&lt;&gt;"LIBSETS_SETTYPE_SPECIAL"),IF(AV104&lt;&gt;"",VLOOKUP(AV104,'ESO zones'!$D$5:$H$4957,5,FALSE),""),"")</f>
        <v/>
      </c>
      <c r="AZ104" s="49" t="s">
        <v>403</v>
      </c>
      <c r="BA104" s="49"/>
      <c r="BB104" s="49"/>
      <c r="BC104" s="49"/>
      <c r="BD104" s="49"/>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2">
        <v>124</v>
      </c>
      <c r="B105" t="s">
        <v>637</v>
      </c>
      <c r="C105" t="s">
        <v>638</v>
      </c>
      <c r="D105" s="3">
        <f t="shared" si="6"/>
        <v>124</v>
      </c>
      <c r="G105" s="9" t="s">
        <v>169</v>
      </c>
      <c r="I105" t="s">
        <v>401</v>
      </c>
      <c r="J105" t="s">
        <v>401</v>
      </c>
      <c r="K105">
        <v>184</v>
      </c>
      <c r="L105">
        <v>184</v>
      </c>
      <c r="M105">
        <v>184</v>
      </c>
      <c r="O105" s="5" t="s">
        <v>571</v>
      </c>
      <c r="Q105" s="3">
        <f>IF(AND(P105&lt;&gt;"",ISNUMBER(P105),NOT(ISNA(P105))),P105,IF(R105&lt;&gt;"",VLOOKUP(R105,'ESO zones'!$D$5:$H$10005,5,FALSE),""))</f>
        <v>11</v>
      </c>
      <c r="R105" t="str">
        <f>IF(AND(O105&lt;&gt;"",NOT(ISERROR(O105))),O105,IF(AND(P105&lt;&gt;"",ISNUMBER(P105),P105&gt;0,NOT(ISNA(P105))),VLOOKUP(P105,'ESO zones'!$A$5:$D$10003,4,FALSE),IF(AND(K105&lt;&gt;"",K105&gt;0,NOT(ISERROR(K105))),VLOOKUP(K105,'ESO wayshrines'!$K$3:$N$9972,4,FALSE),"")))</f>
        <v>Vaults of Madness</v>
      </c>
      <c r="T105" s="16" t="str">
        <f>IF(AND(S105&lt;&gt;"",NOT(ISERROR(S105))),S105,VLOOKUP(A105,'ESO Set&amp;DLCs'!$A$3:$D$99998,4,FALSE))</f>
        <v>DLC_BASE_GAME</v>
      </c>
      <c r="U105" s="3" t="str">
        <f>IF(T105&lt;&gt;"",VLOOKUP(T105,ConstDLCIds!$B$4:$C$1000,2,FALSE),"")</f>
        <v>Included in base game</v>
      </c>
      <c r="V105" s="4" t="s">
        <v>278</v>
      </c>
      <c r="Y105" s="5"/>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zones'!$A$5:$D$10003,4,FALSE),"")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zones'!$A$5:$D$10003,4,FALSE),"")</f>
        <v>Coldharbour</v>
      </c>
      <c r="AK105" s="3" t="str">
        <f>IF(AND(G105&lt;&gt;"LIBSETS_SETTYPE_BATTLEGROUND",G105&lt;&gt;"LIBSETS_SETTYPE_SPECIAL"),IF(AL105&lt;&gt;"",VLOOKUP(AL105,'ESO zones'!$D$5:$H$4957,5,FALSE),""),"")</f>
        <v/>
      </c>
      <c r="AP105" s="3" t="str">
        <f>IF(AND(G105&lt;&gt;"LIBSETS_SETTYPE_BATTLEGROUND",G105&lt;&gt;"LIBSETS_SETTYPE_SPECIAL"),IF(AQ105&lt;&gt;"",VLOOKUP(AQ105,'ESO zones'!$D$5:$H$4957,5,FALSE),""),"")</f>
        <v/>
      </c>
      <c r="AU105" s="3" t="str">
        <f>IF(AND(G105&lt;&gt;"LIBSETS_SETTYPE_BATTLEGROUND",G105&lt;&gt;"LIBSETS_SETTYPE_SPECIAL"),IF(AV105&lt;&gt;"",VLOOKUP(AV105,'ESO zones'!$D$5:$H$4957,5,FALSE),""),"")</f>
        <v/>
      </c>
      <c r="AZ105" s="49" t="s">
        <v>403</v>
      </c>
      <c r="BA105" s="49"/>
      <c r="BB105" s="49"/>
      <c r="BC105" s="49"/>
      <c r="BD105" s="49"/>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2">
        <v>125</v>
      </c>
      <c r="B106" t="s">
        <v>639</v>
      </c>
      <c r="C106" t="s">
        <v>640</v>
      </c>
      <c r="D106" s="3">
        <f t="shared" si="6"/>
        <v>125</v>
      </c>
      <c r="G106" s="9" t="s">
        <v>165</v>
      </c>
      <c r="I106" t="s">
        <v>401</v>
      </c>
      <c r="J106" t="s">
        <v>401</v>
      </c>
      <c r="K106">
        <v>-1</v>
      </c>
      <c r="L106">
        <v>-1</v>
      </c>
      <c r="M106">
        <v>-1</v>
      </c>
      <c r="O106" s="5" t="s">
        <v>166</v>
      </c>
      <c r="Q106" s="3">
        <f>IF(AND(P106&lt;&gt;"",ISNUMBER(P106),NOT(ISNA(P106))),P106,IF(R106&lt;&gt;"",VLOOKUP(R106,'ESO zones'!$D$5:$H$10005,5,FALSE),""))</f>
        <v>181</v>
      </c>
      <c r="R106" t="str">
        <f>IF(AND(O106&lt;&gt;"",NOT(ISERROR(O106))),O106,IF(AND(P106&lt;&gt;"",ISNUMBER(P106),P106&gt;0,NOT(ISNA(P106))),VLOOKUP(P106,'ESO zones'!$A$5:$D$10003,4,FALSE),IF(AND(K106&lt;&gt;"",K106&gt;0,NOT(ISERROR(K106))),VLOOKUP(K106,'ESO wayshrines'!$K$3:$N$9972,4,FALSE),"")))</f>
        <v>Cyrodiil</v>
      </c>
      <c r="T106" s="16" t="str">
        <f>IF(AND(S106&lt;&gt;"",NOT(ISERROR(S106))),S106,VLOOKUP(A106,'ESO Set&amp;DLCs'!$A$3:$D$99998,4,FALSE))</f>
        <v>DLC_BASE_GAME</v>
      </c>
      <c r="U106" s="3" t="str">
        <f>IF(T106&lt;&gt;"",VLOOKUP(T106,ConstDLCIds!$B$4:$C$1000,2,FALSE),"")</f>
        <v>Included in base game</v>
      </c>
      <c r="V106" s="4" t="s">
        <v>203</v>
      </c>
      <c r="Y106" s="5">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zones'!$A$5:$D$10003,4,FALSE),"")</f>
        <v>Cyrodiil</v>
      </c>
      <c r="AB106" s="4" t="s">
        <v>301</v>
      </c>
      <c r="AE106" s="5">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zones'!$A$5:$D$10003,4,FALSE),"")</f>
        <v>Cyrodiil</v>
      </c>
      <c r="AH106" s="4" t="s">
        <v>248</v>
      </c>
      <c r="AK106" s="3">
        <f>IF(AND(G106&lt;&gt;"LIBSETS_SETTYPE_BATTLEGROUND",G106&lt;&gt;"LIBSETS_SETTYPE_SPECIAL"),IF(AL106&lt;&gt;"",VLOOKUP(AL106,'ESO zones'!$D$5:$H$4957,5,FALSE),""),"")</f>
        <v>181</v>
      </c>
      <c r="AL106" t="s">
        <v>166</v>
      </c>
      <c r="AM106" s="4" t="s">
        <v>298</v>
      </c>
      <c r="AP106" s="3">
        <f>IF(AND(G106&lt;&gt;"LIBSETS_SETTYPE_BATTLEGROUND",G106&lt;&gt;"LIBSETS_SETTYPE_SPECIAL"),IF(AQ106&lt;&gt;"",VLOOKUP(AQ106,'ESO zones'!$D$5:$H$4957,5,FALSE),""),"")</f>
        <v>181</v>
      </c>
      <c r="AQ106" t="s">
        <v>166</v>
      </c>
      <c r="AR106" s="4" t="s">
        <v>215</v>
      </c>
      <c r="AU106" s="3">
        <f>IF(AND(G106&lt;&gt;"LIBSETS_SETTYPE_BATTLEGROUND",G106&lt;&gt;"LIBSETS_SETTYPE_SPECIAL"),IF(AV106&lt;&gt;"",VLOOKUP(AV106,'ESO zones'!$D$5:$H$4957,5,FALSE),""),"")</f>
        <v>181</v>
      </c>
      <c r="AV106" t="s">
        <v>166</v>
      </c>
      <c r="AW106" s="4" t="s">
        <v>257</v>
      </c>
      <c r="AZ106" s="49" t="s">
        <v>410</v>
      </c>
      <c r="BA106" s="49"/>
      <c r="BB106" s="49"/>
      <c r="BC106" s="49"/>
      <c r="BD106" s="49"/>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2">
        <v>126</v>
      </c>
      <c r="B107" t="s">
        <v>641</v>
      </c>
      <c r="C107" t="s">
        <v>642</v>
      </c>
      <c r="D107" s="3">
        <f t="shared" si="6"/>
        <v>126</v>
      </c>
      <c r="G107" s="9" t="s">
        <v>165</v>
      </c>
      <c r="I107" t="s">
        <v>401</v>
      </c>
      <c r="J107" t="s">
        <v>401</v>
      </c>
      <c r="K107">
        <v>-1</v>
      </c>
      <c r="L107">
        <v>-1</v>
      </c>
      <c r="M107">
        <v>-1</v>
      </c>
      <c r="O107" s="5" t="s">
        <v>166</v>
      </c>
      <c r="Q107" s="3">
        <f>IF(AND(P107&lt;&gt;"",ISNUMBER(P107),NOT(ISNA(P107))),P107,IF(R107&lt;&gt;"",VLOOKUP(R107,'ESO zones'!$D$5:$H$10005,5,FALSE),""))</f>
        <v>181</v>
      </c>
      <c r="R107" t="str">
        <f>IF(AND(O107&lt;&gt;"",NOT(ISERROR(O107))),O107,IF(AND(P107&lt;&gt;"",ISNUMBER(P107),P107&gt;0,NOT(ISNA(P107))),VLOOKUP(P107,'ESO zones'!$A$5:$D$10003,4,FALSE),IF(AND(K107&lt;&gt;"",K107&gt;0,NOT(ISERROR(K107))),VLOOKUP(K107,'ESO wayshrines'!$K$3:$N$9972,4,FALSE),"")))</f>
        <v>Cyrodiil</v>
      </c>
      <c r="T107" s="16" t="str">
        <f>IF(AND(S107&lt;&gt;"",NOT(ISERROR(S107))),S107,VLOOKUP(A107,'ESO Set&amp;DLCs'!$A$3:$D$99998,4,FALSE))</f>
        <v>DLC_BASE_GAME</v>
      </c>
      <c r="U107" s="3" t="str">
        <f>IF(T107&lt;&gt;"",VLOOKUP(T107,ConstDLCIds!$B$4:$C$1000,2,FALSE),"")</f>
        <v>Included in base game</v>
      </c>
      <c r="V107" s="4" t="s">
        <v>203</v>
      </c>
      <c r="Y107" s="5">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zones'!$A$5:$D$10003,4,FALSE),"")</f>
        <v>Cyrodiil</v>
      </c>
      <c r="AB107" s="4" t="s">
        <v>301</v>
      </c>
      <c r="AE107" s="5">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zones'!$A$5:$D$10003,4,FALSE),"")</f>
        <v>Cyrodiil</v>
      </c>
      <c r="AH107" s="4" t="s">
        <v>248</v>
      </c>
      <c r="AK107" s="3">
        <f>IF(AND(G107&lt;&gt;"LIBSETS_SETTYPE_BATTLEGROUND",G107&lt;&gt;"LIBSETS_SETTYPE_SPECIAL"),IF(AL107&lt;&gt;"",VLOOKUP(AL107,'ESO zones'!$D$5:$H$4957,5,FALSE),""),"")</f>
        <v>181</v>
      </c>
      <c r="AL107" t="s">
        <v>166</v>
      </c>
      <c r="AM107" s="4" t="s">
        <v>298</v>
      </c>
      <c r="AP107" s="3">
        <f>IF(AND(G107&lt;&gt;"LIBSETS_SETTYPE_BATTLEGROUND",G107&lt;&gt;"LIBSETS_SETTYPE_SPECIAL"),IF(AQ107&lt;&gt;"",VLOOKUP(AQ107,'ESO zones'!$D$5:$H$4957,5,FALSE),""),"")</f>
        <v>181</v>
      </c>
      <c r="AQ107" t="s">
        <v>166</v>
      </c>
      <c r="AR107" s="4" t="s">
        <v>215</v>
      </c>
      <c r="AU107" s="3">
        <f>IF(AND(G107&lt;&gt;"LIBSETS_SETTYPE_BATTLEGROUND",G107&lt;&gt;"LIBSETS_SETTYPE_SPECIAL"),IF(AV107&lt;&gt;"",VLOOKUP(AV107,'ESO zones'!$D$5:$H$4957,5,FALSE),""),"")</f>
        <v>181</v>
      </c>
      <c r="AV107" t="s">
        <v>166</v>
      </c>
      <c r="AW107" s="4" t="s">
        <v>257</v>
      </c>
      <c r="AZ107" s="49" t="s">
        <v>410</v>
      </c>
      <c r="BA107" s="49"/>
      <c r="BB107" s="49"/>
      <c r="BC107" s="49"/>
      <c r="BD107" s="49"/>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2">
        <v>127</v>
      </c>
      <c r="B108" t="s">
        <v>643</v>
      </c>
      <c r="C108" t="s">
        <v>644</v>
      </c>
      <c r="D108" s="3">
        <f t="shared" si="6"/>
        <v>127</v>
      </c>
      <c r="G108" s="9" t="s">
        <v>165</v>
      </c>
      <c r="I108" t="s">
        <v>401</v>
      </c>
      <c r="J108" t="s">
        <v>401</v>
      </c>
      <c r="K108">
        <v>-1</v>
      </c>
      <c r="L108">
        <v>-1</v>
      </c>
      <c r="M108">
        <v>-1</v>
      </c>
      <c r="O108" s="5" t="s">
        <v>166</v>
      </c>
      <c r="Q108" s="3">
        <f>IF(AND(P108&lt;&gt;"",ISNUMBER(P108),NOT(ISNA(P108))),P108,IF(R108&lt;&gt;"",VLOOKUP(R108,'ESO zones'!$D$5:$H$10005,5,FALSE),""))</f>
        <v>181</v>
      </c>
      <c r="R108" t="str">
        <f>IF(AND(O108&lt;&gt;"",NOT(ISERROR(O108))),O108,IF(AND(P108&lt;&gt;"",ISNUMBER(P108),P108&gt;0,NOT(ISNA(P108))),VLOOKUP(P108,'ESO zones'!$A$5:$D$10003,4,FALSE),IF(AND(K108&lt;&gt;"",K108&gt;0,NOT(ISERROR(K108))),VLOOKUP(K108,'ESO wayshrines'!$K$3:$N$9972,4,FALSE),"")))</f>
        <v>Cyrodiil</v>
      </c>
      <c r="T108" s="16" t="str">
        <f>IF(AND(S108&lt;&gt;"",NOT(ISERROR(S108))),S108,VLOOKUP(A108,'ESO Set&amp;DLCs'!$A$3:$D$99998,4,FALSE))</f>
        <v>DLC_BASE_GAME</v>
      </c>
      <c r="U108" s="3" t="str">
        <f>IF(T108&lt;&gt;"",VLOOKUP(T108,ConstDLCIds!$B$4:$C$1000,2,FALSE),"")</f>
        <v>Included in base game</v>
      </c>
      <c r="V108" s="4" t="s">
        <v>200</v>
      </c>
      <c r="Y108" s="5">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zones'!$A$5:$D$10003,4,FALSE),"")</f>
        <v>Cyrodiil</v>
      </c>
      <c r="AB108" s="4" t="s">
        <v>301</v>
      </c>
      <c r="AE108" s="5">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zones'!$A$5:$D$10003,4,FALSE),"")</f>
        <v>Cyrodiil</v>
      </c>
      <c r="AH108" s="4" t="s">
        <v>248</v>
      </c>
      <c r="AK108" s="3">
        <f>IF(AND(G108&lt;&gt;"LIBSETS_SETTYPE_BATTLEGROUND",G108&lt;&gt;"LIBSETS_SETTYPE_SPECIAL"),IF(AL108&lt;&gt;"",VLOOKUP(AL108,'ESO zones'!$D$5:$H$4957,5,FALSE),""),"")</f>
        <v>181</v>
      </c>
      <c r="AL108" t="s">
        <v>166</v>
      </c>
      <c r="AM108" s="4" t="s">
        <v>298</v>
      </c>
      <c r="AP108" s="3">
        <f>IF(AND(G108&lt;&gt;"LIBSETS_SETTYPE_BATTLEGROUND",G108&lt;&gt;"LIBSETS_SETTYPE_SPECIAL"),IF(AQ108&lt;&gt;"",VLOOKUP(AQ108,'ESO zones'!$D$5:$H$4957,5,FALSE),""),"")</f>
        <v>181</v>
      </c>
      <c r="AQ108" t="s">
        <v>166</v>
      </c>
      <c r="AR108" s="4" t="s">
        <v>215</v>
      </c>
      <c r="AU108" s="3">
        <f>IF(AND(G108&lt;&gt;"LIBSETS_SETTYPE_BATTLEGROUND",G108&lt;&gt;"LIBSETS_SETTYPE_SPECIAL"),IF(AV108&lt;&gt;"",VLOOKUP(AV108,'ESO zones'!$D$5:$H$4957,5,FALSE),""),"")</f>
        <v>181</v>
      </c>
      <c r="AV108" t="s">
        <v>166</v>
      </c>
      <c r="AW108" s="4" t="s">
        <v>257</v>
      </c>
      <c r="AZ108" s="49" t="s">
        <v>410</v>
      </c>
      <c r="BA108" s="49"/>
      <c r="BB108" s="49"/>
      <c r="BC108" s="49"/>
      <c r="BD108" s="49"/>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2">
        <v>128</v>
      </c>
      <c r="B109" t="s">
        <v>645</v>
      </c>
      <c r="C109" t="s">
        <v>646</v>
      </c>
      <c r="D109" s="3">
        <f t="shared" si="6"/>
        <v>128</v>
      </c>
      <c r="G109" s="9" t="s">
        <v>165</v>
      </c>
      <c r="I109" t="s">
        <v>401</v>
      </c>
      <c r="J109" t="s">
        <v>401</v>
      </c>
      <c r="K109">
        <v>-1</v>
      </c>
      <c r="L109">
        <v>-1</v>
      </c>
      <c r="M109">
        <v>-1</v>
      </c>
      <c r="O109" s="5" t="s">
        <v>166</v>
      </c>
      <c r="Q109" s="3">
        <f>IF(AND(P109&lt;&gt;"",ISNUMBER(P109),NOT(ISNA(P109))),P109,IF(R109&lt;&gt;"",VLOOKUP(R109,'ESO zones'!$D$5:$H$10005,5,FALSE),""))</f>
        <v>181</v>
      </c>
      <c r="R109" t="str">
        <f>IF(AND(O109&lt;&gt;"",NOT(ISERROR(O109))),O109,IF(AND(P109&lt;&gt;"",ISNUMBER(P109),P109&gt;0,NOT(ISNA(P109))),VLOOKUP(P109,'ESO zones'!$A$5:$D$10003,4,FALSE),IF(AND(K109&lt;&gt;"",K109&gt;0,NOT(ISERROR(K109))),VLOOKUP(K109,'ESO wayshrines'!$K$3:$N$9972,4,FALSE),"")))</f>
        <v>Cyrodiil</v>
      </c>
      <c r="T109" s="16" t="str">
        <f>IF(AND(S109&lt;&gt;"",NOT(ISERROR(S109))),S109,VLOOKUP(A109,'ESO Set&amp;DLCs'!$A$3:$D$99998,4,FALSE))</f>
        <v>DLC_BASE_GAME</v>
      </c>
      <c r="U109" s="3" t="str">
        <f>IF(T109&lt;&gt;"",VLOOKUP(T109,ConstDLCIds!$B$4:$C$1000,2,FALSE),"")</f>
        <v>Included in base game</v>
      </c>
      <c r="V109" s="4" t="s">
        <v>206</v>
      </c>
      <c r="Y109" s="5">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zones'!$A$5:$D$10003,4,FALSE),"")</f>
        <v>Cyrodiil</v>
      </c>
      <c r="AB109" s="4" t="s">
        <v>301</v>
      </c>
      <c r="AE109" s="5">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zones'!$A$5:$D$10003,4,FALSE),"")</f>
        <v>Cyrodiil</v>
      </c>
      <c r="AH109" s="4" t="s">
        <v>248</v>
      </c>
      <c r="AK109" s="3">
        <f>IF(AND(G109&lt;&gt;"LIBSETS_SETTYPE_BATTLEGROUND",G109&lt;&gt;"LIBSETS_SETTYPE_SPECIAL"),IF(AL109&lt;&gt;"",VLOOKUP(AL109,'ESO zones'!$D$5:$H$4957,5,FALSE),""),"")</f>
        <v>181</v>
      </c>
      <c r="AL109" t="s">
        <v>166</v>
      </c>
      <c r="AM109" s="4" t="s">
        <v>298</v>
      </c>
      <c r="AP109" s="3">
        <f>IF(AND(G109&lt;&gt;"LIBSETS_SETTYPE_BATTLEGROUND",G109&lt;&gt;"LIBSETS_SETTYPE_SPECIAL"),IF(AQ109&lt;&gt;"",VLOOKUP(AQ109,'ESO zones'!$D$5:$H$4957,5,FALSE),""),"")</f>
        <v>181</v>
      </c>
      <c r="AQ109" t="s">
        <v>166</v>
      </c>
      <c r="AR109" s="4" t="s">
        <v>215</v>
      </c>
      <c r="AU109" s="3">
        <f>IF(AND(G109&lt;&gt;"LIBSETS_SETTYPE_BATTLEGROUND",G109&lt;&gt;"LIBSETS_SETTYPE_SPECIAL"),IF(AV109&lt;&gt;"",VLOOKUP(AV109,'ESO zones'!$D$5:$H$4957,5,FALSE),""),"")</f>
        <v>181</v>
      </c>
      <c r="AV109" t="s">
        <v>166</v>
      </c>
      <c r="AW109" s="4" t="s">
        <v>257</v>
      </c>
      <c r="AZ109" s="49" t="s">
        <v>410</v>
      </c>
      <c r="BA109" s="49"/>
      <c r="BB109" s="49"/>
      <c r="BC109" s="49"/>
      <c r="BD109" s="49"/>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2">
        <v>129</v>
      </c>
      <c r="B110" t="s">
        <v>647</v>
      </c>
      <c r="C110" t="s">
        <v>648</v>
      </c>
      <c r="D110" s="3">
        <f t="shared" si="6"/>
        <v>129</v>
      </c>
      <c r="G110" s="9" t="s">
        <v>165</v>
      </c>
      <c r="I110" t="s">
        <v>401</v>
      </c>
      <c r="J110" t="s">
        <v>401</v>
      </c>
      <c r="K110">
        <v>-1</v>
      </c>
      <c r="L110">
        <v>-1</v>
      </c>
      <c r="M110">
        <v>-1</v>
      </c>
      <c r="O110" s="5" t="s">
        <v>166</v>
      </c>
      <c r="Q110" s="3">
        <f>IF(AND(P110&lt;&gt;"",ISNUMBER(P110),NOT(ISNA(P110))),P110,IF(R110&lt;&gt;"",VLOOKUP(R110,'ESO zones'!$D$5:$H$10005,5,FALSE),""))</f>
        <v>181</v>
      </c>
      <c r="R110" t="str">
        <f>IF(AND(O110&lt;&gt;"",NOT(ISERROR(O110))),O110,IF(AND(P110&lt;&gt;"",ISNUMBER(P110),P110&gt;0,NOT(ISNA(P110))),VLOOKUP(P110,'ESO zones'!$A$5:$D$10003,4,FALSE),IF(AND(K110&lt;&gt;"",K110&gt;0,NOT(ISERROR(K110))),VLOOKUP(K110,'ESO wayshrines'!$K$3:$N$9972,4,FALSE),"")))</f>
        <v>Cyrodiil</v>
      </c>
      <c r="T110" s="16" t="str">
        <f>IF(AND(S110&lt;&gt;"",NOT(ISERROR(S110))),S110,VLOOKUP(A110,'ESO Set&amp;DLCs'!$A$3:$D$99998,4,FALSE))</f>
        <v>DLC_BASE_GAME</v>
      </c>
      <c r="U110" s="3" t="str">
        <f>IF(T110&lt;&gt;"",VLOOKUP(T110,ConstDLCIds!$B$4:$C$1000,2,FALSE),"")</f>
        <v>Included in base game</v>
      </c>
      <c r="V110" s="4" t="s">
        <v>200</v>
      </c>
      <c r="Y110" s="5">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zones'!$A$5:$D$10003,4,FALSE),"")</f>
        <v>Cyrodiil</v>
      </c>
      <c r="AB110" s="4" t="s">
        <v>301</v>
      </c>
      <c r="AE110" s="5">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zones'!$A$5:$D$10003,4,FALSE),"")</f>
        <v>Cyrodiil</v>
      </c>
      <c r="AH110" s="4" t="s">
        <v>248</v>
      </c>
      <c r="AK110" s="3">
        <f>IF(AND(G110&lt;&gt;"LIBSETS_SETTYPE_BATTLEGROUND",G110&lt;&gt;"LIBSETS_SETTYPE_SPECIAL"),IF(AL110&lt;&gt;"",VLOOKUP(AL110,'ESO zones'!$D$5:$H$4957,5,FALSE),""),"")</f>
        <v>181</v>
      </c>
      <c r="AL110" t="s">
        <v>166</v>
      </c>
      <c r="AM110" s="4" t="s">
        <v>298</v>
      </c>
      <c r="AP110" s="3">
        <f>IF(AND(G110&lt;&gt;"LIBSETS_SETTYPE_BATTLEGROUND",G110&lt;&gt;"LIBSETS_SETTYPE_SPECIAL"),IF(AQ110&lt;&gt;"",VLOOKUP(AQ110,'ESO zones'!$D$5:$H$4957,5,FALSE),""),"")</f>
        <v>181</v>
      </c>
      <c r="AQ110" t="s">
        <v>166</v>
      </c>
      <c r="AR110" s="4" t="s">
        <v>215</v>
      </c>
      <c r="AU110" s="3">
        <f>IF(AND(G110&lt;&gt;"LIBSETS_SETTYPE_BATTLEGROUND",G110&lt;&gt;"LIBSETS_SETTYPE_SPECIAL"),IF(AV110&lt;&gt;"",VLOOKUP(AV110,'ESO zones'!$D$5:$H$4957,5,FALSE),""),"")</f>
        <v>181</v>
      </c>
      <c r="AV110" t="s">
        <v>166</v>
      </c>
      <c r="AW110" s="4" t="s">
        <v>257</v>
      </c>
      <c r="AZ110" s="49" t="s">
        <v>403</v>
      </c>
      <c r="BA110" s="49"/>
      <c r="BB110" s="49"/>
      <c r="BC110" s="49"/>
      <c r="BD110" s="49"/>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2">
        <v>130</v>
      </c>
      <c r="B111" t="s">
        <v>649</v>
      </c>
      <c r="C111" t="s">
        <v>650</v>
      </c>
      <c r="D111" s="3">
        <f t="shared" si="6"/>
        <v>130</v>
      </c>
      <c r="G111" s="9" t="s">
        <v>165</v>
      </c>
      <c r="I111" t="s">
        <v>401</v>
      </c>
      <c r="J111" t="s">
        <v>401</v>
      </c>
      <c r="K111">
        <v>-1</v>
      </c>
      <c r="L111">
        <v>-1</v>
      </c>
      <c r="M111">
        <v>-1</v>
      </c>
      <c r="O111" s="5" t="s">
        <v>166</v>
      </c>
      <c r="Q111" s="3">
        <f>IF(AND(P111&lt;&gt;"",ISNUMBER(P111),NOT(ISNA(P111))),P111,IF(R111&lt;&gt;"",VLOOKUP(R111,'ESO zones'!$D$5:$H$10005,5,FALSE),""))</f>
        <v>181</v>
      </c>
      <c r="R111" t="str">
        <f>IF(AND(O111&lt;&gt;"",NOT(ISERROR(O111))),O111,IF(AND(P111&lt;&gt;"",ISNUMBER(P111),P111&gt;0,NOT(ISNA(P111))),VLOOKUP(P111,'ESO zones'!$A$5:$D$10003,4,FALSE),IF(AND(K111&lt;&gt;"",K111&gt;0,NOT(ISERROR(K111))),VLOOKUP(K111,'ESO wayshrines'!$K$3:$N$9972,4,FALSE),"")))</f>
        <v>Cyrodiil</v>
      </c>
      <c r="T111" s="16" t="str">
        <f>IF(AND(S111&lt;&gt;"",NOT(ISERROR(S111))),S111,VLOOKUP(A111,'ESO Set&amp;DLCs'!$A$3:$D$99998,4,FALSE))</f>
        <v>DLC_BASE_GAME</v>
      </c>
      <c r="U111" s="3" t="str">
        <f>IF(T111&lt;&gt;"",VLOOKUP(T111,ConstDLCIds!$B$4:$C$1000,2,FALSE),"")</f>
        <v>Included in base game</v>
      </c>
      <c r="V111" s="4" t="s">
        <v>200</v>
      </c>
      <c r="Y111" s="5">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zones'!$A$5:$D$10003,4,FALSE),"")</f>
        <v>Cyrodiil</v>
      </c>
      <c r="AB111" s="4" t="s">
        <v>301</v>
      </c>
      <c r="AE111" s="5">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zones'!$A$5:$D$10003,4,FALSE),"")</f>
        <v>Cyrodiil</v>
      </c>
      <c r="AH111" s="4" t="s">
        <v>248</v>
      </c>
      <c r="AK111" s="3">
        <f>IF(AND(G111&lt;&gt;"LIBSETS_SETTYPE_BATTLEGROUND",G111&lt;&gt;"LIBSETS_SETTYPE_SPECIAL"),IF(AL111&lt;&gt;"",VLOOKUP(AL111,'ESO zones'!$D$5:$H$4957,5,FALSE),""),"")</f>
        <v>181</v>
      </c>
      <c r="AL111" t="s">
        <v>166</v>
      </c>
      <c r="AM111" s="4" t="s">
        <v>298</v>
      </c>
      <c r="AP111" s="3">
        <f>IF(AND(G111&lt;&gt;"LIBSETS_SETTYPE_BATTLEGROUND",G111&lt;&gt;"LIBSETS_SETTYPE_SPECIAL"),IF(AQ111&lt;&gt;"",VLOOKUP(AQ111,'ESO zones'!$D$5:$H$4957,5,FALSE),""),"")</f>
        <v>181</v>
      </c>
      <c r="AQ111" t="s">
        <v>166</v>
      </c>
      <c r="AR111" s="4" t="s">
        <v>215</v>
      </c>
      <c r="AU111" s="3">
        <f>IF(AND(G111&lt;&gt;"LIBSETS_SETTYPE_BATTLEGROUND",G111&lt;&gt;"LIBSETS_SETTYPE_SPECIAL"),IF(AV111&lt;&gt;"",VLOOKUP(AV111,'ESO zones'!$D$5:$H$4957,5,FALSE),""),"")</f>
        <v>181</v>
      </c>
      <c r="AV111" t="s">
        <v>166</v>
      </c>
      <c r="AW111" s="4" t="s">
        <v>257</v>
      </c>
      <c r="AZ111" s="49" t="s">
        <v>410</v>
      </c>
      <c r="BA111" s="49"/>
      <c r="BB111" s="49"/>
      <c r="BC111" s="49"/>
      <c r="BD111" s="49"/>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2">
        <v>131</v>
      </c>
      <c r="B112" t="s">
        <v>651</v>
      </c>
      <c r="C112" t="s">
        <v>652</v>
      </c>
      <c r="D112" s="3">
        <f t="shared" si="6"/>
        <v>131</v>
      </c>
      <c r="G112" s="9" t="s">
        <v>165</v>
      </c>
      <c r="I112" t="s">
        <v>401</v>
      </c>
      <c r="J112" t="s">
        <v>401</v>
      </c>
      <c r="K112">
        <v>-1</v>
      </c>
      <c r="L112">
        <v>-1</v>
      </c>
      <c r="M112">
        <v>-1</v>
      </c>
      <c r="O112" s="5" t="s">
        <v>166</v>
      </c>
      <c r="Q112" s="3">
        <f>IF(AND(P112&lt;&gt;"",ISNUMBER(P112),NOT(ISNA(P112))),P112,IF(R112&lt;&gt;"",VLOOKUP(R112,'ESO zones'!$D$5:$H$10005,5,FALSE),""))</f>
        <v>181</v>
      </c>
      <c r="R112" t="str">
        <f>IF(AND(O112&lt;&gt;"",NOT(ISERROR(O112))),O112,IF(AND(P112&lt;&gt;"",ISNUMBER(P112),P112&gt;0,NOT(ISNA(P112))),VLOOKUP(P112,'ESO zones'!$A$5:$D$10003,4,FALSE),IF(AND(K112&lt;&gt;"",K112&gt;0,NOT(ISERROR(K112))),VLOOKUP(K112,'ESO wayshrines'!$K$3:$N$9972,4,FALSE),"")))</f>
        <v>Cyrodiil</v>
      </c>
      <c r="T112" s="16" t="str">
        <f>IF(AND(S112&lt;&gt;"",NOT(ISERROR(S112))),S112,VLOOKUP(A112,'ESO Set&amp;DLCs'!$A$3:$D$99998,4,FALSE))</f>
        <v>DLC_BASE_GAME</v>
      </c>
      <c r="U112" s="3" t="str">
        <f>IF(T112&lt;&gt;"",VLOOKUP(T112,ConstDLCIds!$B$4:$C$1000,2,FALSE),"")</f>
        <v>Included in base game</v>
      </c>
      <c r="V112" s="4" t="s">
        <v>206</v>
      </c>
      <c r="Y112" s="5">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zones'!$A$5:$D$10003,4,FALSE),"")</f>
        <v>Cyrodiil</v>
      </c>
      <c r="AB112" s="4" t="s">
        <v>301</v>
      </c>
      <c r="AE112" s="5">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zones'!$A$5:$D$10003,4,FALSE),"")</f>
        <v>Cyrodiil</v>
      </c>
      <c r="AH112" s="4" t="s">
        <v>248</v>
      </c>
      <c r="AK112" s="3">
        <f>IF(AND(G112&lt;&gt;"LIBSETS_SETTYPE_BATTLEGROUND",G112&lt;&gt;"LIBSETS_SETTYPE_SPECIAL"),IF(AL112&lt;&gt;"",VLOOKUP(AL112,'ESO zones'!$D$5:$H$4957,5,FALSE),""),"")</f>
        <v>181</v>
      </c>
      <c r="AL112" t="s">
        <v>166</v>
      </c>
      <c r="AM112" s="4" t="s">
        <v>298</v>
      </c>
      <c r="AP112" s="3">
        <f>IF(AND(G112&lt;&gt;"LIBSETS_SETTYPE_BATTLEGROUND",G112&lt;&gt;"LIBSETS_SETTYPE_SPECIAL"),IF(AQ112&lt;&gt;"",VLOOKUP(AQ112,'ESO zones'!$D$5:$H$4957,5,FALSE),""),"")</f>
        <v>181</v>
      </c>
      <c r="AQ112" t="s">
        <v>166</v>
      </c>
      <c r="AR112" s="4" t="s">
        <v>215</v>
      </c>
      <c r="AU112" s="3">
        <f>IF(AND(G112&lt;&gt;"LIBSETS_SETTYPE_BATTLEGROUND",G112&lt;&gt;"LIBSETS_SETTYPE_SPECIAL"),IF(AV112&lt;&gt;"",VLOOKUP(AV112,'ESO zones'!$D$5:$H$4957,5,FALSE),""),"")</f>
        <v>181</v>
      </c>
      <c r="AV112" t="s">
        <v>166</v>
      </c>
      <c r="AW112" s="4" t="s">
        <v>257</v>
      </c>
      <c r="AZ112" s="49" t="s">
        <v>410</v>
      </c>
      <c r="BA112" s="49"/>
      <c r="BB112" s="49"/>
      <c r="BC112" s="49"/>
      <c r="BD112" s="49"/>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2">
        <v>132</v>
      </c>
      <c r="B113" t="s">
        <v>653</v>
      </c>
      <c r="C113" t="s">
        <v>654</v>
      </c>
      <c r="D113" s="3">
        <f t="shared" si="6"/>
        <v>132</v>
      </c>
      <c r="G113" s="9" t="s">
        <v>165</v>
      </c>
      <c r="I113" t="s">
        <v>401</v>
      </c>
      <c r="J113" t="s">
        <v>401</v>
      </c>
      <c r="K113">
        <v>-1</v>
      </c>
      <c r="L113">
        <v>-1</v>
      </c>
      <c r="M113">
        <v>-1</v>
      </c>
      <c r="O113" s="5" t="s">
        <v>166</v>
      </c>
      <c r="Q113" s="3">
        <f>IF(AND(P113&lt;&gt;"",ISNUMBER(P113),NOT(ISNA(P113))),P113,IF(R113&lt;&gt;"",VLOOKUP(R113,'ESO zones'!$D$5:$H$10005,5,FALSE),""))</f>
        <v>181</v>
      </c>
      <c r="R113" t="str">
        <f>IF(AND(O113&lt;&gt;"",NOT(ISERROR(O113))),O113,IF(AND(P113&lt;&gt;"",ISNUMBER(P113),P113&gt;0,NOT(ISNA(P113))),VLOOKUP(P113,'ESO zones'!$A$5:$D$10003,4,FALSE),IF(AND(K113&lt;&gt;"",K113&gt;0,NOT(ISERROR(K113))),VLOOKUP(K113,'ESO wayshrines'!$K$3:$N$9972,4,FALSE),"")))</f>
        <v>Cyrodiil</v>
      </c>
      <c r="T113" s="16" t="str">
        <f>IF(AND(S113&lt;&gt;"",NOT(ISERROR(S113))),S113,VLOOKUP(A113,'ESO Set&amp;DLCs'!$A$3:$D$99998,4,FALSE))</f>
        <v>DLC_BASE_GAME</v>
      </c>
      <c r="U113" s="3" t="str">
        <f>IF(T113&lt;&gt;"",VLOOKUP(T113,ConstDLCIds!$B$4:$C$1000,2,FALSE),"")</f>
        <v>Included in base game</v>
      </c>
      <c r="V113" s="4" t="s">
        <v>200</v>
      </c>
      <c r="Y113" s="5">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zones'!$A$5:$D$10003,4,FALSE),"")</f>
        <v>Cyrodiil</v>
      </c>
      <c r="AB113" s="4" t="s">
        <v>301</v>
      </c>
      <c r="AE113" s="5">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zones'!$A$5:$D$10003,4,FALSE),"")</f>
        <v>Cyrodiil</v>
      </c>
      <c r="AH113" s="4" t="s">
        <v>248</v>
      </c>
      <c r="AK113" s="3">
        <f>IF(AND(G113&lt;&gt;"LIBSETS_SETTYPE_BATTLEGROUND",G113&lt;&gt;"LIBSETS_SETTYPE_SPECIAL"),IF(AL113&lt;&gt;"",VLOOKUP(AL113,'ESO zones'!$D$5:$H$4957,5,FALSE),""),"")</f>
        <v>181</v>
      </c>
      <c r="AL113" t="s">
        <v>166</v>
      </c>
      <c r="AM113" s="4" t="s">
        <v>298</v>
      </c>
      <c r="AP113" s="3">
        <f>IF(AND(G113&lt;&gt;"LIBSETS_SETTYPE_BATTLEGROUND",G113&lt;&gt;"LIBSETS_SETTYPE_SPECIAL"),IF(AQ113&lt;&gt;"",VLOOKUP(AQ113,'ESO zones'!$D$5:$H$4957,5,FALSE),""),"")</f>
        <v>181</v>
      </c>
      <c r="AQ113" t="s">
        <v>166</v>
      </c>
      <c r="AR113" s="4" t="s">
        <v>215</v>
      </c>
      <c r="AU113" s="3">
        <f>IF(AND(G113&lt;&gt;"LIBSETS_SETTYPE_BATTLEGROUND",G113&lt;&gt;"LIBSETS_SETTYPE_SPECIAL"),IF(AV113&lt;&gt;"",VLOOKUP(AV113,'ESO zones'!$D$5:$H$4957,5,FALSE),""),"")</f>
        <v>181</v>
      </c>
      <c r="AV113" t="s">
        <v>166</v>
      </c>
      <c r="AW113" s="4" t="s">
        <v>257</v>
      </c>
      <c r="AZ113" s="49" t="s">
        <v>410</v>
      </c>
      <c r="BA113" s="49"/>
      <c r="BB113" s="49"/>
      <c r="BC113" s="49"/>
      <c r="BD113" s="49"/>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2">
        <v>133</v>
      </c>
      <c r="B114" t="s">
        <v>655</v>
      </c>
      <c r="C114" t="s">
        <v>656</v>
      </c>
      <c r="D114" s="3">
        <f t="shared" si="6"/>
        <v>133</v>
      </c>
      <c r="G114" s="9" t="s">
        <v>165</v>
      </c>
      <c r="I114" t="s">
        <v>401</v>
      </c>
      <c r="J114" t="s">
        <v>401</v>
      </c>
      <c r="K114">
        <v>-1</v>
      </c>
      <c r="L114">
        <v>-1</v>
      </c>
      <c r="M114">
        <v>-1</v>
      </c>
      <c r="O114" s="5" t="s">
        <v>166</v>
      </c>
      <c r="Q114" s="3">
        <f>IF(AND(P114&lt;&gt;"",ISNUMBER(P114),NOT(ISNA(P114))),P114,IF(R114&lt;&gt;"",VLOOKUP(R114,'ESO zones'!$D$5:$H$10005,5,FALSE),""))</f>
        <v>181</v>
      </c>
      <c r="R114" t="str">
        <f>IF(AND(O114&lt;&gt;"",NOT(ISERROR(O114))),O114,IF(AND(P114&lt;&gt;"",ISNUMBER(P114),P114&gt;0,NOT(ISNA(P114))),VLOOKUP(P114,'ESO zones'!$A$5:$D$10003,4,FALSE),IF(AND(K114&lt;&gt;"",K114&gt;0,NOT(ISERROR(K114))),VLOOKUP(K114,'ESO wayshrines'!$K$3:$N$9972,4,FALSE),"")))</f>
        <v>Cyrodiil</v>
      </c>
      <c r="T114" s="16" t="str">
        <f>IF(AND(S114&lt;&gt;"",NOT(ISERROR(S114))),S114,VLOOKUP(A114,'ESO Set&amp;DLCs'!$A$3:$D$99998,4,FALSE))</f>
        <v>DLC_BASE_GAME</v>
      </c>
      <c r="U114" s="3" t="str">
        <f>IF(T114&lt;&gt;"",VLOOKUP(T114,ConstDLCIds!$B$4:$C$1000,2,FALSE),"")</f>
        <v>Included in base game</v>
      </c>
      <c r="V114" s="4" t="s">
        <v>203</v>
      </c>
      <c r="Y114" s="5">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zones'!$A$5:$D$10003,4,FALSE),"")</f>
        <v>Cyrodiil</v>
      </c>
      <c r="AB114" s="4" t="s">
        <v>301</v>
      </c>
      <c r="AE114" s="5">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zones'!$A$5:$D$10003,4,FALSE),"")</f>
        <v>Cyrodiil</v>
      </c>
      <c r="AH114" s="4" t="s">
        <v>248</v>
      </c>
      <c r="AK114" s="3">
        <f>IF(AND(G114&lt;&gt;"LIBSETS_SETTYPE_BATTLEGROUND",G114&lt;&gt;"LIBSETS_SETTYPE_SPECIAL"),IF(AL114&lt;&gt;"",VLOOKUP(AL114,'ESO zones'!$D$5:$H$4957,5,FALSE),""),"")</f>
        <v>181</v>
      </c>
      <c r="AL114" t="s">
        <v>166</v>
      </c>
      <c r="AM114" s="4" t="s">
        <v>298</v>
      </c>
      <c r="AP114" s="3">
        <f>IF(AND(G114&lt;&gt;"LIBSETS_SETTYPE_BATTLEGROUND",G114&lt;&gt;"LIBSETS_SETTYPE_SPECIAL"),IF(AQ114&lt;&gt;"",VLOOKUP(AQ114,'ESO zones'!$D$5:$H$4957,5,FALSE),""),"")</f>
        <v>181</v>
      </c>
      <c r="AQ114" t="s">
        <v>166</v>
      </c>
      <c r="AR114" s="4" t="s">
        <v>215</v>
      </c>
      <c r="AU114" s="3">
        <f>IF(AND(G114&lt;&gt;"LIBSETS_SETTYPE_BATTLEGROUND",G114&lt;&gt;"LIBSETS_SETTYPE_SPECIAL"),IF(AV114&lt;&gt;"",VLOOKUP(AV114,'ESO zones'!$D$5:$H$4957,5,FALSE),""),"")</f>
        <v>181</v>
      </c>
      <c r="AV114" t="s">
        <v>166</v>
      </c>
      <c r="AW114" s="4" t="s">
        <v>257</v>
      </c>
      <c r="AZ114" s="49" t="s">
        <v>410</v>
      </c>
      <c r="BA114" s="49"/>
      <c r="BB114" s="49"/>
      <c r="BC114" s="49"/>
      <c r="BD114" s="49"/>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2">
        <v>134</v>
      </c>
      <c r="B115" t="s">
        <v>657</v>
      </c>
      <c r="C115" t="s">
        <v>658</v>
      </c>
      <c r="D115" s="3">
        <f t="shared" si="6"/>
        <v>134</v>
      </c>
      <c r="G115" s="9" t="s">
        <v>169</v>
      </c>
      <c r="I115" t="s">
        <v>401</v>
      </c>
      <c r="J115" t="s">
        <v>401</v>
      </c>
      <c r="K115">
        <v>190</v>
      </c>
      <c r="L115">
        <v>190</v>
      </c>
      <c r="M115">
        <v>190</v>
      </c>
      <c r="O115" s="5" t="s">
        <v>634</v>
      </c>
      <c r="Q115" s="3">
        <f>IF(AND(P115&lt;&gt;"",ISNUMBER(P115),NOT(ISNA(P115))),P115,IF(R115&lt;&gt;"",VLOOKUP(R115,'ESO zones'!$D$5:$H$10005,5,FALSE),""))</f>
        <v>130</v>
      </c>
      <c r="R115" t="str">
        <f>IF(AND(O115&lt;&gt;"",NOT(ISERROR(O115))),O115,IF(AND(P115&lt;&gt;"",ISNUMBER(P115),P115&gt;0,NOT(ISNA(P115))),VLOOKUP(P115,'ESO zones'!$A$5:$D$10003,4,FALSE),IF(AND(K115&lt;&gt;"",K115&gt;0,NOT(ISERROR(K115))),VLOOKUP(K115,'ESO wayshrines'!$K$3:$N$9972,4,FALSE),"")))</f>
        <v>Crypt of Hearts I</v>
      </c>
      <c r="T115" s="16" t="str">
        <f>IF(AND(S115&lt;&gt;"",NOT(ISERROR(S115))),S115,VLOOKUP(A115,'ESO Set&amp;DLCs'!$A$3:$D$99998,4,FALSE))</f>
        <v>DLC_BASE_GAME</v>
      </c>
      <c r="U115" s="3" t="str">
        <f>IF(T115&lt;&gt;"",VLOOKUP(T115,ConstDLCIds!$B$4:$C$1000,2,FALSE),"")</f>
        <v>Included in base game</v>
      </c>
      <c r="V115" s="4" t="s">
        <v>278</v>
      </c>
      <c r="Y115" s="5">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zones'!$A$5:$D$10003,4,FALSE),"")</f>
        <v>Crypt of Hearts II</v>
      </c>
      <c r="AB115" s="4"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zones'!$A$5:$D$10003,4,FALSE),"")</f>
        <v>Rivenspire</v>
      </c>
      <c r="AH115" s="57"/>
      <c r="AK115" s="3" t="str">
        <f>IF(AND(G115&lt;&gt;"LIBSETS_SETTYPE_BATTLEGROUND",G115&lt;&gt;"LIBSETS_SETTYPE_SPECIAL"),IF(AL115&lt;&gt;"",VLOOKUP(AL115,'ESO zones'!$D$5:$H$4957,5,FALSE),""),"")</f>
        <v/>
      </c>
      <c r="AP115" s="3" t="str">
        <f>IF(AND(G115&lt;&gt;"LIBSETS_SETTYPE_BATTLEGROUND",G115&lt;&gt;"LIBSETS_SETTYPE_SPECIAL"),IF(AQ115&lt;&gt;"",VLOOKUP(AQ115,'ESO zones'!$D$5:$H$4957,5,FALSE),""),"")</f>
        <v/>
      </c>
      <c r="AU115" s="3" t="str">
        <f>IF(AND(G115&lt;&gt;"LIBSETS_SETTYPE_BATTLEGROUND",G115&lt;&gt;"LIBSETS_SETTYPE_SPECIAL"),IF(AV115&lt;&gt;"",VLOOKUP(AV115,'ESO zones'!$D$5:$H$4957,5,FALSE),""),"")</f>
        <v/>
      </c>
      <c r="AZ115" s="49" t="s">
        <v>403</v>
      </c>
      <c r="BA115" s="49"/>
      <c r="BB115" s="49"/>
      <c r="BC115" s="49"/>
      <c r="BD115" s="49"/>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4" customFormat="1" x14ac:dyDescent="0.25">
      <c r="A116" s="12">
        <v>135</v>
      </c>
      <c r="B116" t="s">
        <v>659</v>
      </c>
      <c r="C116" t="s">
        <v>660</v>
      </c>
      <c r="D116" s="3">
        <f t="shared" si="6"/>
        <v>135</v>
      </c>
      <c r="E116"/>
      <c r="F116"/>
      <c r="G116" s="9" t="s">
        <v>174</v>
      </c>
      <c r="H116"/>
      <c r="I116" t="s">
        <v>401</v>
      </c>
      <c r="J116" t="s">
        <v>401</v>
      </c>
      <c r="K116">
        <v>109</v>
      </c>
      <c r="L116">
        <v>109</v>
      </c>
      <c r="M116">
        <v>109</v>
      </c>
      <c r="N116"/>
      <c r="O116" s="5" t="s">
        <v>406</v>
      </c>
      <c r="P116" s="5"/>
      <c r="Q116" s="3">
        <f>IF(AND(P116&lt;&gt;"",ISNUMBER(P116),NOT(ISNA(P116))),P116,IF(R116&lt;&gt;"",VLOOKUP(R116,'ESO zones'!$D$5:$H$10005,5,FALSE),""))</f>
        <v>103</v>
      </c>
      <c r="R116" t="str">
        <f>IF(AND(O116&lt;&gt;"",NOT(ISERROR(O116))),O116,IF(AND(P116&lt;&gt;"",ISNUMBER(P116),P116&gt;0,NOT(ISNA(P116))),VLOOKUP(P116,'ESO zones'!$A$5:$D$10003,4,FALSE),IF(AND(K116&lt;&gt;"",K116&gt;0,NOT(ISERROR(K116))),VLOOKUP(K116,'ESO wayshrines'!$K$3:$N$9972,4,FALSE),"")))</f>
        <v>The Rift</v>
      </c>
      <c r="S116" s="5"/>
      <c r="T116" s="16" t="str">
        <f>IF(AND(S116&lt;&gt;"",NOT(ISERROR(S116))),S116,VLOOKUP(A116,'ESO Set&amp;DLCs'!$A$3:$D$99998,4,FALSE))</f>
        <v>DLC_BASE_GAME</v>
      </c>
      <c r="U116" s="3" t="str">
        <f>IF(T116&lt;&gt;"",VLOOKUP(T116,ConstDLCIds!$B$4:$C$1000,2,FALSE),"")</f>
        <v>Included in base game</v>
      </c>
      <c r="V116" s="4" t="s">
        <v>215</v>
      </c>
      <c r="W116" s="3"/>
      <c r="X116" s="3"/>
      <c r="Y116" s="5"/>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zones'!$A$5:$D$10003,4,FALSE),"")</f>
        <v>The Rift</v>
      </c>
      <c r="AB116" s="4" t="s">
        <v>218</v>
      </c>
      <c r="AC116" s="3"/>
      <c r="AD116" s="3"/>
      <c r="AE116" s="3">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zones'!$A$5:$D$10003,4,FALSE),"")</f>
        <v>The Lion's Den</v>
      </c>
      <c r="AH116" s="4" t="s">
        <v>221</v>
      </c>
      <c r="AI116" s="3"/>
      <c r="AJ116" s="3"/>
      <c r="AK116" s="3">
        <f>IF(AND(G116&lt;&gt;"LIBSETS_SETTYPE_BATTLEGROUND",G116&lt;&gt;"LIBSETS_SETTYPE_SPECIAL"),IF(AL116&lt;&gt;"",VLOOKUP(AL116,'ESO zones'!$D$5:$H$4957,5,FALSE),""),"")</f>
        <v>103</v>
      </c>
      <c r="AL116" t="s">
        <v>406</v>
      </c>
      <c r="AM116" s="4" t="s">
        <v>224</v>
      </c>
      <c r="AN116" s="3"/>
      <c r="AO116" s="3"/>
      <c r="AP116" s="3">
        <f>IF(AND(G116&lt;&gt;"LIBSETS_SETTYPE_BATTLEGROUND",G116&lt;&gt;"LIBSETS_SETTYPE_SPECIAL"),IF(AQ116&lt;&gt;"",VLOOKUP(AQ116,'ESO zones'!$D$5:$H$4957,5,FALSE),""),"")</f>
        <v>103</v>
      </c>
      <c r="AQ116" t="s">
        <v>406</v>
      </c>
      <c r="AR116" s="80" t="s">
        <v>269</v>
      </c>
      <c r="AS116" s="3"/>
      <c r="AT116" s="3"/>
      <c r="AU116" s="3" t="str">
        <f>IF(AND(G116&lt;&gt;"LIBSETS_SETTYPE_BATTLEGROUND",G116&lt;&gt;"LIBSETS_SETTYPE_SPECIAL"),IF(AV116&lt;&gt;"",VLOOKUP(AV116,'ESO zones'!$D$5:$H$4957,5,FALSE),""),"")</f>
        <v/>
      </c>
      <c r="AV116"/>
      <c r="AW116" s="4"/>
      <c r="AX116" s="3"/>
      <c r="AY116" s="3"/>
      <c r="AZ116" s="49" t="s">
        <v>403</v>
      </c>
      <c r="BA116" s="49"/>
      <c r="BB116" s="49"/>
      <c r="BC116" s="49"/>
      <c r="BD116" s="49"/>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2">
        <v>136</v>
      </c>
      <c r="B117" t="s">
        <v>661</v>
      </c>
      <c r="C117" t="s">
        <v>662</v>
      </c>
      <c r="D117" s="3">
        <f t="shared" si="6"/>
        <v>136</v>
      </c>
      <c r="G117" s="9" t="s">
        <v>178</v>
      </c>
      <c r="I117" t="s">
        <v>401</v>
      </c>
      <c r="J117" t="s">
        <v>401</v>
      </c>
      <c r="K117">
        <v>232</v>
      </c>
      <c r="L117">
        <v>232</v>
      </c>
      <c r="M117">
        <v>232</v>
      </c>
      <c r="O117" s="5" t="s">
        <v>663</v>
      </c>
      <c r="Q117" s="3">
        <f>IF(AND(P117&lt;&gt;"",ISNUMBER(P117),NOT(ISNA(P117))),P117,IF(R117&lt;&gt;"",VLOOKUP(R117,'ESO zones'!$D$5:$H$10005,5,FALSE),""))</f>
        <v>639</v>
      </c>
      <c r="R117" t="str">
        <f>IF(AND(O117&lt;&gt;"",NOT(ISERROR(O117))),O117,IF(AND(P117&lt;&gt;"",ISNUMBER(P117),P117&gt;0,NOT(ISNA(P117))),VLOOKUP(P117,'ESO zones'!$A$5:$D$10003,4,FALSE),IF(AND(K117&lt;&gt;"",K117&gt;0,NOT(ISERROR(K117))),VLOOKUP(K117,'ESO wayshrines'!$K$3:$N$9972,4,FALSE),"")))</f>
        <v>Sanctum Ophidia</v>
      </c>
      <c r="T117" s="16" t="str">
        <f>IF(AND(S117&lt;&gt;"",NOT(ISERROR(S117))),S117,VLOOKUP(A117,'ESO Set&amp;DLCs'!$A$3:$D$99998,4,FALSE))</f>
        <v>DLC_BASE_GAME</v>
      </c>
      <c r="U117" s="3" t="str">
        <f>IF(T117&lt;&gt;"",VLOOKUP(T117,ConstDLCIds!$B$4:$C$1000,2,FALSE),"")</f>
        <v>Included in base game</v>
      </c>
      <c r="V117" s="4" t="s">
        <v>272</v>
      </c>
      <c r="Y117" s="5">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zones'!$A$5:$D$10003,4,FALSE),"")</f>
        <v>Sanctum Ophidia</v>
      </c>
      <c r="AB117" s="4" t="s">
        <v>272</v>
      </c>
      <c r="AE117" s="5">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zones'!$A$5:$D$10003,4,FALSE),"")</f>
        <v>Sanctum Ophidia</v>
      </c>
      <c r="AH117" s="4" t="s">
        <v>272</v>
      </c>
      <c r="AI117" s="29"/>
      <c r="AJ117" s="29"/>
      <c r="AK117" s="3" t="str">
        <f>IF(AND(G117&lt;&gt;"LIBSETS_SETTYPE_BATTLEGROUND",G117&lt;&gt;"LIBSETS_SETTYPE_SPECIAL"),IF(AL117&lt;&gt;"",VLOOKUP(AL117,'ESO zones'!$D$5:$H$4957,5,FALSE),""),"")</f>
        <v/>
      </c>
      <c r="AN117" s="29"/>
      <c r="AO117" s="29"/>
      <c r="AP117" s="3" t="str">
        <f>IF(AND(G117&lt;&gt;"LIBSETS_SETTYPE_BATTLEGROUND",G117&lt;&gt;"LIBSETS_SETTYPE_SPECIAL"),IF(AQ117&lt;&gt;"",VLOOKUP(AQ117,'ESO zones'!$D$5:$H$4957,5,FALSE),""),"")</f>
        <v/>
      </c>
      <c r="AS117" s="29"/>
      <c r="AT117" s="29"/>
      <c r="AU117" s="3" t="str">
        <f>IF(AND(G117&lt;&gt;"LIBSETS_SETTYPE_BATTLEGROUND",G117&lt;&gt;"LIBSETS_SETTYPE_SPECIAL"),IF(AV117&lt;&gt;"",VLOOKUP(AV117,'ESO zones'!$D$5:$H$4957,5,FALSE),""),"")</f>
        <v/>
      </c>
      <c r="AX117" s="29"/>
      <c r="AY117" s="29"/>
      <c r="AZ117" s="49" t="s">
        <v>403</v>
      </c>
      <c r="BA117" s="49"/>
      <c r="BB117" s="49"/>
      <c r="BC117" s="49"/>
      <c r="BD117" s="49"/>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2">
        <v>137</v>
      </c>
      <c r="B118" t="s">
        <v>664</v>
      </c>
      <c r="C118" t="s">
        <v>665</v>
      </c>
      <c r="D118" s="3">
        <f t="shared" si="6"/>
        <v>137</v>
      </c>
      <c r="G118" s="9" t="s">
        <v>178</v>
      </c>
      <c r="I118" t="s">
        <v>401</v>
      </c>
      <c r="J118" t="s">
        <v>401</v>
      </c>
      <c r="K118">
        <v>230</v>
      </c>
      <c r="L118">
        <v>230</v>
      </c>
      <c r="M118">
        <v>230</v>
      </c>
      <c r="O118" s="5" t="s">
        <v>666</v>
      </c>
      <c r="Q118" s="3">
        <f>IF(AND(P118&lt;&gt;"",ISNUMBER(P118),NOT(ISNA(P118))),P118,IF(R118&lt;&gt;"",VLOOKUP(R118,'ESO zones'!$D$5:$H$10005,5,FALSE),""))</f>
        <v>636</v>
      </c>
      <c r="R118" t="str">
        <f>IF(AND(O118&lt;&gt;"",NOT(ISERROR(O118))),O118,IF(AND(P118&lt;&gt;"",ISNUMBER(P118),P118&gt;0,NOT(ISNA(P118))),VLOOKUP(P118,'ESO zones'!$A$5:$D$10003,4,FALSE),IF(AND(K118&lt;&gt;"",K118&gt;0,NOT(ISERROR(K118))),VLOOKUP(K118,'ESO wayshrines'!$K$3:$N$9972,4,FALSE),"")))</f>
        <v>Hel Ra Citadel</v>
      </c>
      <c r="T118" s="16" t="str">
        <f>IF(AND(S118&lt;&gt;"",NOT(ISERROR(S118))),S118,VLOOKUP(A118,'ESO Set&amp;DLCs'!$A$3:$D$99998,4,FALSE))</f>
        <v>DLC_BASE_GAME</v>
      </c>
      <c r="U118" s="3" t="str">
        <f>IF(T118&lt;&gt;"",VLOOKUP(T118,ConstDLCIds!$B$4:$C$1000,2,FALSE),"")</f>
        <v>Included in base game</v>
      </c>
      <c r="V118" s="4" t="s">
        <v>272</v>
      </c>
      <c r="Y118" s="5">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zones'!$A$5:$D$10003,4,FALSE),"")</f>
        <v>Hel Ra Citadel</v>
      </c>
      <c r="AB118" s="4" t="s">
        <v>272</v>
      </c>
      <c r="AE118" s="29">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zones'!$A$5:$D$10003,4,FALSE),"")</f>
        <v>Hel Ra Citadel</v>
      </c>
      <c r="AH118" s="4" t="s">
        <v>272</v>
      </c>
      <c r="AI118" s="29"/>
      <c r="AJ118" s="29"/>
      <c r="AK118" s="3" t="str">
        <f>IF(AND(G118&lt;&gt;"LIBSETS_SETTYPE_BATTLEGROUND",G118&lt;&gt;"LIBSETS_SETTYPE_SPECIAL"),IF(AL118&lt;&gt;"",VLOOKUP(AL118,'ESO zones'!$D$5:$H$4957,5,FALSE),""),"")</f>
        <v/>
      </c>
      <c r="AN118" s="29"/>
      <c r="AO118" s="29"/>
      <c r="AP118" s="3" t="str">
        <f>IF(AND(G118&lt;&gt;"LIBSETS_SETTYPE_BATTLEGROUND",G118&lt;&gt;"LIBSETS_SETTYPE_SPECIAL"),IF(AQ118&lt;&gt;"",VLOOKUP(AQ118,'ESO zones'!$D$5:$H$4957,5,FALSE),""),"")</f>
        <v/>
      </c>
      <c r="AS118" s="29"/>
      <c r="AT118" s="29"/>
      <c r="AU118" s="3" t="str">
        <f>IF(AND(G118&lt;&gt;"LIBSETS_SETTYPE_BATTLEGROUND",G118&lt;&gt;"LIBSETS_SETTYPE_SPECIAL"),IF(AV118&lt;&gt;"",VLOOKUP(AV118,'ESO zones'!$D$5:$H$4957,5,FALSE),""),"")</f>
        <v/>
      </c>
      <c r="AX118" s="29"/>
      <c r="AY118" s="29"/>
      <c r="AZ118" s="49" t="s">
        <v>403</v>
      </c>
      <c r="BA118" s="49"/>
      <c r="BB118" s="49"/>
      <c r="BC118" s="49"/>
      <c r="BD118" s="49"/>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2">
        <v>138</v>
      </c>
      <c r="B119" t="s">
        <v>667</v>
      </c>
      <c r="C119" t="s">
        <v>668</v>
      </c>
      <c r="D119" s="3">
        <f t="shared" si="6"/>
        <v>138</v>
      </c>
      <c r="G119" s="9" t="s">
        <v>178</v>
      </c>
      <c r="I119" t="s">
        <v>401</v>
      </c>
      <c r="J119" t="s">
        <v>401</v>
      </c>
      <c r="K119">
        <v>231</v>
      </c>
      <c r="L119">
        <v>231</v>
      </c>
      <c r="M119">
        <v>231</v>
      </c>
      <c r="O119" s="5" t="s">
        <v>669</v>
      </c>
      <c r="Q119" s="3">
        <f>IF(AND(P119&lt;&gt;"",ISNUMBER(P119),NOT(ISNA(P119))),P119,IF(R119&lt;&gt;"",VLOOKUP(R119,'ESO zones'!$D$5:$H$10005,5,FALSE),""))</f>
        <v>638</v>
      </c>
      <c r="R119" t="str">
        <f>IF(AND(O119&lt;&gt;"",NOT(ISERROR(O119))),O119,IF(AND(P119&lt;&gt;"",ISNUMBER(P119),P119&gt;0,NOT(ISNA(P119))),VLOOKUP(P119,'ESO zones'!$A$5:$D$10003,4,FALSE),IF(AND(K119&lt;&gt;"",K119&gt;0,NOT(ISERROR(K119))),VLOOKUP(K119,'ESO wayshrines'!$K$3:$N$9972,4,FALSE),"")))</f>
        <v>Aetherian Archive</v>
      </c>
      <c r="T119" s="16" t="str">
        <f>IF(AND(S119&lt;&gt;"",NOT(ISERROR(S119))),S119,VLOOKUP(A119,'ESO Set&amp;DLCs'!$A$3:$D$99998,4,FALSE))</f>
        <v>DLC_BASE_GAME</v>
      </c>
      <c r="U119" s="3" t="str">
        <f>IF(T119&lt;&gt;"",VLOOKUP(T119,ConstDLCIds!$B$4:$C$1000,2,FALSE),"")</f>
        <v>Included in base game</v>
      </c>
      <c r="V119" s="4" t="s">
        <v>272</v>
      </c>
      <c r="W119" s="63" t="s">
        <v>670</v>
      </c>
      <c r="X119" s="63" t="s">
        <v>671</v>
      </c>
      <c r="Y119" s="5">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zones'!$A$5:$D$10003,4,FALSE),"")</f>
        <v>Aetherian Archive</v>
      </c>
      <c r="AB119" s="4" t="s">
        <v>272</v>
      </c>
      <c r="AE119" s="29">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zones'!$A$5:$D$10003,4,FALSE),"")</f>
        <v>Aetherian Archive</v>
      </c>
      <c r="AH119" s="4" t="s">
        <v>272</v>
      </c>
      <c r="AI119" s="29"/>
      <c r="AJ119" s="29"/>
      <c r="AK119" s="3" t="str">
        <f>IF(AND(G119&lt;&gt;"LIBSETS_SETTYPE_BATTLEGROUND",G119&lt;&gt;"LIBSETS_SETTYPE_SPECIAL"),IF(AL119&lt;&gt;"",VLOOKUP(AL119,'ESO zones'!$D$5:$H$4957,5,FALSE),""),"")</f>
        <v/>
      </c>
      <c r="AN119" s="63"/>
      <c r="AO119" s="63"/>
      <c r="AP119" s="3" t="str">
        <f>IF(AND(G119&lt;&gt;"LIBSETS_SETTYPE_BATTLEGROUND",G119&lt;&gt;"LIBSETS_SETTYPE_SPECIAL"),IF(AQ119&lt;&gt;"",VLOOKUP(AQ119,'ESO zones'!$D$5:$H$4957,5,FALSE),""),"")</f>
        <v/>
      </c>
      <c r="AS119" s="29"/>
      <c r="AT119" s="29"/>
      <c r="AU119" s="3" t="str">
        <f>IF(AND(G119&lt;&gt;"LIBSETS_SETTYPE_BATTLEGROUND",G119&lt;&gt;"LIBSETS_SETTYPE_SPECIAL"),IF(AV119&lt;&gt;"",VLOOKUP(AV119,'ESO zones'!$D$5:$H$4957,5,FALSE),""),"")</f>
        <v/>
      </c>
      <c r="AX119" s="29"/>
      <c r="AY119" s="29"/>
      <c r="AZ119" s="49" t="s">
        <v>403</v>
      </c>
      <c r="BA119" s="49"/>
      <c r="BB119" s="49"/>
      <c r="BC119" s="49"/>
      <c r="BD119" s="49"/>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2">
        <v>139</v>
      </c>
      <c r="B120" t="s">
        <v>672</v>
      </c>
      <c r="C120" t="s">
        <v>673</v>
      </c>
      <c r="D120" s="3">
        <f t="shared" si="6"/>
        <v>139</v>
      </c>
      <c r="G120" s="9" t="s">
        <v>178</v>
      </c>
      <c r="I120" t="s">
        <v>401</v>
      </c>
      <c r="J120" t="s">
        <v>401</v>
      </c>
      <c r="K120">
        <v>232</v>
      </c>
      <c r="L120">
        <v>232</v>
      </c>
      <c r="M120">
        <v>232</v>
      </c>
      <c r="O120" s="5" t="s">
        <v>663</v>
      </c>
      <c r="Q120" s="3">
        <f>IF(AND(P120&lt;&gt;"",ISNUMBER(P120),NOT(ISNA(P120))),P120,IF(R120&lt;&gt;"",VLOOKUP(R120,'ESO zones'!$D$5:$H$10005,5,FALSE),""))</f>
        <v>639</v>
      </c>
      <c r="R120" t="str">
        <f>IF(AND(O120&lt;&gt;"",NOT(ISERROR(O120))),O120,IF(AND(P120&lt;&gt;"",ISNUMBER(P120),P120&gt;0,NOT(ISNA(P120))),VLOOKUP(P120,'ESO zones'!$A$5:$D$10003,4,FALSE),IF(AND(K120&lt;&gt;"",K120&gt;0,NOT(ISERROR(K120))),VLOOKUP(K120,'ESO wayshrines'!$K$3:$N$9972,4,FALSE),"")))</f>
        <v>Sanctum Ophidia</v>
      </c>
      <c r="T120" s="16" t="str">
        <f>IF(AND(S120&lt;&gt;"",NOT(ISERROR(S120))),S120,VLOOKUP(A120,'ESO Set&amp;DLCs'!$A$3:$D$99998,4,FALSE))</f>
        <v>DLC_BASE_GAME</v>
      </c>
      <c r="U120" s="3" t="str">
        <f>IF(T120&lt;&gt;"",VLOOKUP(T120,ConstDLCIds!$B$4:$C$1000,2,FALSE),"")</f>
        <v>Included in base game</v>
      </c>
      <c r="V120" s="4" t="s">
        <v>272</v>
      </c>
      <c r="Y120" s="5">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zones'!$A$5:$D$10003,4,FALSE),"")</f>
        <v>Sanctum Ophidia</v>
      </c>
      <c r="AB120" s="4" t="s">
        <v>272</v>
      </c>
      <c r="AE120" s="5">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zones'!$A$5:$D$10003,4,FALSE),"")</f>
        <v>Sanctum Ophidia</v>
      </c>
      <c r="AH120" s="4" t="s">
        <v>272</v>
      </c>
      <c r="AI120" s="29"/>
      <c r="AJ120" s="29"/>
      <c r="AK120" s="3" t="str">
        <f>IF(AND(G120&lt;&gt;"LIBSETS_SETTYPE_BATTLEGROUND",G120&lt;&gt;"LIBSETS_SETTYPE_SPECIAL"),IF(AL120&lt;&gt;"",VLOOKUP(AL120,'ESO zones'!$D$5:$H$4957,5,FALSE),""),"")</f>
        <v/>
      </c>
      <c r="AN120" s="29"/>
      <c r="AO120" s="29"/>
      <c r="AP120" s="3" t="str">
        <f>IF(AND(G120&lt;&gt;"LIBSETS_SETTYPE_BATTLEGROUND",G120&lt;&gt;"LIBSETS_SETTYPE_SPECIAL"),IF(AQ120&lt;&gt;"",VLOOKUP(AQ120,'ESO zones'!$D$5:$H$4957,5,FALSE),""),"")</f>
        <v/>
      </c>
      <c r="AS120" s="29"/>
      <c r="AT120" s="29"/>
      <c r="AU120" s="3" t="str">
        <f>IF(AND(G120&lt;&gt;"LIBSETS_SETTYPE_BATTLEGROUND",G120&lt;&gt;"LIBSETS_SETTYPE_SPECIAL"),IF(AV120&lt;&gt;"",VLOOKUP(AV120,'ESO zones'!$D$5:$H$4957,5,FALSE),""),"")</f>
        <v/>
      </c>
      <c r="AX120" s="29"/>
      <c r="AY120" s="29"/>
      <c r="AZ120" s="49" t="s">
        <v>403</v>
      </c>
      <c r="BA120" s="49"/>
      <c r="BB120" s="49"/>
      <c r="BC120" s="49"/>
      <c r="BD120" s="49"/>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2">
        <v>140</v>
      </c>
      <c r="B121" t="s">
        <v>674</v>
      </c>
      <c r="C121" t="s">
        <v>675</v>
      </c>
      <c r="D121" s="3">
        <f t="shared" si="6"/>
        <v>140</v>
      </c>
      <c r="G121" s="9" t="s">
        <v>178</v>
      </c>
      <c r="I121" t="s">
        <v>401</v>
      </c>
      <c r="J121" t="s">
        <v>401</v>
      </c>
      <c r="K121">
        <v>230</v>
      </c>
      <c r="L121">
        <v>230</v>
      </c>
      <c r="M121">
        <v>230</v>
      </c>
      <c r="O121" s="5" t="s">
        <v>666</v>
      </c>
      <c r="Q121" s="3">
        <f>IF(AND(P121&lt;&gt;"",ISNUMBER(P121),NOT(ISNA(P121))),P121,IF(R121&lt;&gt;"",VLOOKUP(R121,'ESO zones'!$D$5:$H$10005,5,FALSE),""))</f>
        <v>636</v>
      </c>
      <c r="R121" t="str">
        <f>IF(AND(O121&lt;&gt;"",NOT(ISERROR(O121))),O121,IF(AND(P121&lt;&gt;"",ISNUMBER(P121),P121&gt;0,NOT(ISNA(P121))),VLOOKUP(P121,'ESO zones'!$A$5:$D$10003,4,FALSE),IF(AND(K121&lt;&gt;"",K121&gt;0,NOT(ISERROR(K121))),VLOOKUP(K121,'ESO wayshrines'!$K$3:$N$9972,4,FALSE),"")))</f>
        <v>Hel Ra Citadel</v>
      </c>
      <c r="T121" s="16" t="str">
        <f>IF(AND(S121&lt;&gt;"",NOT(ISERROR(S121))),S121,VLOOKUP(A121,'ESO Set&amp;DLCs'!$A$3:$D$99998,4,FALSE))</f>
        <v>DLC_BASE_GAME</v>
      </c>
      <c r="U121" s="3" t="str">
        <f>IF(T121&lt;&gt;"",VLOOKUP(T121,ConstDLCIds!$B$4:$C$1000,2,FALSE),"")</f>
        <v>Included in base game</v>
      </c>
      <c r="V121" s="4" t="s">
        <v>272</v>
      </c>
      <c r="Y121" s="5">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zones'!$A$5:$D$10003,4,FALSE),"")</f>
        <v>Hel Ra Citadel</v>
      </c>
      <c r="AB121" s="4" t="s">
        <v>272</v>
      </c>
      <c r="AE121" s="29">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zones'!$A$5:$D$10003,4,FALSE),"")</f>
        <v>Hel Ra Citadel</v>
      </c>
      <c r="AH121" s="4" t="s">
        <v>272</v>
      </c>
      <c r="AI121" s="29"/>
      <c r="AJ121" s="29"/>
      <c r="AK121" s="3" t="str">
        <f>IF(AND(G121&lt;&gt;"LIBSETS_SETTYPE_BATTLEGROUND",G121&lt;&gt;"LIBSETS_SETTYPE_SPECIAL"),IF(AL121&lt;&gt;"",VLOOKUP(AL121,'ESO zones'!$D$5:$H$4957,5,FALSE),""),"")</f>
        <v/>
      </c>
      <c r="AN121" s="29"/>
      <c r="AO121" s="29"/>
      <c r="AP121" s="3" t="str">
        <f>IF(AND(G121&lt;&gt;"LIBSETS_SETTYPE_BATTLEGROUND",G121&lt;&gt;"LIBSETS_SETTYPE_SPECIAL"),IF(AQ121&lt;&gt;"",VLOOKUP(AQ121,'ESO zones'!$D$5:$H$4957,5,FALSE),""),"")</f>
        <v/>
      </c>
      <c r="AS121" s="29"/>
      <c r="AT121" s="29"/>
      <c r="AU121" s="3" t="str">
        <f>IF(AND(G121&lt;&gt;"LIBSETS_SETTYPE_BATTLEGROUND",G121&lt;&gt;"LIBSETS_SETTYPE_SPECIAL"),IF(AV121&lt;&gt;"",VLOOKUP(AV121,'ESO zones'!$D$5:$H$4957,5,FALSE),""),"")</f>
        <v/>
      </c>
      <c r="AX121" s="29"/>
      <c r="AY121" s="29"/>
      <c r="AZ121" s="49" t="s">
        <v>403</v>
      </c>
      <c r="BA121" s="49"/>
      <c r="BB121" s="49"/>
      <c r="BC121" s="49"/>
      <c r="BD121" s="49"/>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2">
        <v>141</v>
      </c>
      <c r="B122" t="s">
        <v>676</v>
      </c>
      <c r="C122" t="s">
        <v>677</v>
      </c>
      <c r="D122" s="3">
        <f t="shared" si="6"/>
        <v>141</v>
      </c>
      <c r="G122" s="9" t="s">
        <v>178</v>
      </c>
      <c r="I122" t="s">
        <v>401</v>
      </c>
      <c r="J122" t="s">
        <v>401</v>
      </c>
      <c r="K122">
        <v>231</v>
      </c>
      <c r="L122">
        <v>231</v>
      </c>
      <c r="M122">
        <v>231</v>
      </c>
      <c r="O122" s="5" t="s">
        <v>669</v>
      </c>
      <c r="Q122" s="3">
        <f>IF(AND(P122&lt;&gt;"",ISNUMBER(P122),NOT(ISNA(P122))),P122,IF(R122&lt;&gt;"",VLOOKUP(R122,'ESO zones'!$D$5:$H$10005,5,FALSE),""))</f>
        <v>638</v>
      </c>
      <c r="R122" t="str">
        <f>IF(AND(O122&lt;&gt;"",NOT(ISERROR(O122))),O122,IF(AND(P122&lt;&gt;"",ISNUMBER(P122),P122&gt;0,NOT(ISNA(P122))),VLOOKUP(P122,'ESO zones'!$A$5:$D$10003,4,FALSE),IF(AND(K122&lt;&gt;"",K122&gt;0,NOT(ISERROR(K122))),VLOOKUP(K122,'ESO wayshrines'!$K$3:$N$9972,4,FALSE),"")))</f>
        <v>Aetherian Archive</v>
      </c>
      <c r="T122" s="16" t="str">
        <f>IF(AND(S122&lt;&gt;"",NOT(ISERROR(S122))),S122,VLOOKUP(A122,'ESO Set&amp;DLCs'!$A$3:$D$99998,4,FALSE))</f>
        <v>DLC_BASE_GAME</v>
      </c>
      <c r="U122" s="3" t="str">
        <f>IF(T122&lt;&gt;"",VLOOKUP(T122,ConstDLCIds!$B$4:$C$1000,2,FALSE),"")</f>
        <v>Included in base game</v>
      </c>
      <c r="V122" s="4" t="s">
        <v>272</v>
      </c>
      <c r="W122" s="63" t="s">
        <v>670</v>
      </c>
      <c r="X122" s="63" t="s">
        <v>671</v>
      </c>
      <c r="Y122" s="5">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zones'!$A$5:$D$10003,4,FALSE),"")</f>
        <v>Aetherian Archive</v>
      </c>
      <c r="AB122" s="4" t="s">
        <v>272</v>
      </c>
      <c r="AE122" s="29">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zones'!$A$5:$D$10003,4,FALSE),"")</f>
        <v>Aetherian Archive</v>
      </c>
      <c r="AH122" s="4" t="s">
        <v>272</v>
      </c>
      <c r="AI122" s="29"/>
      <c r="AJ122" s="29"/>
      <c r="AK122" s="3" t="str">
        <f>IF(AND(G122&lt;&gt;"LIBSETS_SETTYPE_BATTLEGROUND",G122&lt;&gt;"LIBSETS_SETTYPE_SPECIAL"),IF(AL122&lt;&gt;"",VLOOKUP(AL122,'ESO zones'!$D$5:$H$4957,5,FALSE),""),"")</f>
        <v/>
      </c>
      <c r="AN122" s="63"/>
      <c r="AO122" s="63"/>
      <c r="AP122" s="3" t="str">
        <f>IF(AND(G122&lt;&gt;"LIBSETS_SETTYPE_BATTLEGROUND",G122&lt;&gt;"LIBSETS_SETTYPE_SPECIAL"),IF(AQ122&lt;&gt;"",VLOOKUP(AQ122,'ESO zones'!$D$5:$H$4957,5,FALSE),""),"")</f>
        <v/>
      </c>
      <c r="AS122" s="29"/>
      <c r="AT122" s="29"/>
      <c r="AU122" s="3" t="str">
        <f>IF(AND(G122&lt;&gt;"LIBSETS_SETTYPE_BATTLEGROUND",G122&lt;&gt;"LIBSETS_SETTYPE_SPECIAL"),IF(AV122&lt;&gt;"",VLOOKUP(AV122,'ESO zones'!$D$5:$H$4957,5,FALSE),""),"")</f>
        <v/>
      </c>
      <c r="AX122" s="29"/>
      <c r="AY122" s="29"/>
      <c r="AZ122" s="49" t="s">
        <v>403</v>
      </c>
      <c r="BA122" s="49"/>
      <c r="BB122" s="49"/>
      <c r="BC122" s="49"/>
      <c r="BD122" s="49"/>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2">
        <v>142</v>
      </c>
      <c r="B123" t="s">
        <v>678</v>
      </c>
      <c r="C123" t="s">
        <v>679</v>
      </c>
      <c r="D123" s="3">
        <f t="shared" si="6"/>
        <v>142</v>
      </c>
      <c r="G123" s="9" t="s">
        <v>178</v>
      </c>
      <c r="I123" t="s">
        <v>401</v>
      </c>
      <c r="J123" t="s">
        <v>401</v>
      </c>
      <c r="K123">
        <v>231</v>
      </c>
      <c r="L123">
        <v>231</v>
      </c>
      <c r="M123">
        <v>231</v>
      </c>
      <c r="O123" s="5" t="s">
        <v>669</v>
      </c>
      <c r="Q123" s="3">
        <f>IF(AND(P123&lt;&gt;"",ISNUMBER(P123),NOT(ISNA(P123))),P123,IF(R123&lt;&gt;"",VLOOKUP(R123,'ESO zones'!$D$5:$H$10005,5,FALSE),""))</f>
        <v>638</v>
      </c>
      <c r="R123" t="str">
        <f>IF(AND(O123&lt;&gt;"",NOT(ISERROR(O123))),O123,IF(AND(P123&lt;&gt;"",ISNUMBER(P123),P123&gt;0,NOT(ISNA(P123))),VLOOKUP(P123,'ESO zones'!$A$5:$D$10003,4,FALSE),IF(AND(K123&lt;&gt;"",K123&gt;0,NOT(ISERROR(K123))),VLOOKUP(K123,'ESO wayshrines'!$K$3:$N$9972,4,FALSE),"")))</f>
        <v>Aetherian Archive</v>
      </c>
      <c r="T123" s="16" t="str">
        <f>IF(AND(S123&lt;&gt;"",NOT(ISERROR(S123))),S123,VLOOKUP(A123,'ESO Set&amp;DLCs'!$A$3:$D$99998,4,FALSE))</f>
        <v>DLC_BASE_GAME</v>
      </c>
      <c r="U123" s="3" t="str">
        <f>IF(T123&lt;&gt;"",VLOOKUP(T123,ConstDLCIds!$B$4:$C$1000,2,FALSE),"")</f>
        <v>Included in base game</v>
      </c>
      <c r="V123" s="4" t="s">
        <v>272</v>
      </c>
      <c r="W123" s="63" t="s">
        <v>670</v>
      </c>
      <c r="X123" s="63" t="s">
        <v>671</v>
      </c>
      <c r="Y123" s="5">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zones'!$A$5:$D$10003,4,FALSE),"")</f>
        <v>Aetherian Archive</v>
      </c>
      <c r="AB123" s="4" t="s">
        <v>272</v>
      </c>
      <c r="AE123" s="29">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zones'!$A$5:$D$10003,4,FALSE),"")</f>
        <v>Aetherian Archive</v>
      </c>
      <c r="AH123" s="4" t="s">
        <v>272</v>
      </c>
      <c r="AI123" s="29"/>
      <c r="AJ123" s="29"/>
      <c r="AK123" s="3" t="str">
        <f>IF(AND(G123&lt;&gt;"LIBSETS_SETTYPE_BATTLEGROUND",G123&lt;&gt;"LIBSETS_SETTYPE_SPECIAL"),IF(AL123&lt;&gt;"",VLOOKUP(AL123,'ESO zones'!$D$5:$H$4957,5,FALSE),""),"")</f>
        <v/>
      </c>
      <c r="AN123" s="63"/>
      <c r="AO123" s="63"/>
      <c r="AP123" s="3" t="str">
        <f>IF(AND(G123&lt;&gt;"LIBSETS_SETTYPE_BATTLEGROUND",G123&lt;&gt;"LIBSETS_SETTYPE_SPECIAL"),IF(AQ123&lt;&gt;"",VLOOKUP(AQ123,'ESO zones'!$D$5:$H$4957,5,FALSE),""),"")</f>
        <v/>
      </c>
      <c r="AS123" s="29"/>
      <c r="AT123" s="29"/>
      <c r="AU123" s="3" t="str">
        <f>IF(AND(G123&lt;&gt;"LIBSETS_SETTYPE_BATTLEGROUND",G123&lt;&gt;"LIBSETS_SETTYPE_SPECIAL"),IF(AV123&lt;&gt;"",VLOOKUP(AV123,'ESO zones'!$D$5:$H$4957,5,FALSE),""),"")</f>
        <v/>
      </c>
      <c r="AX123" s="29"/>
      <c r="AY123" s="29"/>
      <c r="AZ123" s="49" t="s">
        <v>403</v>
      </c>
      <c r="BA123" s="49"/>
      <c r="BB123" s="49"/>
      <c r="BC123" s="49"/>
      <c r="BD123" s="49"/>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2">
        <v>143</v>
      </c>
      <c r="B124" t="s">
        <v>680</v>
      </c>
      <c r="C124" t="s">
        <v>681</v>
      </c>
      <c r="D124" s="3">
        <f t="shared" si="6"/>
        <v>143</v>
      </c>
      <c r="G124" s="9" t="s">
        <v>178</v>
      </c>
      <c r="I124" t="s">
        <v>401</v>
      </c>
      <c r="J124" t="s">
        <v>401</v>
      </c>
      <c r="K124">
        <v>230</v>
      </c>
      <c r="L124">
        <v>230</v>
      </c>
      <c r="M124">
        <v>230</v>
      </c>
      <c r="O124" s="5" t="s">
        <v>666</v>
      </c>
      <c r="Q124" s="3">
        <f>IF(AND(P124&lt;&gt;"",ISNUMBER(P124),NOT(ISNA(P124))),P124,IF(R124&lt;&gt;"",VLOOKUP(R124,'ESO zones'!$D$5:$H$10005,5,FALSE),""))</f>
        <v>636</v>
      </c>
      <c r="R124" t="str">
        <f>IF(AND(O124&lt;&gt;"",NOT(ISERROR(O124))),O124,IF(AND(P124&lt;&gt;"",ISNUMBER(P124),P124&gt;0,NOT(ISNA(P124))),VLOOKUP(P124,'ESO zones'!$A$5:$D$10003,4,FALSE),IF(AND(K124&lt;&gt;"",K124&gt;0,NOT(ISERROR(K124))),VLOOKUP(K124,'ESO wayshrines'!$K$3:$N$9972,4,FALSE),"")))</f>
        <v>Hel Ra Citadel</v>
      </c>
      <c r="T124" s="16" t="str">
        <f>IF(AND(S124&lt;&gt;"",NOT(ISERROR(S124))),S124,VLOOKUP(A124,'ESO Set&amp;DLCs'!$A$3:$D$99998,4,FALSE))</f>
        <v>DLC_BASE_GAME</v>
      </c>
      <c r="U124" s="3" t="str">
        <f>IF(T124&lt;&gt;"",VLOOKUP(T124,ConstDLCIds!$B$4:$C$1000,2,FALSE),"")</f>
        <v>Included in base game</v>
      </c>
      <c r="V124" s="4" t="s">
        <v>272</v>
      </c>
      <c r="Y124" s="5">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zones'!$A$5:$D$10003,4,FALSE),"")</f>
        <v>Hel Ra Citadel</v>
      </c>
      <c r="AB124" s="4" t="s">
        <v>272</v>
      </c>
      <c r="AE124" s="29">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zones'!$A$5:$D$10003,4,FALSE),"")</f>
        <v>Hel Ra Citadel</v>
      </c>
      <c r="AH124" s="4" t="s">
        <v>272</v>
      </c>
      <c r="AI124" s="29"/>
      <c r="AJ124" s="29"/>
      <c r="AK124" s="3" t="str">
        <f>IF(AND(G124&lt;&gt;"LIBSETS_SETTYPE_BATTLEGROUND",G124&lt;&gt;"LIBSETS_SETTYPE_SPECIAL"),IF(AL124&lt;&gt;"",VLOOKUP(AL124,'ESO zones'!$D$5:$H$4957,5,FALSE),""),"")</f>
        <v/>
      </c>
      <c r="AN124" s="29"/>
      <c r="AO124" s="29"/>
      <c r="AP124" s="3" t="str">
        <f>IF(AND(G124&lt;&gt;"LIBSETS_SETTYPE_BATTLEGROUND",G124&lt;&gt;"LIBSETS_SETTYPE_SPECIAL"),IF(AQ124&lt;&gt;"",VLOOKUP(AQ124,'ESO zones'!$D$5:$H$4957,5,FALSE),""),"")</f>
        <v/>
      </c>
      <c r="AS124" s="29"/>
      <c r="AT124" s="29"/>
      <c r="AU124" s="3" t="str">
        <f>IF(AND(G124&lt;&gt;"LIBSETS_SETTYPE_BATTLEGROUND",G124&lt;&gt;"LIBSETS_SETTYPE_SPECIAL"),IF(AV124&lt;&gt;"",VLOOKUP(AV124,'ESO zones'!$D$5:$H$4957,5,FALSE),""),"")</f>
        <v/>
      </c>
      <c r="AX124" s="29"/>
      <c r="AY124" s="29"/>
      <c r="AZ124" s="49" t="s">
        <v>403</v>
      </c>
      <c r="BA124" s="49"/>
      <c r="BB124" s="49"/>
      <c r="BC124" s="49"/>
      <c r="BD124" s="49"/>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2">
        <v>144</v>
      </c>
      <c r="B125" t="s">
        <v>682</v>
      </c>
      <c r="C125" t="s">
        <v>683</v>
      </c>
      <c r="D125" s="3">
        <f t="shared" si="6"/>
        <v>144</v>
      </c>
      <c r="G125" s="9" t="s">
        <v>178</v>
      </c>
      <c r="I125" t="s">
        <v>401</v>
      </c>
      <c r="J125" t="s">
        <v>401</v>
      </c>
      <c r="K125">
        <v>232</v>
      </c>
      <c r="L125">
        <v>232</v>
      </c>
      <c r="M125">
        <v>232</v>
      </c>
      <c r="O125" s="5" t="s">
        <v>663</v>
      </c>
      <c r="Q125" s="3">
        <f>IF(AND(P125&lt;&gt;"",ISNUMBER(P125),NOT(ISNA(P125))),P125,IF(R125&lt;&gt;"",VLOOKUP(R125,'ESO zones'!$D$5:$H$10005,5,FALSE),""))</f>
        <v>639</v>
      </c>
      <c r="R125" t="str">
        <f>IF(AND(O125&lt;&gt;"",NOT(ISERROR(O125))),O125,IF(AND(P125&lt;&gt;"",ISNUMBER(P125),P125&gt;0,NOT(ISNA(P125))),VLOOKUP(P125,'ESO zones'!$A$5:$D$10003,4,FALSE),IF(AND(K125&lt;&gt;"",K125&gt;0,NOT(ISERROR(K125))),VLOOKUP(K125,'ESO wayshrines'!$K$3:$N$9972,4,FALSE),"")))</f>
        <v>Sanctum Ophidia</v>
      </c>
      <c r="T125" s="16" t="str">
        <f>IF(AND(S125&lt;&gt;"",NOT(ISERROR(S125))),S125,VLOOKUP(A125,'ESO Set&amp;DLCs'!$A$3:$D$99998,4,FALSE))</f>
        <v>DLC_BASE_GAME</v>
      </c>
      <c r="U125" s="3" t="str">
        <f>IF(T125&lt;&gt;"",VLOOKUP(T125,ConstDLCIds!$B$4:$C$1000,2,FALSE),"")</f>
        <v>Included in base game</v>
      </c>
      <c r="V125" s="4" t="s">
        <v>272</v>
      </c>
      <c r="Y125" s="5">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zones'!$A$5:$D$10003,4,FALSE),"")</f>
        <v>Sanctum Ophidia</v>
      </c>
      <c r="AB125" s="4" t="s">
        <v>272</v>
      </c>
      <c r="AE125" s="5">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zones'!$A$5:$D$10003,4,FALSE),"")</f>
        <v>Sanctum Ophidia</v>
      </c>
      <c r="AH125" s="4" t="s">
        <v>272</v>
      </c>
      <c r="AI125" s="29"/>
      <c r="AJ125" s="29"/>
      <c r="AK125" s="3" t="str">
        <f>IF(AND(G125&lt;&gt;"LIBSETS_SETTYPE_BATTLEGROUND",G125&lt;&gt;"LIBSETS_SETTYPE_SPECIAL"),IF(AL125&lt;&gt;"",VLOOKUP(AL125,'ESO zones'!$D$5:$H$4957,5,FALSE),""),"")</f>
        <v/>
      </c>
      <c r="AN125" s="29"/>
      <c r="AO125" s="29"/>
      <c r="AP125" s="3" t="str">
        <f>IF(AND(G125&lt;&gt;"LIBSETS_SETTYPE_BATTLEGROUND",G125&lt;&gt;"LIBSETS_SETTYPE_SPECIAL"),IF(AQ125&lt;&gt;"",VLOOKUP(AQ125,'ESO zones'!$D$5:$H$4957,5,FALSE),""),"")</f>
        <v/>
      </c>
      <c r="AS125" s="29"/>
      <c r="AT125" s="29"/>
      <c r="AU125" s="3" t="str">
        <f>IF(AND(G125&lt;&gt;"LIBSETS_SETTYPE_BATTLEGROUND",G125&lt;&gt;"LIBSETS_SETTYPE_SPECIAL"),IF(AV125&lt;&gt;"",VLOOKUP(AV125,'ESO zones'!$D$5:$H$4957,5,FALSE),""),"")</f>
        <v/>
      </c>
      <c r="AX125" s="29"/>
      <c r="AY125" s="29"/>
      <c r="AZ125" s="49" t="s">
        <v>403</v>
      </c>
      <c r="BA125" s="49"/>
      <c r="BB125" s="49"/>
      <c r="BC125" s="49"/>
      <c r="BD125" s="49"/>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2">
        <v>145</v>
      </c>
      <c r="B126" t="s">
        <v>684</v>
      </c>
      <c r="C126" t="s">
        <v>685</v>
      </c>
      <c r="D126" s="3">
        <f t="shared" si="6"/>
        <v>145</v>
      </c>
      <c r="G126" s="9" t="s">
        <v>174</v>
      </c>
      <c r="I126" t="s">
        <v>401</v>
      </c>
      <c r="J126" t="s">
        <v>401</v>
      </c>
      <c r="K126">
        <v>220</v>
      </c>
      <c r="L126">
        <v>220</v>
      </c>
      <c r="M126">
        <v>220</v>
      </c>
      <c r="O126" s="5" t="s">
        <v>686</v>
      </c>
      <c r="Q126" s="3">
        <f>IF(AND(P126&lt;&gt;"",ISNUMBER(P126),NOT(ISNA(P126))),P126,IF(R126&lt;&gt;"",VLOOKUP(R126,'ESO zones'!$D$5:$H$10005,5,FALSE),""))</f>
        <v>888</v>
      </c>
      <c r="R126" t="str">
        <f>IF(AND(O126&lt;&gt;"",NOT(ISERROR(O126))),O126,IF(AND(P126&lt;&gt;"",ISNUMBER(P126),P126&gt;0,NOT(ISNA(P126))),VLOOKUP(P126,'ESO zones'!$A$5:$D$10003,4,FALSE),IF(AND(K126&lt;&gt;"",K126&gt;0,NOT(ISERROR(K126))),VLOOKUP(K126,'ESO wayshrines'!$K$3:$N$9972,4,FALSE),"")))</f>
        <v>Craglorn</v>
      </c>
      <c r="T126" s="16" t="str">
        <f>IF(AND(S126&lt;&gt;"",NOT(ISERROR(S126))),S126,VLOOKUP(A126,'ESO Set&amp;DLCs'!$A$3:$D$99998,4,FALSE))</f>
        <v>DLC_BASE_GAME</v>
      </c>
      <c r="U126" s="3" t="str">
        <f>IF(T126&lt;&gt;"",VLOOKUP(T126,ConstDLCIds!$B$4:$C$1000,2,FALSE),"")</f>
        <v>Included in base game</v>
      </c>
      <c r="V126" s="4" t="s">
        <v>215</v>
      </c>
      <c r="Y126" s="5"/>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zones'!$A$5:$D$10003,4,FALSE),"")</f>
        <v>Craglorn</v>
      </c>
      <c r="AB126" s="4"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zones'!$A$5:$D$10003,4,FALSE),"")</f>
        <v>Craglorn</v>
      </c>
      <c r="AH126" s="4" t="s">
        <v>224</v>
      </c>
      <c r="AK126" s="3">
        <f>IF(AND(G126&lt;&gt;"LIBSETS_SETTYPE_BATTLEGROUND",G126&lt;&gt;"LIBSETS_SETTYPE_SPECIAL"),IF(AL126&lt;&gt;"",VLOOKUP(AL126,'ESO zones'!$D$5:$H$4957,5,FALSE),""),"")</f>
        <v>888</v>
      </c>
      <c r="AL126" t="s">
        <v>686</v>
      </c>
      <c r="AM126" s="4" t="s">
        <v>269</v>
      </c>
      <c r="AP126" s="3" t="str">
        <f>IF(AND(G126&lt;&gt;"LIBSETS_SETTYPE_BATTLEGROUND",G126&lt;&gt;"LIBSETS_SETTYPE_SPECIAL"),IF(AQ126&lt;&gt;"",VLOOKUP(AQ126,'ESO zones'!$D$5:$H$4957,5,FALSE),""),"")</f>
        <v/>
      </c>
      <c r="AU126" s="3" t="str">
        <f>IF(AND(G126&lt;&gt;"LIBSETS_SETTYPE_BATTLEGROUND",G126&lt;&gt;"LIBSETS_SETTYPE_SPECIAL"),IF(AV126&lt;&gt;"",VLOOKUP(AV126,'ESO zones'!$D$5:$H$4957,5,FALSE),""),"")</f>
        <v/>
      </c>
      <c r="AZ126" s="49" t="s">
        <v>403</v>
      </c>
      <c r="BA126" s="49"/>
      <c r="BB126" s="49"/>
      <c r="BC126" s="49"/>
      <c r="BD126" s="49"/>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2">
        <v>146</v>
      </c>
      <c r="B127" t="s">
        <v>687</v>
      </c>
      <c r="C127" t="s">
        <v>688</v>
      </c>
      <c r="D127" s="3">
        <f t="shared" si="6"/>
        <v>146</v>
      </c>
      <c r="G127" s="9" t="s">
        <v>174</v>
      </c>
      <c r="I127" t="s">
        <v>401</v>
      </c>
      <c r="J127" t="s">
        <v>401</v>
      </c>
      <c r="K127">
        <v>220</v>
      </c>
      <c r="L127">
        <v>220</v>
      </c>
      <c r="M127">
        <v>220</v>
      </c>
      <c r="O127" s="5" t="s">
        <v>686</v>
      </c>
      <c r="Q127" s="3">
        <f>IF(AND(P127&lt;&gt;"",ISNUMBER(P127),NOT(ISNA(P127))),P127,IF(R127&lt;&gt;"",VLOOKUP(R127,'ESO zones'!$D$5:$H$10005,5,FALSE),""))</f>
        <v>888</v>
      </c>
      <c r="R127" t="str">
        <f>IF(AND(O127&lt;&gt;"",NOT(ISERROR(O127))),O127,IF(AND(P127&lt;&gt;"",ISNUMBER(P127),P127&gt;0,NOT(ISNA(P127))),VLOOKUP(P127,'ESO zones'!$A$5:$D$10003,4,FALSE),IF(AND(K127&lt;&gt;"",K127&gt;0,NOT(ISERROR(K127))),VLOOKUP(K127,'ESO wayshrines'!$K$3:$N$9972,4,FALSE),"")))</f>
        <v>Craglorn</v>
      </c>
      <c r="T127" s="16" t="str">
        <f>IF(AND(S127&lt;&gt;"",NOT(ISERROR(S127))),S127,VLOOKUP(A127,'ESO Set&amp;DLCs'!$A$3:$D$99998,4,FALSE))</f>
        <v>DLC_BASE_GAME</v>
      </c>
      <c r="U127" s="3" t="str">
        <f>IF(T127&lt;&gt;"",VLOOKUP(T127,ConstDLCIds!$B$4:$C$1000,2,FALSE),"")</f>
        <v>Included in base game</v>
      </c>
      <c r="V127" s="4" t="s">
        <v>215</v>
      </c>
      <c r="Y127" s="5"/>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zones'!$A$5:$D$10003,4,FALSE),"")</f>
        <v>Craglorn</v>
      </c>
      <c r="AB127" s="4"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zones'!$A$5:$D$10003,4,FALSE),"")</f>
        <v>Craglorn</v>
      </c>
      <c r="AH127" s="4" t="s">
        <v>224</v>
      </c>
      <c r="AK127" s="3">
        <f>IF(AND(G127&lt;&gt;"LIBSETS_SETTYPE_BATTLEGROUND",G127&lt;&gt;"LIBSETS_SETTYPE_SPECIAL"),IF(AL127&lt;&gt;"",VLOOKUP(AL127,'ESO zones'!$D$5:$H$4957,5,FALSE),""),"")</f>
        <v>888</v>
      </c>
      <c r="AL127" t="s">
        <v>686</v>
      </c>
      <c r="AM127" s="4" t="s">
        <v>269</v>
      </c>
      <c r="AP127" s="3" t="str">
        <f>IF(AND(G127&lt;&gt;"LIBSETS_SETTYPE_BATTLEGROUND",G127&lt;&gt;"LIBSETS_SETTYPE_SPECIAL"),IF(AQ127&lt;&gt;"",VLOOKUP(AQ127,'ESO zones'!$D$5:$H$4957,5,FALSE),""),"")</f>
        <v/>
      </c>
      <c r="AU127" s="3" t="str">
        <f>IF(AND(G127&lt;&gt;"LIBSETS_SETTYPE_BATTLEGROUND",G127&lt;&gt;"LIBSETS_SETTYPE_SPECIAL"),IF(AV127&lt;&gt;"",VLOOKUP(AV127,'ESO zones'!$D$5:$H$4957,5,FALSE),""),"")</f>
        <v/>
      </c>
      <c r="AZ127" s="49" t="s">
        <v>410</v>
      </c>
      <c r="BA127" s="49"/>
      <c r="BB127" s="49"/>
      <c r="BC127" s="49"/>
      <c r="BD127" s="49"/>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2">
        <v>147</v>
      </c>
      <c r="B128" t="s">
        <v>689</v>
      </c>
      <c r="C128" t="s">
        <v>690</v>
      </c>
      <c r="D128" s="3">
        <f t="shared" si="6"/>
        <v>147</v>
      </c>
      <c r="G128" s="9" t="s">
        <v>174</v>
      </c>
      <c r="I128" t="s">
        <v>401</v>
      </c>
      <c r="J128" t="s">
        <v>401</v>
      </c>
      <c r="K128">
        <v>220</v>
      </c>
      <c r="L128">
        <v>220</v>
      </c>
      <c r="M128">
        <v>220</v>
      </c>
      <c r="O128" s="5" t="s">
        <v>686</v>
      </c>
      <c r="Q128" s="3">
        <f>IF(AND(P128&lt;&gt;"",ISNUMBER(P128),NOT(ISNA(P128))),P128,IF(R128&lt;&gt;"",VLOOKUP(R128,'ESO zones'!$D$5:$H$10005,5,FALSE),""))</f>
        <v>888</v>
      </c>
      <c r="R128" t="str">
        <f>IF(AND(O128&lt;&gt;"",NOT(ISERROR(O128))),O128,IF(AND(P128&lt;&gt;"",ISNUMBER(P128),P128&gt;0,NOT(ISNA(P128))),VLOOKUP(P128,'ESO zones'!$A$5:$D$10003,4,FALSE),IF(AND(K128&lt;&gt;"",K128&gt;0,NOT(ISERROR(K128))),VLOOKUP(K128,'ESO wayshrines'!$K$3:$N$9972,4,FALSE),"")))</f>
        <v>Craglorn</v>
      </c>
      <c r="T128" s="16" t="str">
        <f>IF(AND(S128&lt;&gt;"",NOT(ISERROR(S128))),S128,VLOOKUP(A128,'ESO Set&amp;DLCs'!$A$3:$D$99998,4,FALSE))</f>
        <v>DLC_BASE_GAME</v>
      </c>
      <c r="U128" s="3" t="str">
        <f>IF(T128&lt;&gt;"",VLOOKUP(T128,ConstDLCIds!$B$4:$C$1000,2,FALSE),"")</f>
        <v>Included in base game</v>
      </c>
      <c r="V128" s="4" t="s">
        <v>215</v>
      </c>
      <c r="Y128" s="5"/>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zones'!$A$5:$D$10003,4,FALSE),"")</f>
        <v>Craglorn</v>
      </c>
      <c r="AB128" s="4"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zones'!$A$5:$D$10003,4,FALSE),"")</f>
        <v>Craglorn</v>
      </c>
      <c r="AH128" s="4" t="s">
        <v>224</v>
      </c>
      <c r="AK128" s="3">
        <f>IF(AND(G128&lt;&gt;"LIBSETS_SETTYPE_BATTLEGROUND",G128&lt;&gt;"LIBSETS_SETTYPE_SPECIAL"),IF(AL128&lt;&gt;"",VLOOKUP(AL128,'ESO zones'!$D$5:$H$4957,5,FALSE),""),"")</f>
        <v>888</v>
      </c>
      <c r="AL128" t="s">
        <v>686</v>
      </c>
      <c r="AM128" s="4" t="s">
        <v>269</v>
      </c>
      <c r="AP128" s="3" t="str">
        <f>IF(AND(G128&lt;&gt;"LIBSETS_SETTYPE_BATTLEGROUND",G128&lt;&gt;"LIBSETS_SETTYPE_SPECIAL"),IF(AQ128&lt;&gt;"",VLOOKUP(AQ128,'ESO zones'!$D$5:$H$4957,5,FALSE),""),"")</f>
        <v/>
      </c>
      <c r="AU128" s="3" t="str">
        <f>IF(AND(G128&lt;&gt;"LIBSETS_SETTYPE_BATTLEGROUND",G128&lt;&gt;"LIBSETS_SETTYPE_SPECIAL"),IF(AV128&lt;&gt;"",VLOOKUP(AV128,'ESO zones'!$D$5:$H$4957,5,FALSE),""),"")</f>
        <v/>
      </c>
      <c r="AZ128" s="49" t="s">
        <v>403</v>
      </c>
      <c r="BA128" s="49"/>
      <c r="BB128" s="49"/>
      <c r="BC128" s="49"/>
      <c r="BD128" s="49"/>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1">
        <v>148</v>
      </c>
      <c r="B129" t="s">
        <v>691</v>
      </c>
      <c r="C129" t="s">
        <v>692</v>
      </c>
      <c r="D129" s="3">
        <f t="shared" si="6"/>
        <v>148</v>
      </c>
      <c r="G129" s="9" t="s">
        <v>163</v>
      </c>
      <c r="I129" t="s">
        <v>401</v>
      </c>
      <c r="J129" t="s">
        <v>401</v>
      </c>
      <c r="K129">
        <v>217</v>
      </c>
      <c r="L129">
        <v>217</v>
      </c>
      <c r="M129">
        <v>217</v>
      </c>
      <c r="N129">
        <v>8</v>
      </c>
      <c r="Q129" s="3">
        <f>IF(AND(P129&lt;&gt;"",ISNUMBER(P129),NOT(ISNA(P129))),P129,IF(R129&lt;&gt;"",VLOOKUP(R129,'ESO zones'!$D$5:$H$10005,5,FALSE),""))</f>
        <v>888</v>
      </c>
      <c r="R129" t="str">
        <f>IF(AND(O129&lt;&gt;"",NOT(ISERROR(O129))),O129,IF(AND(P129&lt;&gt;"",ISNUMBER(P129),P129&gt;0,NOT(ISNA(P129))),VLOOKUP(P129,'ESO zones'!$A$5:$D$10003,4,FALSE),IF(AND(K129&lt;&gt;"",K129&gt;0,NOT(ISERROR(K129))),VLOOKUP(K129,'ESO wayshrines'!$K$3:$N$9972,4,FALSE),"")))</f>
        <v>Craglorn</v>
      </c>
      <c r="T129" s="16" t="str">
        <f>IF(AND(S129&lt;&gt;"",NOT(ISERROR(S129))),S129,VLOOKUP(A129,'ESO Set&amp;DLCs'!$A$3:$D$99998,4,FALSE))</f>
        <v>DLC_BASE_GAME</v>
      </c>
      <c r="U129" s="3" t="str">
        <f>IF(T129&lt;&gt;"",VLOOKUP(T129,ConstDLCIds!$B$4:$C$1000,2,FALSE),"")</f>
        <v>Included in base game</v>
      </c>
      <c r="V129" s="4" t="s">
        <v>281</v>
      </c>
      <c r="Y129" s="5"/>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zones'!$A$5:$D$10003,4,FALSE),"")</f>
        <v>Craglorn</v>
      </c>
      <c r="AB129" s="4"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zones'!$A$5:$D$10003,4,FALSE),"")</f>
        <v>Craglorn</v>
      </c>
      <c r="AK129" s="3" t="str">
        <f>IF(AND(G129&lt;&gt;"LIBSETS_SETTYPE_BATTLEGROUND",G129&lt;&gt;"LIBSETS_SETTYPE_SPECIAL"),IF(AL129&lt;&gt;"",VLOOKUP(AL129,'ESO zones'!$D$5:$H$4957,5,FALSE),""),"")</f>
        <v/>
      </c>
      <c r="AP129" s="3" t="str">
        <f>IF(AND(G129&lt;&gt;"LIBSETS_SETTYPE_BATTLEGROUND",G129&lt;&gt;"LIBSETS_SETTYPE_SPECIAL"),IF(AQ129&lt;&gt;"",VLOOKUP(AQ129,'ESO zones'!$D$5:$H$4957,5,FALSE),""),"")</f>
        <v/>
      </c>
      <c r="AU129" s="3" t="str">
        <f>IF(AND(G129&lt;&gt;"LIBSETS_SETTYPE_BATTLEGROUND",G129&lt;&gt;"LIBSETS_SETTYPE_SPECIAL"),IF(AV129&lt;&gt;"",VLOOKUP(AV129,'ESO zones'!$D$5:$H$4957,5,FALSE),""),"")</f>
        <v/>
      </c>
      <c r="AZ129" s="49" t="s">
        <v>410</v>
      </c>
      <c r="BA129" s="49"/>
      <c r="BB129" s="49"/>
      <c r="BC129" s="49"/>
      <c r="BD129" s="49"/>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2">
        <v>155</v>
      </c>
      <c r="B130" t="s">
        <v>693</v>
      </c>
      <c r="C130" t="s">
        <v>694</v>
      </c>
      <c r="D130" s="3">
        <f t="shared" si="6"/>
        <v>155</v>
      </c>
      <c r="G130" s="9" t="s">
        <v>169</v>
      </c>
      <c r="I130" t="s">
        <v>401</v>
      </c>
      <c r="J130" t="s">
        <v>401</v>
      </c>
      <c r="K130">
        <v>191</v>
      </c>
      <c r="L130">
        <v>191</v>
      </c>
      <c r="M130">
        <v>191</v>
      </c>
      <c r="O130" s="5" t="s">
        <v>428</v>
      </c>
      <c r="Q130" s="3">
        <f>IF(AND(P130&lt;&gt;"",ISNUMBER(P130),NOT(ISNA(P130))),P130,IF(R130&lt;&gt;"",VLOOKUP(R130,'ESO zones'!$D$5:$H$10005,5,FALSE),""))</f>
        <v>126</v>
      </c>
      <c r="R130" t="str">
        <f>IF(AND(O130&lt;&gt;"",NOT(ISERROR(O130))),O130,IF(AND(P130&lt;&gt;"",ISNUMBER(P130),P130&gt;0,NOT(ISNA(P130))),VLOOKUP(P130,'ESO zones'!$A$5:$D$10003,4,FALSE),IF(AND(K130&lt;&gt;"",K130&gt;0,NOT(ISERROR(K130))),VLOOKUP(K130,'ESO wayshrines'!$K$3:$N$9972,4,FALSE),"")))</f>
        <v>Elden Hollow I</v>
      </c>
      <c r="T130" s="16" t="str">
        <f>IF(AND(S130&lt;&gt;"",NOT(ISERROR(S130))),S130,VLOOKUP(A130,'ESO Set&amp;DLCs'!$A$3:$D$99998,4,FALSE))</f>
        <v>DLC_BASE_GAME</v>
      </c>
      <c r="U130" s="3" t="str">
        <f>IF(T130&lt;&gt;"",VLOOKUP(T130,ConstDLCIds!$B$4:$C$1000,2,FALSE),"")</f>
        <v>Included in base game</v>
      </c>
      <c r="V130" s="4" t="s">
        <v>278</v>
      </c>
      <c r="Y130" s="5">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zones'!$A$5:$D$10003,4,FALSE),"")</f>
        <v>Elden Hollow II</v>
      </c>
      <c r="AB130" s="4"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zones'!$A$5:$D$10003,4,FALSE),"")</f>
        <v>Grahtwood</v>
      </c>
      <c r="AH130" s="57"/>
      <c r="AK130" s="3" t="str">
        <f>IF(AND(G130&lt;&gt;"LIBSETS_SETTYPE_BATTLEGROUND",G130&lt;&gt;"LIBSETS_SETTYPE_SPECIAL"),IF(AL130&lt;&gt;"",VLOOKUP(AL130,'ESO zones'!$D$5:$H$4957,5,FALSE),""),"")</f>
        <v/>
      </c>
      <c r="AP130" s="3" t="str">
        <f>IF(AND(G130&lt;&gt;"LIBSETS_SETTYPE_BATTLEGROUND",G130&lt;&gt;"LIBSETS_SETTYPE_SPECIAL"),IF(AQ130&lt;&gt;"",VLOOKUP(AQ130,'ESO zones'!$D$5:$H$4957,5,FALSE),""),"")</f>
        <v/>
      </c>
      <c r="AU130" s="3" t="str">
        <f>IF(AND(G130&lt;&gt;"LIBSETS_SETTYPE_BATTLEGROUND",G130&lt;&gt;"LIBSETS_SETTYPE_SPECIAL"),IF(AV130&lt;&gt;"",VLOOKUP(AV130,'ESO zones'!$D$5:$H$4957,5,FALSE),""),"")</f>
        <v/>
      </c>
      <c r="AZ130" s="49" t="s">
        <v>403</v>
      </c>
      <c r="BA130" s="49"/>
      <c r="BB130" s="49"/>
      <c r="BC130" s="49"/>
      <c r="BD130" s="49"/>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2">
        <v>156</v>
      </c>
      <c r="B131" t="s">
        <v>695</v>
      </c>
      <c r="C131" t="s">
        <v>696</v>
      </c>
      <c r="D131" s="3">
        <f t="shared" ref="D131:D194" si="12">A131</f>
        <v>156</v>
      </c>
      <c r="G131" s="9" t="s">
        <v>169</v>
      </c>
      <c r="I131" t="s">
        <v>401</v>
      </c>
      <c r="J131" t="s">
        <v>401</v>
      </c>
      <c r="K131">
        <v>192</v>
      </c>
      <c r="L131">
        <v>192</v>
      </c>
      <c r="M131">
        <v>192</v>
      </c>
      <c r="O131" s="5" t="s">
        <v>697</v>
      </c>
      <c r="Q131" s="3">
        <f>IF(AND(P131&lt;&gt;"",ISNUMBER(P131),NOT(ISNA(P131))),P131,IF(R131&lt;&gt;"",VLOOKUP(R131,'ESO zones'!$D$5:$H$10005,5,FALSE),""))</f>
        <v>148</v>
      </c>
      <c r="R131" t="str">
        <f>IF(AND(O131&lt;&gt;"",NOT(ISERROR(O131))),O131,IF(AND(P131&lt;&gt;"",ISNUMBER(P131),P131&gt;0,NOT(ISNA(P131))),VLOOKUP(P131,'ESO zones'!$A$5:$D$10003,4,FALSE),IF(AND(K131&lt;&gt;"",K131&gt;0,NOT(ISERROR(K131))),VLOOKUP(K131,'ESO wayshrines'!$K$3:$N$9972,4,FALSE),"")))</f>
        <v>Arx Corinium</v>
      </c>
      <c r="T131" s="16" t="str">
        <f>IF(AND(S131&lt;&gt;"",NOT(ISERROR(S131))),S131,VLOOKUP(A131,'ESO Set&amp;DLCs'!$A$3:$D$99998,4,FALSE))</f>
        <v>DLC_BASE_GAME</v>
      </c>
      <c r="U131" s="3" t="str">
        <f>IF(T131&lt;&gt;"",VLOOKUP(T131,ConstDLCIds!$B$4:$C$1000,2,FALSE),"")</f>
        <v>Included in base game</v>
      </c>
      <c r="V131" s="4" t="s">
        <v>278</v>
      </c>
      <c r="Y131" s="5"/>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zones'!$A$5:$D$10003,4,FALSE),"")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zones'!$A$5:$D$10003,4,FALSE),"")</f>
        <v>Shadowfen</v>
      </c>
      <c r="AK131" s="3" t="str">
        <f>IF(AND(G131&lt;&gt;"LIBSETS_SETTYPE_BATTLEGROUND",G131&lt;&gt;"LIBSETS_SETTYPE_SPECIAL"),IF(AL131&lt;&gt;"",VLOOKUP(AL131,'ESO zones'!$D$5:$H$4957,5,FALSE),""),"")</f>
        <v/>
      </c>
      <c r="AP131" s="3" t="str">
        <f>IF(AND(G131&lt;&gt;"LIBSETS_SETTYPE_BATTLEGROUND",G131&lt;&gt;"LIBSETS_SETTYPE_SPECIAL"),IF(AQ131&lt;&gt;"",VLOOKUP(AQ131,'ESO zones'!$D$5:$H$4957,5,FALSE),""),"")</f>
        <v/>
      </c>
      <c r="AU131" s="3" t="str">
        <f>IF(AND(G131&lt;&gt;"LIBSETS_SETTYPE_BATTLEGROUND",G131&lt;&gt;"LIBSETS_SETTYPE_SPECIAL"),IF(AV131&lt;&gt;"",VLOOKUP(AV131,'ESO zones'!$D$5:$H$4957,5,FALSE),""),"")</f>
        <v/>
      </c>
      <c r="AZ131" s="49" t="s">
        <v>403</v>
      </c>
      <c r="BA131" s="49"/>
      <c r="BB131" s="49"/>
      <c r="BC131" s="49"/>
      <c r="BD131" s="49"/>
      <c r="BE131" s="18"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8"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8" t="str">
        <f t="shared" ref="BG131:BG194" si="15">IF(A131&lt;&gt;"",IF(F131&lt;&gt;"Not in the game (anymore)",IF(A131&lt;&gt;"",", setType="&amp;G131,"")&amp;IF(G131="LIBSETS_SETTYPE_CLASS",", classId="&amp;BC131,"")&amp;IF(J131="true",", multiTrialSet=true",""),"")&amp;IF(AND(H131&lt;&gt;"",ISNUMBER(H131)),", undauntedChestId="&amp;H131,""),"")</f>
        <v>, setType=LIBSETS_SETTYPE_DUNGEON</v>
      </c>
      <c r="BH131" s="18" t="str">
        <f t="shared" ref="BH131:BH194" si="16">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8" t="str">
        <f t="shared" ref="BI131:BI194" si="17">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698</v>
      </c>
      <c r="C132" t="s">
        <v>699</v>
      </c>
      <c r="D132" s="3">
        <f t="shared" si="12"/>
        <v>157</v>
      </c>
      <c r="G132" s="9" t="s">
        <v>169</v>
      </c>
      <c r="I132" t="s">
        <v>401</v>
      </c>
      <c r="J132" t="s">
        <v>401</v>
      </c>
      <c r="K132">
        <v>186</v>
      </c>
      <c r="L132">
        <v>186</v>
      </c>
      <c r="M132">
        <v>186</v>
      </c>
      <c r="O132" s="5" t="s">
        <v>700</v>
      </c>
      <c r="Q132" s="3">
        <f>IF(AND(P132&lt;&gt;"",ISNUMBER(P132),NOT(ISNA(P132))),P132,IF(R132&lt;&gt;"",VLOOKUP(R132,'ESO zones'!$D$5:$H$10005,5,FALSE),""))</f>
        <v>38</v>
      </c>
      <c r="R132" t="str">
        <f>IF(AND(O132&lt;&gt;"",NOT(ISERROR(O132))),O132,IF(AND(P132&lt;&gt;"",ISNUMBER(P132),P132&gt;0,NOT(ISNA(P132))),VLOOKUP(P132,'ESO zones'!$A$5:$D$10003,4,FALSE),IF(AND(K132&lt;&gt;"",K132&gt;0,NOT(ISERROR(K132))),VLOOKUP(K132,'ESO wayshrines'!$K$3:$N$9972,4,FALSE),"")))</f>
        <v>Blackheart Haven</v>
      </c>
      <c r="T132" s="16" t="str">
        <f>IF(AND(S132&lt;&gt;"",NOT(ISERROR(S132))),S132,VLOOKUP(A132,'ESO Set&amp;DLCs'!$A$3:$D$99998,4,FALSE))</f>
        <v>DLC_BASE_GAME</v>
      </c>
      <c r="U132" s="3" t="str">
        <f>IF(T132&lt;&gt;"",VLOOKUP(T132,ConstDLCIds!$B$4:$C$1000,2,FALSE),"")</f>
        <v>Included in base game</v>
      </c>
      <c r="V132" s="4" t="s">
        <v>278</v>
      </c>
      <c r="Y132" s="5"/>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zones'!$A$5:$D$10003,4,FALSE),"")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zones'!$A$5:$D$10003,4,FALSE),"")</f>
        <v>Bangkorai</v>
      </c>
      <c r="AK132" s="3" t="str">
        <f>IF(AND(G132&lt;&gt;"LIBSETS_SETTYPE_BATTLEGROUND",G132&lt;&gt;"LIBSETS_SETTYPE_SPECIAL"),IF(AL132&lt;&gt;"",VLOOKUP(AL132,'ESO zones'!$D$5:$H$4957,5,FALSE),""),"")</f>
        <v/>
      </c>
      <c r="AP132" s="3" t="str">
        <f>IF(AND(G132&lt;&gt;"LIBSETS_SETTYPE_BATTLEGROUND",G132&lt;&gt;"LIBSETS_SETTYPE_SPECIAL"),IF(AQ132&lt;&gt;"",VLOOKUP(AQ132,'ESO zones'!$D$5:$H$4957,5,FALSE),""),"")</f>
        <v/>
      </c>
      <c r="AU132" s="3" t="str">
        <f>IF(AND(G132&lt;&gt;"LIBSETS_SETTYPE_BATTLEGROUND",G132&lt;&gt;"LIBSETS_SETTYPE_SPECIAL"),IF(AV132&lt;&gt;"",VLOOKUP(AV132,'ESO zones'!$D$5:$H$4957,5,FALSE),""),"")</f>
        <v/>
      </c>
      <c r="AZ132" s="49" t="s">
        <v>403</v>
      </c>
      <c r="BA132" s="49"/>
      <c r="BB132" s="49"/>
      <c r="BC132" s="49"/>
      <c r="BD132" s="49"/>
      <c r="BE132" s="18" t="str">
        <f t="shared" si="13"/>
        <v>[157] = {wayshrines={186,186,186,}, dlcId=DLC_BASE_GAME</v>
      </c>
      <c r="BF132" s="18" t="str">
        <f t="shared" si="14"/>
        <v>, zoneIds={38,92,92}, veteran=false</v>
      </c>
      <c r="BG132" s="18" t="str">
        <f t="shared" si="15"/>
        <v>, setType=LIBSETS_SETTYPE_DUNGEON</v>
      </c>
      <c r="BH132" s="18" t="str">
        <f t="shared" si="16"/>
        <v>, dropMechanic={LIBSETS_DROP_MECHANIC_GROUP_DUNGEON_BOSS}</v>
      </c>
      <c r="BI132" s="18" t="str">
        <f t="shared" si="17"/>
        <v>}, --Undaunted Unweaver / Unerschrockener Entflechter   [Blackheart Haven, Bangkorai, Bangkorai]</v>
      </c>
    </row>
    <row r="133" spans="1:61" x14ac:dyDescent="0.25">
      <c r="A133" s="12">
        <v>158</v>
      </c>
      <c r="B133" t="s">
        <v>701</v>
      </c>
      <c r="C133" t="s">
        <v>702</v>
      </c>
      <c r="D133" s="3">
        <f t="shared" si="12"/>
        <v>158</v>
      </c>
      <c r="G133" s="9" t="s">
        <v>169</v>
      </c>
      <c r="I133" t="s">
        <v>401</v>
      </c>
      <c r="J133" t="s">
        <v>401</v>
      </c>
      <c r="K133">
        <v>197</v>
      </c>
      <c r="L133">
        <v>197</v>
      </c>
      <c r="M133">
        <v>197</v>
      </c>
      <c r="O133" s="5" t="s">
        <v>703</v>
      </c>
      <c r="Q133" s="3">
        <f>IF(AND(P133&lt;&gt;"",ISNUMBER(P133),NOT(ISNA(P133))),P133,IF(R133&lt;&gt;"",VLOOKUP(R133,'ESO zones'!$D$5:$H$10005,5,FALSE),""))</f>
        <v>176</v>
      </c>
      <c r="R133" t="str">
        <f>IF(AND(O133&lt;&gt;"",NOT(ISERROR(O133))),O133,IF(AND(P133&lt;&gt;"",ISNUMBER(P133),P133&gt;0,NOT(ISNA(P133))),VLOOKUP(P133,'ESO zones'!$A$5:$D$10003,4,FALSE),IF(AND(K133&lt;&gt;"",K133&gt;0,NOT(ISERROR(K133))),VLOOKUP(K133,'ESO wayshrines'!$K$3:$N$9972,4,FALSE),"")))</f>
        <v>City of Ash I</v>
      </c>
      <c r="T133" s="16" t="str">
        <f>IF(AND(S133&lt;&gt;"",NOT(ISERROR(S133))),S133,VLOOKUP(A133,'ESO Set&amp;DLCs'!$A$3:$D$99998,4,FALSE))</f>
        <v>DLC_BASE_GAME</v>
      </c>
      <c r="U133" s="3" t="str">
        <f>IF(T133&lt;&gt;"",VLOOKUP(T133,ConstDLCIds!$B$4:$C$1000,2,FALSE),"")</f>
        <v>Included in base game</v>
      </c>
      <c r="V133" s="4" t="s">
        <v>278</v>
      </c>
      <c r="Y133" s="5">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zones'!$A$5:$D$10003,4,FALSE),"")</f>
        <v>City of Ash II</v>
      </c>
      <c r="AB133" s="4"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zones'!$A$5:$D$10003,4,FALSE),"")</f>
        <v>Greenshade</v>
      </c>
      <c r="AH133" s="57"/>
      <c r="AK133" s="3" t="str">
        <f>IF(AND(G133&lt;&gt;"LIBSETS_SETTYPE_BATTLEGROUND",G133&lt;&gt;"LIBSETS_SETTYPE_SPECIAL"),IF(AL133&lt;&gt;"",VLOOKUP(AL133,'ESO zones'!$D$5:$H$4957,5,FALSE),""),"")</f>
        <v/>
      </c>
      <c r="AP133" s="3" t="str">
        <f>IF(AND(G133&lt;&gt;"LIBSETS_SETTYPE_BATTLEGROUND",G133&lt;&gt;"LIBSETS_SETTYPE_SPECIAL"),IF(AQ133&lt;&gt;"",VLOOKUP(AQ133,'ESO zones'!$D$5:$H$4957,5,FALSE),""),"")</f>
        <v/>
      </c>
      <c r="AU133" s="3" t="str">
        <f>IF(AND(G133&lt;&gt;"LIBSETS_SETTYPE_BATTLEGROUND",G133&lt;&gt;"LIBSETS_SETTYPE_SPECIAL"),IF(AV133&lt;&gt;"",VLOOKUP(AV133,'ESO zones'!$D$5:$H$4957,5,FALSE),""),"")</f>
        <v/>
      </c>
      <c r="AZ133" s="49" t="s">
        <v>403</v>
      </c>
      <c r="BA133" s="49"/>
      <c r="BB133" s="49"/>
      <c r="BC133" s="49"/>
      <c r="BD133" s="49"/>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2">
        <v>159</v>
      </c>
      <c r="B134" t="s">
        <v>704</v>
      </c>
      <c r="C134" t="s">
        <v>705</v>
      </c>
      <c r="D134" s="3">
        <f t="shared" si="12"/>
        <v>159</v>
      </c>
      <c r="G134" s="9" t="s">
        <v>169</v>
      </c>
      <c r="I134" t="s">
        <v>401</v>
      </c>
      <c r="J134" t="s">
        <v>401</v>
      </c>
      <c r="K134">
        <v>197</v>
      </c>
      <c r="L134">
        <v>197</v>
      </c>
      <c r="M134">
        <v>197</v>
      </c>
      <c r="O134" s="5" t="s">
        <v>703</v>
      </c>
      <c r="Q134" s="3">
        <f>IF(AND(P134&lt;&gt;"",ISNUMBER(P134),NOT(ISNA(P134))),P134,IF(R134&lt;&gt;"",VLOOKUP(R134,'ESO zones'!$D$5:$H$10005,5,FALSE),""))</f>
        <v>176</v>
      </c>
      <c r="R134" t="str">
        <f>IF(AND(O134&lt;&gt;"",NOT(ISERROR(O134))),O134,IF(AND(P134&lt;&gt;"",ISNUMBER(P134),P134&gt;0,NOT(ISNA(P134))),VLOOKUP(P134,'ESO zones'!$A$5:$D$10003,4,FALSE),IF(AND(K134&lt;&gt;"",K134&gt;0,NOT(ISERROR(K134))),VLOOKUP(K134,'ESO wayshrines'!$K$3:$N$9972,4,FALSE),"")))</f>
        <v>City of Ash I</v>
      </c>
      <c r="T134" s="16" t="str">
        <f>IF(AND(S134&lt;&gt;"",NOT(ISERROR(S134))),S134,VLOOKUP(A134,'ESO Set&amp;DLCs'!$A$3:$D$99998,4,FALSE))</f>
        <v>DLC_BASE_GAME</v>
      </c>
      <c r="U134" s="3" t="str">
        <f>IF(T134&lt;&gt;"",VLOOKUP(T134,ConstDLCIds!$B$4:$C$1000,2,FALSE),"")</f>
        <v>Included in base game</v>
      </c>
      <c r="V134" s="4" t="s">
        <v>278</v>
      </c>
      <c r="Y134" s="5">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zones'!$A$5:$D$10003,4,FALSE),"")</f>
        <v>City of Ash II</v>
      </c>
      <c r="AB134" s="4"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zones'!$A$5:$D$10003,4,FALSE),"")</f>
        <v>Greenshade</v>
      </c>
      <c r="AH134" s="57"/>
      <c r="AK134" s="3" t="str">
        <f>IF(AND(G134&lt;&gt;"LIBSETS_SETTYPE_BATTLEGROUND",G134&lt;&gt;"LIBSETS_SETTYPE_SPECIAL"),IF(AL134&lt;&gt;"",VLOOKUP(AL134,'ESO zones'!$D$5:$H$4957,5,FALSE),""),"")</f>
        <v/>
      </c>
      <c r="AP134" s="3" t="str">
        <f>IF(AND(G134&lt;&gt;"LIBSETS_SETTYPE_BATTLEGROUND",G134&lt;&gt;"LIBSETS_SETTYPE_SPECIAL"),IF(AQ134&lt;&gt;"",VLOOKUP(AQ134,'ESO zones'!$D$5:$H$4957,5,FALSE),""),"")</f>
        <v/>
      </c>
      <c r="AU134" s="3" t="str">
        <f>IF(AND(G134&lt;&gt;"LIBSETS_SETTYPE_BATTLEGROUND",G134&lt;&gt;"LIBSETS_SETTYPE_SPECIAL"),IF(AV134&lt;&gt;"",VLOOKUP(AV134,'ESO zones'!$D$5:$H$4957,5,FALSE),""),"")</f>
        <v/>
      </c>
      <c r="AZ134" s="49" t="s">
        <v>403</v>
      </c>
      <c r="BA134" s="49"/>
      <c r="BB134" s="49"/>
      <c r="BC134" s="49"/>
      <c r="BD134" s="49"/>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2">
        <v>160</v>
      </c>
      <c r="B135" t="s">
        <v>706</v>
      </c>
      <c r="C135" t="s">
        <v>707</v>
      </c>
      <c r="D135" s="3">
        <f t="shared" si="12"/>
        <v>160</v>
      </c>
      <c r="G135" s="9" t="s">
        <v>169</v>
      </c>
      <c r="I135" t="s">
        <v>401</v>
      </c>
      <c r="J135" t="s">
        <v>401</v>
      </c>
      <c r="K135">
        <v>197</v>
      </c>
      <c r="L135">
        <v>197</v>
      </c>
      <c r="M135">
        <v>197</v>
      </c>
      <c r="O135" s="5" t="s">
        <v>703</v>
      </c>
      <c r="Q135" s="3">
        <f>IF(AND(P135&lt;&gt;"",ISNUMBER(P135),NOT(ISNA(P135))),P135,IF(R135&lt;&gt;"",VLOOKUP(R135,'ESO zones'!$D$5:$H$10005,5,FALSE),""))</f>
        <v>176</v>
      </c>
      <c r="R135" t="str">
        <f>IF(AND(O135&lt;&gt;"",NOT(ISERROR(O135))),O135,IF(AND(P135&lt;&gt;"",ISNUMBER(P135),P135&gt;0,NOT(ISNA(P135))),VLOOKUP(P135,'ESO zones'!$A$5:$D$10003,4,FALSE),IF(AND(K135&lt;&gt;"",K135&gt;0,NOT(ISERROR(K135))),VLOOKUP(K135,'ESO wayshrines'!$K$3:$N$9972,4,FALSE),"")))</f>
        <v>City of Ash I</v>
      </c>
      <c r="T135" s="16" t="str">
        <f>IF(AND(S135&lt;&gt;"",NOT(ISERROR(S135))),S135,VLOOKUP(A135,'ESO Set&amp;DLCs'!$A$3:$D$99998,4,FALSE))</f>
        <v>DLC_BASE_GAME</v>
      </c>
      <c r="U135" s="3" t="str">
        <f>IF(T135&lt;&gt;"",VLOOKUP(T135,ConstDLCIds!$B$4:$C$1000,2,FALSE),"")</f>
        <v>Included in base game</v>
      </c>
      <c r="V135" s="4" t="s">
        <v>278</v>
      </c>
      <c r="Y135" s="5">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zones'!$A$5:$D$10003,4,FALSE),"")</f>
        <v>City of Ash II</v>
      </c>
      <c r="AB135" s="4"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zones'!$A$5:$D$10003,4,FALSE),"")</f>
        <v>Greenshade</v>
      </c>
      <c r="AH135" s="57"/>
      <c r="AK135" s="3" t="str">
        <f>IF(AND(G135&lt;&gt;"LIBSETS_SETTYPE_BATTLEGROUND",G135&lt;&gt;"LIBSETS_SETTYPE_SPECIAL"),IF(AL135&lt;&gt;"",VLOOKUP(AL135,'ESO zones'!$D$5:$H$4957,5,FALSE),""),"")</f>
        <v/>
      </c>
      <c r="AP135" s="3" t="str">
        <f>IF(AND(G135&lt;&gt;"LIBSETS_SETTYPE_BATTLEGROUND",G135&lt;&gt;"LIBSETS_SETTYPE_SPECIAL"),IF(AQ135&lt;&gt;"",VLOOKUP(AQ135,'ESO zones'!$D$5:$H$4957,5,FALSE),""),"")</f>
        <v/>
      </c>
      <c r="AU135" s="3" t="str">
        <f>IF(AND(G135&lt;&gt;"LIBSETS_SETTYPE_BATTLEGROUND",G135&lt;&gt;"LIBSETS_SETTYPE_SPECIAL"),IF(AV135&lt;&gt;"",VLOOKUP(AV135,'ESO zones'!$D$5:$H$4957,5,FALSE),""),"")</f>
        <v/>
      </c>
      <c r="AZ135" s="49" t="s">
        <v>403</v>
      </c>
      <c r="BA135" s="49"/>
      <c r="BB135" s="49"/>
      <c r="BC135" s="49"/>
      <c r="BD135" s="49"/>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1">
        <v>161</v>
      </c>
      <c r="B136" t="s">
        <v>708</v>
      </c>
      <c r="C136" t="s">
        <v>709</v>
      </c>
      <c r="D136" s="3">
        <f t="shared" si="12"/>
        <v>161</v>
      </c>
      <c r="G136" s="9" t="s">
        <v>163</v>
      </c>
      <c r="I136" t="s">
        <v>401</v>
      </c>
      <c r="J136" t="s">
        <v>401</v>
      </c>
      <c r="K136">
        <v>234</v>
      </c>
      <c r="L136">
        <v>234</v>
      </c>
      <c r="M136">
        <v>234</v>
      </c>
      <c r="N136">
        <v>9</v>
      </c>
      <c r="Q136" s="3">
        <f>IF(AND(P136&lt;&gt;"",ISNUMBER(P136),NOT(ISNA(P136))),P136,IF(R136&lt;&gt;"",VLOOKUP(R136,'ESO zones'!$D$5:$H$10005,5,FALSE),""))</f>
        <v>888</v>
      </c>
      <c r="R136" t="str">
        <f>IF(AND(O136&lt;&gt;"",NOT(ISERROR(O136))),O136,IF(AND(P136&lt;&gt;"",ISNUMBER(P136),P136&gt;0,NOT(ISNA(P136))),VLOOKUP(P136,'ESO zones'!$A$5:$D$10003,4,FALSE),IF(AND(K136&lt;&gt;"",K136&gt;0,NOT(ISERROR(K136))),VLOOKUP(K136,'ESO wayshrines'!$K$3:$N$9972,4,FALSE),"")))</f>
        <v>Craglorn</v>
      </c>
      <c r="T136" s="16" t="str">
        <f>IF(AND(S136&lt;&gt;"",NOT(ISERROR(S136))),S136,VLOOKUP(A136,'ESO Set&amp;DLCs'!$A$3:$D$99998,4,FALSE))</f>
        <v>DLC_BASE_GAME</v>
      </c>
      <c r="U136" s="3" t="str">
        <f>IF(T136&lt;&gt;"",VLOOKUP(T136,ConstDLCIds!$B$4:$C$1000,2,FALSE),"")</f>
        <v>Included in base game</v>
      </c>
      <c r="V136" s="4" t="s">
        <v>281</v>
      </c>
      <c r="Y136" s="5"/>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zones'!$A$5:$D$10003,4,FALSE),"")</f>
        <v>Craglorn</v>
      </c>
      <c r="AB136" s="4"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zones'!$A$5:$D$10003,4,FALSE),"")</f>
        <v>Craglorn</v>
      </c>
      <c r="AK136" s="3" t="str">
        <f>IF(AND(G136&lt;&gt;"LIBSETS_SETTYPE_BATTLEGROUND",G136&lt;&gt;"LIBSETS_SETTYPE_SPECIAL"),IF(AL136&lt;&gt;"",VLOOKUP(AL136,'ESO zones'!$D$5:$H$4957,5,FALSE),""),"")</f>
        <v/>
      </c>
      <c r="AP136" s="3" t="str">
        <f>IF(AND(G136&lt;&gt;"LIBSETS_SETTYPE_BATTLEGROUND",G136&lt;&gt;"LIBSETS_SETTYPE_SPECIAL"),IF(AQ136&lt;&gt;"",VLOOKUP(AQ136,'ESO zones'!$D$5:$H$4957,5,FALSE),""),"")</f>
        <v/>
      </c>
      <c r="AU136" s="3" t="str">
        <f>IF(AND(G136&lt;&gt;"LIBSETS_SETTYPE_BATTLEGROUND",G136&lt;&gt;"LIBSETS_SETTYPE_SPECIAL"),IF(AV136&lt;&gt;"",VLOOKUP(AV136,'ESO zones'!$D$5:$H$4957,5,FALSE),""),"")</f>
        <v/>
      </c>
      <c r="AZ136" s="49" t="s">
        <v>403</v>
      </c>
      <c r="BA136" s="49"/>
      <c r="BB136" s="49"/>
      <c r="BC136" s="49"/>
      <c r="BD136" s="49"/>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1">
        <v>162</v>
      </c>
      <c r="B137" t="s">
        <v>710</v>
      </c>
      <c r="C137" t="s">
        <v>711</v>
      </c>
      <c r="D137" s="3">
        <f t="shared" si="12"/>
        <v>162</v>
      </c>
      <c r="G137" s="9" t="s">
        <v>172</v>
      </c>
      <c r="H137">
        <v>2</v>
      </c>
      <c r="I137" t="s">
        <v>712</v>
      </c>
      <c r="J137" t="s">
        <v>401</v>
      </c>
      <c r="K137">
        <v>266</v>
      </c>
      <c r="L137">
        <v>266</v>
      </c>
      <c r="M137">
        <v>266</v>
      </c>
      <c r="O137" s="5" t="s">
        <v>713</v>
      </c>
      <c r="Q137" s="3">
        <f>IF(AND(P137&lt;&gt;"",ISNUMBER(P137),NOT(ISNA(P137))),P137,IF(R137&lt;&gt;"",VLOOKUP(R137,'ESO zones'!$D$5:$H$10005,5,FALSE),""))</f>
        <v>934</v>
      </c>
      <c r="R137" t="str">
        <f>IF(AND(O137&lt;&gt;"",NOT(ISERROR(O137))),O137,IF(AND(P137&lt;&gt;"",ISNUMBER(P137),P137&gt;0,NOT(ISNA(P137))),VLOOKUP(P137,'ESO zones'!$A$5:$D$10003,4,FALSE),IF(AND(K137&lt;&gt;"",K137&gt;0,NOT(ISERROR(K137))),VLOOKUP(K137,'ESO wayshrines'!$K$3:$N$9972,4,FALSE),"")))</f>
        <v>Fungal Grotto II</v>
      </c>
      <c r="T137" s="16" t="str">
        <f>IF(AND(S137&lt;&gt;"",NOT(ISERROR(S137))),S137,VLOOKUP(A137,'ESO Set&amp;DLCs'!$A$3:$D$99998,4,FALSE))</f>
        <v>DLC_BASE_GAME</v>
      </c>
      <c r="U137" s="3" t="str">
        <f>IF(T137&lt;&gt;"",VLOOKUP(T137,ConstDLCIds!$B$4:$C$1000,2,FALSE),"")</f>
        <v>Included in base game</v>
      </c>
      <c r="V137" s="4" t="s">
        <v>212</v>
      </c>
      <c r="W137" s="3" t="s">
        <v>714</v>
      </c>
      <c r="X137" s="3" t="s">
        <v>714</v>
      </c>
      <c r="Y137" s="5"/>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zones'!$A$5:$D$10003,4,FALSE),"")</f>
        <v>Stonefalls</v>
      </c>
      <c r="AC137" s="3" t="str">
        <f>IF(AB137&lt;&gt;"",IF(AB137&lt;&gt;"LIBSETS_DROP_MECHANIC_MONSTER_NAME",VLOOKUP(AB137,ConstDropMechs!$B$4:$C$1001,2,FALSE),""),"")</f>
        <v/>
      </c>
      <c r="AD137" s="3" t="str">
        <f>IF(AB137&lt;&gt;"",IF(AB137&lt;&gt;"LIBSETS_DROP_MECHANIC_MONSTER_NAME",VLOOKUP(AB137,ConstDropMechs!$B$4:$D$1001,3,FALSE),""),"")</f>
        <v/>
      </c>
      <c r="AE137" s="29"/>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zones'!$A$5:$D$10003,4,FALSE),"")</f>
        <v>Stonefalls</v>
      </c>
      <c r="AI137" s="29"/>
      <c r="AJ137" s="29"/>
      <c r="AK137" s="3" t="str">
        <f>IF(AND(G137&lt;&gt;"LIBSETS_SETTYPE_BATTLEGROUND",G137&lt;&gt;"LIBSETS_SETTYPE_SPECIAL"),IF(AL137&lt;&gt;"",VLOOKUP(AL137,'ESO zones'!$D$5:$H$4957,5,FALSE),""),"")</f>
        <v/>
      </c>
      <c r="AN137" s="29"/>
      <c r="AO137" s="29"/>
      <c r="AP137" s="3" t="str">
        <f>IF(AND(G137&lt;&gt;"LIBSETS_SETTYPE_BATTLEGROUND",G137&lt;&gt;"LIBSETS_SETTYPE_SPECIAL"),IF(AQ137&lt;&gt;"",VLOOKUP(AQ137,'ESO zones'!$D$5:$H$4957,5,FALSE),""),"")</f>
        <v/>
      </c>
      <c r="AS137" s="29"/>
      <c r="AT137" s="29"/>
      <c r="AU137" s="3" t="str">
        <f>IF(AND(G137&lt;&gt;"LIBSETS_SETTYPE_BATTLEGROUND",G137&lt;&gt;"LIBSETS_SETTYPE_SPECIAL"),IF(AV137&lt;&gt;"",VLOOKUP(AV137,'ESO zones'!$D$5:$H$4957,5,FALSE),""),"")</f>
        <v/>
      </c>
      <c r="AX137" s="29"/>
      <c r="AY137" s="29"/>
      <c r="AZ137" s="49" t="s">
        <v>403</v>
      </c>
      <c r="BA137" s="49"/>
      <c r="BB137" s="49"/>
      <c r="BC137" s="49"/>
      <c r="BD137" s="49"/>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1">
        <v>163</v>
      </c>
      <c r="B138" t="s">
        <v>715</v>
      </c>
      <c r="C138" t="s">
        <v>716</v>
      </c>
      <c r="D138" s="3">
        <f t="shared" si="12"/>
        <v>163</v>
      </c>
      <c r="G138" s="9" t="s">
        <v>172</v>
      </c>
      <c r="H138">
        <v>2</v>
      </c>
      <c r="I138" t="s">
        <v>712</v>
      </c>
      <c r="J138" t="s">
        <v>401</v>
      </c>
      <c r="K138">
        <v>267</v>
      </c>
      <c r="L138">
        <v>267</v>
      </c>
      <c r="M138">
        <v>267</v>
      </c>
      <c r="O138" s="5" t="s">
        <v>717</v>
      </c>
      <c r="Q138" s="3">
        <f>IF(AND(P138&lt;&gt;"",ISNUMBER(P138),NOT(ISNA(P138))),P138,IF(R138&lt;&gt;"",VLOOKUP(R138,'ESO zones'!$D$5:$H$10005,5,FALSE),""))</f>
        <v>936</v>
      </c>
      <c r="R138" t="str">
        <f>IF(AND(O138&lt;&gt;"",NOT(ISERROR(O138))),O138,IF(AND(P138&lt;&gt;"",ISNUMBER(P138),P138&gt;0,NOT(ISNA(P138))),VLOOKUP(P138,'ESO zones'!$A$5:$D$10003,4,FALSE),IF(AND(K138&lt;&gt;"",K138&gt;0,NOT(ISERROR(K138))),VLOOKUP(K138,'ESO wayshrines'!$K$3:$N$9972,4,FALSE),"")))</f>
        <v>Spindleclutch II</v>
      </c>
      <c r="T138" s="16" t="str">
        <f>IF(AND(S138&lt;&gt;"",NOT(ISERROR(S138))),S138,VLOOKUP(A138,'ESO Set&amp;DLCs'!$A$3:$D$99998,4,FALSE))</f>
        <v>DLC_BASE_GAME</v>
      </c>
      <c r="U138" s="3" t="str">
        <f>IF(T138&lt;&gt;"",VLOOKUP(T138,ConstDLCIds!$B$4:$C$1000,2,FALSE),"")</f>
        <v>Included in base game</v>
      </c>
      <c r="V138" s="4" t="s">
        <v>212</v>
      </c>
      <c r="W138" s="3" t="s">
        <v>718</v>
      </c>
      <c r="X138" s="3" t="s">
        <v>719</v>
      </c>
      <c r="Y138" s="5"/>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zones'!$A$5:$D$10003,4,FALSE),"")</f>
        <v>Glenumbra</v>
      </c>
      <c r="AC138" s="3" t="str">
        <f>IF(AB138&lt;&gt;"",IF(AB138&lt;&gt;"LIBSETS_DROP_MECHANIC_MONSTER_NAME",VLOOKUP(AB138,ConstDropMechs!$B$4:$C$1001,2,FALSE),""),"")</f>
        <v/>
      </c>
      <c r="AD138" s="3" t="str">
        <f>IF(AB138&lt;&gt;"",IF(AB138&lt;&gt;"LIBSETS_DROP_MECHANIC_MONSTER_NAME",VLOOKUP(AB138,ConstDropMechs!$B$4:$D$1001,3,FALSE),""),"")</f>
        <v/>
      </c>
      <c r="AE138" s="29"/>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zones'!$A$5:$D$10003,4,FALSE),"")</f>
        <v>Glenumbra</v>
      </c>
      <c r="AI138" s="29"/>
      <c r="AJ138" s="29"/>
      <c r="AK138" s="3" t="str">
        <f>IF(AND(G138&lt;&gt;"LIBSETS_SETTYPE_BATTLEGROUND",G138&lt;&gt;"LIBSETS_SETTYPE_SPECIAL"),IF(AL138&lt;&gt;"",VLOOKUP(AL138,'ESO zones'!$D$5:$H$4957,5,FALSE),""),"")</f>
        <v/>
      </c>
      <c r="AN138" s="29"/>
      <c r="AO138" s="29"/>
      <c r="AP138" s="3" t="str">
        <f>IF(AND(G138&lt;&gt;"LIBSETS_SETTYPE_BATTLEGROUND",G138&lt;&gt;"LIBSETS_SETTYPE_SPECIAL"),IF(AQ138&lt;&gt;"",VLOOKUP(AQ138,'ESO zones'!$D$5:$H$4957,5,FALSE),""),"")</f>
        <v/>
      </c>
      <c r="AS138" s="29"/>
      <c r="AT138" s="29"/>
      <c r="AU138" s="3" t="str">
        <f>IF(AND(G138&lt;&gt;"LIBSETS_SETTYPE_BATTLEGROUND",G138&lt;&gt;"LIBSETS_SETTYPE_SPECIAL"),IF(AV138&lt;&gt;"",VLOOKUP(AV138,'ESO zones'!$D$5:$H$4957,5,FALSE),""),"")</f>
        <v/>
      </c>
      <c r="AX138" s="29"/>
      <c r="AY138" s="29"/>
      <c r="AZ138" s="49" t="s">
        <v>403</v>
      </c>
      <c r="BA138" s="49"/>
      <c r="BB138" s="49"/>
      <c r="BC138" s="49"/>
      <c r="BD138" s="49"/>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1">
        <v>164</v>
      </c>
      <c r="B139" t="s">
        <v>720</v>
      </c>
      <c r="C139" t="s">
        <v>721</v>
      </c>
      <c r="D139" s="3">
        <f t="shared" si="12"/>
        <v>164</v>
      </c>
      <c r="G139" s="9" t="s">
        <v>172</v>
      </c>
      <c r="H139">
        <v>3</v>
      </c>
      <c r="I139" t="s">
        <v>712</v>
      </c>
      <c r="J139" t="s">
        <v>401</v>
      </c>
      <c r="K139">
        <v>236</v>
      </c>
      <c r="L139">
        <v>236</v>
      </c>
      <c r="M139">
        <v>236</v>
      </c>
      <c r="O139" s="5" t="s">
        <v>722</v>
      </c>
      <c r="Q139" s="3">
        <f>IF(AND(P139&lt;&gt;"",ISNUMBER(P139),NOT(ISNA(P139))),P139,IF(R139&lt;&gt;"",VLOOKUP(R139,'ESO zones'!$D$5:$H$10005,5,FALSE),""))</f>
        <v>678</v>
      </c>
      <c r="R139" t="str">
        <f>IF(AND(O139&lt;&gt;"",NOT(ISERROR(O139))),O139,IF(AND(P139&lt;&gt;"",ISNUMBER(P139),P139&gt;0,NOT(ISNA(P139))),VLOOKUP(P139,'ESO zones'!$A$5:$D$10003,4,FALSE),IF(AND(K139&lt;&gt;"",K139&gt;0,NOT(ISERROR(K139))),VLOOKUP(K139,'ESO wayshrines'!$K$3:$N$9972,4,FALSE),"")))</f>
        <v>Imperial City Prison</v>
      </c>
      <c r="T139" s="16" t="str">
        <f>IF(AND(S139&lt;&gt;"",NOT(ISERROR(S139))),S139,VLOOKUP(A139,'ESO Set&amp;DLCs'!$A$3:$D$99998,4,FALSE))</f>
        <v>DLC_IMPERIAL_CITY</v>
      </c>
      <c r="U139" s="3" t="str">
        <f>IF(T139&lt;&gt;"",VLOOKUP(T139,ConstDLCIds!$B$4:$C$1000,2,FALSE),"")</f>
        <v>Imperial City</v>
      </c>
      <c r="V139" s="4" t="s">
        <v>212</v>
      </c>
      <c r="W139" s="3" t="s">
        <v>723</v>
      </c>
      <c r="X139" s="3" t="s">
        <v>724</v>
      </c>
      <c r="Y139" s="5"/>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zones'!$A$5:$D$10003,4,FALSE),"")</f>
        <v>Cyrodiil</v>
      </c>
      <c r="AC139" s="3" t="str">
        <f>IF(AB139&lt;&gt;"",IF(AB139&lt;&gt;"LIBSETS_DROP_MECHANIC_MONSTER_NAME",VLOOKUP(AB139,ConstDropMechs!$B$4:$C$1001,2,FALSE),""),"")</f>
        <v/>
      </c>
      <c r="AD139" s="3" t="str">
        <f>IF(AB139&lt;&gt;"",IF(AB139&lt;&gt;"LIBSETS_DROP_MECHANIC_MONSTER_NAME",VLOOKUP(AB139,ConstDropMechs!$B$4:$D$1001,3,FALSE),""),"")</f>
        <v/>
      </c>
      <c r="AE139" s="5"/>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zones'!$A$5:$D$10003,4,FALSE),"")</f>
        <v>Cyrodiil</v>
      </c>
      <c r="AI139" s="29"/>
      <c r="AJ139" s="29"/>
      <c r="AK139" s="3" t="str">
        <f>IF(AND(G139&lt;&gt;"LIBSETS_SETTYPE_BATTLEGROUND",G139&lt;&gt;"LIBSETS_SETTYPE_SPECIAL"),IF(AL139&lt;&gt;"",VLOOKUP(AL139,'ESO zones'!$D$5:$H$4957,5,FALSE),""),"")</f>
        <v/>
      </c>
      <c r="AN139" s="29"/>
      <c r="AO139" s="29"/>
      <c r="AP139" s="3" t="str">
        <f>IF(AND(G139&lt;&gt;"LIBSETS_SETTYPE_BATTLEGROUND",G139&lt;&gt;"LIBSETS_SETTYPE_SPECIAL"),IF(AQ139&lt;&gt;"",VLOOKUP(AQ139,'ESO zones'!$D$5:$H$4957,5,FALSE),""),"")</f>
        <v/>
      </c>
      <c r="AS139" s="29"/>
      <c r="AT139" s="29"/>
      <c r="AU139" s="3" t="str">
        <f>IF(AND(G139&lt;&gt;"LIBSETS_SETTYPE_BATTLEGROUND",G139&lt;&gt;"LIBSETS_SETTYPE_SPECIAL"),IF(AV139&lt;&gt;"",VLOOKUP(AV139,'ESO zones'!$D$5:$H$4957,5,FALSE),""),"")</f>
        <v/>
      </c>
      <c r="AX139" s="29"/>
      <c r="AY139" s="29"/>
      <c r="AZ139" s="49" t="s">
        <v>403</v>
      </c>
      <c r="BA139" s="49"/>
      <c r="BB139" s="49"/>
      <c r="BC139" s="49"/>
      <c r="BD139" s="49"/>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1">
        <v>165</v>
      </c>
      <c r="B140" t="s">
        <v>725</v>
      </c>
      <c r="C140" t="s">
        <v>726</v>
      </c>
      <c r="D140" s="3">
        <f t="shared" si="12"/>
        <v>165</v>
      </c>
      <c r="G140" s="9" t="s">
        <v>172</v>
      </c>
      <c r="H140">
        <v>2</v>
      </c>
      <c r="I140" t="s">
        <v>712</v>
      </c>
      <c r="J140" t="s">
        <v>401</v>
      </c>
      <c r="K140">
        <v>263</v>
      </c>
      <c r="L140">
        <v>263</v>
      </c>
      <c r="M140">
        <v>263</v>
      </c>
      <c r="O140" s="5" t="s">
        <v>727</v>
      </c>
      <c r="Q140" s="3">
        <f>IF(AND(P140&lt;&gt;"",ISNUMBER(P140),NOT(ISNA(P140))),P140,IF(R140&lt;&gt;"",VLOOKUP(R140,'ESO zones'!$D$5:$H$10005,5,FALSE),""))</f>
        <v>933</v>
      </c>
      <c r="R140" t="str">
        <f>IF(AND(O140&lt;&gt;"",NOT(ISERROR(O140))),O140,IF(AND(P140&lt;&gt;"",ISNUMBER(P140),P140&gt;0,NOT(ISNA(P140))),VLOOKUP(P140,'ESO zones'!$A$5:$D$10003,4,FALSE),IF(AND(K140&lt;&gt;"",K140&gt;0,NOT(ISERROR(K140))),VLOOKUP(K140,'ESO wayshrines'!$K$3:$N$9972,4,FALSE),"")))</f>
        <v>Wayrest Sewers II</v>
      </c>
      <c r="T140" s="16" t="str">
        <f>IF(AND(S140&lt;&gt;"",NOT(ISERROR(S140))),S140,VLOOKUP(A140,'ESO Set&amp;DLCs'!$A$3:$D$99998,4,FALSE))</f>
        <v>DLC_BASE_GAME</v>
      </c>
      <c r="U140" s="3" t="str">
        <f>IF(T140&lt;&gt;"",VLOOKUP(T140,ConstDLCIds!$B$4:$C$1000,2,FALSE),"")</f>
        <v>Included in base game</v>
      </c>
      <c r="V140" s="4" t="s">
        <v>212</v>
      </c>
      <c r="W140" s="3" t="s">
        <v>728</v>
      </c>
      <c r="X140" s="3" t="s">
        <v>729</v>
      </c>
      <c r="Y140" s="5"/>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zones'!$A$5:$D$10003,4,FALSE),"")</f>
        <v>Stormhaven</v>
      </c>
      <c r="AC140" s="3" t="str">
        <f>IF(AB140&lt;&gt;"",IF(AB140&lt;&gt;"LIBSETS_DROP_MECHANIC_MONSTER_NAME",VLOOKUP(AB140,ConstDropMechs!$B$4:$C$1001,2,FALSE),""),"")</f>
        <v/>
      </c>
      <c r="AD140" s="3" t="str">
        <f>IF(AB140&lt;&gt;"",IF(AB140&lt;&gt;"LIBSETS_DROP_MECHANIC_MONSTER_NAME",VLOOKUP(AB140,ConstDropMechs!$B$4:$D$1001,3,FALSE),""),"")</f>
        <v/>
      </c>
      <c r="AE140" s="29"/>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zones'!$A$5:$D$10003,4,FALSE),"")</f>
        <v>Stormhaven</v>
      </c>
      <c r="AI140" s="29"/>
      <c r="AJ140" s="29"/>
      <c r="AK140" s="3" t="str">
        <f>IF(AND(G140&lt;&gt;"LIBSETS_SETTYPE_BATTLEGROUND",G140&lt;&gt;"LIBSETS_SETTYPE_SPECIAL"),IF(AL140&lt;&gt;"",VLOOKUP(AL140,'ESO zones'!$D$5:$H$4957,5,FALSE),""),"")</f>
        <v/>
      </c>
      <c r="AN140" s="29"/>
      <c r="AO140" s="29"/>
      <c r="AP140" s="3" t="str">
        <f>IF(AND(G140&lt;&gt;"LIBSETS_SETTYPE_BATTLEGROUND",G140&lt;&gt;"LIBSETS_SETTYPE_SPECIAL"),IF(AQ140&lt;&gt;"",VLOOKUP(AQ140,'ESO zones'!$D$5:$H$4957,5,FALSE),""),"")</f>
        <v/>
      </c>
      <c r="AS140" s="29"/>
      <c r="AT140" s="29"/>
      <c r="AU140" s="3" t="str">
        <f>IF(AND(G140&lt;&gt;"LIBSETS_SETTYPE_BATTLEGROUND",G140&lt;&gt;"LIBSETS_SETTYPE_SPECIAL"),IF(AV140&lt;&gt;"",VLOOKUP(AV140,'ESO zones'!$D$5:$H$4957,5,FALSE),""),"")</f>
        <v/>
      </c>
      <c r="AX140" s="29"/>
      <c r="AY140" s="29"/>
      <c r="AZ140" s="49" t="s">
        <v>403</v>
      </c>
      <c r="BA140" s="49"/>
      <c r="BB140" s="49"/>
      <c r="BC140" s="49"/>
      <c r="BD140" s="49"/>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1">
        <v>166</v>
      </c>
      <c r="B141" t="s">
        <v>730</v>
      </c>
      <c r="C141" t="s">
        <v>731</v>
      </c>
      <c r="D141" s="3">
        <f t="shared" si="12"/>
        <v>166</v>
      </c>
      <c r="G141" s="9" t="s">
        <v>172</v>
      </c>
      <c r="H141">
        <v>2</v>
      </c>
      <c r="I141" t="s">
        <v>712</v>
      </c>
      <c r="J141" t="s">
        <v>401</v>
      </c>
      <c r="K141">
        <v>264</v>
      </c>
      <c r="L141">
        <v>264</v>
      </c>
      <c r="M141">
        <v>264</v>
      </c>
      <c r="O141" s="5" t="s">
        <v>732</v>
      </c>
      <c r="Q141" s="3">
        <f>IF(AND(P141&lt;&gt;"",ISNUMBER(P141),NOT(ISNA(P141))),P141,IF(R141&lt;&gt;"",VLOOKUP(R141,'ESO zones'!$D$5:$H$10005,5,FALSE),""))</f>
        <v>930</v>
      </c>
      <c r="R141" t="str">
        <f>IF(AND(O141&lt;&gt;"",NOT(ISERROR(O141))),O141,IF(AND(P141&lt;&gt;"",ISNUMBER(P141),P141&gt;0,NOT(ISNA(P141))),VLOOKUP(P141,'ESO zones'!$A$5:$D$10003,4,FALSE),IF(AND(K141&lt;&gt;"",K141&gt;0,NOT(ISERROR(K141))),VLOOKUP(K141,'ESO wayshrines'!$K$3:$N$9972,4,FALSE),"")))</f>
        <v>Darkshade Caverns II</v>
      </c>
      <c r="T141" s="16" t="str">
        <f>IF(AND(S141&lt;&gt;"",NOT(ISERROR(S141))),S141,VLOOKUP(A141,'ESO Set&amp;DLCs'!$A$3:$D$99998,4,FALSE))</f>
        <v>DLC_BASE_GAME</v>
      </c>
      <c r="U141" s="3" t="str">
        <f>IF(T141&lt;&gt;"",VLOOKUP(T141,ConstDLCIds!$B$4:$C$1000,2,FALSE),"")</f>
        <v>Included in base game</v>
      </c>
      <c r="V141" s="4" t="s">
        <v>212</v>
      </c>
      <c r="W141" s="3" t="s">
        <v>733</v>
      </c>
      <c r="X141" s="3" t="s">
        <v>734</v>
      </c>
      <c r="Y141" s="5"/>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zones'!$A$5:$D$10003,4,FALSE),"")</f>
        <v>Deshaan</v>
      </c>
      <c r="AC141" s="3" t="str">
        <f>IF(AB141&lt;&gt;"",IF(AB141&lt;&gt;"LIBSETS_DROP_MECHANIC_MONSTER_NAME",VLOOKUP(AB141,ConstDropMechs!$B$4:$C$1001,2,FALSE),""),"")</f>
        <v/>
      </c>
      <c r="AD141" s="3" t="str">
        <f>IF(AB141&lt;&gt;"",IF(AB141&lt;&gt;"LIBSETS_DROP_MECHANIC_MONSTER_NAME",VLOOKUP(AB141,ConstDropMechs!$B$4:$D$1001,3,FALSE),""),"")</f>
        <v/>
      </c>
      <c r="AE141" s="29"/>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zones'!$A$5:$D$10003,4,FALSE),"")</f>
        <v>Deshaan</v>
      </c>
      <c r="AI141" s="29"/>
      <c r="AJ141" s="29"/>
      <c r="AK141" s="3" t="str">
        <f>IF(AND(G141&lt;&gt;"LIBSETS_SETTYPE_BATTLEGROUND",G141&lt;&gt;"LIBSETS_SETTYPE_SPECIAL"),IF(AL141&lt;&gt;"",VLOOKUP(AL141,'ESO zones'!$D$5:$H$4957,5,FALSE),""),"")</f>
        <v/>
      </c>
      <c r="AN141" s="29"/>
      <c r="AO141" s="29"/>
      <c r="AP141" s="3" t="str">
        <f>IF(AND(G141&lt;&gt;"LIBSETS_SETTYPE_BATTLEGROUND",G141&lt;&gt;"LIBSETS_SETTYPE_SPECIAL"),IF(AQ141&lt;&gt;"",VLOOKUP(AQ141,'ESO zones'!$D$5:$H$4957,5,FALSE),""),"")</f>
        <v/>
      </c>
      <c r="AS141" s="29"/>
      <c r="AT141" s="29"/>
      <c r="AU141" s="3" t="str">
        <f>IF(AND(G141&lt;&gt;"LIBSETS_SETTYPE_BATTLEGROUND",G141&lt;&gt;"LIBSETS_SETTYPE_SPECIAL"),IF(AV141&lt;&gt;"",VLOOKUP(AV141,'ESO zones'!$D$5:$H$4957,5,FALSE),""),"")</f>
        <v/>
      </c>
      <c r="AX141" s="29"/>
      <c r="AY141" s="29"/>
      <c r="AZ141" s="49" t="s">
        <v>403</v>
      </c>
      <c r="BA141" s="49"/>
      <c r="BB141" s="49"/>
      <c r="BC141" s="49"/>
      <c r="BD141" s="49"/>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1">
        <v>167</v>
      </c>
      <c r="B142" t="s">
        <v>735</v>
      </c>
      <c r="C142" t="s">
        <v>736</v>
      </c>
      <c r="D142" s="3">
        <f t="shared" si="12"/>
        <v>167</v>
      </c>
      <c r="G142" s="9" t="s">
        <v>172</v>
      </c>
      <c r="H142">
        <v>2</v>
      </c>
      <c r="I142" t="s">
        <v>712</v>
      </c>
      <c r="J142" t="s">
        <v>401</v>
      </c>
      <c r="K142">
        <v>265</v>
      </c>
      <c r="L142">
        <v>265</v>
      </c>
      <c r="M142">
        <v>265</v>
      </c>
      <c r="O142" s="5" t="s">
        <v>737</v>
      </c>
      <c r="Q142" s="3">
        <f>IF(AND(P142&lt;&gt;"",ISNUMBER(P142),NOT(ISNA(P142))),P142,IF(R142&lt;&gt;"",VLOOKUP(R142,'ESO zones'!$D$5:$H$10005,5,FALSE),""))</f>
        <v>931</v>
      </c>
      <c r="R142" t="str">
        <f>IF(AND(O142&lt;&gt;"",NOT(ISERROR(O142))),O142,IF(AND(P142&lt;&gt;"",ISNUMBER(P142),P142&gt;0,NOT(ISNA(P142))),VLOOKUP(P142,'ESO zones'!$A$5:$D$10003,4,FALSE),IF(AND(K142&lt;&gt;"",K142&gt;0,NOT(ISERROR(K142))),VLOOKUP(K142,'ESO wayshrines'!$K$3:$N$9972,4,FALSE),"")))</f>
        <v>Elden Hollow II</v>
      </c>
      <c r="T142" s="16" t="str">
        <f>IF(AND(S142&lt;&gt;"",NOT(ISERROR(S142))),S142,VLOOKUP(A142,'ESO Set&amp;DLCs'!$A$3:$D$99998,4,FALSE))</f>
        <v>DLC_BASE_GAME</v>
      </c>
      <c r="U142" s="3" t="str">
        <f>IF(T142&lt;&gt;"",VLOOKUP(T142,ConstDLCIds!$B$4:$C$1000,2,FALSE),"")</f>
        <v>Included in base game</v>
      </c>
      <c r="V142" s="4" t="s">
        <v>212</v>
      </c>
      <c r="W142" s="3" t="s">
        <v>738</v>
      </c>
      <c r="X142" s="3" t="s">
        <v>739</v>
      </c>
      <c r="Y142" s="5"/>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zones'!$A$5:$D$10003,4,FALSE),"")</f>
        <v>Grahtwood</v>
      </c>
      <c r="AC142" s="3" t="str">
        <f>IF(AB142&lt;&gt;"",IF(AB142&lt;&gt;"LIBSETS_DROP_MECHANIC_MONSTER_NAME",VLOOKUP(AB142,ConstDropMechs!$B$4:$C$1001,2,FALSE),""),"")</f>
        <v/>
      </c>
      <c r="AD142" s="3" t="str">
        <f>IF(AB142&lt;&gt;"",IF(AB142&lt;&gt;"LIBSETS_DROP_MECHANIC_MONSTER_NAME",VLOOKUP(AB142,ConstDropMechs!$B$4:$D$1001,3,FALSE),""),"")</f>
        <v/>
      </c>
      <c r="AE142" s="29"/>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zones'!$A$5:$D$10003,4,FALSE),"")</f>
        <v>Grahtwood</v>
      </c>
      <c r="AI142" s="29"/>
      <c r="AJ142" s="29"/>
      <c r="AK142" s="3" t="str">
        <f>IF(AND(G142&lt;&gt;"LIBSETS_SETTYPE_BATTLEGROUND",G142&lt;&gt;"LIBSETS_SETTYPE_SPECIAL"),IF(AL142&lt;&gt;"",VLOOKUP(AL142,'ESO zones'!$D$5:$H$4957,5,FALSE),""),"")</f>
        <v/>
      </c>
      <c r="AN142" s="29"/>
      <c r="AO142" s="29"/>
      <c r="AP142" s="3" t="str">
        <f>IF(AND(G142&lt;&gt;"LIBSETS_SETTYPE_BATTLEGROUND",G142&lt;&gt;"LIBSETS_SETTYPE_SPECIAL"),IF(AQ142&lt;&gt;"",VLOOKUP(AQ142,'ESO zones'!$D$5:$H$4957,5,FALSE),""),"")</f>
        <v/>
      </c>
      <c r="AS142" s="29"/>
      <c r="AT142" s="29"/>
      <c r="AU142" s="3" t="str">
        <f>IF(AND(G142&lt;&gt;"LIBSETS_SETTYPE_BATTLEGROUND",G142&lt;&gt;"LIBSETS_SETTYPE_SPECIAL"),IF(AV142&lt;&gt;"",VLOOKUP(AV142,'ESO zones'!$D$5:$H$4957,5,FALSE),""),"")</f>
        <v/>
      </c>
      <c r="AX142" s="29"/>
      <c r="AY142" s="29"/>
      <c r="AZ142" s="49" t="s">
        <v>403</v>
      </c>
      <c r="BA142" s="49"/>
      <c r="BB142" s="49"/>
      <c r="BC142" s="49"/>
      <c r="BD142" s="49"/>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1">
        <v>168</v>
      </c>
      <c r="B143" t="s">
        <v>740</v>
      </c>
      <c r="C143" t="s">
        <v>741</v>
      </c>
      <c r="D143" s="3">
        <f t="shared" si="12"/>
        <v>168</v>
      </c>
      <c r="G143" s="9" t="s">
        <v>172</v>
      </c>
      <c r="H143">
        <v>1</v>
      </c>
      <c r="I143" t="s">
        <v>712</v>
      </c>
      <c r="J143" t="s">
        <v>401</v>
      </c>
      <c r="K143">
        <v>269</v>
      </c>
      <c r="L143">
        <v>269</v>
      </c>
      <c r="M143">
        <v>269</v>
      </c>
      <c r="O143" s="5" t="s">
        <v>742</v>
      </c>
      <c r="Q143" s="3">
        <f>IF(AND(P143&lt;&gt;"",ISNUMBER(P143),NOT(ISNA(P143))),P143,IF(R143&lt;&gt;"",VLOOKUP(R143,'ESO zones'!$D$5:$H$10005,5,FALSE),""))</f>
        <v>932</v>
      </c>
      <c r="R143" t="str">
        <f>IF(AND(O143&lt;&gt;"",NOT(ISERROR(O143))),O143,IF(AND(P143&lt;&gt;"",ISNUMBER(P143),P143&gt;0,NOT(ISNA(P143))),VLOOKUP(P143,'ESO zones'!$A$5:$D$10003,4,FALSE),IF(AND(K143&lt;&gt;"",K143&gt;0,NOT(ISERROR(K143))),VLOOKUP(K143,'ESO wayshrines'!$K$3:$N$9972,4,FALSE),"")))</f>
        <v>Crypt of Hearts II</v>
      </c>
      <c r="T143" s="16" t="str">
        <f>IF(AND(S143&lt;&gt;"",NOT(ISERROR(S143))),S143,VLOOKUP(A143,'ESO Set&amp;DLCs'!$A$3:$D$99998,4,FALSE))</f>
        <v>DLC_BASE_GAME</v>
      </c>
      <c r="U143" s="3" t="str">
        <f>IF(T143&lt;&gt;"",VLOOKUP(T143,ConstDLCIds!$B$4:$C$1000,2,FALSE),"")</f>
        <v>Included in base game</v>
      </c>
      <c r="V143" s="4" t="s">
        <v>212</v>
      </c>
      <c r="W143" s="3" t="s">
        <v>741</v>
      </c>
      <c r="X143" s="3" t="s">
        <v>741</v>
      </c>
      <c r="Y143" s="5"/>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zones'!$A$5:$D$10003,4,FALSE),"")</f>
        <v>Rivenspire</v>
      </c>
      <c r="AC143" s="3" t="str">
        <f>IF(AB143&lt;&gt;"",IF(AB143&lt;&gt;"LIBSETS_DROP_MECHANIC_MONSTER_NAME",VLOOKUP(AB143,ConstDropMechs!$B$4:$C$1001,2,FALSE),""),"")</f>
        <v/>
      </c>
      <c r="AD143" s="3" t="str">
        <f>IF(AB143&lt;&gt;"",IF(AB143&lt;&gt;"LIBSETS_DROP_MECHANIC_MONSTER_NAME",VLOOKUP(AB143,ConstDropMechs!$B$4:$D$1001,3,FALSE),""),"")</f>
        <v/>
      </c>
      <c r="AE143" s="29"/>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zones'!$A$5:$D$10003,4,FALSE),"")</f>
        <v>Rivenspire</v>
      </c>
      <c r="AI143" s="29"/>
      <c r="AJ143" s="29"/>
      <c r="AK143" s="3" t="str">
        <f>IF(AND(G143&lt;&gt;"LIBSETS_SETTYPE_BATTLEGROUND",G143&lt;&gt;"LIBSETS_SETTYPE_SPECIAL"),IF(AL143&lt;&gt;"",VLOOKUP(AL143,'ESO zones'!$D$5:$H$4957,5,FALSE),""),"")</f>
        <v/>
      </c>
      <c r="AN143" s="29"/>
      <c r="AO143" s="29"/>
      <c r="AP143" s="3" t="str">
        <f>IF(AND(G143&lt;&gt;"LIBSETS_SETTYPE_BATTLEGROUND",G143&lt;&gt;"LIBSETS_SETTYPE_SPECIAL"),IF(AQ143&lt;&gt;"",VLOOKUP(AQ143,'ESO zones'!$D$5:$H$4957,5,FALSE),""),"")</f>
        <v/>
      </c>
      <c r="AS143" s="29"/>
      <c r="AT143" s="29"/>
      <c r="AU143" s="3" t="str">
        <f>IF(AND(G143&lt;&gt;"LIBSETS_SETTYPE_BATTLEGROUND",G143&lt;&gt;"LIBSETS_SETTYPE_SPECIAL"),IF(AV143&lt;&gt;"",VLOOKUP(AV143,'ESO zones'!$D$5:$H$4957,5,FALSE),""),"")</f>
        <v/>
      </c>
      <c r="AX143" s="29"/>
      <c r="AY143" s="29"/>
      <c r="AZ143" s="49" t="s">
        <v>403</v>
      </c>
      <c r="BA143" s="49"/>
      <c r="BB143" s="49"/>
      <c r="BC143" s="49"/>
      <c r="BD143" s="49"/>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1">
        <v>169</v>
      </c>
      <c r="B144" t="s">
        <v>743</v>
      </c>
      <c r="C144" t="s">
        <v>743</v>
      </c>
      <c r="D144" s="3">
        <f t="shared" si="12"/>
        <v>169</v>
      </c>
      <c r="G144" s="9" t="s">
        <v>172</v>
      </c>
      <c r="H144">
        <v>1</v>
      </c>
      <c r="I144" t="s">
        <v>712</v>
      </c>
      <c r="J144" t="s">
        <v>401</v>
      </c>
      <c r="K144">
        <v>268</v>
      </c>
      <c r="L144">
        <v>268</v>
      </c>
      <c r="M144">
        <v>268</v>
      </c>
      <c r="O144" s="5" t="s">
        <v>744</v>
      </c>
      <c r="Q144" s="3">
        <f>IF(AND(P144&lt;&gt;"",ISNUMBER(P144),NOT(ISNA(P144))),P144,IF(R144&lt;&gt;"",VLOOKUP(R144,'ESO zones'!$D$5:$H$10005,5,FALSE),""))</f>
        <v>681</v>
      </c>
      <c r="R144" t="str">
        <f>IF(AND(O144&lt;&gt;"",NOT(ISERROR(O144))),O144,IF(AND(P144&lt;&gt;"",ISNUMBER(P144),P144&gt;0,NOT(ISNA(P144))),VLOOKUP(P144,'ESO zones'!$A$5:$D$10003,4,FALSE),IF(AND(K144&lt;&gt;"",K144&gt;0,NOT(ISERROR(K144))),VLOOKUP(K144,'ESO wayshrines'!$K$3:$N$9972,4,FALSE),"")))</f>
        <v>City of Ash II</v>
      </c>
      <c r="T144" s="16" t="str">
        <f>IF(AND(S144&lt;&gt;"",NOT(ISERROR(S144))),S144,VLOOKUP(A144,'ESO Set&amp;DLCs'!$A$3:$D$99998,4,FALSE))</f>
        <v>DLC_BASE_GAME</v>
      </c>
      <c r="U144" s="3" t="str">
        <f>IF(T144&lt;&gt;"",VLOOKUP(T144,ConstDLCIds!$B$4:$C$1000,2,FALSE),"")</f>
        <v>Included in base game</v>
      </c>
      <c r="V144" s="4" t="s">
        <v>212</v>
      </c>
      <c r="W144" s="3" t="s">
        <v>743</v>
      </c>
      <c r="X144" s="3" t="s">
        <v>743</v>
      </c>
      <c r="Y144" s="5"/>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zones'!$A$5:$D$10003,4,FALSE),"")</f>
        <v>Greenshade</v>
      </c>
      <c r="AC144" s="3" t="str">
        <f>IF(AB144&lt;&gt;"",IF(AB144&lt;&gt;"LIBSETS_DROP_MECHANIC_MONSTER_NAME",VLOOKUP(AB144,ConstDropMechs!$B$4:$C$1001,2,FALSE),""),"")</f>
        <v/>
      </c>
      <c r="AD144" s="3" t="str">
        <f>IF(AB144&lt;&gt;"",IF(AB144&lt;&gt;"LIBSETS_DROP_MECHANIC_MONSTER_NAME",VLOOKUP(AB144,ConstDropMechs!$B$4:$D$1001,3,FALSE),""),"")</f>
        <v/>
      </c>
      <c r="AE144" s="29"/>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zones'!$A$5:$D$10003,4,FALSE),"")</f>
        <v>Greenshade</v>
      </c>
      <c r="AI144" s="29"/>
      <c r="AJ144" s="29"/>
      <c r="AK144" s="3" t="str">
        <f>IF(AND(G144&lt;&gt;"LIBSETS_SETTYPE_BATTLEGROUND",G144&lt;&gt;"LIBSETS_SETTYPE_SPECIAL"),IF(AL144&lt;&gt;"",VLOOKUP(AL144,'ESO zones'!$D$5:$H$4957,5,FALSE),""),"")</f>
        <v/>
      </c>
      <c r="AN144" s="29"/>
      <c r="AO144" s="29"/>
      <c r="AP144" s="3" t="str">
        <f>IF(AND(G144&lt;&gt;"LIBSETS_SETTYPE_BATTLEGROUND",G144&lt;&gt;"LIBSETS_SETTYPE_SPECIAL"),IF(AQ144&lt;&gt;"",VLOOKUP(AQ144,'ESO zones'!$D$5:$H$4957,5,FALSE),""),"")</f>
        <v/>
      </c>
      <c r="AS144" s="29"/>
      <c r="AT144" s="29"/>
      <c r="AU144" s="3" t="str">
        <f>IF(AND(G144&lt;&gt;"LIBSETS_SETTYPE_BATTLEGROUND",G144&lt;&gt;"LIBSETS_SETTYPE_SPECIAL"),IF(AV144&lt;&gt;"",VLOOKUP(AV144,'ESO zones'!$D$5:$H$4957,5,FALSE),""),"")</f>
        <v/>
      </c>
      <c r="AX144" s="29"/>
      <c r="AY144" s="29"/>
      <c r="AZ144" s="49" t="s">
        <v>403</v>
      </c>
      <c r="BA144" s="49"/>
      <c r="BB144" s="49"/>
      <c r="BC144" s="49"/>
      <c r="BD144" s="49"/>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1">
        <v>170</v>
      </c>
      <c r="B145" t="s">
        <v>745</v>
      </c>
      <c r="C145" t="s">
        <v>746</v>
      </c>
      <c r="D145" s="3">
        <f t="shared" si="12"/>
        <v>170</v>
      </c>
      <c r="G145" s="9" t="s">
        <v>172</v>
      </c>
      <c r="H145">
        <v>2</v>
      </c>
      <c r="I145" t="s">
        <v>712</v>
      </c>
      <c r="J145" t="s">
        <v>401</v>
      </c>
      <c r="K145">
        <v>262</v>
      </c>
      <c r="L145">
        <v>262</v>
      </c>
      <c r="M145">
        <v>262</v>
      </c>
      <c r="O145" s="5" t="s">
        <v>747</v>
      </c>
      <c r="Q145" s="3">
        <f>IF(AND(P145&lt;&gt;"",ISNUMBER(P145),NOT(ISNA(P145))),P145,IF(R145&lt;&gt;"",VLOOKUP(R145,'ESO zones'!$D$5:$H$10005,5,FALSE),""))</f>
        <v>935</v>
      </c>
      <c r="R145" t="str">
        <f>IF(AND(O145&lt;&gt;"",NOT(ISERROR(O145))),O145,IF(AND(P145&lt;&gt;"",ISNUMBER(P145),P145&gt;0,NOT(ISNA(P145))),VLOOKUP(P145,'ESO zones'!$A$5:$D$10003,4,FALSE),IF(AND(K145&lt;&gt;"",K145&gt;0,NOT(ISERROR(K145))),VLOOKUP(K145,'ESO wayshrines'!$K$3:$N$9972,4,FALSE),"")))</f>
        <v>The Banished Cells II</v>
      </c>
      <c r="T145" s="16" t="str">
        <f>IF(AND(S145&lt;&gt;"",NOT(ISERROR(S145))),S145,VLOOKUP(A145,'ESO Set&amp;DLCs'!$A$3:$D$99998,4,FALSE))</f>
        <v>DLC_BASE_GAME</v>
      </c>
      <c r="U145" s="3" t="str">
        <f>IF(T145&lt;&gt;"",VLOOKUP(T145,ConstDLCIds!$B$4:$C$1000,2,FALSE),"")</f>
        <v>Included in base game</v>
      </c>
      <c r="V145" s="4" t="s">
        <v>212</v>
      </c>
      <c r="W145" s="3" t="s">
        <v>748</v>
      </c>
      <c r="X145" s="3" t="s">
        <v>749</v>
      </c>
      <c r="Y145" s="5"/>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zones'!$A$5:$D$10003,4,FALSE),"")</f>
        <v>Auridon</v>
      </c>
      <c r="AC145" s="3" t="str">
        <f>IF(AB145&lt;&gt;"",IF(AB145&lt;&gt;"LIBSETS_DROP_MECHANIC_MONSTER_NAME",VLOOKUP(AB145,ConstDropMechs!$B$4:$C$1001,2,FALSE),""),"")</f>
        <v/>
      </c>
      <c r="AD145" s="3" t="str">
        <f>IF(AB145&lt;&gt;"",IF(AB145&lt;&gt;"LIBSETS_DROP_MECHANIC_MONSTER_NAME",VLOOKUP(AB145,ConstDropMechs!$B$4:$D$1001,3,FALSE),""),"")</f>
        <v/>
      </c>
      <c r="AE145" s="29"/>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zones'!$A$5:$D$10003,4,FALSE),"")</f>
        <v>Auridon</v>
      </c>
      <c r="AI145" s="29"/>
      <c r="AJ145" s="29"/>
      <c r="AK145" s="3" t="str">
        <f>IF(AND(G145&lt;&gt;"LIBSETS_SETTYPE_BATTLEGROUND",G145&lt;&gt;"LIBSETS_SETTYPE_SPECIAL"),IF(AL145&lt;&gt;"",VLOOKUP(AL145,'ESO zones'!$D$5:$H$4957,5,FALSE),""),"")</f>
        <v/>
      </c>
      <c r="AN145" s="29"/>
      <c r="AO145" s="29"/>
      <c r="AP145" s="3" t="str">
        <f>IF(AND(G145&lt;&gt;"LIBSETS_SETTYPE_BATTLEGROUND",G145&lt;&gt;"LIBSETS_SETTYPE_SPECIAL"),IF(AQ145&lt;&gt;"",VLOOKUP(AQ145,'ESO zones'!$D$5:$H$4957,5,FALSE),""),"")</f>
        <v/>
      </c>
      <c r="AS145" s="29"/>
      <c r="AT145" s="29"/>
      <c r="AU145" s="3" t="str">
        <f>IF(AND(G145&lt;&gt;"LIBSETS_SETTYPE_BATTLEGROUND",G145&lt;&gt;"LIBSETS_SETTYPE_SPECIAL"),IF(AV145&lt;&gt;"",VLOOKUP(AV145,'ESO zones'!$D$5:$H$4957,5,FALSE),""),"")</f>
        <v/>
      </c>
      <c r="AX145" s="29"/>
      <c r="AY145" s="29"/>
      <c r="AZ145" s="49" t="s">
        <v>403</v>
      </c>
      <c r="BA145" s="49"/>
      <c r="BB145" s="49"/>
      <c r="BC145" s="49"/>
      <c r="BD145" s="49"/>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2">
        <v>171</v>
      </c>
      <c r="B146" t="s">
        <v>750</v>
      </c>
      <c r="C146" t="s">
        <v>751</v>
      </c>
      <c r="D146" s="3">
        <f t="shared" si="12"/>
        <v>171</v>
      </c>
      <c r="G146" s="9" t="s">
        <v>178</v>
      </c>
      <c r="I146" t="s">
        <v>401</v>
      </c>
      <c r="J146" t="s">
        <v>401</v>
      </c>
      <c r="K146">
        <v>230</v>
      </c>
      <c r="L146">
        <v>230</v>
      </c>
      <c r="M146">
        <v>230</v>
      </c>
      <c r="O146" s="5" t="s">
        <v>666</v>
      </c>
      <c r="Q146" s="3">
        <f>IF(AND(P146&lt;&gt;"",ISNUMBER(P146),NOT(ISNA(P146))),P146,IF(R146&lt;&gt;"",VLOOKUP(R146,'ESO zones'!$D$5:$H$10005,5,FALSE),""))</f>
        <v>636</v>
      </c>
      <c r="R146" t="str">
        <f>IF(AND(O146&lt;&gt;"",NOT(ISERROR(O146))),O146,IF(AND(P146&lt;&gt;"",ISNUMBER(P146),P146&gt;0,NOT(ISNA(P146))),VLOOKUP(P146,'ESO zones'!$A$5:$D$10003,4,FALSE),IF(AND(K146&lt;&gt;"",K146&gt;0,NOT(ISERROR(K146))),VLOOKUP(K146,'ESO wayshrines'!$K$3:$N$9972,4,FALSE),"")))</f>
        <v>Hel Ra Citadel</v>
      </c>
      <c r="T146" s="16" t="str">
        <f>IF(AND(S146&lt;&gt;"",NOT(ISERROR(S146))),S146,VLOOKUP(A146,'ESO Set&amp;DLCs'!$A$3:$D$99998,4,FALSE))</f>
        <v>DLC_BASE_GAME</v>
      </c>
      <c r="U146" s="3" t="str">
        <f>IF(T146&lt;&gt;"",VLOOKUP(T146,ConstDLCIds!$B$4:$C$1000,2,FALSE),"")</f>
        <v>Included in base game</v>
      </c>
      <c r="V146" s="4" t="s">
        <v>272</v>
      </c>
      <c r="Y146" s="5">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zones'!$A$5:$D$10003,4,FALSE),"")</f>
        <v>Hel Ra Citadel</v>
      </c>
      <c r="AB146" s="4" t="s">
        <v>272</v>
      </c>
      <c r="AE146" s="29">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zones'!$A$5:$D$10003,4,FALSE),"")</f>
        <v>Hel Ra Citadel</v>
      </c>
      <c r="AH146" s="4" t="s">
        <v>272</v>
      </c>
      <c r="AI146" s="29"/>
      <c r="AJ146" s="29"/>
      <c r="AK146" s="3" t="str">
        <f>IF(AND(G146&lt;&gt;"LIBSETS_SETTYPE_BATTLEGROUND",G146&lt;&gt;"LIBSETS_SETTYPE_SPECIAL"),IF(AL146&lt;&gt;"",VLOOKUP(AL146,'ESO zones'!$D$5:$H$4957,5,FALSE),""),"")</f>
        <v/>
      </c>
      <c r="AN146" s="29"/>
      <c r="AO146" s="29"/>
      <c r="AP146" s="3" t="str">
        <f>IF(AND(G146&lt;&gt;"LIBSETS_SETTYPE_BATTLEGROUND",G146&lt;&gt;"LIBSETS_SETTYPE_SPECIAL"),IF(AQ146&lt;&gt;"",VLOOKUP(AQ146,'ESO zones'!$D$5:$H$4957,5,FALSE),""),"")</f>
        <v/>
      </c>
      <c r="AS146" s="29"/>
      <c r="AT146" s="29"/>
      <c r="AU146" s="3" t="str">
        <f>IF(AND(G146&lt;&gt;"LIBSETS_SETTYPE_BATTLEGROUND",G146&lt;&gt;"LIBSETS_SETTYPE_SPECIAL"),IF(AV146&lt;&gt;"",VLOOKUP(AV146,'ESO zones'!$D$5:$H$4957,5,FALSE),""),"")</f>
        <v/>
      </c>
      <c r="AX146" s="29"/>
      <c r="AY146" s="29"/>
      <c r="AZ146" s="49" t="s">
        <v>403</v>
      </c>
      <c r="BA146" s="49"/>
      <c r="BB146" s="49"/>
      <c r="BC146" s="49"/>
      <c r="BD146" s="49"/>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2">
        <v>172</v>
      </c>
      <c r="B147" t="s">
        <v>752</v>
      </c>
      <c r="C147" t="s">
        <v>753</v>
      </c>
      <c r="D147" s="3">
        <f t="shared" si="12"/>
        <v>172</v>
      </c>
      <c r="G147" s="9" t="s">
        <v>178</v>
      </c>
      <c r="I147" t="s">
        <v>401</v>
      </c>
      <c r="J147" t="s">
        <v>401</v>
      </c>
      <c r="K147">
        <v>230</v>
      </c>
      <c r="L147">
        <v>230</v>
      </c>
      <c r="M147">
        <v>230</v>
      </c>
      <c r="O147" s="5" t="s">
        <v>669</v>
      </c>
      <c r="Q147" s="3">
        <f>IF(AND(P147&lt;&gt;"",ISNUMBER(P147),NOT(ISNA(P147))),P147,IF(R147&lt;&gt;"",VLOOKUP(R147,'ESO zones'!$D$5:$H$10005,5,FALSE),""))</f>
        <v>638</v>
      </c>
      <c r="R147" t="str">
        <f>IF(AND(O147&lt;&gt;"",NOT(ISERROR(O147))),O147,IF(AND(P147&lt;&gt;"",ISNUMBER(P147),P147&gt;0,NOT(ISNA(P147))),VLOOKUP(P147,'ESO zones'!$A$5:$D$10003,4,FALSE),IF(AND(K147&lt;&gt;"",K147&gt;0,NOT(ISERROR(K147))),VLOOKUP(K147,'ESO wayshrines'!$K$3:$N$9972,4,FALSE),"")))</f>
        <v>Aetherian Archive</v>
      </c>
      <c r="T147" s="16" t="str">
        <f>IF(AND(S147&lt;&gt;"",NOT(ISERROR(S147))),S147,VLOOKUP(A147,'ESO Set&amp;DLCs'!$A$3:$D$99998,4,FALSE))</f>
        <v>DLC_BASE_GAME</v>
      </c>
      <c r="U147" s="3" t="str">
        <f>IF(T147&lt;&gt;"",VLOOKUP(T147,ConstDLCIds!$B$4:$C$1000,2,FALSE),"")</f>
        <v>Included in base game</v>
      </c>
      <c r="V147" s="4" t="s">
        <v>272</v>
      </c>
      <c r="W147" s="63" t="s">
        <v>670</v>
      </c>
      <c r="X147" s="63" t="s">
        <v>671</v>
      </c>
      <c r="Y147" s="5">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zones'!$A$5:$D$10003,4,FALSE),"")</f>
        <v>Aetherian Archive</v>
      </c>
      <c r="AB147" s="4" t="s">
        <v>272</v>
      </c>
      <c r="AE147" s="29">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zones'!$A$5:$D$10003,4,FALSE),"")</f>
        <v>Aetherian Archive</v>
      </c>
      <c r="AH147" s="4" t="s">
        <v>272</v>
      </c>
      <c r="AI147" s="29"/>
      <c r="AJ147" s="29"/>
      <c r="AK147" s="3" t="str">
        <f>IF(AND(G147&lt;&gt;"LIBSETS_SETTYPE_BATTLEGROUND",G147&lt;&gt;"LIBSETS_SETTYPE_SPECIAL"),IF(AL147&lt;&gt;"",VLOOKUP(AL147,'ESO zones'!$D$5:$H$4957,5,FALSE),""),"")</f>
        <v/>
      </c>
      <c r="AN147" s="63"/>
      <c r="AO147" s="63"/>
      <c r="AP147" s="3" t="str">
        <f>IF(AND(G147&lt;&gt;"LIBSETS_SETTYPE_BATTLEGROUND",G147&lt;&gt;"LIBSETS_SETTYPE_SPECIAL"),IF(AQ147&lt;&gt;"",VLOOKUP(AQ147,'ESO zones'!$D$5:$H$4957,5,FALSE),""),"")</f>
        <v/>
      </c>
      <c r="AS147" s="29"/>
      <c r="AT147" s="29"/>
      <c r="AU147" s="3" t="str">
        <f>IF(AND(G147&lt;&gt;"LIBSETS_SETTYPE_BATTLEGROUND",G147&lt;&gt;"LIBSETS_SETTYPE_SPECIAL"),IF(AV147&lt;&gt;"",VLOOKUP(AV147,'ESO zones'!$D$5:$H$4957,5,FALSE),""),"")</f>
        <v/>
      </c>
      <c r="AX147" s="29"/>
      <c r="AY147" s="29"/>
      <c r="AZ147" s="49" t="s">
        <v>403</v>
      </c>
      <c r="BA147" s="49"/>
      <c r="BB147" s="49"/>
      <c r="BC147" s="49"/>
      <c r="BD147" s="49"/>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2">
        <v>173</v>
      </c>
      <c r="B148" t="s">
        <v>754</v>
      </c>
      <c r="C148" t="s">
        <v>755</v>
      </c>
      <c r="D148" s="3">
        <f t="shared" si="12"/>
        <v>173</v>
      </c>
      <c r="G148" s="9" t="s">
        <v>178</v>
      </c>
      <c r="I148" t="s">
        <v>401</v>
      </c>
      <c r="J148" t="s">
        <v>401</v>
      </c>
      <c r="K148">
        <v>230</v>
      </c>
      <c r="L148">
        <v>230</v>
      </c>
      <c r="M148">
        <v>230</v>
      </c>
      <c r="O148" s="5" t="s">
        <v>663</v>
      </c>
      <c r="Q148" s="3">
        <f>IF(AND(P148&lt;&gt;"",ISNUMBER(P148),NOT(ISNA(P148))),P148,IF(R148&lt;&gt;"",VLOOKUP(R148,'ESO zones'!$D$5:$H$10005,5,FALSE),""))</f>
        <v>639</v>
      </c>
      <c r="R148" t="str">
        <f>IF(AND(O148&lt;&gt;"",NOT(ISERROR(O148))),O148,IF(AND(P148&lt;&gt;"",ISNUMBER(P148),P148&gt;0,NOT(ISNA(P148))),VLOOKUP(P148,'ESO zones'!$A$5:$D$10003,4,FALSE),IF(AND(K148&lt;&gt;"",K148&gt;0,NOT(ISERROR(K148))),VLOOKUP(K148,'ESO wayshrines'!$K$3:$N$9972,4,FALSE),"")))</f>
        <v>Sanctum Ophidia</v>
      </c>
      <c r="T148" s="16" t="str">
        <f>IF(AND(S148&lt;&gt;"",NOT(ISERROR(S148))),S148,VLOOKUP(A148,'ESO Set&amp;DLCs'!$A$3:$D$99998,4,FALSE))</f>
        <v>DLC_BASE_GAME</v>
      </c>
      <c r="U148" s="3" t="str">
        <f>IF(T148&lt;&gt;"",VLOOKUP(T148,ConstDLCIds!$B$4:$C$1000,2,FALSE),"")</f>
        <v>Included in base game</v>
      </c>
      <c r="V148" s="4" t="s">
        <v>272</v>
      </c>
      <c r="Y148" s="5">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zones'!$A$5:$D$10003,4,FALSE),"")</f>
        <v>Sanctum Ophidia</v>
      </c>
      <c r="AB148" s="4" t="s">
        <v>272</v>
      </c>
      <c r="AE148" s="5">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zones'!$A$5:$D$10003,4,FALSE),"")</f>
        <v>Sanctum Ophidia</v>
      </c>
      <c r="AH148" s="4" t="s">
        <v>272</v>
      </c>
      <c r="AI148" s="29"/>
      <c r="AJ148" s="29"/>
      <c r="AK148" s="3" t="str">
        <f>IF(AND(G148&lt;&gt;"LIBSETS_SETTYPE_BATTLEGROUND",G148&lt;&gt;"LIBSETS_SETTYPE_SPECIAL"),IF(AL148&lt;&gt;"",VLOOKUP(AL148,'ESO zones'!$D$5:$H$4957,5,FALSE),""),"")</f>
        <v/>
      </c>
      <c r="AN148" s="29"/>
      <c r="AO148" s="29"/>
      <c r="AP148" s="3" t="str">
        <f>IF(AND(G148&lt;&gt;"LIBSETS_SETTYPE_BATTLEGROUND",G148&lt;&gt;"LIBSETS_SETTYPE_SPECIAL"),IF(AQ148&lt;&gt;"",VLOOKUP(AQ148,'ESO zones'!$D$5:$H$4957,5,FALSE),""),"")</f>
        <v/>
      </c>
      <c r="AS148" s="29"/>
      <c r="AT148" s="29"/>
      <c r="AU148" s="3" t="str">
        <f>IF(AND(G148&lt;&gt;"LIBSETS_SETTYPE_BATTLEGROUND",G148&lt;&gt;"LIBSETS_SETTYPE_SPECIAL"),IF(AV148&lt;&gt;"",VLOOKUP(AV148,'ESO zones'!$D$5:$H$4957,5,FALSE),""),"")</f>
        <v/>
      </c>
      <c r="AX148" s="29"/>
      <c r="AY148" s="29"/>
      <c r="AZ148" s="49" t="s">
        <v>403</v>
      </c>
      <c r="BA148" s="49"/>
      <c r="BB148" s="49"/>
      <c r="BC148" s="49"/>
      <c r="BD148" s="49"/>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1">
        <v>176</v>
      </c>
      <c r="B149" t="s">
        <v>756</v>
      </c>
      <c r="C149" t="s">
        <v>757</v>
      </c>
      <c r="D149" s="3">
        <f t="shared" si="12"/>
        <v>176</v>
      </c>
      <c r="G149" s="9" t="s">
        <v>163</v>
      </c>
      <c r="I149" t="s">
        <v>401</v>
      </c>
      <c r="J149" t="s">
        <v>401</v>
      </c>
      <c r="K149">
        <v>-1</v>
      </c>
      <c r="L149">
        <v>-1</v>
      </c>
      <c r="M149">
        <v>-1</v>
      </c>
      <c r="N149">
        <v>5</v>
      </c>
      <c r="O149" s="5" t="s">
        <v>11</v>
      </c>
      <c r="Q149" s="3">
        <f>IF(AND(P149&lt;&gt;"",ISNUMBER(P149),NOT(ISNA(P149))),P149,IF(R149&lt;&gt;"",VLOOKUP(R149,'ESO zones'!$D$5:$H$10005,5,FALSE),""))</f>
        <v>584</v>
      </c>
      <c r="R149" t="str">
        <f>IF(AND(O149&lt;&gt;"",NOT(ISERROR(O149))),O149,IF(AND(P149&lt;&gt;"",ISNUMBER(P149),P149&gt;0,NOT(ISNA(P149))),VLOOKUP(P149,'ESO zones'!$A$5:$D$10003,4,FALSE),IF(AND(K149&lt;&gt;"",K149&gt;0,NOT(ISERROR(K149))),VLOOKUP(K149,'ESO wayshrines'!$K$3:$N$9972,4,FALSE),"")))</f>
        <v>Imperial City</v>
      </c>
      <c r="T149" s="16" t="str">
        <f>IF(AND(S149&lt;&gt;"",NOT(ISERROR(S149))),S149,VLOOKUP(A149,'ESO Set&amp;DLCs'!$A$3:$D$99998,4,FALSE))</f>
        <v>DLC_IMPERIAL_CITY</v>
      </c>
      <c r="U149" s="3" t="str">
        <f>IF(T149&lt;&gt;"",VLOOKUP(T149,ConstDLCIds!$B$4:$C$1000,2,FALSE),"")</f>
        <v>Imperial City</v>
      </c>
      <c r="V149" s="4" t="s">
        <v>281</v>
      </c>
      <c r="Y149" s="5"/>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zones'!$A$5:$D$10003,4,FALSE),"")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zones'!$A$5:$D$10003,4,FALSE),"")</f>
        <v/>
      </c>
      <c r="AK149" s="3" t="str">
        <f>IF(AND(G149&lt;&gt;"LIBSETS_SETTYPE_BATTLEGROUND",G149&lt;&gt;"LIBSETS_SETTYPE_SPECIAL"),IF(AL149&lt;&gt;"",VLOOKUP(AL149,'ESO zones'!$D$5:$H$4957,5,FALSE),""),"")</f>
        <v/>
      </c>
      <c r="AP149" s="3" t="str">
        <f>IF(AND(G149&lt;&gt;"LIBSETS_SETTYPE_BATTLEGROUND",G149&lt;&gt;"LIBSETS_SETTYPE_SPECIAL"),IF(AQ149&lt;&gt;"",VLOOKUP(AQ149,'ESO zones'!$D$5:$H$4957,5,FALSE),""),"")</f>
        <v/>
      </c>
      <c r="AU149" s="3" t="str">
        <f>IF(AND(G149&lt;&gt;"LIBSETS_SETTYPE_BATTLEGROUND",G149&lt;&gt;"LIBSETS_SETTYPE_SPECIAL"),IF(AV149&lt;&gt;"",VLOOKUP(AV149,'ESO zones'!$D$5:$H$4957,5,FALSE),""),"")</f>
        <v/>
      </c>
      <c r="AZ149" s="49" t="s">
        <v>403</v>
      </c>
      <c r="BA149" s="49"/>
      <c r="BB149" s="49"/>
      <c r="BC149" s="49"/>
      <c r="BD149" s="49"/>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1">
        <v>177</v>
      </c>
      <c r="B150" t="s">
        <v>758</v>
      </c>
      <c r="C150" t="s">
        <v>759</v>
      </c>
      <c r="D150" s="3">
        <f t="shared" si="12"/>
        <v>177</v>
      </c>
      <c r="G150" s="9" t="s">
        <v>163</v>
      </c>
      <c r="I150" t="s">
        <v>401</v>
      </c>
      <c r="J150" t="s">
        <v>401</v>
      </c>
      <c r="K150">
        <v>-1</v>
      </c>
      <c r="L150">
        <v>-1</v>
      </c>
      <c r="M150">
        <v>-1</v>
      </c>
      <c r="N150">
        <v>7</v>
      </c>
      <c r="O150" s="5" t="s">
        <v>11</v>
      </c>
      <c r="Q150" s="3">
        <f>IF(AND(P150&lt;&gt;"",ISNUMBER(P150),NOT(ISNA(P150))),P150,IF(R150&lt;&gt;"",VLOOKUP(R150,'ESO zones'!$D$5:$H$10005,5,FALSE),""))</f>
        <v>584</v>
      </c>
      <c r="R150" t="str">
        <f>IF(AND(O150&lt;&gt;"",NOT(ISERROR(O150))),O150,IF(AND(P150&lt;&gt;"",ISNUMBER(P150),P150&gt;0,NOT(ISNA(P150))),VLOOKUP(P150,'ESO zones'!$A$5:$D$10003,4,FALSE),IF(AND(K150&lt;&gt;"",K150&gt;0,NOT(ISERROR(K150))),VLOOKUP(K150,'ESO wayshrines'!$K$3:$N$9972,4,FALSE),"")))</f>
        <v>Imperial City</v>
      </c>
      <c r="T150" s="16" t="str">
        <f>IF(AND(S150&lt;&gt;"",NOT(ISERROR(S150))),S150,VLOOKUP(A150,'ESO Set&amp;DLCs'!$A$3:$D$99998,4,FALSE))</f>
        <v>DLC_IMPERIAL_CITY</v>
      </c>
      <c r="U150" s="3" t="str">
        <f>IF(T150&lt;&gt;"",VLOOKUP(T150,ConstDLCIds!$B$4:$C$1000,2,FALSE),"")</f>
        <v>Imperial City</v>
      </c>
      <c r="V150" s="4" t="s">
        <v>281</v>
      </c>
      <c r="Y150" s="5"/>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zones'!$A$5:$D$10003,4,FALSE),"")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zones'!$A$5:$D$10003,4,FALSE),"")</f>
        <v/>
      </c>
      <c r="AK150" s="3" t="str">
        <f>IF(AND(G150&lt;&gt;"LIBSETS_SETTYPE_BATTLEGROUND",G150&lt;&gt;"LIBSETS_SETTYPE_SPECIAL"),IF(AL150&lt;&gt;"",VLOOKUP(AL150,'ESO zones'!$D$5:$H$4957,5,FALSE),""),"")</f>
        <v/>
      </c>
      <c r="AP150" s="3" t="str">
        <f>IF(AND(G150&lt;&gt;"LIBSETS_SETTYPE_BATTLEGROUND",G150&lt;&gt;"LIBSETS_SETTYPE_SPECIAL"),IF(AQ150&lt;&gt;"",VLOOKUP(AQ150,'ESO zones'!$D$5:$H$4957,5,FALSE),""),"")</f>
        <v/>
      </c>
      <c r="AU150" s="3" t="str">
        <f>IF(AND(G150&lt;&gt;"LIBSETS_SETTYPE_BATTLEGROUND",G150&lt;&gt;"LIBSETS_SETTYPE_SPECIAL"),IF(AV150&lt;&gt;"",VLOOKUP(AV150,'ESO zones'!$D$5:$H$4957,5,FALSE),""),"")</f>
        <v/>
      </c>
      <c r="AZ150" s="49" t="s">
        <v>403</v>
      </c>
      <c r="BA150" s="49"/>
      <c r="BB150" s="49"/>
      <c r="BC150" s="49"/>
      <c r="BD150" s="49"/>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1">
        <v>178</v>
      </c>
      <c r="B151" t="s">
        <v>760</v>
      </c>
      <c r="C151" t="s">
        <v>761</v>
      </c>
      <c r="D151" s="3">
        <f t="shared" si="12"/>
        <v>178</v>
      </c>
      <c r="G151" s="9" t="s">
        <v>163</v>
      </c>
      <c r="I151" t="s">
        <v>401</v>
      </c>
      <c r="J151" t="s">
        <v>401</v>
      </c>
      <c r="K151">
        <v>-1</v>
      </c>
      <c r="L151">
        <v>-1</v>
      </c>
      <c r="M151">
        <v>-1</v>
      </c>
      <c r="N151">
        <v>9</v>
      </c>
      <c r="O151" s="5" t="s">
        <v>11</v>
      </c>
      <c r="Q151" s="3">
        <f>IF(AND(P151&lt;&gt;"",ISNUMBER(P151),NOT(ISNA(P151))),P151,IF(R151&lt;&gt;"",VLOOKUP(R151,'ESO zones'!$D$5:$H$10005,5,FALSE),""))</f>
        <v>584</v>
      </c>
      <c r="R151" t="str">
        <f>IF(AND(O151&lt;&gt;"",NOT(ISERROR(O151))),O151,IF(AND(P151&lt;&gt;"",ISNUMBER(P151),P151&gt;0,NOT(ISNA(P151))),VLOOKUP(P151,'ESO zones'!$A$5:$D$10003,4,FALSE),IF(AND(K151&lt;&gt;"",K151&gt;0,NOT(ISERROR(K151))),VLOOKUP(K151,'ESO wayshrines'!$K$3:$N$9972,4,FALSE),"")))</f>
        <v>Imperial City</v>
      </c>
      <c r="T151" s="16" t="str">
        <f>IF(AND(S151&lt;&gt;"",NOT(ISERROR(S151))),S151,VLOOKUP(A151,'ESO Set&amp;DLCs'!$A$3:$D$99998,4,FALSE))</f>
        <v>DLC_IMPERIAL_CITY</v>
      </c>
      <c r="U151" s="3" t="str">
        <f>IF(T151&lt;&gt;"",VLOOKUP(T151,ConstDLCIds!$B$4:$C$1000,2,FALSE),"")</f>
        <v>Imperial City</v>
      </c>
      <c r="V151" s="4" t="s">
        <v>281</v>
      </c>
      <c r="Y151" s="5"/>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zones'!$A$5:$D$10003,4,FALSE),"")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zones'!$A$5:$D$10003,4,FALSE),"")</f>
        <v/>
      </c>
      <c r="AK151" s="3" t="str">
        <f>IF(AND(G151&lt;&gt;"LIBSETS_SETTYPE_BATTLEGROUND",G151&lt;&gt;"LIBSETS_SETTYPE_SPECIAL"),IF(AL151&lt;&gt;"",VLOOKUP(AL151,'ESO zones'!$D$5:$H$4957,5,FALSE),""),"")</f>
        <v/>
      </c>
      <c r="AP151" s="3" t="str">
        <f>IF(AND(G151&lt;&gt;"LIBSETS_SETTYPE_BATTLEGROUND",G151&lt;&gt;"LIBSETS_SETTYPE_SPECIAL"),IF(AQ151&lt;&gt;"",VLOOKUP(AQ151,'ESO zones'!$D$5:$H$4957,5,FALSE),""),"")</f>
        <v/>
      </c>
      <c r="AU151" s="3" t="str">
        <f>IF(AND(G151&lt;&gt;"LIBSETS_SETTYPE_BATTLEGROUND",G151&lt;&gt;"LIBSETS_SETTYPE_SPECIAL"),IF(AV151&lt;&gt;"",VLOOKUP(AV151,'ESO zones'!$D$5:$H$4957,5,FALSE),""),"")</f>
        <v/>
      </c>
      <c r="AZ151" s="49" t="s">
        <v>403</v>
      </c>
      <c r="BA151" s="49"/>
      <c r="BB151" s="49"/>
      <c r="BC151" s="49"/>
      <c r="BD151" s="49"/>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2">
        <v>179</v>
      </c>
      <c r="B152" t="s">
        <v>762</v>
      </c>
      <c r="C152" t="s">
        <v>763</v>
      </c>
      <c r="D152" s="3">
        <f t="shared" si="12"/>
        <v>179</v>
      </c>
      <c r="G152" s="9" t="s">
        <v>171</v>
      </c>
      <c r="I152" t="s">
        <v>401</v>
      </c>
      <c r="J152" t="s">
        <v>401</v>
      </c>
      <c r="K152">
        <v>-1</v>
      </c>
      <c r="L152">
        <v>-1</v>
      </c>
      <c r="M152">
        <v>-1</v>
      </c>
      <c r="O152" s="5" t="s">
        <v>764</v>
      </c>
      <c r="Q152" s="3">
        <f>IF(AND(P152&lt;&gt;"",ISNUMBER(P152),NOT(ISNA(P152))),P152,IF(R152&lt;&gt;"",VLOOKUP(R152,'ESO zones'!$D$5:$H$10005,5,FALSE),""))</f>
        <v>643</v>
      </c>
      <c r="R152" t="str">
        <f>IF(AND(O152&lt;&gt;"",NOT(ISERROR(O152))),O152,IF(AND(P152&lt;&gt;"",ISNUMBER(P152),P152&gt;0,NOT(ISNA(P152))),VLOOKUP(P152,'ESO zones'!$A$5:$D$10003,4,FALSE),IF(AND(K152&lt;&gt;"",K152&gt;0,NOT(ISERROR(K152))),VLOOKUP(K152,'ESO wayshrines'!$K$3:$N$9972,4,FALSE),"")))</f>
        <v>Imperial Sewers</v>
      </c>
      <c r="T152" s="16" t="str">
        <f>IF(AND(S152&lt;&gt;"",NOT(ISERROR(S152))),S152,VLOOKUP(A152,'ESO Set&amp;DLCs'!$A$3:$D$99998,4,FALSE))</f>
        <v>DLC_IMPERIAL_CITY</v>
      </c>
      <c r="U152" s="3" t="str">
        <f>IF(T152&lt;&gt;"",VLOOKUP(T152,ConstDLCIds!$B$4:$C$1000,2,FALSE),"")</f>
        <v>Imperial City</v>
      </c>
      <c r="V152" s="4" t="s">
        <v>245</v>
      </c>
      <c r="Y152" s="5">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zones'!$A$5:$D$10003,4,FALSE),"")</f>
        <v>Imperial City</v>
      </c>
      <c r="AB152" s="4"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zones'!$A$5:$D$10003,4,FALSE),"")</f>
        <v/>
      </c>
      <c r="AK152" s="3" t="str">
        <f>IF(AND(G152&lt;&gt;"LIBSETS_SETTYPE_BATTLEGROUND",G152&lt;&gt;"LIBSETS_SETTYPE_SPECIAL"),IF(AL152&lt;&gt;"",VLOOKUP(AL152,'ESO zones'!$D$5:$H$4957,5,FALSE),""),"")</f>
        <v/>
      </c>
      <c r="AP152" s="3" t="str">
        <f>IF(AND(G152&lt;&gt;"LIBSETS_SETTYPE_BATTLEGROUND",G152&lt;&gt;"LIBSETS_SETTYPE_SPECIAL"),IF(AQ152&lt;&gt;"",VLOOKUP(AQ152,'ESO zones'!$D$5:$H$4957,5,FALSE),""),"")</f>
        <v/>
      </c>
      <c r="AU152" s="3" t="str">
        <f>IF(AND(G152&lt;&gt;"LIBSETS_SETTYPE_BATTLEGROUND",G152&lt;&gt;"LIBSETS_SETTYPE_SPECIAL"),IF(AV152&lt;&gt;"",VLOOKUP(AV152,'ESO zones'!$D$5:$H$4957,5,FALSE),""),"")</f>
        <v/>
      </c>
      <c r="AZ152" s="49" t="s">
        <v>410</v>
      </c>
      <c r="BA152" s="49"/>
      <c r="BB152" s="49"/>
      <c r="BC152" s="49"/>
      <c r="BD152" s="49"/>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2">
        <v>180</v>
      </c>
      <c r="B153" t="s">
        <v>765</v>
      </c>
      <c r="C153" t="s">
        <v>766</v>
      </c>
      <c r="D153" s="3">
        <f t="shared" si="12"/>
        <v>180</v>
      </c>
      <c r="G153" s="9" t="s">
        <v>171</v>
      </c>
      <c r="I153" t="s">
        <v>401</v>
      </c>
      <c r="J153" t="s">
        <v>401</v>
      </c>
      <c r="K153">
        <v>-1</v>
      </c>
      <c r="L153">
        <v>-1</v>
      </c>
      <c r="M153">
        <v>-1</v>
      </c>
      <c r="O153" s="5" t="s">
        <v>764</v>
      </c>
      <c r="Q153" s="3">
        <f>IF(AND(P153&lt;&gt;"",ISNUMBER(P153),NOT(ISNA(P153))),P153,IF(R153&lt;&gt;"",VLOOKUP(R153,'ESO zones'!$D$5:$H$10005,5,FALSE),""))</f>
        <v>643</v>
      </c>
      <c r="R153" t="str">
        <f>IF(AND(O153&lt;&gt;"",NOT(ISERROR(O153))),O153,IF(AND(P153&lt;&gt;"",ISNUMBER(P153),P153&gt;0,NOT(ISNA(P153))),VLOOKUP(P153,'ESO zones'!$A$5:$D$10003,4,FALSE),IF(AND(K153&lt;&gt;"",K153&gt;0,NOT(ISERROR(K153))),VLOOKUP(K153,'ESO wayshrines'!$K$3:$N$9972,4,FALSE),"")))</f>
        <v>Imperial Sewers</v>
      </c>
      <c r="T153" s="16" t="str">
        <f>IF(AND(S153&lt;&gt;"",NOT(ISERROR(S153))),S153,VLOOKUP(A153,'ESO Set&amp;DLCs'!$A$3:$D$99998,4,FALSE))</f>
        <v>DLC_IMPERIAL_CITY</v>
      </c>
      <c r="U153" s="3" t="str">
        <f>IF(T153&lt;&gt;"",VLOOKUP(T153,ConstDLCIds!$B$4:$C$1000,2,FALSE),"")</f>
        <v>Imperial City</v>
      </c>
      <c r="V153" s="4" t="s">
        <v>245</v>
      </c>
      <c r="Y153" s="5">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zones'!$A$5:$D$10003,4,FALSE),"")</f>
        <v>Imperial City</v>
      </c>
      <c r="AB153" s="4"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zones'!$A$5:$D$10003,4,FALSE),"")</f>
        <v/>
      </c>
      <c r="AK153" s="3" t="str">
        <f>IF(AND(G153&lt;&gt;"LIBSETS_SETTYPE_BATTLEGROUND",G153&lt;&gt;"LIBSETS_SETTYPE_SPECIAL"),IF(AL153&lt;&gt;"",VLOOKUP(AL153,'ESO zones'!$D$5:$H$4957,5,FALSE),""),"")</f>
        <v/>
      </c>
      <c r="AP153" s="3" t="str">
        <f>IF(AND(G153&lt;&gt;"LIBSETS_SETTYPE_BATTLEGROUND",G153&lt;&gt;"LIBSETS_SETTYPE_SPECIAL"),IF(AQ153&lt;&gt;"",VLOOKUP(AQ153,'ESO zones'!$D$5:$H$4957,5,FALSE),""),"")</f>
        <v/>
      </c>
      <c r="AU153" s="3" t="str">
        <f>IF(AND(G153&lt;&gt;"LIBSETS_SETTYPE_BATTLEGROUND",G153&lt;&gt;"LIBSETS_SETTYPE_SPECIAL"),IF(AV153&lt;&gt;"",VLOOKUP(AV153,'ESO zones'!$D$5:$H$4957,5,FALSE),""),"")</f>
        <v/>
      </c>
      <c r="AZ153" s="49" t="s">
        <v>403</v>
      </c>
      <c r="BA153" s="49"/>
      <c r="BB153" s="49"/>
      <c r="BC153" s="49"/>
      <c r="BD153" s="49"/>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2">
        <v>181</v>
      </c>
      <c r="B154" t="s">
        <v>767</v>
      </c>
      <c r="C154" t="s">
        <v>768</v>
      </c>
      <c r="D154" s="3">
        <f t="shared" si="12"/>
        <v>181</v>
      </c>
      <c r="G154" s="9" t="s">
        <v>171</v>
      </c>
      <c r="I154" t="s">
        <v>401</v>
      </c>
      <c r="J154" t="s">
        <v>401</v>
      </c>
      <c r="K154">
        <v>-1</v>
      </c>
      <c r="L154">
        <v>-1</v>
      </c>
      <c r="M154">
        <v>-1</v>
      </c>
      <c r="O154" s="5" t="s">
        <v>764</v>
      </c>
      <c r="Q154" s="3">
        <f>IF(AND(P154&lt;&gt;"",ISNUMBER(P154),NOT(ISNA(P154))),P154,IF(R154&lt;&gt;"",VLOOKUP(R154,'ESO zones'!$D$5:$H$10005,5,FALSE),""))</f>
        <v>643</v>
      </c>
      <c r="R154" t="str">
        <f>IF(AND(O154&lt;&gt;"",NOT(ISERROR(O154))),O154,IF(AND(P154&lt;&gt;"",ISNUMBER(P154),P154&gt;0,NOT(ISNA(P154))),VLOOKUP(P154,'ESO zones'!$A$5:$D$10003,4,FALSE),IF(AND(K154&lt;&gt;"",K154&gt;0,NOT(ISERROR(K154))),VLOOKUP(K154,'ESO wayshrines'!$K$3:$N$9972,4,FALSE),"")))</f>
        <v>Imperial Sewers</v>
      </c>
      <c r="T154" s="16" t="str">
        <f>IF(AND(S154&lt;&gt;"",NOT(ISERROR(S154))),S154,VLOOKUP(A154,'ESO Set&amp;DLCs'!$A$3:$D$99998,4,FALSE))</f>
        <v>DLC_IMPERIAL_CITY</v>
      </c>
      <c r="U154" s="3" t="str">
        <f>IF(T154&lt;&gt;"",VLOOKUP(T154,ConstDLCIds!$B$4:$C$1000,2,FALSE),"")</f>
        <v>Imperial City</v>
      </c>
      <c r="V154" s="4" t="s">
        <v>245</v>
      </c>
      <c r="Y154" s="5">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zones'!$A$5:$D$10003,4,FALSE),"")</f>
        <v>Imperial City</v>
      </c>
      <c r="AB154" s="4"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zones'!$A$5:$D$10003,4,FALSE),"")</f>
        <v/>
      </c>
      <c r="AK154" s="3" t="str">
        <f>IF(AND(G154&lt;&gt;"LIBSETS_SETTYPE_BATTLEGROUND",G154&lt;&gt;"LIBSETS_SETTYPE_SPECIAL"),IF(AL154&lt;&gt;"",VLOOKUP(AL154,'ESO zones'!$D$5:$H$4957,5,FALSE),""),"")</f>
        <v/>
      </c>
      <c r="AP154" s="3" t="str">
        <f>IF(AND(G154&lt;&gt;"LIBSETS_SETTYPE_BATTLEGROUND",G154&lt;&gt;"LIBSETS_SETTYPE_SPECIAL"),IF(AQ154&lt;&gt;"",VLOOKUP(AQ154,'ESO zones'!$D$5:$H$4957,5,FALSE),""),"")</f>
        <v/>
      </c>
      <c r="AU154" s="3" t="str">
        <f>IF(AND(G154&lt;&gt;"LIBSETS_SETTYPE_BATTLEGROUND",G154&lt;&gt;"LIBSETS_SETTYPE_SPECIAL"),IF(AV154&lt;&gt;"",VLOOKUP(AV154,'ESO zones'!$D$5:$H$4957,5,FALSE),""),"")</f>
        <v/>
      </c>
      <c r="AZ154" s="49" t="s">
        <v>403</v>
      </c>
      <c r="BA154" s="49"/>
      <c r="BB154" s="49"/>
      <c r="BC154" s="49"/>
      <c r="BD154" s="49"/>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1">
        <v>183</v>
      </c>
      <c r="B155" t="s">
        <v>769</v>
      </c>
      <c r="C155" t="s">
        <v>769</v>
      </c>
      <c r="D155" s="3">
        <f t="shared" si="12"/>
        <v>183</v>
      </c>
      <c r="G155" s="9" t="s">
        <v>172</v>
      </c>
      <c r="H155">
        <v>3</v>
      </c>
      <c r="I155" t="s">
        <v>712</v>
      </c>
      <c r="J155" t="s">
        <v>401</v>
      </c>
      <c r="K155">
        <v>247</v>
      </c>
      <c r="L155">
        <v>247</v>
      </c>
      <c r="M155">
        <v>247</v>
      </c>
      <c r="O155" s="5" t="s">
        <v>770</v>
      </c>
      <c r="Q155" s="3">
        <f>IF(AND(P155&lt;&gt;"",ISNUMBER(P155),NOT(ISNA(P155))),P155,IF(R155&lt;&gt;"",VLOOKUP(R155,'ESO zones'!$D$5:$H$10005,5,FALSE),""))</f>
        <v>688</v>
      </c>
      <c r="R155" t="str">
        <f>IF(AND(O155&lt;&gt;"",NOT(ISERROR(O155))),O155,IF(AND(P155&lt;&gt;"",ISNUMBER(P155),P155&gt;0,NOT(ISNA(P155))),VLOOKUP(P155,'ESO zones'!$A$5:$D$10003,4,FALSE),IF(AND(K155&lt;&gt;"",K155&gt;0,NOT(ISERROR(K155))),VLOOKUP(K155,'ESO wayshrines'!$K$3:$N$9972,4,FALSE),"")))</f>
        <v>White-Gold Tower</v>
      </c>
      <c r="T155" s="16" t="str">
        <f>IF(AND(S155&lt;&gt;"",NOT(ISERROR(S155))),S155,VLOOKUP(A155,'ESO Set&amp;DLCs'!$A$3:$D$99998,4,FALSE))</f>
        <v>DLC_IMPERIAL_CITY</v>
      </c>
      <c r="U155" s="3" t="str">
        <f>IF(T155&lt;&gt;"",VLOOKUP(T155,ConstDLCIds!$B$4:$C$1000,2,FALSE),"")</f>
        <v>Imperial City</v>
      </c>
      <c r="V155" s="4" t="s">
        <v>212</v>
      </c>
      <c r="W155" s="3" t="s">
        <v>769</v>
      </c>
      <c r="X155" s="3" t="s">
        <v>769</v>
      </c>
      <c r="Y155" s="5"/>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zones'!$A$5:$D$10003,4,FALSE),"")</f>
        <v>Cyrodiil</v>
      </c>
      <c r="AC155" s="3" t="str">
        <f>IF(AB155&lt;&gt;"",IF(AB155&lt;&gt;"LIBSETS_DROP_MECHANIC_MONSTER_NAME",VLOOKUP(AB155,ConstDropMechs!$B$4:$C$1001,2,FALSE),""),"")</f>
        <v/>
      </c>
      <c r="AD155" s="3" t="str">
        <f>IF(AB155&lt;&gt;"",IF(AB155&lt;&gt;"LIBSETS_DROP_MECHANIC_MONSTER_NAME",VLOOKUP(AB155,ConstDropMechs!$B$4:$D$1001,3,FALSE),""),"")</f>
        <v/>
      </c>
      <c r="AE155" s="5"/>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zones'!$A$5:$D$10003,4,FALSE),"")</f>
        <v>Cyrodiil</v>
      </c>
      <c r="AI155" s="29"/>
      <c r="AJ155" s="29"/>
      <c r="AK155" s="3" t="str">
        <f>IF(AND(G155&lt;&gt;"LIBSETS_SETTYPE_BATTLEGROUND",G155&lt;&gt;"LIBSETS_SETTYPE_SPECIAL"),IF(AL155&lt;&gt;"",VLOOKUP(AL155,'ESO zones'!$D$5:$H$4957,5,FALSE),""),"")</f>
        <v/>
      </c>
      <c r="AN155" s="29"/>
      <c r="AO155" s="29"/>
      <c r="AP155" s="3" t="str">
        <f>IF(AND(G155&lt;&gt;"LIBSETS_SETTYPE_BATTLEGROUND",G155&lt;&gt;"LIBSETS_SETTYPE_SPECIAL"),IF(AQ155&lt;&gt;"",VLOOKUP(AQ155,'ESO zones'!$D$5:$H$4957,5,FALSE),""),"")</f>
        <v/>
      </c>
      <c r="AS155" s="29"/>
      <c r="AT155" s="29"/>
      <c r="AU155" s="3" t="str">
        <f>IF(AND(G155&lt;&gt;"LIBSETS_SETTYPE_BATTLEGROUND",G155&lt;&gt;"LIBSETS_SETTYPE_SPECIAL"),IF(AV155&lt;&gt;"",VLOOKUP(AV155,'ESO zones'!$D$5:$H$4957,5,FALSE),""),"")</f>
        <v/>
      </c>
      <c r="AX155" s="29"/>
      <c r="AY155" s="29"/>
      <c r="AZ155" s="49" t="s">
        <v>403</v>
      </c>
      <c r="BA155" s="49"/>
      <c r="BB155" s="49"/>
      <c r="BC155" s="49"/>
      <c r="BD155" s="49"/>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2">
        <v>184</v>
      </c>
      <c r="B156" t="s">
        <v>771</v>
      </c>
      <c r="C156" t="s">
        <v>772</v>
      </c>
      <c r="D156" s="3">
        <f t="shared" si="12"/>
        <v>184</v>
      </c>
      <c r="G156" s="9" t="s">
        <v>169</v>
      </c>
      <c r="I156" t="s">
        <v>401</v>
      </c>
      <c r="J156" t="s">
        <v>401</v>
      </c>
      <c r="K156">
        <v>247</v>
      </c>
      <c r="L156">
        <v>247</v>
      </c>
      <c r="M156">
        <v>247</v>
      </c>
      <c r="O156" s="5" t="s">
        <v>770</v>
      </c>
      <c r="Q156" s="3">
        <f>IF(AND(P156&lt;&gt;"",ISNUMBER(P156),NOT(ISNA(P156))),P156,IF(R156&lt;&gt;"",VLOOKUP(R156,'ESO zones'!$D$5:$H$10005,5,FALSE),""))</f>
        <v>688</v>
      </c>
      <c r="R156" t="str">
        <f>IF(AND(O156&lt;&gt;"",NOT(ISERROR(O156))),O156,IF(AND(P156&lt;&gt;"",ISNUMBER(P156),P156&gt;0,NOT(ISNA(P156))),VLOOKUP(P156,'ESO zones'!$A$5:$D$10003,4,FALSE),IF(AND(K156&lt;&gt;"",K156&gt;0,NOT(ISERROR(K156))),VLOOKUP(K156,'ESO wayshrines'!$K$3:$N$9972,4,FALSE),"")))</f>
        <v>White-Gold Tower</v>
      </c>
      <c r="T156" s="16" t="str">
        <f>IF(AND(S156&lt;&gt;"",NOT(ISERROR(S156))),S156,VLOOKUP(A156,'ESO Set&amp;DLCs'!$A$3:$D$99998,4,FALSE))</f>
        <v>DLC_IMPERIAL_CITY</v>
      </c>
      <c r="U156" s="3" t="str">
        <f>IF(T156&lt;&gt;"",VLOOKUP(T156,ConstDLCIds!$B$4:$C$1000,2,FALSE),"")</f>
        <v>Imperial City</v>
      </c>
      <c r="V156" s="4" t="s">
        <v>278</v>
      </c>
      <c r="Y156" s="5">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zones'!$A$5:$D$10003,4,FALSE),"")</f>
        <v>Imperial City</v>
      </c>
      <c r="AB156" s="4" t="s">
        <v>233</v>
      </c>
      <c r="AF156" s="3"/>
      <c r="AG156" t="str">
        <f>IF(AND(AF156&lt;&gt;"",ISNUMBER(AF156),NOT(ISNA(AF156))),VLOOKUP(AF156,'ESO zones'!$A$5:$D$10003,4,FALSE),"")</f>
        <v/>
      </c>
      <c r="AH156" s="57"/>
      <c r="AK156" s="3" t="str">
        <f>IF(AND(G156&lt;&gt;"LIBSETS_SETTYPE_BATTLEGROUND",G156&lt;&gt;"LIBSETS_SETTYPE_SPECIAL"),IF(AL156&lt;&gt;"",VLOOKUP(AL156,'ESO zones'!$D$5:$H$4957,5,FALSE),""),"")</f>
        <v/>
      </c>
      <c r="AP156" s="3" t="str">
        <f>IF(AND(G156&lt;&gt;"LIBSETS_SETTYPE_BATTLEGROUND",G156&lt;&gt;"LIBSETS_SETTYPE_SPECIAL"),IF(AQ156&lt;&gt;"",VLOOKUP(AQ156,'ESO zones'!$D$5:$H$4957,5,FALSE),""),"")</f>
        <v/>
      </c>
      <c r="AU156" s="3" t="str">
        <f>IF(AND(G156&lt;&gt;"LIBSETS_SETTYPE_BATTLEGROUND",G156&lt;&gt;"LIBSETS_SETTYPE_SPECIAL"),IF(AV156&lt;&gt;"",VLOOKUP(AV156,'ESO zones'!$D$5:$H$4957,5,FALSE),""),"")</f>
        <v/>
      </c>
      <c r="AZ156" s="49" t="s">
        <v>403</v>
      </c>
      <c r="BA156" s="49"/>
      <c r="BB156" s="49"/>
      <c r="BC156" s="49"/>
      <c r="BD156" s="49"/>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2">
        <v>185</v>
      </c>
      <c r="B157" t="s">
        <v>773</v>
      </c>
      <c r="C157" t="s">
        <v>774</v>
      </c>
      <c r="D157" s="3">
        <f t="shared" si="12"/>
        <v>185</v>
      </c>
      <c r="G157" s="9" t="s">
        <v>169</v>
      </c>
      <c r="I157" t="s">
        <v>401</v>
      </c>
      <c r="J157" t="s">
        <v>401</v>
      </c>
      <c r="K157">
        <v>247</v>
      </c>
      <c r="L157">
        <v>247</v>
      </c>
      <c r="M157">
        <v>247</v>
      </c>
      <c r="O157" s="5" t="s">
        <v>770</v>
      </c>
      <c r="Q157" s="3">
        <f>IF(AND(P157&lt;&gt;"",ISNUMBER(P157),NOT(ISNA(P157))),P157,IF(R157&lt;&gt;"",VLOOKUP(R157,'ESO zones'!$D$5:$H$10005,5,FALSE),""))</f>
        <v>688</v>
      </c>
      <c r="R157" t="str">
        <f>IF(AND(O157&lt;&gt;"",NOT(ISERROR(O157))),O157,IF(AND(P157&lt;&gt;"",ISNUMBER(P157),P157&gt;0,NOT(ISNA(P157))),VLOOKUP(P157,'ESO zones'!$A$5:$D$10003,4,FALSE),IF(AND(K157&lt;&gt;"",K157&gt;0,NOT(ISERROR(K157))),VLOOKUP(K157,'ESO wayshrines'!$K$3:$N$9972,4,FALSE),"")))</f>
        <v>White-Gold Tower</v>
      </c>
      <c r="T157" s="16" t="str">
        <f>IF(AND(S157&lt;&gt;"",NOT(ISERROR(S157))),S157,VLOOKUP(A157,'ESO Set&amp;DLCs'!$A$3:$D$99998,4,FALSE))</f>
        <v>DLC_IMPERIAL_CITY</v>
      </c>
      <c r="U157" s="3" t="str">
        <f>IF(T157&lt;&gt;"",VLOOKUP(T157,ConstDLCIds!$B$4:$C$1000,2,FALSE),"")</f>
        <v>Imperial City</v>
      </c>
      <c r="V157" s="4" t="s">
        <v>278</v>
      </c>
      <c r="Y157" s="5">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zones'!$A$5:$D$10003,4,FALSE),"")</f>
        <v>Imperial City</v>
      </c>
      <c r="AB157" s="4" t="s">
        <v>233</v>
      </c>
      <c r="AF157" s="3"/>
      <c r="AG157" t="str">
        <f>IF(AND(AF157&lt;&gt;"",ISNUMBER(AF157),NOT(ISNA(AF157))),VLOOKUP(AF157,'ESO zones'!$A$5:$D$10003,4,FALSE),"")</f>
        <v/>
      </c>
      <c r="AH157" s="57"/>
      <c r="AK157" s="3" t="str">
        <f>IF(AND(G157&lt;&gt;"LIBSETS_SETTYPE_BATTLEGROUND",G157&lt;&gt;"LIBSETS_SETTYPE_SPECIAL"),IF(AL157&lt;&gt;"",VLOOKUP(AL157,'ESO zones'!$D$5:$H$4957,5,FALSE),""),"")</f>
        <v/>
      </c>
      <c r="AP157" s="3" t="str">
        <f>IF(AND(G157&lt;&gt;"LIBSETS_SETTYPE_BATTLEGROUND",G157&lt;&gt;"LIBSETS_SETTYPE_SPECIAL"),IF(AQ157&lt;&gt;"",VLOOKUP(AQ157,'ESO zones'!$D$5:$H$4957,5,FALSE),""),"")</f>
        <v/>
      </c>
      <c r="AU157" s="3" t="str">
        <f>IF(AND(G157&lt;&gt;"LIBSETS_SETTYPE_BATTLEGROUND",G157&lt;&gt;"LIBSETS_SETTYPE_SPECIAL"),IF(AV157&lt;&gt;"",VLOOKUP(AV157,'ESO zones'!$D$5:$H$4957,5,FALSE),""),"")</f>
        <v/>
      </c>
      <c r="AZ157" s="49" t="s">
        <v>403</v>
      </c>
      <c r="BA157" s="49"/>
      <c r="BB157" s="49"/>
      <c r="BC157" s="49"/>
      <c r="BD157" s="49"/>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2">
        <v>186</v>
      </c>
      <c r="B158" t="s">
        <v>775</v>
      </c>
      <c r="C158" t="s">
        <v>776</v>
      </c>
      <c r="D158" s="3">
        <f t="shared" si="12"/>
        <v>186</v>
      </c>
      <c r="G158" s="9" t="s">
        <v>169</v>
      </c>
      <c r="I158" t="s">
        <v>401</v>
      </c>
      <c r="J158" t="s">
        <v>401</v>
      </c>
      <c r="K158">
        <v>188</v>
      </c>
      <c r="L158">
        <v>188</v>
      </c>
      <c r="M158">
        <v>188</v>
      </c>
      <c r="O158" s="5" t="s">
        <v>777</v>
      </c>
      <c r="Q158" s="3">
        <f>IF(AND(P158&lt;&gt;"",ISNUMBER(P158),NOT(ISNA(P158))),P158,IF(R158&lt;&gt;"",VLOOKUP(R158,'ESO zones'!$D$5:$H$10005,5,FALSE),""))</f>
        <v>131</v>
      </c>
      <c r="R158" t="str">
        <f>IF(AND(O158&lt;&gt;"",NOT(ISERROR(O158))),O158,IF(AND(P158&lt;&gt;"",ISNUMBER(P158),P158&gt;0,NOT(ISNA(P158))),VLOOKUP(P158,'ESO zones'!$A$5:$D$10003,4,FALSE),IF(AND(K158&lt;&gt;"",K158&gt;0,NOT(ISERROR(K158))),VLOOKUP(K158,'ESO wayshrines'!$K$3:$N$9972,4,FALSE),"")))</f>
        <v>Tempest Island</v>
      </c>
      <c r="T158" s="16" t="str">
        <f>IF(AND(S158&lt;&gt;"",NOT(ISERROR(S158))),S158,VLOOKUP(A158,'ESO Set&amp;DLCs'!$A$3:$D$99998,4,FALSE))</f>
        <v>DLC_BASE_GAME</v>
      </c>
      <c r="U158" s="3" t="str">
        <f>IF(T158&lt;&gt;"",VLOOKUP(T158,ConstDLCIds!$B$4:$C$1000,2,FALSE),"")</f>
        <v>Included in base game</v>
      </c>
      <c r="V158" s="4" t="s">
        <v>278</v>
      </c>
      <c r="Y158" s="5"/>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zones'!$A$5:$D$10003,4,FALSE),"")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zones'!$A$5:$D$10003,4,FALSE),"")</f>
        <v>Malabal Tor</v>
      </c>
      <c r="AK158" s="3" t="str">
        <f>IF(AND(G158&lt;&gt;"LIBSETS_SETTYPE_BATTLEGROUND",G158&lt;&gt;"LIBSETS_SETTYPE_SPECIAL"),IF(AL158&lt;&gt;"",VLOOKUP(AL158,'ESO zones'!$D$5:$H$4957,5,FALSE),""),"")</f>
        <v/>
      </c>
      <c r="AP158" s="3" t="str">
        <f>IF(AND(G158&lt;&gt;"LIBSETS_SETTYPE_BATTLEGROUND",G158&lt;&gt;"LIBSETS_SETTYPE_SPECIAL"),IF(AQ158&lt;&gt;"",VLOOKUP(AQ158,'ESO zones'!$D$5:$H$4957,5,FALSE),""),"")</f>
        <v/>
      </c>
      <c r="AU158" s="3" t="str">
        <f>IF(AND(G158&lt;&gt;"LIBSETS_SETTYPE_BATTLEGROUND",G158&lt;&gt;"LIBSETS_SETTYPE_SPECIAL"),IF(AV158&lt;&gt;"",VLOOKUP(AV158,'ESO zones'!$D$5:$H$4957,5,FALSE),""),"")</f>
        <v/>
      </c>
      <c r="AZ158" s="49" t="s">
        <v>403</v>
      </c>
      <c r="BA158" s="49"/>
      <c r="BB158" s="49"/>
      <c r="BC158" s="49"/>
      <c r="BD158" s="49"/>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2">
        <v>187</v>
      </c>
      <c r="B159" t="s">
        <v>778</v>
      </c>
      <c r="C159" t="s">
        <v>779</v>
      </c>
      <c r="D159" s="3">
        <f t="shared" si="12"/>
        <v>187</v>
      </c>
      <c r="G159" s="9" t="s">
        <v>174</v>
      </c>
      <c r="I159" t="s">
        <v>401</v>
      </c>
      <c r="J159" t="s">
        <v>401</v>
      </c>
      <c r="K159">
        <v>48</v>
      </c>
      <c r="L159">
        <v>48</v>
      </c>
      <c r="M159">
        <v>48</v>
      </c>
      <c r="O159" s="5" t="s">
        <v>506</v>
      </c>
      <c r="Q159" s="3">
        <f>IF(AND(P159&lt;&gt;"",ISNUMBER(P159),NOT(ISNA(P159))),P159,IF(R159&lt;&gt;"",VLOOKUP(R159,'ESO zones'!$D$5:$H$10005,5,FALSE),""))</f>
        <v>117</v>
      </c>
      <c r="R159" t="str">
        <f>IF(AND(O159&lt;&gt;"",NOT(ISERROR(O159))),O159,IF(AND(P159&lt;&gt;"",ISNUMBER(P159),P159&gt;0,NOT(ISNA(P159))),VLOOKUP(P159,'ESO zones'!$A$5:$D$10003,4,FALSE),IF(AND(K159&lt;&gt;"",K159&gt;0,NOT(ISERROR(K159))),VLOOKUP(K159,'ESO wayshrines'!$K$3:$N$9972,4,FALSE),"")))</f>
        <v>Shadowfen</v>
      </c>
      <c r="T159" s="16" t="str">
        <f>IF(AND(S159&lt;&gt;"",NOT(ISERROR(S159))),S159,VLOOKUP(A159,'ESO Set&amp;DLCs'!$A$3:$D$99998,4,FALSE))</f>
        <v>DLC_BASE_GAME</v>
      </c>
      <c r="U159" s="3" t="str">
        <f>IF(T159&lt;&gt;"",VLOOKUP(T159,ConstDLCIds!$B$4:$C$1000,2,FALSE),"")</f>
        <v>Included in base game</v>
      </c>
      <c r="V159" s="4" t="s">
        <v>215</v>
      </c>
      <c r="Y159" s="5"/>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zones'!$A$5:$D$10003,4,FALSE),"")</f>
        <v>Shadowfen</v>
      </c>
      <c r="AB159" s="4" t="s">
        <v>218</v>
      </c>
      <c r="AE159" s="3">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zones'!$A$5:$D$10003,4,FALSE),"")</f>
        <v>Sanguine's Demesne</v>
      </c>
      <c r="AH159" s="4" t="s">
        <v>221</v>
      </c>
      <c r="AK159" s="3">
        <f>IF(AND(G159&lt;&gt;"LIBSETS_SETTYPE_BATTLEGROUND",G159&lt;&gt;"LIBSETS_SETTYPE_SPECIAL"),IF(AL159&lt;&gt;"",VLOOKUP(AL159,'ESO zones'!$D$5:$H$4957,5,FALSE),""),"")</f>
        <v>117</v>
      </c>
      <c r="AL159" t="s">
        <v>506</v>
      </c>
      <c r="AM159" s="4" t="s">
        <v>224</v>
      </c>
      <c r="AP159" s="3">
        <f>IF(AND(G159&lt;&gt;"LIBSETS_SETTYPE_BATTLEGROUND",G159&lt;&gt;"LIBSETS_SETTYPE_SPECIAL"),IF(AQ159&lt;&gt;"",VLOOKUP(AQ159,'ESO zones'!$D$5:$H$4957,5,FALSE),""),"")</f>
        <v>117</v>
      </c>
      <c r="AQ159" t="s">
        <v>506</v>
      </c>
      <c r="AR159" s="80" t="s">
        <v>269</v>
      </c>
      <c r="AU159" s="3" t="str">
        <f>IF(AND(G159&lt;&gt;"LIBSETS_SETTYPE_BATTLEGROUND",G159&lt;&gt;"LIBSETS_SETTYPE_SPECIAL"),IF(AV159&lt;&gt;"",VLOOKUP(AV159,'ESO zones'!$D$5:$H$4957,5,FALSE),""),"")</f>
        <v/>
      </c>
      <c r="AZ159" s="49" t="s">
        <v>410</v>
      </c>
      <c r="BA159" s="49"/>
      <c r="BB159" s="49"/>
      <c r="BC159" s="49"/>
      <c r="BD159" s="49"/>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2">
        <v>188</v>
      </c>
      <c r="B160" t="s">
        <v>780</v>
      </c>
      <c r="C160" t="s">
        <v>781</v>
      </c>
      <c r="D160" s="3">
        <f t="shared" si="12"/>
        <v>188</v>
      </c>
      <c r="G160" s="9" t="s">
        <v>169</v>
      </c>
      <c r="I160" t="s">
        <v>401</v>
      </c>
      <c r="J160" t="s">
        <v>401</v>
      </c>
      <c r="K160">
        <v>188</v>
      </c>
      <c r="L160">
        <v>188</v>
      </c>
      <c r="M160">
        <v>188</v>
      </c>
      <c r="O160" s="5" t="s">
        <v>777</v>
      </c>
      <c r="Q160" s="3">
        <f>IF(AND(P160&lt;&gt;"",ISNUMBER(P160),NOT(ISNA(P160))),P160,IF(R160&lt;&gt;"",VLOOKUP(R160,'ESO zones'!$D$5:$H$10005,5,FALSE),""))</f>
        <v>131</v>
      </c>
      <c r="R160" t="str">
        <f>IF(AND(O160&lt;&gt;"",NOT(ISERROR(O160))),O160,IF(AND(P160&lt;&gt;"",ISNUMBER(P160),P160&gt;0,NOT(ISNA(P160))),VLOOKUP(P160,'ESO zones'!$A$5:$D$10003,4,FALSE),IF(AND(K160&lt;&gt;"",K160&gt;0,NOT(ISERROR(K160))),VLOOKUP(K160,'ESO wayshrines'!$K$3:$N$9972,4,FALSE),"")))</f>
        <v>Tempest Island</v>
      </c>
      <c r="T160" s="16" t="str">
        <f>IF(AND(S160&lt;&gt;"",NOT(ISERROR(S160))),S160,VLOOKUP(A160,'ESO Set&amp;DLCs'!$A$3:$D$99998,4,FALSE))</f>
        <v>DLC_BASE_GAME</v>
      </c>
      <c r="U160" s="3" t="str">
        <f>IF(T160&lt;&gt;"",VLOOKUP(T160,ConstDLCIds!$B$4:$C$1000,2,FALSE),"")</f>
        <v>Included in base game</v>
      </c>
      <c r="V160" s="4" t="s">
        <v>278</v>
      </c>
      <c r="Y160" s="5"/>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zones'!$A$5:$D$10003,4,FALSE),"")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zones'!$A$5:$D$10003,4,FALSE),"")</f>
        <v>Malabal Tor</v>
      </c>
      <c r="AK160" s="3" t="str">
        <f>IF(AND(G160&lt;&gt;"LIBSETS_SETTYPE_BATTLEGROUND",G160&lt;&gt;"LIBSETS_SETTYPE_SPECIAL"),IF(AL160&lt;&gt;"",VLOOKUP(AL160,'ESO zones'!$D$5:$H$4957,5,FALSE),""),"")</f>
        <v/>
      </c>
      <c r="AP160" s="3" t="str">
        <f>IF(AND(G160&lt;&gt;"LIBSETS_SETTYPE_BATTLEGROUND",G160&lt;&gt;"LIBSETS_SETTYPE_SPECIAL"),IF(AQ160&lt;&gt;"",VLOOKUP(AQ160,'ESO zones'!$D$5:$H$4957,5,FALSE),""),"")</f>
        <v/>
      </c>
      <c r="AU160" s="3" t="str">
        <f>IF(AND(G160&lt;&gt;"LIBSETS_SETTYPE_BATTLEGROUND",G160&lt;&gt;"LIBSETS_SETTYPE_SPECIAL"),IF(AV160&lt;&gt;"",VLOOKUP(AV160,'ESO zones'!$D$5:$H$4957,5,FALSE),""),"")</f>
        <v/>
      </c>
      <c r="AZ160" s="49" t="s">
        <v>403</v>
      </c>
      <c r="BA160" s="49"/>
      <c r="BB160" s="49"/>
      <c r="BC160" s="49"/>
      <c r="BD160" s="49"/>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2">
        <v>190</v>
      </c>
      <c r="B161" t="s">
        <v>782</v>
      </c>
      <c r="C161" t="s">
        <v>783</v>
      </c>
      <c r="D161" s="3">
        <f t="shared" si="12"/>
        <v>190</v>
      </c>
      <c r="G161" s="9" t="s">
        <v>169</v>
      </c>
      <c r="I161" t="s">
        <v>401</v>
      </c>
      <c r="J161" t="s">
        <v>401</v>
      </c>
      <c r="K161">
        <v>236</v>
      </c>
      <c r="L161">
        <v>236</v>
      </c>
      <c r="M161">
        <v>236</v>
      </c>
      <c r="O161" s="5" t="s">
        <v>722</v>
      </c>
      <c r="Q161" s="3">
        <f>IF(AND(P161&lt;&gt;"",ISNUMBER(P161),NOT(ISNA(P161))),P161,IF(R161&lt;&gt;"",VLOOKUP(R161,'ESO zones'!$D$5:$H$10005,5,FALSE),""))</f>
        <v>678</v>
      </c>
      <c r="R161" t="str">
        <f>IF(AND(O161&lt;&gt;"",NOT(ISERROR(O161))),O161,IF(AND(P161&lt;&gt;"",ISNUMBER(P161),P161&gt;0,NOT(ISNA(P161))),VLOOKUP(P161,'ESO zones'!$A$5:$D$10003,4,FALSE),IF(AND(K161&lt;&gt;"",K161&gt;0,NOT(ISERROR(K161))),VLOOKUP(K161,'ESO wayshrines'!$K$3:$N$9972,4,FALSE),"")))</f>
        <v>Imperial City Prison</v>
      </c>
      <c r="T161" s="16" t="str">
        <f>IF(AND(S161&lt;&gt;"",NOT(ISERROR(S161))),S161,VLOOKUP(A161,'ESO Set&amp;DLCs'!$A$3:$D$99998,4,FALSE))</f>
        <v>DLC_IMPERIAL_CITY</v>
      </c>
      <c r="U161" s="3" t="str">
        <f>IF(T161&lt;&gt;"",VLOOKUP(T161,ConstDLCIds!$B$4:$C$1000,2,FALSE),"")</f>
        <v>Imperial City</v>
      </c>
      <c r="V161" s="4" t="s">
        <v>278</v>
      </c>
      <c r="Y161" s="5">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zones'!$A$5:$D$10003,4,FALSE),"")</f>
        <v>Imperial City</v>
      </c>
      <c r="AB161" s="4" t="s">
        <v>233</v>
      </c>
      <c r="AF161" s="3"/>
      <c r="AG161" t="str">
        <f>IF(AND(AF161&lt;&gt;"",ISNUMBER(AF161),NOT(ISNA(AF161))),VLOOKUP(AF161,'ESO zones'!$A$5:$D$10003,4,FALSE),"")</f>
        <v/>
      </c>
      <c r="AH161" s="57"/>
      <c r="AK161" s="3" t="str">
        <f>IF(AND(G161&lt;&gt;"LIBSETS_SETTYPE_BATTLEGROUND",G161&lt;&gt;"LIBSETS_SETTYPE_SPECIAL"),IF(AL161&lt;&gt;"",VLOOKUP(AL161,'ESO zones'!$D$5:$H$4957,5,FALSE),""),"")</f>
        <v/>
      </c>
      <c r="AP161" s="3" t="str">
        <f>IF(AND(G161&lt;&gt;"LIBSETS_SETTYPE_BATTLEGROUND",G161&lt;&gt;"LIBSETS_SETTYPE_SPECIAL"),IF(AQ161&lt;&gt;"",VLOOKUP(AQ161,'ESO zones'!$D$5:$H$4957,5,FALSE),""),"")</f>
        <v/>
      </c>
      <c r="AU161" s="3" t="str">
        <f>IF(AND(G161&lt;&gt;"LIBSETS_SETTYPE_BATTLEGROUND",G161&lt;&gt;"LIBSETS_SETTYPE_SPECIAL"),IF(AV161&lt;&gt;"",VLOOKUP(AV161,'ESO zones'!$D$5:$H$4957,5,FALSE),""),"")</f>
        <v/>
      </c>
      <c r="AZ161" s="49" t="s">
        <v>403</v>
      </c>
      <c r="BA161" s="49"/>
      <c r="BB161" s="49"/>
      <c r="BC161" s="49"/>
      <c r="BD161" s="49"/>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2">
        <v>193</v>
      </c>
      <c r="B162" t="s">
        <v>784</v>
      </c>
      <c r="C162" t="s">
        <v>785</v>
      </c>
      <c r="D162" s="3">
        <f t="shared" si="12"/>
        <v>193</v>
      </c>
      <c r="G162" s="9" t="s">
        <v>169</v>
      </c>
      <c r="I162" t="s">
        <v>401</v>
      </c>
      <c r="J162" t="s">
        <v>401</v>
      </c>
      <c r="K162">
        <v>188</v>
      </c>
      <c r="L162">
        <v>188</v>
      </c>
      <c r="M162">
        <v>188</v>
      </c>
      <c r="O162" s="5" t="s">
        <v>777</v>
      </c>
      <c r="Q162" s="3">
        <f>IF(AND(P162&lt;&gt;"",ISNUMBER(P162),NOT(ISNA(P162))),P162,IF(R162&lt;&gt;"",VLOOKUP(R162,'ESO zones'!$D$5:$H$10005,5,FALSE),""))</f>
        <v>131</v>
      </c>
      <c r="R162" t="str">
        <f>IF(AND(O162&lt;&gt;"",NOT(ISERROR(O162))),O162,IF(AND(P162&lt;&gt;"",ISNUMBER(P162),P162&gt;0,NOT(ISNA(P162))),VLOOKUP(P162,'ESO zones'!$A$5:$D$10003,4,FALSE),IF(AND(K162&lt;&gt;"",K162&gt;0,NOT(ISERROR(K162))),VLOOKUP(K162,'ESO wayshrines'!$K$3:$N$9972,4,FALSE),"")))</f>
        <v>Tempest Island</v>
      </c>
      <c r="T162" s="16" t="str">
        <f>IF(AND(S162&lt;&gt;"",NOT(ISERROR(S162))),S162,VLOOKUP(A162,'ESO Set&amp;DLCs'!$A$3:$D$99998,4,FALSE))</f>
        <v>DLC_BASE_GAME</v>
      </c>
      <c r="U162" s="3" t="str">
        <f>IF(T162&lt;&gt;"",VLOOKUP(T162,ConstDLCIds!$B$4:$C$1000,2,FALSE),"")</f>
        <v>Included in base game</v>
      </c>
      <c r="V162" s="4" t="s">
        <v>278</v>
      </c>
      <c r="Y162" s="5"/>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zones'!$A$5:$D$10003,4,FALSE),"")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zones'!$A$5:$D$10003,4,FALSE),"")</f>
        <v>Malabal Tor</v>
      </c>
      <c r="AK162" s="3" t="str">
        <f>IF(AND(G162&lt;&gt;"LIBSETS_SETTYPE_BATTLEGROUND",G162&lt;&gt;"LIBSETS_SETTYPE_SPECIAL"),IF(AL162&lt;&gt;"",VLOOKUP(AL162,'ESO zones'!$D$5:$H$4957,5,FALSE),""),"")</f>
        <v/>
      </c>
      <c r="AP162" s="3" t="str">
        <f>IF(AND(G162&lt;&gt;"LIBSETS_SETTYPE_BATTLEGROUND",G162&lt;&gt;"LIBSETS_SETTYPE_SPECIAL"),IF(AQ162&lt;&gt;"",VLOOKUP(AQ162,'ESO zones'!$D$5:$H$4957,5,FALSE),""),"")</f>
        <v/>
      </c>
      <c r="AU162" s="3" t="str">
        <f>IF(AND(G162&lt;&gt;"LIBSETS_SETTYPE_BATTLEGROUND",G162&lt;&gt;"LIBSETS_SETTYPE_SPECIAL"),IF(AV162&lt;&gt;"",VLOOKUP(AV162,'ESO zones'!$D$5:$H$4957,5,FALSE),""),"")</f>
        <v/>
      </c>
      <c r="AZ162" s="49" t="s">
        <v>403</v>
      </c>
      <c r="BA162" s="49"/>
      <c r="BB162" s="49"/>
      <c r="BC162" s="49"/>
      <c r="BD162" s="49"/>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2">
        <v>194</v>
      </c>
      <c r="B163" t="s">
        <v>786</v>
      </c>
      <c r="C163" t="s">
        <v>787</v>
      </c>
      <c r="D163" s="3">
        <f t="shared" si="12"/>
        <v>194</v>
      </c>
      <c r="G163" s="9" t="s">
        <v>169</v>
      </c>
      <c r="I163" t="s">
        <v>401</v>
      </c>
      <c r="J163" t="s">
        <v>401</v>
      </c>
      <c r="K163">
        <v>189</v>
      </c>
      <c r="L163">
        <v>189</v>
      </c>
      <c r="M163">
        <v>189</v>
      </c>
      <c r="O163" s="5" t="s">
        <v>432</v>
      </c>
      <c r="Q163" s="3">
        <f>IF(AND(P163&lt;&gt;"",ISNUMBER(P163),NOT(ISNA(P163))),P163,IF(R163&lt;&gt;"",VLOOKUP(R163,'ESO zones'!$D$5:$H$10005,5,FALSE),""))</f>
        <v>146</v>
      </c>
      <c r="R163" t="str">
        <f>IF(AND(O163&lt;&gt;"",NOT(ISERROR(O163))),O163,IF(AND(P163&lt;&gt;"",ISNUMBER(P163),P163&gt;0,NOT(ISNA(P163))),VLOOKUP(P163,'ESO zones'!$A$5:$D$10003,4,FALSE),IF(AND(K163&lt;&gt;"",K163&gt;0,NOT(ISERROR(K163))),VLOOKUP(K163,'ESO wayshrines'!$K$3:$N$9972,4,FALSE),"")))</f>
        <v>Wayrest Sewers I</v>
      </c>
      <c r="T163" s="16" t="str">
        <f>IF(AND(S163&lt;&gt;"",NOT(ISERROR(S163))),S163,VLOOKUP(A163,'ESO Set&amp;DLCs'!$A$3:$D$99998,4,FALSE))</f>
        <v>DLC_BASE_GAME</v>
      </c>
      <c r="U163" s="3" t="str">
        <f>IF(T163&lt;&gt;"",VLOOKUP(T163,ConstDLCIds!$B$4:$C$1000,2,FALSE),"")</f>
        <v>Included in base game</v>
      </c>
      <c r="V163" s="4" t="s">
        <v>278</v>
      </c>
      <c r="Y163" s="5">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zones'!$A$5:$D$10003,4,FALSE),"")</f>
        <v>Wayrest Sewers II</v>
      </c>
      <c r="AB163" s="4"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zones'!$A$5:$D$10003,4,FALSE),"")</f>
        <v>Stormhaven</v>
      </c>
      <c r="AH163" s="57"/>
      <c r="AK163" s="3" t="str">
        <f>IF(AND(G163&lt;&gt;"LIBSETS_SETTYPE_BATTLEGROUND",G163&lt;&gt;"LIBSETS_SETTYPE_SPECIAL"),IF(AL163&lt;&gt;"",VLOOKUP(AL163,'ESO zones'!$D$5:$H$4957,5,FALSE),""),"")</f>
        <v/>
      </c>
      <c r="AP163" s="3" t="str">
        <f>IF(AND(G163&lt;&gt;"LIBSETS_SETTYPE_BATTLEGROUND",G163&lt;&gt;"LIBSETS_SETTYPE_SPECIAL"),IF(AQ163&lt;&gt;"",VLOOKUP(AQ163,'ESO zones'!$D$5:$H$4957,5,FALSE),""),"")</f>
        <v/>
      </c>
      <c r="AU163" s="3" t="str">
        <f>IF(AND(G163&lt;&gt;"LIBSETS_SETTYPE_BATTLEGROUND",G163&lt;&gt;"LIBSETS_SETTYPE_SPECIAL"),IF(AV163&lt;&gt;"",VLOOKUP(AV163,'ESO zones'!$D$5:$H$4957,5,FALSE),""),"")</f>
        <v/>
      </c>
      <c r="AZ163" s="49" t="s">
        <v>403</v>
      </c>
      <c r="BA163" s="49"/>
      <c r="BB163" s="49"/>
      <c r="BC163" s="49"/>
      <c r="BD163" s="49"/>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2">
        <v>195</v>
      </c>
      <c r="B164" t="s">
        <v>788</v>
      </c>
      <c r="C164" t="s">
        <v>789</v>
      </c>
      <c r="D164" s="3">
        <f t="shared" si="12"/>
        <v>195</v>
      </c>
      <c r="G164" s="9" t="s">
        <v>169</v>
      </c>
      <c r="I164" t="s">
        <v>401</v>
      </c>
      <c r="J164" t="s">
        <v>401</v>
      </c>
      <c r="K164">
        <v>236</v>
      </c>
      <c r="L164">
        <v>236</v>
      </c>
      <c r="M164">
        <v>236</v>
      </c>
      <c r="O164" s="5" t="s">
        <v>722</v>
      </c>
      <c r="Q164" s="3">
        <f>IF(AND(P164&lt;&gt;"",ISNUMBER(P164),NOT(ISNA(P164))),P164,IF(R164&lt;&gt;"",VLOOKUP(R164,'ESO zones'!$D$5:$H$10005,5,FALSE),""))</f>
        <v>678</v>
      </c>
      <c r="R164" t="str">
        <f>IF(AND(O164&lt;&gt;"",NOT(ISERROR(O164))),O164,IF(AND(P164&lt;&gt;"",ISNUMBER(P164),P164&gt;0,NOT(ISNA(P164))),VLOOKUP(P164,'ESO zones'!$A$5:$D$10003,4,FALSE),IF(AND(K164&lt;&gt;"",K164&gt;0,NOT(ISERROR(K164))),VLOOKUP(K164,'ESO wayshrines'!$K$3:$N$9972,4,FALSE),"")))</f>
        <v>Imperial City Prison</v>
      </c>
      <c r="T164" s="16" t="str">
        <f>IF(AND(S164&lt;&gt;"",NOT(ISERROR(S164))),S164,VLOOKUP(A164,'ESO Set&amp;DLCs'!$A$3:$D$99998,4,FALSE))</f>
        <v>DLC_IMPERIAL_CITY</v>
      </c>
      <c r="U164" s="3" t="str">
        <f>IF(T164&lt;&gt;"",VLOOKUP(T164,ConstDLCIds!$B$4:$C$1000,2,FALSE),"")</f>
        <v>Imperial City</v>
      </c>
      <c r="V164" s="4" t="s">
        <v>278</v>
      </c>
      <c r="Y164" s="5">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zones'!$A$5:$D$10003,4,FALSE),"")</f>
        <v>Imperial City</v>
      </c>
      <c r="AB164" s="4" t="s">
        <v>233</v>
      </c>
      <c r="AF164" s="3"/>
      <c r="AG164" t="str">
        <f>IF(AND(AF164&lt;&gt;"",ISNUMBER(AF164),NOT(ISNA(AF164))),VLOOKUP(AF164,'ESO zones'!$A$5:$D$10003,4,FALSE),"")</f>
        <v/>
      </c>
      <c r="AK164" s="3" t="str">
        <f>IF(AND(G164&lt;&gt;"LIBSETS_SETTYPE_BATTLEGROUND",G164&lt;&gt;"LIBSETS_SETTYPE_SPECIAL"),IF(AL164&lt;&gt;"",VLOOKUP(AL164,'ESO zones'!$D$5:$H$4957,5,FALSE),""),"")</f>
        <v/>
      </c>
      <c r="AP164" s="3" t="str">
        <f>IF(AND(G164&lt;&gt;"LIBSETS_SETTYPE_BATTLEGROUND",G164&lt;&gt;"LIBSETS_SETTYPE_SPECIAL"),IF(AQ164&lt;&gt;"",VLOOKUP(AQ164,'ESO zones'!$D$5:$H$4957,5,FALSE),""),"")</f>
        <v/>
      </c>
      <c r="AU164" s="3" t="str">
        <f>IF(AND(G164&lt;&gt;"LIBSETS_SETTYPE_BATTLEGROUND",G164&lt;&gt;"LIBSETS_SETTYPE_SPECIAL"),IF(AV164&lt;&gt;"",VLOOKUP(AV164,'ESO zones'!$D$5:$H$4957,5,FALSE),""),"")</f>
        <v/>
      </c>
      <c r="AZ164" s="49" t="s">
        <v>403</v>
      </c>
      <c r="BA164" s="49"/>
      <c r="BB164" s="49"/>
      <c r="BC164" s="49"/>
      <c r="BD164" s="49"/>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2">
        <v>196</v>
      </c>
      <c r="B165" t="s">
        <v>790</v>
      </c>
      <c r="C165" t="s">
        <v>791</v>
      </c>
      <c r="D165" s="3">
        <f t="shared" si="12"/>
        <v>196</v>
      </c>
      <c r="G165" s="9" t="s">
        <v>169</v>
      </c>
      <c r="I165" t="s">
        <v>401</v>
      </c>
      <c r="J165" t="s">
        <v>401</v>
      </c>
      <c r="K165">
        <v>236</v>
      </c>
      <c r="L165">
        <v>236</v>
      </c>
      <c r="M165">
        <v>236</v>
      </c>
      <c r="O165" s="5" t="s">
        <v>722</v>
      </c>
      <c r="Q165" s="3">
        <f>IF(AND(P165&lt;&gt;"",ISNUMBER(P165),NOT(ISNA(P165))),P165,IF(R165&lt;&gt;"",VLOOKUP(R165,'ESO zones'!$D$5:$H$10005,5,FALSE),""))</f>
        <v>678</v>
      </c>
      <c r="R165" t="str">
        <f>IF(AND(O165&lt;&gt;"",NOT(ISERROR(O165))),O165,IF(AND(P165&lt;&gt;"",ISNUMBER(P165),P165&gt;0,NOT(ISNA(P165))),VLOOKUP(P165,'ESO zones'!$A$5:$D$10003,4,FALSE),IF(AND(K165&lt;&gt;"",K165&gt;0,NOT(ISERROR(K165))),VLOOKUP(K165,'ESO wayshrines'!$K$3:$N$9972,4,FALSE),"")))</f>
        <v>Imperial City Prison</v>
      </c>
      <c r="T165" s="16" t="str">
        <f>IF(AND(S165&lt;&gt;"",NOT(ISERROR(S165))),S165,VLOOKUP(A165,'ESO Set&amp;DLCs'!$A$3:$D$99998,4,FALSE))</f>
        <v>DLC_IMPERIAL_CITY</v>
      </c>
      <c r="U165" s="3" t="str">
        <f>IF(T165&lt;&gt;"",VLOOKUP(T165,ConstDLCIds!$B$4:$C$1000,2,FALSE),"")</f>
        <v>Imperial City</v>
      </c>
      <c r="V165" s="4" t="s">
        <v>278</v>
      </c>
      <c r="Y165" s="5">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zones'!$A$5:$D$10003,4,FALSE),"")</f>
        <v>Imperial City</v>
      </c>
      <c r="AB165" s="4" t="s">
        <v>233</v>
      </c>
      <c r="AF165" s="3"/>
      <c r="AG165" t="str">
        <f>IF(AND(AF165&lt;&gt;"",ISNUMBER(AF165),NOT(ISNA(AF165))),VLOOKUP(AF165,'ESO zones'!$A$5:$D$10003,4,FALSE),"")</f>
        <v/>
      </c>
      <c r="AK165" s="3" t="str">
        <f>IF(AND(G165&lt;&gt;"LIBSETS_SETTYPE_BATTLEGROUND",G165&lt;&gt;"LIBSETS_SETTYPE_SPECIAL"),IF(AL165&lt;&gt;"",VLOOKUP(AL165,'ESO zones'!$D$5:$H$4957,5,FALSE),""),"")</f>
        <v/>
      </c>
      <c r="AP165" s="3" t="str">
        <f>IF(AND(G165&lt;&gt;"LIBSETS_SETTYPE_BATTLEGROUND",G165&lt;&gt;"LIBSETS_SETTYPE_SPECIAL"),IF(AQ165&lt;&gt;"",VLOOKUP(AQ165,'ESO zones'!$D$5:$H$4957,5,FALSE),""),"")</f>
        <v/>
      </c>
      <c r="AU165" s="3" t="str">
        <f>IF(AND(G165&lt;&gt;"LIBSETS_SETTYPE_BATTLEGROUND",G165&lt;&gt;"LIBSETS_SETTYPE_SPECIAL"),IF(AV165&lt;&gt;"",VLOOKUP(AV165,'ESO zones'!$D$5:$H$4957,5,FALSE),""),"")</f>
        <v/>
      </c>
      <c r="AZ165" s="49" t="s">
        <v>403</v>
      </c>
      <c r="BA165" s="49"/>
      <c r="BB165" s="49"/>
      <c r="BC165" s="49"/>
      <c r="BD165" s="49"/>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2">
        <v>197</v>
      </c>
      <c r="B166" t="s">
        <v>792</v>
      </c>
      <c r="C166" t="s">
        <v>793</v>
      </c>
      <c r="D166" s="3">
        <f t="shared" si="12"/>
        <v>197</v>
      </c>
      <c r="G166" s="9" t="s">
        <v>169</v>
      </c>
      <c r="I166" t="s">
        <v>401</v>
      </c>
      <c r="J166" t="s">
        <v>401</v>
      </c>
      <c r="K166">
        <v>194</v>
      </c>
      <c r="L166">
        <v>194</v>
      </c>
      <c r="M166">
        <v>194</v>
      </c>
      <c r="O166" s="5" t="s">
        <v>611</v>
      </c>
      <c r="Q166" s="3">
        <f>IF(AND(P166&lt;&gt;"",ISNUMBER(P166),NOT(ISNA(P166))),P166,IF(R166&lt;&gt;"",VLOOKUP(R166,'ESO zones'!$D$5:$H$10005,5,FALSE),""))</f>
        <v>380</v>
      </c>
      <c r="R166" t="str">
        <f>IF(AND(O166&lt;&gt;"",NOT(ISERROR(O166))),O166,IF(AND(P166&lt;&gt;"",ISNUMBER(P166),P166&gt;0,NOT(ISNA(P166))),VLOOKUP(P166,'ESO zones'!$A$5:$D$10003,4,FALSE),IF(AND(K166&lt;&gt;"",K166&gt;0,NOT(ISERROR(K166))),VLOOKUP(K166,'ESO wayshrines'!$K$3:$N$9972,4,FALSE),"")))</f>
        <v>The Banished Cells I</v>
      </c>
      <c r="T166" s="16" t="str">
        <f>IF(AND(S166&lt;&gt;"",NOT(ISERROR(S166))),S166,VLOOKUP(A166,'ESO Set&amp;DLCs'!$A$3:$D$99998,4,FALSE))</f>
        <v>DLC_BASE_GAME</v>
      </c>
      <c r="U166" s="3" t="str">
        <f>IF(T166&lt;&gt;"",VLOOKUP(T166,ConstDLCIds!$B$4:$C$1000,2,FALSE),"")</f>
        <v>Included in base game</v>
      </c>
      <c r="V166" s="4" t="s">
        <v>278</v>
      </c>
      <c r="Y166" s="5">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zones'!$A$5:$D$10003,4,FALSE),"")</f>
        <v>The Banished Cells II</v>
      </c>
      <c r="AB166" s="4"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zones'!$A$5:$D$10003,4,FALSE),"")</f>
        <v>Auridon</v>
      </c>
      <c r="AH166" s="57"/>
      <c r="AK166" s="3" t="str">
        <f>IF(AND(G166&lt;&gt;"LIBSETS_SETTYPE_BATTLEGROUND",G166&lt;&gt;"LIBSETS_SETTYPE_SPECIAL"),IF(AL166&lt;&gt;"",VLOOKUP(AL166,'ESO zones'!$D$5:$H$4957,5,FALSE),""),"")</f>
        <v/>
      </c>
      <c r="AP166" s="3" t="str">
        <f>IF(AND(G166&lt;&gt;"LIBSETS_SETTYPE_BATTLEGROUND",G166&lt;&gt;"LIBSETS_SETTYPE_SPECIAL"),IF(AQ166&lt;&gt;"",VLOOKUP(AQ166,'ESO zones'!$D$5:$H$4957,5,FALSE),""),"")</f>
        <v/>
      </c>
      <c r="AU166" s="3" t="str">
        <f>IF(AND(G166&lt;&gt;"LIBSETS_SETTYPE_BATTLEGROUND",G166&lt;&gt;"LIBSETS_SETTYPE_SPECIAL"),IF(AV166&lt;&gt;"",VLOOKUP(AV166,'ESO zones'!$D$5:$H$4957,5,FALSE),""),"")</f>
        <v/>
      </c>
      <c r="AZ166" s="49" t="s">
        <v>403</v>
      </c>
      <c r="BA166" s="49"/>
      <c r="BB166" s="49"/>
      <c r="BC166" s="49"/>
      <c r="BD166" s="49"/>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2">
        <v>198</v>
      </c>
      <c r="B167" t="s">
        <v>794</v>
      </c>
      <c r="C167" t="s">
        <v>795</v>
      </c>
      <c r="D167" s="3">
        <f t="shared" si="12"/>
        <v>198</v>
      </c>
      <c r="G167" s="9" t="s">
        <v>169</v>
      </c>
      <c r="I167" t="s">
        <v>401</v>
      </c>
      <c r="J167" t="s">
        <v>401</v>
      </c>
      <c r="K167">
        <v>247</v>
      </c>
      <c r="L167">
        <v>247</v>
      </c>
      <c r="M167">
        <v>247</v>
      </c>
      <c r="O167" s="5" t="s">
        <v>770</v>
      </c>
      <c r="Q167" s="3">
        <f>IF(AND(P167&lt;&gt;"",ISNUMBER(P167),NOT(ISNA(P167))),P167,IF(R167&lt;&gt;"",VLOOKUP(R167,'ESO zones'!$D$5:$H$10005,5,FALSE),""))</f>
        <v>688</v>
      </c>
      <c r="R167" t="str">
        <f>IF(AND(O167&lt;&gt;"",NOT(ISERROR(O167))),O167,IF(AND(P167&lt;&gt;"",ISNUMBER(P167),P167&gt;0,NOT(ISNA(P167))),VLOOKUP(P167,'ESO zones'!$A$5:$D$10003,4,FALSE),IF(AND(K167&lt;&gt;"",K167&gt;0,NOT(ISERROR(K167))),VLOOKUP(K167,'ESO wayshrines'!$K$3:$N$9972,4,FALSE),"")))</f>
        <v>White-Gold Tower</v>
      </c>
      <c r="T167" s="16" t="str">
        <f>IF(AND(S167&lt;&gt;"",NOT(ISERROR(S167))),S167,VLOOKUP(A167,'ESO Set&amp;DLCs'!$A$3:$D$99998,4,FALSE))</f>
        <v>DLC_IMPERIAL_CITY</v>
      </c>
      <c r="U167" s="3" t="str">
        <f>IF(T167&lt;&gt;"",VLOOKUP(T167,ConstDLCIds!$B$4:$C$1000,2,FALSE),"")</f>
        <v>Imperial City</v>
      </c>
      <c r="V167" s="4" t="s">
        <v>278</v>
      </c>
      <c r="Y167" s="5">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zones'!$A$5:$D$10003,4,FALSE),"")</f>
        <v>Imperial City</v>
      </c>
      <c r="AB167" s="4" t="s">
        <v>233</v>
      </c>
      <c r="AF167" s="3"/>
      <c r="AG167" t="str">
        <f>IF(AND(AF167&lt;&gt;"",ISNUMBER(AF167),NOT(ISNA(AF167))),VLOOKUP(AF167,'ESO zones'!$A$5:$D$10003,4,FALSE),"")</f>
        <v/>
      </c>
      <c r="AK167" s="3" t="str">
        <f>IF(AND(G167&lt;&gt;"LIBSETS_SETTYPE_BATTLEGROUND",G167&lt;&gt;"LIBSETS_SETTYPE_SPECIAL"),IF(AL167&lt;&gt;"",VLOOKUP(AL167,'ESO zones'!$D$5:$H$4957,5,FALSE),""),"")</f>
        <v/>
      </c>
      <c r="AP167" s="3" t="str">
        <f>IF(AND(G167&lt;&gt;"LIBSETS_SETTYPE_BATTLEGROUND",G167&lt;&gt;"LIBSETS_SETTYPE_SPECIAL"),IF(AQ167&lt;&gt;"",VLOOKUP(AQ167,'ESO zones'!$D$5:$H$4957,5,FALSE),""),"")</f>
        <v/>
      </c>
      <c r="AU167" s="3" t="str">
        <f>IF(AND(G167&lt;&gt;"LIBSETS_SETTYPE_BATTLEGROUND",G167&lt;&gt;"LIBSETS_SETTYPE_SPECIAL"),IF(AV167&lt;&gt;"",VLOOKUP(AV167,'ESO zones'!$D$5:$H$4957,5,FALSE),""),"")</f>
        <v/>
      </c>
      <c r="AZ167" s="49" t="s">
        <v>403</v>
      </c>
      <c r="BA167" s="49"/>
      <c r="BB167" s="49"/>
      <c r="BC167" s="49"/>
      <c r="BD167" s="49"/>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2">
        <v>199</v>
      </c>
      <c r="B168" t="s">
        <v>796</v>
      </c>
      <c r="C168" t="s">
        <v>797</v>
      </c>
      <c r="D168" s="3">
        <f t="shared" si="12"/>
        <v>199</v>
      </c>
      <c r="G168" s="9" t="s">
        <v>171</v>
      </c>
      <c r="I168" t="s">
        <v>401</v>
      </c>
      <c r="J168" t="s">
        <v>401</v>
      </c>
      <c r="K168">
        <v>-1</v>
      </c>
      <c r="L168">
        <v>-1</v>
      </c>
      <c r="M168">
        <v>-1</v>
      </c>
      <c r="O168" s="5" t="s">
        <v>764</v>
      </c>
      <c r="Q168" s="3">
        <f>IF(AND(P168&lt;&gt;"",ISNUMBER(P168),NOT(ISNA(P168))),P168,IF(R168&lt;&gt;"",VLOOKUP(R168,'ESO zones'!$D$5:$H$10005,5,FALSE),""))</f>
        <v>643</v>
      </c>
      <c r="R168" t="str">
        <f>IF(AND(O168&lt;&gt;"",NOT(ISERROR(O168))),O168,IF(AND(P168&lt;&gt;"",ISNUMBER(P168),P168&gt;0,NOT(ISNA(P168))),VLOOKUP(P168,'ESO zones'!$A$5:$D$10003,4,FALSE),IF(AND(K168&lt;&gt;"",K168&gt;0,NOT(ISERROR(K168))),VLOOKUP(K168,'ESO wayshrines'!$K$3:$N$9972,4,FALSE),"")))</f>
        <v>Imperial Sewers</v>
      </c>
      <c r="T168" s="16" t="str">
        <f>IF(AND(S168&lt;&gt;"",NOT(ISERROR(S168))),S168,VLOOKUP(A168,'ESO Set&amp;DLCs'!$A$3:$D$99998,4,FALSE))</f>
        <v>DLC_IMPERIAL_CITY</v>
      </c>
      <c r="U168" s="3" t="str">
        <f>IF(T168&lt;&gt;"",VLOOKUP(T168,ConstDLCIds!$B$4:$C$1000,2,FALSE),"")</f>
        <v>Imperial City</v>
      </c>
      <c r="V168" s="4" t="s">
        <v>245</v>
      </c>
      <c r="Y168" s="5">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zones'!$A$5:$D$10003,4,FALSE),"")</f>
        <v>Imperial City</v>
      </c>
      <c r="AB168" s="4"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zones'!$A$5:$D$10003,4,FALSE),"")</f>
        <v/>
      </c>
      <c r="AK168" s="3" t="str">
        <f>IF(AND(G168&lt;&gt;"LIBSETS_SETTYPE_BATTLEGROUND",G168&lt;&gt;"LIBSETS_SETTYPE_SPECIAL"),IF(AL168&lt;&gt;"",VLOOKUP(AL168,'ESO zones'!$D$5:$H$4957,5,FALSE),""),"")</f>
        <v/>
      </c>
      <c r="AP168" s="3" t="str">
        <f>IF(AND(G168&lt;&gt;"LIBSETS_SETTYPE_BATTLEGROUND",G168&lt;&gt;"LIBSETS_SETTYPE_SPECIAL"),IF(AQ168&lt;&gt;"",VLOOKUP(AQ168,'ESO zones'!$D$5:$H$4957,5,FALSE),""),"")</f>
        <v/>
      </c>
      <c r="AU168" s="3" t="str">
        <f>IF(AND(G168&lt;&gt;"LIBSETS_SETTYPE_BATTLEGROUND",G168&lt;&gt;"LIBSETS_SETTYPE_SPECIAL"),IF(AV168&lt;&gt;"",VLOOKUP(AV168,'ESO zones'!$D$5:$H$4957,5,FALSE),""),"")</f>
        <v/>
      </c>
      <c r="AZ168" s="49" t="s">
        <v>410</v>
      </c>
      <c r="BA168" s="49"/>
      <c r="BB168" s="49"/>
      <c r="BC168" s="49"/>
      <c r="BD168" s="49"/>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2">
        <v>200</v>
      </c>
      <c r="B169" t="s">
        <v>798</v>
      </c>
      <c r="C169" t="s">
        <v>799</v>
      </c>
      <c r="D169" s="3">
        <f t="shared" si="12"/>
        <v>200</v>
      </c>
      <c r="G169" s="9" t="s">
        <v>171</v>
      </c>
      <c r="I169" t="s">
        <v>401</v>
      </c>
      <c r="J169" t="s">
        <v>401</v>
      </c>
      <c r="K169">
        <v>-1</v>
      </c>
      <c r="L169">
        <v>-1</v>
      </c>
      <c r="M169">
        <v>-1</v>
      </c>
      <c r="O169" s="5" t="s">
        <v>764</v>
      </c>
      <c r="Q169" s="3">
        <f>IF(AND(P169&lt;&gt;"",ISNUMBER(P169),NOT(ISNA(P169))),P169,IF(R169&lt;&gt;"",VLOOKUP(R169,'ESO zones'!$D$5:$H$10005,5,FALSE),""))</f>
        <v>643</v>
      </c>
      <c r="R169" t="str">
        <f>IF(AND(O169&lt;&gt;"",NOT(ISERROR(O169))),O169,IF(AND(P169&lt;&gt;"",ISNUMBER(P169),P169&gt;0,NOT(ISNA(P169))),VLOOKUP(P169,'ESO zones'!$A$5:$D$10003,4,FALSE),IF(AND(K169&lt;&gt;"",K169&gt;0,NOT(ISERROR(K169))),VLOOKUP(K169,'ESO wayshrines'!$K$3:$N$9972,4,FALSE),"")))</f>
        <v>Imperial Sewers</v>
      </c>
      <c r="T169" s="16" t="str">
        <f>IF(AND(S169&lt;&gt;"",NOT(ISERROR(S169))),S169,VLOOKUP(A169,'ESO Set&amp;DLCs'!$A$3:$D$99998,4,FALSE))</f>
        <v>DLC_IMPERIAL_CITY</v>
      </c>
      <c r="U169" s="3" t="str">
        <f>IF(T169&lt;&gt;"",VLOOKUP(T169,ConstDLCIds!$B$4:$C$1000,2,FALSE),"")</f>
        <v>Imperial City</v>
      </c>
      <c r="V169" s="4" t="s">
        <v>245</v>
      </c>
      <c r="Y169" s="5">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zones'!$A$5:$D$10003,4,FALSE),"")</f>
        <v>Imperial City</v>
      </c>
      <c r="AB169" s="4"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zones'!$A$5:$D$10003,4,FALSE),"")</f>
        <v/>
      </c>
      <c r="AK169" s="3" t="str">
        <f>IF(AND(G169&lt;&gt;"LIBSETS_SETTYPE_BATTLEGROUND",G169&lt;&gt;"LIBSETS_SETTYPE_SPECIAL"),IF(AL169&lt;&gt;"",VLOOKUP(AL169,'ESO zones'!$D$5:$H$4957,5,FALSE),""),"")</f>
        <v/>
      </c>
      <c r="AP169" s="3" t="str">
        <f>IF(AND(G169&lt;&gt;"LIBSETS_SETTYPE_BATTLEGROUND",G169&lt;&gt;"LIBSETS_SETTYPE_SPECIAL"),IF(AQ169&lt;&gt;"",VLOOKUP(AQ169,'ESO zones'!$D$5:$H$4957,5,FALSE),""),"")</f>
        <v/>
      </c>
      <c r="AU169" s="3" t="str">
        <f>IF(AND(G169&lt;&gt;"LIBSETS_SETTYPE_BATTLEGROUND",G169&lt;&gt;"LIBSETS_SETTYPE_SPECIAL"),IF(AV169&lt;&gt;"",VLOOKUP(AV169,'ESO zones'!$D$5:$H$4957,5,FALSE),""),"")</f>
        <v/>
      </c>
      <c r="AZ169" s="49" t="s">
        <v>403</v>
      </c>
      <c r="BA169" s="49"/>
      <c r="BB169" s="49"/>
      <c r="BC169" s="49"/>
      <c r="BD169" s="49"/>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2">
        <v>201</v>
      </c>
      <c r="B170" t="s">
        <v>800</v>
      </c>
      <c r="C170" t="s">
        <v>801</v>
      </c>
      <c r="D170" s="3">
        <f t="shared" si="12"/>
        <v>201</v>
      </c>
      <c r="G170" s="9" t="s">
        <v>171</v>
      </c>
      <c r="I170" t="s">
        <v>401</v>
      </c>
      <c r="J170" t="s">
        <v>401</v>
      </c>
      <c r="K170">
        <v>-1</v>
      </c>
      <c r="L170">
        <v>-1</v>
      </c>
      <c r="M170">
        <v>-1</v>
      </c>
      <c r="O170" s="5" t="s">
        <v>764</v>
      </c>
      <c r="Q170" s="3">
        <f>IF(AND(P170&lt;&gt;"",ISNUMBER(P170),NOT(ISNA(P170))),P170,IF(R170&lt;&gt;"",VLOOKUP(R170,'ESO zones'!$D$5:$H$10005,5,FALSE),""))</f>
        <v>643</v>
      </c>
      <c r="R170" t="str">
        <f>IF(AND(O170&lt;&gt;"",NOT(ISERROR(O170))),O170,IF(AND(P170&lt;&gt;"",ISNUMBER(P170),P170&gt;0,NOT(ISNA(P170))),VLOOKUP(P170,'ESO zones'!$A$5:$D$10003,4,FALSE),IF(AND(K170&lt;&gt;"",K170&gt;0,NOT(ISERROR(K170))),VLOOKUP(K170,'ESO wayshrines'!$K$3:$N$9972,4,FALSE),"")))</f>
        <v>Imperial Sewers</v>
      </c>
      <c r="T170" s="16" t="str">
        <f>IF(AND(S170&lt;&gt;"",NOT(ISERROR(S170))),S170,VLOOKUP(A170,'ESO Set&amp;DLCs'!$A$3:$D$99998,4,FALSE))</f>
        <v>DLC_IMPERIAL_CITY</v>
      </c>
      <c r="U170" s="3" t="str">
        <f>IF(T170&lt;&gt;"",VLOOKUP(T170,ConstDLCIds!$B$4:$C$1000,2,FALSE),"")</f>
        <v>Imperial City</v>
      </c>
      <c r="V170" s="4" t="s">
        <v>245</v>
      </c>
      <c r="Y170" s="5">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zones'!$A$5:$D$10003,4,FALSE),"")</f>
        <v>Imperial City</v>
      </c>
      <c r="AB170" s="4"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zones'!$A$5:$D$10003,4,FALSE),"")</f>
        <v/>
      </c>
      <c r="AK170" s="3" t="str">
        <f>IF(AND(G170&lt;&gt;"LIBSETS_SETTYPE_BATTLEGROUND",G170&lt;&gt;"LIBSETS_SETTYPE_SPECIAL"),IF(AL170&lt;&gt;"",VLOOKUP(AL170,'ESO zones'!$D$5:$H$4957,5,FALSE),""),"")</f>
        <v/>
      </c>
      <c r="AP170" s="3" t="str">
        <f>IF(AND(G170&lt;&gt;"LIBSETS_SETTYPE_BATTLEGROUND",G170&lt;&gt;"LIBSETS_SETTYPE_SPECIAL"),IF(AQ170&lt;&gt;"",VLOOKUP(AQ170,'ESO zones'!$D$5:$H$4957,5,FALSE),""),"")</f>
        <v/>
      </c>
      <c r="AU170" s="3" t="str">
        <f>IF(AND(G170&lt;&gt;"LIBSETS_SETTYPE_BATTLEGROUND",G170&lt;&gt;"LIBSETS_SETTYPE_SPECIAL"),IF(AV170&lt;&gt;"",VLOOKUP(AV170,'ESO zones'!$D$5:$H$4957,5,FALSE),""),"")</f>
        <v/>
      </c>
      <c r="AZ170" s="49" t="s">
        <v>403</v>
      </c>
      <c r="BA170" s="49"/>
      <c r="BB170" s="49"/>
      <c r="BC170" s="49"/>
      <c r="BD170" s="49"/>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2">
        <v>204</v>
      </c>
      <c r="B171" t="s">
        <v>802</v>
      </c>
      <c r="C171" t="s">
        <v>803</v>
      </c>
      <c r="D171" s="3">
        <f t="shared" si="12"/>
        <v>204</v>
      </c>
      <c r="G171" s="9" t="s">
        <v>167</v>
      </c>
      <c r="I171" t="s">
        <v>401</v>
      </c>
      <c r="J171" t="s">
        <v>401</v>
      </c>
      <c r="K171">
        <v>-1</v>
      </c>
      <c r="L171">
        <v>-1</v>
      </c>
      <c r="M171">
        <v>-1</v>
      </c>
      <c r="P171" s="5">
        <v>584</v>
      </c>
      <c r="Q171" s="3">
        <f>IF(AND(P171&lt;&gt;"",ISNUMBER(P171),NOT(ISNA(P171))),P171,IF(R171&lt;&gt;"",VLOOKUP(R171,'ESO zones'!$D$5:$H$10005,5,FALSE),""))</f>
        <v>584</v>
      </c>
      <c r="R171" t="str">
        <f>IF(AND(O171&lt;&gt;"",NOT(ISERROR(O171))),O171,IF(AND(P171&lt;&gt;"",ISNUMBER(P171),P171&gt;0,NOT(ISNA(P171))),VLOOKUP(P171,'ESO zones'!$A$5:$D$10003,4,FALSE),IF(AND(K171&lt;&gt;"",K171&gt;0,NOT(ISERROR(K171))),VLOOKUP(K171,'ESO wayshrines'!$K$3:$N$9972,4,FALSE),"")))</f>
        <v>Imperial City</v>
      </c>
      <c r="T171" s="16" t="str">
        <f>IF(AND(S171&lt;&gt;"",NOT(ISERROR(S171))),S171,VLOOKUP(A171,'ESO Set&amp;DLCs'!$A$3:$D$99998,4,FALSE))</f>
        <v>DLC_IMPERIAL_CITY</v>
      </c>
      <c r="U171" s="3" t="str">
        <f>IF(T171&lt;&gt;"",VLOOKUP(T171,ConstDLCIds!$B$4:$C$1000,2,FALSE),"")</f>
        <v>Imperial City</v>
      </c>
      <c r="V171" s="4" t="s">
        <v>233</v>
      </c>
      <c r="Y171" s="5"/>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zones'!$A$5:$D$10003,4,FALSE),"")</f>
        <v/>
      </c>
      <c r="AB171" s="4"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zones'!$A$5:$D$10003,4,FALSE),"")</f>
        <v/>
      </c>
      <c r="AK171" s="3" t="str">
        <f>IF(AND(G171&lt;&gt;"LIBSETS_SETTYPE_BATTLEGROUND",G171&lt;&gt;"LIBSETS_SETTYPE_SPECIAL"),IF(AL171&lt;&gt;"",VLOOKUP(AL171,'ESO zones'!$D$5:$H$4957,5,FALSE),""),"")</f>
        <v/>
      </c>
      <c r="AP171" s="3" t="str">
        <f>IF(AND(G171&lt;&gt;"LIBSETS_SETTYPE_BATTLEGROUND",G171&lt;&gt;"LIBSETS_SETTYPE_SPECIAL"),IF(AQ171&lt;&gt;"",VLOOKUP(AQ171,'ESO zones'!$D$5:$H$4957,5,FALSE),""),"")</f>
        <v/>
      </c>
      <c r="AU171" s="3" t="str">
        <f>IF(AND(G171&lt;&gt;"LIBSETS_SETTYPE_BATTLEGROUND",G171&lt;&gt;"LIBSETS_SETTYPE_SPECIAL"),IF(AV171&lt;&gt;"",VLOOKUP(AV171,'ESO zones'!$D$5:$H$4957,5,FALSE),""),"")</f>
        <v/>
      </c>
      <c r="AZ171" s="49" t="s">
        <v>410</v>
      </c>
      <c r="BA171" s="49"/>
      <c r="BB171" s="49"/>
      <c r="BC171" s="49"/>
      <c r="BD171" s="49"/>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v>
      </c>
      <c r="BI171" s="18" t="str">
        <f t="shared" si="17"/>
        <v>}, --Endurance / Beständigkeit   [Imperial City]</v>
      </c>
    </row>
    <row r="172" spans="1:61" x14ac:dyDescent="0.25">
      <c r="A172" s="12">
        <v>205</v>
      </c>
      <c r="B172" t="s">
        <v>804</v>
      </c>
      <c r="C172" t="s">
        <v>805</v>
      </c>
      <c r="D172" s="3">
        <f t="shared" si="12"/>
        <v>205</v>
      </c>
      <c r="G172" s="9" t="s">
        <v>167</v>
      </c>
      <c r="I172" t="s">
        <v>401</v>
      </c>
      <c r="J172" t="s">
        <v>401</v>
      </c>
      <c r="K172">
        <v>-1</v>
      </c>
      <c r="L172">
        <v>-1</v>
      </c>
      <c r="M172">
        <v>-1</v>
      </c>
      <c r="P172" s="5">
        <v>584</v>
      </c>
      <c r="Q172" s="3">
        <f>IF(AND(P172&lt;&gt;"",ISNUMBER(P172),NOT(ISNA(P172))),P172,IF(R172&lt;&gt;"",VLOOKUP(R172,'ESO zones'!$D$5:$H$10005,5,FALSE),""))</f>
        <v>584</v>
      </c>
      <c r="R172" t="str">
        <f>IF(AND(O172&lt;&gt;"",NOT(ISERROR(O172))),O172,IF(AND(P172&lt;&gt;"",ISNUMBER(P172),P172&gt;0,NOT(ISNA(P172))),VLOOKUP(P172,'ESO zones'!$A$5:$D$10003,4,FALSE),IF(AND(K172&lt;&gt;"",K172&gt;0,NOT(ISERROR(K172))),VLOOKUP(K172,'ESO wayshrines'!$K$3:$N$9972,4,FALSE),"")))</f>
        <v>Imperial City</v>
      </c>
      <c r="T172" s="16" t="str">
        <f>IF(AND(S172&lt;&gt;"",NOT(ISERROR(S172))),S172,VLOOKUP(A172,'ESO Set&amp;DLCs'!$A$3:$D$99998,4,FALSE))</f>
        <v>DLC_IMPERIAL_CITY</v>
      </c>
      <c r="U172" s="3" t="str">
        <f>IF(T172&lt;&gt;"",VLOOKUP(T172,ConstDLCIds!$B$4:$C$1000,2,FALSE),"")</f>
        <v>Imperial City</v>
      </c>
      <c r="V172" s="4" t="s">
        <v>233</v>
      </c>
      <c r="Y172" s="5"/>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zones'!$A$5:$D$10003,4,FALSE),"")</f>
        <v/>
      </c>
      <c r="AB172" s="4"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zones'!$A$5:$D$10003,4,FALSE),"")</f>
        <v/>
      </c>
      <c r="AK172" s="3" t="str">
        <f>IF(AND(G172&lt;&gt;"LIBSETS_SETTYPE_BATTLEGROUND",G172&lt;&gt;"LIBSETS_SETTYPE_SPECIAL"),IF(AL172&lt;&gt;"",VLOOKUP(AL172,'ESO zones'!$D$5:$H$4957,5,FALSE),""),"")</f>
        <v/>
      </c>
      <c r="AP172" s="3" t="str">
        <f>IF(AND(G172&lt;&gt;"LIBSETS_SETTYPE_BATTLEGROUND",G172&lt;&gt;"LIBSETS_SETTYPE_SPECIAL"),IF(AQ172&lt;&gt;"",VLOOKUP(AQ172,'ESO zones'!$D$5:$H$4957,5,FALSE),""),"")</f>
        <v/>
      </c>
      <c r="AU172" s="3" t="str">
        <f>IF(AND(G172&lt;&gt;"LIBSETS_SETTYPE_BATTLEGROUND",G172&lt;&gt;"LIBSETS_SETTYPE_SPECIAL"),IF(AV172&lt;&gt;"",VLOOKUP(AV172,'ESO zones'!$D$5:$H$4957,5,FALSE),""),"")</f>
        <v/>
      </c>
      <c r="AZ172" s="49" t="s">
        <v>410</v>
      </c>
      <c r="BA172" s="49"/>
      <c r="BB172" s="49"/>
      <c r="BC172" s="49"/>
      <c r="BD172" s="49"/>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v>
      </c>
      <c r="BI172" s="18" t="str">
        <f t="shared" si="17"/>
        <v>}, --Willpower / Willenskraft   [Imperial City]</v>
      </c>
    </row>
    <row r="173" spans="1:61" x14ac:dyDescent="0.25">
      <c r="A173" s="12">
        <v>206</v>
      </c>
      <c r="B173" t="s">
        <v>806</v>
      </c>
      <c r="C173" t="s">
        <v>807</v>
      </c>
      <c r="D173" s="3">
        <f t="shared" si="12"/>
        <v>206</v>
      </c>
      <c r="G173" s="9" t="s">
        <v>167</v>
      </c>
      <c r="I173" t="s">
        <v>401</v>
      </c>
      <c r="J173" t="s">
        <v>401</v>
      </c>
      <c r="K173">
        <v>-1</v>
      </c>
      <c r="L173">
        <v>-1</v>
      </c>
      <c r="M173">
        <v>-1</v>
      </c>
      <c r="P173" s="5">
        <v>584</v>
      </c>
      <c r="Q173" s="3">
        <f>IF(AND(P173&lt;&gt;"",ISNUMBER(P173),NOT(ISNA(P173))),P173,IF(R173&lt;&gt;"",VLOOKUP(R173,'ESO zones'!$D$5:$H$10005,5,FALSE),""))</f>
        <v>584</v>
      </c>
      <c r="R173" t="str">
        <f>IF(AND(O173&lt;&gt;"",NOT(ISERROR(O173))),O173,IF(AND(P173&lt;&gt;"",ISNUMBER(P173),P173&gt;0,NOT(ISNA(P173))),VLOOKUP(P173,'ESO zones'!$A$5:$D$10003,4,FALSE),IF(AND(K173&lt;&gt;"",K173&gt;0,NOT(ISERROR(K173))),VLOOKUP(K173,'ESO wayshrines'!$K$3:$N$9972,4,FALSE),"")))</f>
        <v>Imperial City</v>
      </c>
      <c r="T173" s="16" t="str">
        <f>IF(AND(S173&lt;&gt;"",NOT(ISERROR(S173))),S173,VLOOKUP(A173,'ESO Set&amp;DLCs'!$A$3:$D$99998,4,FALSE))</f>
        <v>DLC_IMPERIAL_CITY</v>
      </c>
      <c r="U173" s="3" t="str">
        <f>IF(T173&lt;&gt;"",VLOOKUP(T173,ConstDLCIds!$B$4:$C$1000,2,FALSE),"")</f>
        <v>Imperial City</v>
      </c>
      <c r="V173" s="4" t="s">
        <v>233</v>
      </c>
      <c r="Y173" s="5"/>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zones'!$A$5:$D$10003,4,FALSE),"")</f>
        <v/>
      </c>
      <c r="AB173" s="4"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zones'!$A$5:$D$10003,4,FALSE),"")</f>
        <v/>
      </c>
      <c r="AK173" s="3" t="str">
        <f>IF(AND(G173&lt;&gt;"LIBSETS_SETTYPE_BATTLEGROUND",G173&lt;&gt;"LIBSETS_SETTYPE_SPECIAL"),IF(AL173&lt;&gt;"",VLOOKUP(AL173,'ESO zones'!$D$5:$H$4957,5,FALSE),""),"")</f>
        <v/>
      </c>
      <c r="AP173" s="3" t="str">
        <f>IF(AND(G173&lt;&gt;"LIBSETS_SETTYPE_BATTLEGROUND",G173&lt;&gt;"LIBSETS_SETTYPE_SPECIAL"),IF(AQ173&lt;&gt;"",VLOOKUP(AQ173,'ESO zones'!$D$5:$H$4957,5,FALSE),""),"")</f>
        <v/>
      </c>
      <c r="AU173" s="3" t="str">
        <f>IF(AND(G173&lt;&gt;"LIBSETS_SETTYPE_BATTLEGROUND",G173&lt;&gt;"LIBSETS_SETTYPE_SPECIAL"),IF(AV173&lt;&gt;"",VLOOKUP(AV173,'ESO zones'!$D$5:$H$4957,5,FALSE),""),"")</f>
        <v/>
      </c>
      <c r="AZ173" s="49" t="s">
        <v>410</v>
      </c>
      <c r="BA173" s="49"/>
      <c r="BB173" s="49"/>
      <c r="BC173" s="49"/>
      <c r="BD173" s="49"/>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v>
      </c>
      <c r="BI173" s="18" t="str">
        <f t="shared" si="17"/>
        <v>}, --Agility / Agilität   [Imperial City]</v>
      </c>
    </row>
    <row r="174" spans="1:61" x14ac:dyDescent="0.25">
      <c r="A174" s="1">
        <v>207</v>
      </c>
      <c r="B174" t="s">
        <v>808</v>
      </c>
      <c r="C174" t="s">
        <v>809</v>
      </c>
      <c r="D174" s="3">
        <f t="shared" si="12"/>
        <v>207</v>
      </c>
      <c r="G174" s="9" t="s">
        <v>163</v>
      </c>
      <c r="I174" t="s">
        <v>401</v>
      </c>
      <c r="J174" t="s">
        <v>401</v>
      </c>
      <c r="K174">
        <v>241</v>
      </c>
      <c r="L174">
        <v>241</v>
      </c>
      <c r="M174">
        <v>241</v>
      </c>
      <c r="N174">
        <v>6</v>
      </c>
      <c r="Q174" s="3">
        <f>IF(AND(P174&lt;&gt;"",ISNUMBER(P174),NOT(ISNA(P174))),P174,IF(R174&lt;&gt;"",VLOOKUP(R174,'ESO zones'!$D$5:$H$10005,5,FALSE),""))</f>
        <v>684</v>
      </c>
      <c r="R174" t="str">
        <f>IF(AND(O174&lt;&gt;"",NOT(ISERROR(O174))),O174,IF(AND(P174&lt;&gt;"",ISNUMBER(P174),P174&gt;0,NOT(ISNA(P174))),VLOOKUP(P174,'ESO zones'!$A$5:$D$10003,4,FALSE),IF(AND(K174&lt;&gt;"",K174&gt;0,NOT(ISERROR(K174))),VLOOKUP(K174,'ESO wayshrines'!$K$3:$N$9972,4,FALSE),"")))</f>
        <v>Wrothgar</v>
      </c>
      <c r="T174" s="16" t="str">
        <f>IF(AND(S174&lt;&gt;"",NOT(ISERROR(S174))),S174,VLOOKUP(A174,'ESO Set&amp;DLCs'!$A$3:$D$99998,4,FALSE))</f>
        <v>DLC_ORSINIUM</v>
      </c>
      <c r="U174" s="3" t="str">
        <f>IF(T174&lt;&gt;"",VLOOKUP(T174,ConstDLCIds!$B$4:$C$1000,2,FALSE),"")</f>
        <v>Orsinium</v>
      </c>
      <c r="V174" s="4" t="s">
        <v>281</v>
      </c>
      <c r="Y174" s="5"/>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zones'!$A$5:$D$10003,4,FALSE),"")</f>
        <v>Wrothgar</v>
      </c>
      <c r="AB174" s="4"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zones'!$A$5:$D$10003,4,FALSE),"")</f>
        <v>Wrothgar</v>
      </c>
      <c r="AK174" s="3" t="str">
        <f>IF(AND(G174&lt;&gt;"LIBSETS_SETTYPE_BATTLEGROUND",G174&lt;&gt;"LIBSETS_SETTYPE_SPECIAL"),IF(AL174&lt;&gt;"",VLOOKUP(AL174,'ESO zones'!$D$5:$H$4957,5,FALSE),""),"")</f>
        <v/>
      </c>
      <c r="AP174" s="3" t="str">
        <f>IF(AND(G174&lt;&gt;"LIBSETS_SETTYPE_BATTLEGROUND",G174&lt;&gt;"LIBSETS_SETTYPE_SPECIAL"),IF(AQ174&lt;&gt;"",VLOOKUP(AQ174,'ESO zones'!$D$5:$H$4957,5,FALSE),""),"")</f>
        <v/>
      </c>
      <c r="AU174" s="3" t="str">
        <f>IF(AND(G174&lt;&gt;"LIBSETS_SETTYPE_BATTLEGROUND",G174&lt;&gt;"LIBSETS_SETTYPE_SPECIAL"),IF(AV174&lt;&gt;"",VLOOKUP(AV174,'ESO zones'!$D$5:$H$4957,5,FALSE),""),"")</f>
        <v/>
      </c>
      <c r="AZ174" s="49" t="s">
        <v>410</v>
      </c>
      <c r="BA174" s="49"/>
      <c r="BB174" s="49"/>
      <c r="BC174" s="49"/>
      <c r="BD174" s="49"/>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1">
        <v>208</v>
      </c>
      <c r="B175" t="s">
        <v>810</v>
      </c>
      <c r="C175" t="s">
        <v>811</v>
      </c>
      <c r="D175" s="3">
        <f t="shared" si="12"/>
        <v>208</v>
      </c>
      <c r="G175" s="9" t="s">
        <v>163</v>
      </c>
      <c r="I175" t="s">
        <v>401</v>
      </c>
      <c r="J175" t="s">
        <v>401</v>
      </c>
      <c r="K175">
        <v>237</v>
      </c>
      <c r="L175">
        <v>237</v>
      </c>
      <c r="M175">
        <v>237</v>
      </c>
      <c r="N175">
        <v>3</v>
      </c>
      <c r="Q175" s="3">
        <f>IF(AND(P175&lt;&gt;"",ISNUMBER(P175),NOT(ISNA(P175))),P175,IF(R175&lt;&gt;"",VLOOKUP(R175,'ESO zones'!$D$5:$H$10005,5,FALSE),""))</f>
        <v>684</v>
      </c>
      <c r="R175" t="str">
        <f>IF(AND(O175&lt;&gt;"",NOT(ISERROR(O175))),O175,IF(AND(P175&lt;&gt;"",ISNUMBER(P175),P175&gt;0,NOT(ISNA(P175))),VLOOKUP(P175,'ESO zones'!$A$5:$D$10003,4,FALSE),IF(AND(K175&lt;&gt;"",K175&gt;0,NOT(ISERROR(K175))),VLOOKUP(K175,'ESO wayshrines'!$K$3:$N$9972,4,FALSE),"")))</f>
        <v>Wrothgar</v>
      </c>
      <c r="T175" s="16" t="str">
        <f>IF(AND(S175&lt;&gt;"",NOT(ISERROR(S175))),S175,VLOOKUP(A175,'ESO Set&amp;DLCs'!$A$3:$D$99998,4,FALSE))</f>
        <v>DLC_ORSINIUM</v>
      </c>
      <c r="U175" s="3" t="str">
        <f>IF(T175&lt;&gt;"",VLOOKUP(T175,ConstDLCIds!$B$4:$C$1000,2,FALSE),"")</f>
        <v>Orsinium</v>
      </c>
      <c r="V175" s="4" t="s">
        <v>281</v>
      </c>
      <c r="Y175" s="5"/>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zones'!$A$5:$D$10003,4,FALSE),"")</f>
        <v>Wrothgar</v>
      </c>
      <c r="AB175" s="4"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zones'!$A$5:$D$10003,4,FALSE),"")</f>
        <v>Wrothgar</v>
      </c>
      <c r="AK175" s="3" t="str">
        <f>IF(AND(G175&lt;&gt;"LIBSETS_SETTYPE_BATTLEGROUND",G175&lt;&gt;"LIBSETS_SETTYPE_SPECIAL"),IF(AL175&lt;&gt;"",VLOOKUP(AL175,'ESO zones'!$D$5:$H$4957,5,FALSE),""),"")</f>
        <v/>
      </c>
      <c r="AP175" s="3" t="str">
        <f>IF(AND(G175&lt;&gt;"LIBSETS_SETTYPE_BATTLEGROUND",G175&lt;&gt;"LIBSETS_SETTYPE_SPECIAL"),IF(AQ175&lt;&gt;"",VLOOKUP(AQ175,'ESO zones'!$D$5:$H$4957,5,FALSE),""),"")</f>
        <v/>
      </c>
      <c r="AU175" s="3" t="str">
        <f>IF(AND(G175&lt;&gt;"LIBSETS_SETTYPE_BATTLEGROUND",G175&lt;&gt;"LIBSETS_SETTYPE_SPECIAL"),IF(AV175&lt;&gt;"",VLOOKUP(AV175,'ESO zones'!$D$5:$H$4957,5,FALSE),""),"")</f>
        <v/>
      </c>
      <c r="AZ175" s="49" t="s">
        <v>410</v>
      </c>
      <c r="BA175" s="49"/>
      <c r="BB175" s="49"/>
      <c r="BC175" s="49"/>
      <c r="BD175" s="49"/>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4" customFormat="1" x14ac:dyDescent="0.25">
      <c r="A176" s="21">
        <v>209</v>
      </c>
      <c r="B176" s="14" t="s">
        <v>812</v>
      </c>
      <c r="C176" t="s">
        <v>812</v>
      </c>
      <c r="D176" s="22">
        <f t="shared" si="12"/>
        <v>209</v>
      </c>
      <c r="E176" s="14" t="s">
        <v>813</v>
      </c>
      <c r="F176" s="14" t="s">
        <v>813</v>
      </c>
      <c r="G176" s="23" t="s">
        <v>163</v>
      </c>
      <c r="I176" s="14" t="s">
        <v>401</v>
      </c>
      <c r="J176" s="14" t="s">
        <v>401</v>
      </c>
      <c r="K176" s="14">
        <v>-1</v>
      </c>
      <c r="L176" s="14">
        <v>-1</v>
      </c>
      <c r="M176" s="14">
        <v>-1</v>
      </c>
      <c r="N176" s="14">
        <v>0</v>
      </c>
      <c r="O176" s="5"/>
      <c r="P176" s="5"/>
      <c r="Q176" s="3" t="str">
        <f>IF(AND(P176&lt;&gt;"",ISNUMBER(P176),NOT(ISNA(P176))),P176,IF(R176&lt;&gt;"",VLOOKUP(R176,'ESO zones'!$D$5:$H$10005,5,FALSE),""))</f>
        <v/>
      </c>
      <c r="R176" t="str">
        <f>IF(AND(O176&lt;&gt;"",NOT(ISERROR(O176))),O176,IF(AND(P176&lt;&gt;"",ISNUMBER(P176),P176&gt;0,NOT(ISNA(P176))),VLOOKUP(P176,'ESO zones'!$A$5:$D$10003,4,FALSE),IF(AND(K176&lt;&gt;"",K176&gt;0,NOT(ISERROR(K176))),VLOOKUP(K176,'ESO wayshrines'!$K$3:$N$9972,4,FALSE),"")))</f>
        <v/>
      </c>
      <c r="S176" s="5"/>
      <c r="T176" s="16">
        <f>IF(AND(S176&lt;&gt;"",NOT(ISERROR(S176))),S176,VLOOKUP(A176,'ESO Set&amp;DLCs'!$A$3:$D$99998,4,FALSE))</f>
        <v>0</v>
      </c>
      <c r="U176" s="3" t="e">
        <f>IF(T176&lt;&gt;"",VLOOKUP(T176,ConstDLCIds!$B$4:$C$1000,2,FALSE),"")</f>
        <v>#N/A</v>
      </c>
      <c r="V176" s="4"/>
      <c r="W176" s="3"/>
      <c r="X176" s="3"/>
      <c r="Y176" s="5"/>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zones'!$A$5:$D$10003,4,FALSE),"")</f>
        <v/>
      </c>
      <c r="AB176" s="4"/>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zones'!$A$5:$D$10003,4,FALSE),"")</f>
        <v/>
      </c>
      <c r="AH176" s="4"/>
      <c r="AI176" s="3"/>
      <c r="AJ176" s="3"/>
      <c r="AK176" s="3" t="str">
        <f>IF(AND(G176&lt;&gt;"LIBSETS_SETTYPE_BATTLEGROUND",G176&lt;&gt;"LIBSETS_SETTYPE_SPECIAL"),IF(AL176&lt;&gt;"",VLOOKUP(AL176,'ESO zones'!$D$5:$H$4957,5,FALSE),""),"")</f>
        <v/>
      </c>
      <c r="AL176"/>
      <c r="AM176" s="4"/>
      <c r="AN176" s="3"/>
      <c r="AO176" s="3"/>
      <c r="AP176" s="3" t="str">
        <f>IF(AND(G176&lt;&gt;"LIBSETS_SETTYPE_BATTLEGROUND",G176&lt;&gt;"LIBSETS_SETTYPE_SPECIAL"),IF(AQ176&lt;&gt;"",VLOOKUP(AQ176,'ESO zones'!$D$5:$H$4957,5,FALSE),""),"")</f>
        <v/>
      </c>
      <c r="AR176" s="4"/>
      <c r="AS176" s="3"/>
      <c r="AT176" s="3"/>
      <c r="AU176" s="3" t="str">
        <f>IF(AND(G176&lt;&gt;"LIBSETS_SETTYPE_BATTLEGROUND",G176&lt;&gt;"LIBSETS_SETTYPE_SPECIAL"),IF(AV176&lt;&gt;"",VLOOKUP(AV176,'ESO zones'!$D$5:$H$4957,5,FALSE),""),"")</f>
        <v/>
      </c>
      <c r="AW176" s="4"/>
      <c r="AX176" s="3"/>
      <c r="AY176" s="3"/>
      <c r="AZ176" s="49" t="s">
        <v>403</v>
      </c>
      <c r="BA176" s="49"/>
      <c r="BB176" s="49"/>
      <c r="BC176" s="49"/>
      <c r="BD176" s="49"/>
      <c r="BE176" s="18" t="str">
        <f t="shared" si="13"/>
        <v/>
      </c>
      <c r="BF176" s="18" t="str">
        <f t="shared" si="14"/>
        <v/>
      </c>
      <c r="BG176" s="18" t="str">
        <f t="shared" si="15"/>
        <v/>
      </c>
      <c r="BH176" s="18" t="str">
        <f t="shared" si="16"/>
        <v/>
      </c>
      <c r="BI176" s="18" t="str">
        <f t="shared" si="17"/>
        <v/>
      </c>
    </row>
    <row r="177" spans="1:61" x14ac:dyDescent="0.25">
      <c r="A177" s="12">
        <v>210</v>
      </c>
      <c r="B177" t="s">
        <v>814</v>
      </c>
      <c r="C177" t="s">
        <v>815</v>
      </c>
      <c r="D177" s="3">
        <f t="shared" si="12"/>
        <v>210</v>
      </c>
      <c r="G177" s="9" t="s">
        <v>174</v>
      </c>
      <c r="I177" t="s">
        <v>401</v>
      </c>
      <c r="J177" t="s">
        <v>401</v>
      </c>
      <c r="K177">
        <v>244</v>
      </c>
      <c r="L177">
        <v>244</v>
      </c>
      <c r="M177">
        <v>244</v>
      </c>
      <c r="O177" s="5" t="s">
        <v>816</v>
      </c>
      <c r="Q177" s="3">
        <f>IF(AND(P177&lt;&gt;"",ISNUMBER(P177),NOT(ISNA(P177))),P177,IF(R177&lt;&gt;"",VLOOKUP(R177,'ESO zones'!$D$5:$H$10005,5,FALSE),""))</f>
        <v>684</v>
      </c>
      <c r="R177" t="str">
        <f>IF(AND(O177&lt;&gt;"",NOT(ISERROR(O177))),O177,IF(AND(P177&lt;&gt;"",ISNUMBER(P177),P177&gt;0,NOT(ISNA(P177))),VLOOKUP(P177,'ESO zones'!$A$5:$D$10003,4,FALSE),IF(AND(K177&lt;&gt;"",K177&gt;0,NOT(ISERROR(K177))),VLOOKUP(K177,'ESO wayshrines'!$K$3:$N$9972,4,FALSE),"")))</f>
        <v>Wrothgar</v>
      </c>
      <c r="T177" s="16" t="str">
        <f>IF(AND(S177&lt;&gt;"",NOT(ISERROR(S177))),S177,VLOOKUP(A177,'ESO Set&amp;DLCs'!$A$3:$D$99998,4,FALSE))</f>
        <v>DLC_ORSINIUM</v>
      </c>
      <c r="U177" s="3" t="str">
        <f>IF(T177&lt;&gt;"",VLOOKUP(T177,ConstDLCIds!$B$4:$C$1000,2,FALSE),"")</f>
        <v>Orsinium</v>
      </c>
      <c r="V177" s="4" t="s">
        <v>215</v>
      </c>
      <c r="Y177" s="5"/>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zones'!$A$5:$D$10003,4,FALSE),"")</f>
        <v>Wrothgar</v>
      </c>
      <c r="AB177" s="4"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zones'!$A$5:$D$10003,4,FALSE),"")</f>
        <v>Wrothgar</v>
      </c>
      <c r="AH177" s="4" t="s">
        <v>221</v>
      </c>
      <c r="AK177" s="3">
        <f>IF(AND(G177&lt;&gt;"LIBSETS_SETTYPE_BATTLEGROUND",G177&lt;&gt;"LIBSETS_SETTYPE_SPECIAL"),IF(AL177&lt;&gt;"",VLOOKUP(AL177,'ESO zones'!$D$5:$H$4957,5,FALSE),""),"")</f>
        <v>684</v>
      </c>
      <c r="AL177" t="s">
        <v>816</v>
      </c>
      <c r="AM177" s="4" t="s">
        <v>224</v>
      </c>
      <c r="AP177" s="3">
        <f>IF(AND(G177&lt;&gt;"LIBSETS_SETTYPE_BATTLEGROUND",G177&lt;&gt;"LIBSETS_SETTYPE_SPECIAL"),IF(AQ177&lt;&gt;"",VLOOKUP(AQ177,'ESO zones'!$D$5:$H$4957,5,FALSE),""),"")</f>
        <v>684</v>
      </c>
      <c r="AQ177" t="s">
        <v>816</v>
      </c>
      <c r="AR177" s="80" t="s">
        <v>269</v>
      </c>
      <c r="AU177" s="3" t="str">
        <f>IF(AND(G177&lt;&gt;"LIBSETS_SETTYPE_BATTLEGROUND",G177&lt;&gt;"LIBSETS_SETTYPE_SPECIAL"),IF(AV177&lt;&gt;"",VLOOKUP(AV177,'ESO zones'!$D$5:$H$4957,5,FALSE),""),"")</f>
        <v/>
      </c>
      <c r="AZ177" s="49" t="s">
        <v>410</v>
      </c>
      <c r="BA177" s="49"/>
      <c r="BB177" s="49"/>
      <c r="BC177" s="49"/>
      <c r="BD177" s="49"/>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2">
        <v>211</v>
      </c>
      <c r="B178" t="s">
        <v>817</v>
      </c>
      <c r="C178" t="s">
        <v>817</v>
      </c>
      <c r="D178" s="3">
        <f t="shared" si="12"/>
        <v>211</v>
      </c>
      <c r="G178" s="9" t="s">
        <v>159</v>
      </c>
      <c r="I178" t="s">
        <v>401</v>
      </c>
      <c r="J178" t="s">
        <v>401</v>
      </c>
      <c r="K178">
        <v>249</v>
      </c>
      <c r="L178">
        <v>249</v>
      </c>
      <c r="M178">
        <v>249</v>
      </c>
      <c r="O178" s="5" t="s">
        <v>818</v>
      </c>
      <c r="Q178" s="3">
        <f>IF(AND(P178&lt;&gt;"",ISNUMBER(P178),NOT(ISNA(P178))),P178,IF(R178&lt;&gt;"",VLOOKUP(R178,'ESO zones'!$D$5:$H$10005,5,FALSE),""))</f>
        <v>677</v>
      </c>
      <c r="R178" t="str">
        <f>IF(AND(O178&lt;&gt;"",NOT(ISERROR(O178))),O178,IF(AND(P178&lt;&gt;"",ISNUMBER(P178),P178&gt;0,NOT(ISNA(P178))),VLOOKUP(P178,'ESO zones'!$A$5:$D$10003,4,FALSE),IF(AND(K178&lt;&gt;"",K178&gt;0,NOT(ISERROR(K178))),VLOOKUP(K178,'ESO wayshrines'!$K$3:$N$9972,4,FALSE),"")))</f>
        <v>Maelstrom Arena</v>
      </c>
      <c r="T178" s="16" t="str">
        <f>IF(AND(S178&lt;&gt;"",NOT(ISERROR(S178))),S178,VLOOKUP(A178,'ESO Set&amp;DLCs'!$A$3:$D$99998,4,FALSE))</f>
        <v>DLC_ORSINIUM</v>
      </c>
      <c r="U178" s="3" t="str">
        <f>IF(T178&lt;&gt;"",VLOOKUP(T178,ConstDLCIds!$B$4:$C$1000,2,FALSE),"")</f>
        <v>Orsinium</v>
      </c>
      <c r="V178" s="4" t="s">
        <v>209</v>
      </c>
      <c r="Y178" s="5"/>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zones'!$A$5:$D$10003,4,FALSE),"")</f>
        <v>Wrothgar</v>
      </c>
      <c r="AB178" s="4"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zones'!$A$5:$D$10003,4,FALSE),"")</f>
        <v>Wrothgar</v>
      </c>
      <c r="AK178" s="3" t="str">
        <f>IF(AND(G178&lt;&gt;"LIBSETS_SETTYPE_BATTLEGROUND",G178&lt;&gt;"LIBSETS_SETTYPE_SPECIAL"),IF(AL178&lt;&gt;"",VLOOKUP(AL178,'ESO zones'!$D$5:$H$4957,5,FALSE),""),"")</f>
        <v/>
      </c>
      <c r="AP178" s="3" t="str">
        <f>IF(AND(G178&lt;&gt;"LIBSETS_SETTYPE_BATTLEGROUND",G178&lt;&gt;"LIBSETS_SETTYPE_SPECIAL"),IF(AQ178&lt;&gt;"",VLOOKUP(AQ178,'ESO zones'!$D$5:$H$4957,5,FALSE),""),"")</f>
        <v/>
      </c>
      <c r="AU178" s="3" t="str">
        <f>IF(AND(G178&lt;&gt;"LIBSETS_SETTYPE_BATTLEGROUND",G178&lt;&gt;"LIBSETS_SETTYPE_SPECIAL"),IF(AV178&lt;&gt;"",VLOOKUP(AV178,'ESO zones'!$D$5:$H$4957,5,FALSE),""),"")</f>
        <v/>
      </c>
      <c r="AZ178" s="49" t="s">
        <v>410</v>
      </c>
      <c r="BA178" s="49"/>
      <c r="BB178" s="49"/>
      <c r="BC178" s="49"/>
      <c r="BD178" s="49"/>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2">
        <v>212</v>
      </c>
      <c r="B179" t="s">
        <v>819</v>
      </c>
      <c r="C179" t="s">
        <v>820</v>
      </c>
      <c r="D179" s="3">
        <f t="shared" si="12"/>
        <v>212</v>
      </c>
      <c r="G179" s="9" t="s">
        <v>174</v>
      </c>
      <c r="I179" t="s">
        <v>401</v>
      </c>
      <c r="J179" t="s">
        <v>401</v>
      </c>
      <c r="K179">
        <v>244</v>
      </c>
      <c r="L179">
        <v>244</v>
      </c>
      <c r="M179">
        <v>244</v>
      </c>
      <c r="O179" s="5" t="s">
        <v>816</v>
      </c>
      <c r="Q179" s="3">
        <f>IF(AND(P179&lt;&gt;"",ISNUMBER(P179),NOT(ISNA(P179))),P179,IF(R179&lt;&gt;"",VLOOKUP(R179,'ESO zones'!$D$5:$H$10005,5,FALSE),""))</f>
        <v>684</v>
      </c>
      <c r="R179" t="str">
        <f>IF(AND(O179&lt;&gt;"",NOT(ISERROR(O179))),O179,IF(AND(P179&lt;&gt;"",ISNUMBER(P179),P179&gt;0,NOT(ISNA(P179))),VLOOKUP(P179,'ESO zones'!$A$5:$D$10003,4,FALSE),IF(AND(K179&lt;&gt;"",K179&gt;0,NOT(ISERROR(K179))),VLOOKUP(K179,'ESO wayshrines'!$K$3:$N$9972,4,FALSE),"")))</f>
        <v>Wrothgar</v>
      </c>
      <c r="T179" s="16" t="str">
        <f>IF(AND(S179&lt;&gt;"",NOT(ISERROR(S179))),S179,VLOOKUP(A179,'ESO Set&amp;DLCs'!$A$3:$D$99998,4,FALSE))</f>
        <v>DLC_ORSINIUM</v>
      </c>
      <c r="U179" s="3" t="str">
        <f>IF(T179&lt;&gt;"",VLOOKUP(T179,ConstDLCIds!$B$4:$C$1000,2,FALSE),"")</f>
        <v>Orsinium</v>
      </c>
      <c r="V179" s="4" t="s">
        <v>215</v>
      </c>
      <c r="Y179" s="5"/>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zones'!$A$5:$D$10003,4,FALSE),"")</f>
        <v>Wrothgar</v>
      </c>
      <c r="AB179" s="4"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zones'!$A$5:$D$10003,4,FALSE),"")</f>
        <v>Wrothgar</v>
      </c>
      <c r="AH179" s="4" t="s">
        <v>221</v>
      </c>
      <c r="AK179" s="3">
        <f>IF(AND(G179&lt;&gt;"LIBSETS_SETTYPE_BATTLEGROUND",G179&lt;&gt;"LIBSETS_SETTYPE_SPECIAL"),IF(AL179&lt;&gt;"",VLOOKUP(AL179,'ESO zones'!$D$5:$H$4957,5,FALSE),""),"")</f>
        <v>684</v>
      </c>
      <c r="AL179" t="s">
        <v>816</v>
      </c>
      <c r="AM179" s="4" t="s">
        <v>224</v>
      </c>
      <c r="AP179" s="3">
        <f>IF(AND(G179&lt;&gt;"LIBSETS_SETTYPE_BATTLEGROUND",G179&lt;&gt;"LIBSETS_SETTYPE_SPECIAL"),IF(AQ179&lt;&gt;"",VLOOKUP(AQ179,'ESO zones'!$D$5:$H$4957,5,FALSE),""),"")</f>
        <v>684</v>
      </c>
      <c r="AQ179" t="s">
        <v>816</v>
      </c>
      <c r="AR179" s="80" t="s">
        <v>269</v>
      </c>
      <c r="AU179" s="3" t="str">
        <f>IF(AND(G179&lt;&gt;"LIBSETS_SETTYPE_BATTLEGROUND",G179&lt;&gt;"LIBSETS_SETTYPE_SPECIAL"),IF(AV179&lt;&gt;"",VLOOKUP(AV179,'ESO zones'!$D$5:$H$4957,5,FALSE),""),"")</f>
        <v/>
      </c>
      <c r="AZ179" s="49" t="s">
        <v>403</v>
      </c>
      <c r="BA179" s="49"/>
      <c r="BB179" s="49"/>
      <c r="BC179" s="49"/>
      <c r="BD179" s="49"/>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2">
        <v>213</v>
      </c>
      <c r="B180" t="s">
        <v>821</v>
      </c>
      <c r="C180" t="s">
        <v>822</v>
      </c>
      <c r="D180" s="3">
        <f t="shared" si="12"/>
        <v>213</v>
      </c>
      <c r="G180" s="9" t="s">
        <v>159</v>
      </c>
      <c r="I180" t="s">
        <v>401</v>
      </c>
      <c r="J180" t="s">
        <v>401</v>
      </c>
      <c r="K180">
        <v>249</v>
      </c>
      <c r="L180">
        <v>249</v>
      </c>
      <c r="M180">
        <v>249</v>
      </c>
      <c r="O180" s="5" t="s">
        <v>818</v>
      </c>
      <c r="Q180" s="3">
        <f>IF(AND(P180&lt;&gt;"",ISNUMBER(P180),NOT(ISNA(P180))),P180,IF(R180&lt;&gt;"",VLOOKUP(R180,'ESO zones'!$D$5:$H$10005,5,FALSE),""))</f>
        <v>677</v>
      </c>
      <c r="R180" t="str">
        <f>IF(AND(O180&lt;&gt;"",NOT(ISERROR(O180))),O180,IF(AND(P180&lt;&gt;"",ISNUMBER(P180),P180&gt;0,NOT(ISNA(P180))),VLOOKUP(P180,'ESO zones'!$A$5:$D$10003,4,FALSE),IF(AND(K180&lt;&gt;"",K180&gt;0,NOT(ISERROR(K180))),VLOOKUP(K180,'ESO wayshrines'!$K$3:$N$9972,4,FALSE),"")))</f>
        <v>Maelstrom Arena</v>
      </c>
      <c r="T180" s="16" t="str">
        <f>IF(AND(S180&lt;&gt;"",NOT(ISERROR(S180))),S180,VLOOKUP(A180,'ESO Set&amp;DLCs'!$A$3:$D$99998,4,FALSE))</f>
        <v>DLC_ORSINIUM</v>
      </c>
      <c r="U180" s="3" t="str">
        <f>IF(T180&lt;&gt;"",VLOOKUP(T180,ConstDLCIds!$B$4:$C$1000,2,FALSE),"")</f>
        <v>Orsinium</v>
      </c>
      <c r="V180" s="4" t="s">
        <v>209</v>
      </c>
      <c r="Y180" s="5"/>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zones'!$A$5:$D$10003,4,FALSE),"")</f>
        <v>Wrothgar</v>
      </c>
      <c r="AB180" s="4"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zones'!$A$5:$D$10003,4,FALSE),"")</f>
        <v>Wrothgar</v>
      </c>
      <c r="AK180" s="3" t="str">
        <f>IF(AND(G180&lt;&gt;"LIBSETS_SETTYPE_BATTLEGROUND",G180&lt;&gt;"LIBSETS_SETTYPE_SPECIAL"),IF(AL180&lt;&gt;"",VLOOKUP(AL180,'ESO zones'!$D$5:$H$4957,5,FALSE),""),"")</f>
        <v/>
      </c>
      <c r="AP180" s="3" t="str">
        <f>IF(AND(G180&lt;&gt;"LIBSETS_SETTYPE_BATTLEGROUND",G180&lt;&gt;"LIBSETS_SETTYPE_SPECIAL"),IF(AQ180&lt;&gt;"",VLOOKUP(AQ180,'ESO zones'!$D$5:$H$4957,5,FALSE),""),"")</f>
        <v/>
      </c>
      <c r="AU180" s="3" t="str">
        <f>IF(AND(G180&lt;&gt;"LIBSETS_SETTYPE_BATTLEGROUND",G180&lt;&gt;"LIBSETS_SETTYPE_SPECIAL"),IF(AV180&lt;&gt;"",VLOOKUP(AV180,'ESO zones'!$D$5:$H$4957,5,FALSE),""),"")</f>
        <v/>
      </c>
      <c r="AZ180" s="49" t="s">
        <v>403</v>
      </c>
      <c r="BA180" s="49"/>
      <c r="BB180" s="49"/>
      <c r="BC180" s="49"/>
      <c r="BD180" s="49"/>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2">
        <v>214</v>
      </c>
      <c r="B181" t="s">
        <v>823</v>
      </c>
      <c r="C181" t="s">
        <v>823</v>
      </c>
      <c r="D181" s="3">
        <f t="shared" si="12"/>
        <v>214</v>
      </c>
      <c r="G181" s="9" t="s">
        <v>159</v>
      </c>
      <c r="I181" t="s">
        <v>401</v>
      </c>
      <c r="J181" t="s">
        <v>401</v>
      </c>
      <c r="K181">
        <v>249</v>
      </c>
      <c r="L181">
        <v>249</v>
      </c>
      <c r="M181">
        <v>249</v>
      </c>
      <c r="O181" s="5" t="s">
        <v>818</v>
      </c>
      <c r="Q181" s="3">
        <f>IF(AND(P181&lt;&gt;"",ISNUMBER(P181),NOT(ISNA(P181))),P181,IF(R181&lt;&gt;"",VLOOKUP(R181,'ESO zones'!$D$5:$H$10005,5,FALSE),""))</f>
        <v>677</v>
      </c>
      <c r="R181" t="str">
        <f>IF(AND(O181&lt;&gt;"",NOT(ISERROR(O181))),O181,IF(AND(P181&lt;&gt;"",ISNUMBER(P181),P181&gt;0,NOT(ISNA(P181))),VLOOKUP(P181,'ESO zones'!$A$5:$D$10003,4,FALSE),IF(AND(K181&lt;&gt;"",K181&gt;0,NOT(ISERROR(K181))),VLOOKUP(K181,'ESO wayshrines'!$K$3:$N$9972,4,FALSE),"")))</f>
        <v>Maelstrom Arena</v>
      </c>
      <c r="T181" s="16" t="str">
        <f>IF(AND(S181&lt;&gt;"",NOT(ISERROR(S181))),S181,VLOOKUP(A181,'ESO Set&amp;DLCs'!$A$3:$D$99998,4,FALSE))</f>
        <v>DLC_ORSINIUM</v>
      </c>
      <c r="U181" s="3" t="str">
        <f>IF(T181&lt;&gt;"",VLOOKUP(T181,ConstDLCIds!$B$4:$C$1000,2,FALSE),"")</f>
        <v>Orsinium</v>
      </c>
      <c r="V181" s="4" t="s">
        <v>209</v>
      </c>
      <c r="Y181" s="5"/>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zones'!$A$5:$D$10003,4,FALSE),"")</f>
        <v>Wrothgar</v>
      </c>
      <c r="AB181" s="4"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zones'!$A$5:$D$10003,4,FALSE),"")</f>
        <v>Wrothgar</v>
      </c>
      <c r="AK181" s="3" t="str">
        <f>IF(AND(G181&lt;&gt;"LIBSETS_SETTYPE_BATTLEGROUND",G181&lt;&gt;"LIBSETS_SETTYPE_SPECIAL"),IF(AL181&lt;&gt;"",VLOOKUP(AL181,'ESO zones'!$D$5:$H$4957,5,FALSE),""),"")</f>
        <v/>
      </c>
      <c r="AP181" s="3" t="str">
        <f>IF(AND(G181&lt;&gt;"LIBSETS_SETTYPE_BATTLEGROUND",G181&lt;&gt;"LIBSETS_SETTYPE_SPECIAL"),IF(AQ181&lt;&gt;"",VLOOKUP(AQ181,'ESO zones'!$D$5:$H$4957,5,FALSE),""),"")</f>
        <v/>
      </c>
      <c r="AU181" s="3" t="str">
        <f>IF(AND(G181&lt;&gt;"LIBSETS_SETTYPE_BATTLEGROUND",G181&lt;&gt;"LIBSETS_SETTYPE_SPECIAL"),IF(AV181&lt;&gt;"",VLOOKUP(AV181,'ESO zones'!$D$5:$H$4957,5,FALSE),""),"")</f>
        <v/>
      </c>
      <c r="AZ181" s="49" t="s">
        <v>403</v>
      </c>
      <c r="BA181" s="49"/>
      <c r="BB181" s="49"/>
      <c r="BC181" s="49"/>
      <c r="BD181" s="49"/>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2">
        <v>215</v>
      </c>
      <c r="B182" t="s">
        <v>824</v>
      </c>
      <c r="C182" t="s">
        <v>825</v>
      </c>
      <c r="D182" s="3">
        <f t="shared" si="12"/>
        <v>215</v>
      </c>
      <c r="G182" s="9" t="s">
        <v>159</v>
      </c>
      <c r="I182" t="s">
        <v>401</v>
      </c>
      <c r="J182" t="s">
        <v>401</v>
      </c>
      <c r="K182">
        <v>249</v>
      </c>
      <c r="L182">
        <v>249</v>
      </c>
      <c r="M182">
        <v>249</v>
      </c>
      <c r="O182" s="5" t="s">
        <v>818</v>
      </c>
      <c r="Q182" s="3">
        <f>IF(AND(P182&lt;&gt;"",ISNUMBER(P182),NOT(ISNA(P182))),P182,IF(R182&lt;&gt;"",VLOOKUP(R182,'ESO zones'!$D$5:$H$10005,5,FALSE),""))</f>
        <v>677</v>
      </c>
      <c r="R182" t="str">
        <f>IF(AND(O182&lt;&gt;"",NOT(ISERROR(O182))),O182,IF(AND(P182&lt;&gt;"",ISNUMBER(P182),P182&gt;0,NOT(ISNA(P182))),VLOOKUP(P182,'ESO zones'!$A$5:$D$10003,4,FALSE),IF(AND(K182&lt;&gt;"",K182&gt;0,NOT(ISERROR(K182))),VLOOKUP(K182,'ESO wayshrines'!$K$3:$N$9972,4,FALSE),"")))</f>
        <v>Maelstrom Arena</v>
      </c>
      <c r="T182" s="16" t="str">
        <f>IF(AND(S182&lt;&gt;"",NOT(ISERROR(S182))),S182,VLOOKUP(A182,'ESO Set&amp;DLCs'!$A$3:$D$99998,4,FALSE))</f>
        <v>DLC_ORSINIUM</v>
      </c>
      <c r="U182" s="3" t="str">
        <f>IF(T182&lt;&gt;"",VLOOKUP(T182,ConstDLCIds!$B$4:$C$1000,2,FALSE),"")</f>
        <v>Orsinium</v>
      </c>
      <c r="V182" s="4" t="s">
        <v>209</v>
      </c>
      <c r="Y182" s="5"/>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zones'!$A$5:$D$10003,4,FALSE),"")</f>
        <v>Wrothgar</v>
      </c>
      <c r="AB182" s="4"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zones'!$A$5:$D$10003,4,FALSE),"")</f>
        <v>Wrothgar</v>
      </c>
      <c r="AK182" s="3" t="str">
        <f>IF(AND(G182&lt;&gt;"LIBSETS_SETTYPE_BATTLEGROUND",G182&lt;&gt;"LIBSETS_SETTYPE_SPECIAL"),IF(AL182&lt;&gt;"",VLOOKUP(AL182,'ESO zones'!$D$5:$H$4957,5,FALSE),""),"")</f>
        <v/>
      </c>
      <c r="AP182" s="3" t="str">
        <f>IF(AND(G182&lt;&gt;"LIBSETS_SETTYPE_BATTLEGROUND",G182&lt;&gt;"LIBSETS_SETTYPE_SPECIAL"),IF(AQ182&lt;&gt;"",VLOOKUP(AQ182,'ESO zones'!$D$5:$H$4957,5,FALSE),""),"")</f>
        <v/>
      </c>
      <c r="AU182" s="3" t="str">
        <f>IF(AND(G182&lt;&gt;"LIBSETS_SETTYPE_BATTLEGROUND",G182&lt;&gt;"LIBSETS_SETTYPE_SPECIAL"),IF(AV182&lt;&gt;"",VLOOKUP(AV182,'ESO zones'!$D$5:$H$4957,5,FALSE),""),"")</f>
        <v/>
      </c>
      <c r="AZ182" s="49" t="s">
        <v>403</v>
      </c>
      <c r="BA182" s="49"/>
      <c r="BB182" s="49"/>
      <c r="BC182" s="49"/>
      <c r="BD182" s="49"/>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2">
        <v>216</v>
      </c>
      <c r="B183" t="s">
        <v>826</v>
      </c>
      <c r="C183" t="s">
        <v>827</v>
      </c>
      <c r="D183" s="3">
        <f t="shared" si="12"/>
        <v>216</v>
      </c>
      <c r="G183" s="9" t="s">
        <v>159</v>
      </c>
      <c r="I183" t="s">
        <v>401</v>
      </c>
      <c r="J183" t="s">
        <v>401</v>
      </c>
      <c r="K183">
        <v>249</v>
      </c>
      <c r="L183">
        <v>249</v>
      </c>
      <c r="M183">
        <v>249</v>
      </c>
      <c r="O183" s="5" t="s">
        <v>818</v>
      </c>
      <c r="Q183" s="3">
        <f>IF(AND(P183&lt;&gt;"",ISNUMBER(P183),NOT(ISNA(P183))),P183,IF(R183&lt;&gt;"",VLOOKUP(R183,'ESO zones'!$D$5:$H$10005,5,FALSE),""))</f>
        <v>677</v>
      </c>
      <c r="R183" t="str">
        <f>IF(AND(O183&lt;&gt;"",NOT(ISERROR(O183))),O183,IF(AND(P183&lt;&gt;"",ISNUMBER(P183),P183&gt;0,NOT(ISNA(P183))),VLOOKUP(P183,'ESO zones'!$A$5:$D$10003,4,FALSE),IF(AND(K183&lt;&gt;"",K183&gt;0,NOT(ISERROR(K183))),VLOOKUP(K183,'ESO wayshrines'!$K$3:$N$9972,4,FALSE),"")))</f>
        <v>Maelstrom Arena</v>
      </c>
      <c r="T183" s="16" t="str">
        <f>IF(AND(S183&lt;&gt;"",NOT(ISERROR(S183))),S183,VLOOKUP(A183,'ESO Set&amp;DLCs'!$A$3:$D$99998,4,FALSE))</f>
        <v>DLC_ORSINIUM</v>
      </c>
      <c r="U183" s="3" t="str">
        <f>IF(T183&lt;&gt;"",VLOOKUP(T183,ConstDLCIds!$B$4:$C$1000,2,FALSE),"")</f>
        <v>Orsinium</v>
      </c>
      <c r="V183" s="4" t="s">
        <v>209</v>
      </c>
      <c r="Y183" s="5"/>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zones'!$A$5:$D$10003,4,FALSE),"")</f>
        <v>Wrothgar</v>
      </c>
      <c r="AB183" s="4"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zones'!$A$5:$D$10003,4,FALSE),"")</f>
        <v>Wrothgar</v>
      </c>
      <c r="AK183" s="3" t="str">
        <f>IF(AND(G183&lt;&gt;"LIBSETS_SETTYPE_BATTLEGROUND",G183&lt;&gt;"LIBSETS_SETTYPE_SPECIAL"),IF(AL183&lt;&gt;"",VLOOKUP(AL183,'ESO zones'!$D$5:$H$4957,5,FALSE),""),"")</f>
        <v/>
      </c>
      <c r="AP183" s="3" t="str">
        <f>IF(AND(G183&lt;&gt;"LIBSETS_SETTYPE_BATTLEGROUND",G183&lt;&gt;"LIBSETS_SETTYPE_SPECIAL"),IF(AQ183&lt;&gt;"",VLOOKUP(AQ183,'ESO zones'!$D$5:$H$4957,5,FALSE),""),"")</f>
        <v/>
      </c>
      <c r="AU183" s="3" t="str">
        <f>IF(AND(G183&lt;&gt;"LIBSETS_SETTYPE_BATTLEGROUND",G183&lt;&gt;"LIBSETS_SETTYPE_SPECIAL"),IF(AV183&lt;&gt;"",VLOOKUP(AV183,'ESO zones'!$D$5:$H$4957,5,FALSE),""),"")</f>
        <v/>
      </c>
      <c r="AZ183" s="49" t="s">
        <v>403</v>
      </c>
      <c r="BA183" s="49"/>
      <c r="BB183" s="49"/>
      <c r="BC183" s="49"/>
      <c r="BD183" s="49"/>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2">
        <v>217</v>
      </c>
      <c r="B184" t="s">
        <v>828</v>
      </c>
      <c r="C184" t="s">
        <v>829</v>
      </c>
      <c r="D184" s="3">
        <f t="shared" si="12"/>
        <v>217</v>
      </c>
      <c r="G184" s="9" t="s">
        <v>159</v>
      </c>
      <c r="I184" t="s">
        <v>401</v>
      </c>
      <c r="J184" t="s">
        <v>401</v>
      </c>
      <c r="K184">
        <v>249</v>
      </c>
      <c r="L184">
        <v>249</v>
      </c>
      <c r="M184">
        <v>249</v>
      </c>
      <c r="O184" s="5" t="s">
        <v>818</v>
      </c>
      <c r="Q184" s="3">
        <f>IF(AND(P184&lt;&gt;"",ISNUMBER(P184),NOT(ISNA(P184))),P184,IF(R184&lt;&gt;"",VLOOKUP(R184,'ESO zones'!$D$5:$H$10005,5,FALSE),""))</f>
        <v>677</v>
      </c>
      <c r="R184" t="str">
        <f>IF(AND(O184&lt;&gt;"",NOT(ISERROR(O184))),O184,IF(AND(P184&lt;&gt;"",ISNUMBER(P184),P184&gt;0,NOT(ISNA(P184))),VLOOKUP(P184,'ESO zones'!$A$5:$D$10003,4,FALSE),IF(AND(K184&lt;&gt;"",K184&gt;0,NOT(ISERROR(K184))),VLOOKUP(K184,'ESO wayshrines'!$K$3:$N$9972,4,FALSE),"")))</f>
        <v>Maelstrom Arena</v>
      </c>
      <c r="T184" s="16" t="str">
        <f>IF(AND(S184&lt;&gt;"",NOT(ISERROR(S184))),S184,VLOOKUP(A184,'ESO Set&amp;DLCs'!$A$3:$D$99998,4,FALSE))</f>
        <v>DLC_ORSINIUM</v>
      </c>
      <c r="U184" s="3" t="str">
        <f>IF(T184&lt;&gt;"",VLOOKUP(T184,ConstDLCIds!$B$4:$C$1000,2,FALSE),"")</f>
        <v>Orsinium</v>
      </c>
      <c r="V184" s="4" t="s">
        <v>209</v>
      </c>
      <c r="Y184" s="5"/>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zones'!$A$5:$D$10003,4,FALSE),"")</f>
        <v>Wrothgar</v>
      </c>
      <c r="AB184" s="4"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zones'!$A$5:$D$10003,4,FALSE),"")</f>
        <v>Wrothgar</v>
      </c>
      <c r="AK184" s="3" t="str">
        <f>IF(AND(G184&lt;&gt;"LIBSETS_SETTYPE_BATTLEGROUND",G184&lt;&gt;"LIBSETS_SETTYPE_SPECIAL"),IF(AL184&lt;&gt;"",VLOOKUP(AL184,'ESO zones'!$D$5:$H$4957,5,FALSE),""),"")</f>
        <v/>
      </c>
      <c r="AP184" s="3" t="str">
        <f>IF(AND(G184&lt;&gt;"LIBSETS_SETTYPE_BATTLEGROUND",G184&lt;&gt;"LIBSETS_SETTYPE_SPECIAL"),IF(AQ184&lt;&gt;"",VLOOKUP(AQ184,'ESO zones'!$D$5:$H$4957,5,FALSE),""),"")</f>
        <v/>
      </c>
      <c r="AU184" s="3" t="str">
        <f>IF(AND(G184&lt;&gt;"LIBSETS_SETTYPE_BATTLEGROUND",G184&lt;&gt;"LIBSETS_SETTYPE_SPECIAL"),IF(AV184&lt;&gt;"",VLOOKUP(AV184,'ESO zones'!$D$5:$H$4957,5,FALSE),""),"")</f>
        <v/>
      </c>
      <c r="AZ184" s="49" t="s">
        <v>403</v>
      </c>
      <c r="BA184" s="49"/>
      <c r="BB184" s="49"/>
      <c r="BC184" s="49"/>
      <c r="BD184" s="49"/>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2">
        <v>218</v>
      </c>
      <c r="B185" t="s">
        <v>830</v>
      </c>
      <c r="C185" t="s">
        <v>831</v>
      </c>
      <c r="D185" s="3">
        <f t="shared" si="12"/>
        <v>218</v>
      </c>
      <c r="G185" s="9" t="s">
        <v>174</v>
      </c>
      <c r="I185" t="s">
        <v>401</v>
      </c>
      <c r="J185" t="s">
        <v>401</v>
      </c>
      <c r="K185">
        <v>244</v>
      </c>
      <c r="L185">
        <v>244</v>
      </c>
      <c r="M185">
        <v>244</v>
      </c>
      <c r="O185" s="5" t="s">
        <v>816</v>
      </c>
      <c r="Q185" s="3">
        <f>IF(AND(P185&lt;&gt;"",ISNUMBER(P185),NOT(ISNA(P185))),P185,IF(R185&lt;&gt;"",VLOOKUP(R185,'ESO zones'!$D$5:$H$10005,5,FALSE),""))</f>
        <v>684</v>
      </c>
      <c r="R185" t="str">
        <f>IF(AND(O185&lt;&gt;"",NOT(ISERROR(O185))),O185,IF(AND(P185&lt;&gt;"",ISNUMBER(P185),P185&gt;0,NOT(ISNA(P185))),VLOOKUP(P185,'ESO zones'!$A$5:$D$10003,4,FALSE),IF(AND(K185&lt;&gt;"",K185&gt;0,NOT(ISERROR(K185))),VLOOKUP(K185,'ESO wayshrines'!$K$3:$N$9972,4,FALSE),"")))</f>
        <v>Wrothgar</v>
      </c>
      <c r="T185" s="16" t="str">
        <f>IF(AND(S185&lt;&gt;"",NOT(ISERROR(S185))),S185,VLOOKUP(A185,'ESO Set&amp;DLCs'!$A$3:$D$99998,4,FALSE))</f>
        <v>DLC_ORSINIUM</v>
      </c>
      <c r="U185" s="3" t="str">
        <f>IF(T185&lt;&gt;"",VLOOKUP(T185,ConstDLCIds!$B$4:$C$1000,2,FALSE),"")</f>
        <v>Orsinium</v>
      </c>
      <c r="V185" s="4" t="s">
        <v>215</v>
      </c>
      <c r="Y185" s="5"/>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zones'!$A$5:$D$10003,4,FALSE),"")</f>
        <v>Wrothgar</v>
      </c>
      <c r="AB185" s="4"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zones'!$A$5:$D$10003,4,FALSE),"")</f>
        <v>Wrothgar</v>
      </c>
      <c r="AH185" s="4" t="s">
        <v>221</v>
      </c>
      <c r="AK185" s="3">
        <f>IF(AND(G185&lt;&gt;"LIBSETS_SETTYPE_BATTLEGROUND",G185&lt;&gt;"LIBSETS_SETTYPE_SPECIAL"),IF(AL185&lt;&gt;"",VLOOKUP(AL185,'ESO zones'!$D$5:$H$4957,5,FALSE),""),"")</f>
        <v>684</v>
      </c>
      <c r="AL185" t="s">
        <v>816</v>
      </c>
      <c r="AM185" s="4" t="s">
        <v>224</v>
      </c>
      <c r="AP185" s="3">
        <f>IF(AND(G185&lt;&gt;"LIBSETS_SETTYPE_BATTLEGROUND",G185&lt;&gt;"LIBSETS_SETTYPE_SPECIAL"),IF(AQ185&lt;&gt;"",VLOOKUP(AQ185,'ESO zones'!$D$5:$H$4957,5,FALSE),""),"")</f>
        <v>684</v>
      </c>
      <c r="AQ185" t="s">
        <v>816</v>
      </c>
      <c r="AR185" s="80" t="s">
        <v>269</v>
      </c>
      <c r="AU185" s="3" t="str">
        <f>IF(AND(G185&lt;&gt;"LIBSETS_SETTYPE_BATTLEGROUND",G185&lt;&gt;"LIBSETS_SETTYPE_SPECIAL"),IF(AV185&lt;&gt;"",VLOOKUP(AV185,'ESO zones'!$D$5:$H$4957,5,FALSE),""),"")</f>
        <v/>
      </c>
      <c r="AZ185" s="49" t="s">
        <v>403</v>
      </c>
      <c r="BA185" s="49"/>
      <c r="BB185" s="49"/>
      <c r="BC185" s="49"/>
      <c r="BD185" s="49"/>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1">
        <v>219</v>
      </c>
      <c r="B186" t="s">
        <v>832</v>
      </c>
      <c r="C186" t="s">
        <v>832</v>
      </c>
      <c r="D186" s="3">
        <f t="shared" si="12"/>
        <v>219</v>
      </c>
      <c r="G186" s="9" t="s">
        <v>163</v>
      </c>
      <c r="I186" t="s">
        <v>401</v>
      </c>
      <c r="J186" t="s">
        <v>401</v>
      </c>
      <c r="K186">
        <v>237</v>
      </c>
      <c r="L186">
        <v>237</v>
      </c>
      <c r="M186">
        <v>237</v>
      </c>
      <c r="N186">
        <v>9</v>
      </c>
      <c r="Q186" s="3">
        <f>IF(AND(P186&lt;&gt;"",ISNUMBER(P186),NOT(ISNA(P186))),P186,IF(R186&lt;&gt;"",VLOOKUP(R186,'ESO zones'!$D$5:$H$10005,5,FALSE),""))</f>
        <v>684</v>
      </c>
      <c r="R186" t="str">
        <f>IF(AND(O186&lt;&gt;"",NOT(ISERROR(O186))),O186,IF(AND(P186&lt;&gt;"",ISNUMBER(P186),P186&gt;0,NOT(ISNA(P186))),VLOOKUP(P186,'ESO zones'!$A$5:$D$10003,4,FALSE),IF(AND(K186&lt;&gt;"",K186&gt;0,NOT(ISERROR(K186))),VLOOKUP(K186,'ESO wayshrines'!$K$3:$N$9972,4,FALSE),"")))</f>
        <v>Wrothgar</v>
      </c>
      <c r="T186" s="16" t="str">
        <f>IF(AND(S186&lt;&gt;"",NOT(ISERROR(S186))),S186,VLOOKUP(A186,'ESO Set&amp;DLCs'!$A$3:$D$99998,4,FALSE))</f>
        <v>DLC_ORSINIUM</v>
      </c>
      <c r="U186" s="3" t="str">
        <f>IF(T186&lt;&gt;"",VLOOKUP(T186,ConstDLCIds!$B$4:$C$1000,2,FALSE),"")</f>
        <v>Orsinium</v>
      </c>
      <c r="V186" s="4" t="s">
        <v>281</v>
      </c>
      <c r="Y186" s="5"/>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zones'!$A$5:$D$10003,4,FALSE),"")</f>
        <v>Wrothgar</v>
      </c>
      <c r="AB186" s="4"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zones'!$A$5:$D$10003,4,FALSE),"")</f>
        <v>Wrothgar</v>
      </c>
      <c r="AK186" s="3" t="str">
        <f>IF(AND(G186&lt;&gt;"LIBSETS_SETTYPE_BATTLEGROUND",G186&lt;&gt;"LIBSETS_SETTYPE_SPECIAL"),IF(AL186&lt;&gt;"",VLOOKUP(AL186,'ESO zones'!$D$5:$H$4957,5,FALSE),""),"")</f>
        <v/>
      </c>
      <c r="AP186" s="3" t="str">
        <f>IF(AND(G186&lt;&gt;"LIBSETS_SETTYPE_BATTLEGROUND",G186&lt;&gt;"LIBSETS_SETTYPE_SPECIAL"),IF(AQ186&lt;&gt;"",VLOOKUP(AQ186,'ESO zones'!$D$5:$H$4957,5,FALSE),""),"")</f>
        <v/>
      </c>
      <c r="AU186" s="3" t="str">
        <f>IF(AND(G186&lt;&gt;"LIBSETS_SETTYPE_BATTLEGROUND",G186&lt;&gt;"LIBSETS_SETTYPE_SPECIAL"),IF(AV186&lt;&gt;"",VLOOKUP(AV186,'ESO zones'!$D$5:$H$4957,5,FALSE),""),"")</f>
        <v/>
      </c>
      <c r="AZ186" s="49" t="s">
        <v>403</v>
      </c>
      <c r="BA186" s="49"/>
      <c r="BB186" s="49"/>
      <c r="BC186" s="49"/>
      <c r="BD186" s="49"/>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1">
        <v>224</v>
      </c>
      <c r="B187" t="s">
        <v>833</v>
      </c>
      <c r="C187" t="s">
        <v>834</v>
      </c>
      <c r="D187" s="3">
        <f t="shared" si="12"/>
        <v>224</v>
      </c>
      <c r="G187" s="9" t="s">
        <v>163</v>
      </c>
      <c r="I187" t="s">
        <v>401</v>
      </c>
      <c r="J187" t="s">
        <v>401</v>
      </c>
      <c r="K187">
        <v>257</v>
      </c>
      <c r="L187">
        <v>257</v>
      </c>
      <c r="M187">
        <v>257</v>
      </c>
      <c r="N187">
        <v>5</v>
      </c>
      <c r="Q187" s="3">
        <f>IF(AND(P187&lt;&gt;"",ISNUMBER(P187),NOT(ISNA(P187))),P187,IF(R187&lt;&gt;"",VLOOKUP(R187,'ESO zones'!$D$5:$H$10005,5,FALSE),""))</f>
        <v>816</v>
      </c>
      <c r="R187" t="str">
        <f>IF(AND(O187&lt;&gt;"",NOT(ISERROR(O187))),O187,IF(AND(P187&lt;&gt;"",ISNUMBER(P187),P187&gt;0,NOT(ISNA(P187))),VLOOKUP(P187,'ESO zones'!$A$5:$D$10003,4,FALSE),IF(AND(K187&lt;&gt;"",K187&gt;0,NOT(ISERROR(K187))),VLOOKUP(K187,'ESO wayshrines'!$K$3:$N$9972,4,FALSE),"")))</f>
        <v>Hew's Bane</v>
      </c>
      <c r="T187" s="16" t="str">
        <f>IF(AND(S187&lt;&gt;"",NOT(ISERROR(S187))),S187,VLOOKUP(A187,'ESO Set&amp;DLCs'!$A$3:$D$99998,4,FALSE))</f>
        <v>DLC_THIEVES_GUILD</v>
      </c>
      <c r="U187" s="3" t="str">
        <f>IF(T187&lt;&gt;"",VLOOKUP(T187,ConstDLCIds!$B$4:$C$1000,2,FALSE),"")</f>
        <v>Thieves Guild</v>
      </c>
      <c r="V187" s="4" t="s">
        <v>281</v>
      </c>
      <c r="Y187" s="5"/>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zones'!$A$5:$D$10003,4,FALSE),"")</f>
        <v>Hew's Bane</v>
      </c>
      <c r="AB187" s="4"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zones'!$A$5:$D$10003,4,FALSE),"")</f>
        <v>Hew's Bane</v>
      </c>
      <c r="AK187" s="3" t="str">
        <f>IF(AND(G187&lt;&gt;"LIBSETS_SETTYPE_BATTLEGROUND",G187&lt;&gt;"LIBSETS_SETTYPE_SPECIAL"),IF(AL187&lt;&gt;"",VLOOKUP(AL187,'ESO zones'!$D$5:$H$4957,5,FALSE),""),"")</f>
        <v/>
      </c>
      <c r="AP187" s="3" t="str">
        <f>IF(AND(G187&lt;&gt;"LIBSETS_SETTYPE_BATTLEGROUND",G187&lt;&gt;"LIBSETS_SETTYPE_SPECIAL"),IF(AQ187&lt;&gt;"",VLOOKUP(AQ187,'ESO zones'!$D$5:$H$4957,5,FALSE),""),"")</f>
        <v/>
      </c>
      <c r="AU187" s="3" t="str">
        <f>IF(AND(G187&lt;&gt;"LIBSETS_SETTYPE_BATTLEGROUND",G187&lt;&gt;"LIBSETS_SETTYPE_SPECIAL"),IF(AV187&lt;&gt;"",VLOOKUP(AV187,'ESO zones'!$D$5:$H$4957,5,FALSE),""),"")</f>
        <v/>
      </c>
      <c r="AZ187" s="49" t="s">
        <v>403</v>
      </c>
      <c r="BA187" s="49"/>
      <c r="BB187" s="49"/>
      <c r="BC187" s="49"/>
      <c r="BD187" s="49"/>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1">
        <v>225</v>
      </c>
      <c r="B188" t="s">
        <v>835</v>
      </c>
      <c r="C188" t="s">
        <v>836</v>
      </c>
      <c r="D188" s="3">
        <f t="shared" si="12"/>
        <v>225</v>
      </c>
      <c r="G188" s="9" t="s">
        <v>163</v>
      </c>
      <c r="I188" t="s">
        <v>401</v>
      </c>
      <c r="J188" t="s">
        <v>401</v>
      </c>
      <c r="K188">
        <v>257</v>
      </c>
      <c r="L188">
        <v>257</v>
      </c>
      <c r="M188">
        <v>257</v>
      </c>
      <c r="N188">
        <v>7</v>
      </c>
      <c r="Q188" s="3">
        <f>IF(AND(P188&lt;&gt;"",ISNUMBER(P188),NOT(ISNA(P188))),P188,IF(R188&lt;&gt;"",VLOOKUP(R188,'ESO zones'!$D$5:$H$10005,5,FALSE),""))</f>
        <v>816</v>
      </c>
      <c r="R188" t="str">
        <f>IF(AND(O188&lt;&gt;"",NOT(ISERROR(O188))),O188,IF(AND(P188&lt;&gt;"",ISNUMBER(P188),P188&gt;0,NOT(ISNA(P188))),VLOOKUP(P188,'ESO zones'!$A$5:$D$10003,4,FALSE),IF(AND(K188&lt;&gt;"",K188&gt;0,NOT(ISERROR(K188))),VLOOKUP(K188,'ESO wayshrines'!$K$3:$N$9972,4,FALSE),"")))</f>
        <v>Hew's Bane</v>
      </c>
      <c r="T188" s="16" t="str">
        <f>IF(AND(S188&lt;&gt;"",NOT(ISERROR(S188))),S188,VLOOKUP(A188,'ESO Set&amp;DLCs'!$A$3:$D$99998,4,FALSE))</f>
        <v>DLC_THIEVES_GUILD</v>
      </c>
      <c r="U188" s="3" t="str">
        <f>IF(T188&lt;&gt;"",VLOOKUP(T188,ConstDLCIds!$B$4:$C$1000,2,FALSE),"")</f>
        <v>Thieves Guild</v>
      </c>
      <c r="V188" s="4" t="s">
        <v>281</v>
      </c>
      <c r="Y188" s="5"/>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zones'!$A$5:$D$10003,4,FALSE),"")</f>
        <v>Hew's Bane</v>
      </c>
      <c r="AB188" s="4"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zones'!$A$5:$D$10003,4,FALSE),"")</f>
        <v>Hew's Bane</v>
      </c>
      <c r="AK188" s="3" t="str">
        <f>IF(AND(G188&lt;&gt;"LIBSETS_SETTYPE_BATTLEGROUND",G188&lt;&gt;"LIBSETS_SETTYPE_SPECIAL"),IF(AL188&lt;&gt;"",VLOOKUP(AL188,'ESO zones'!$D$5:$H$4957,5,FALSE),""),"")</f>
        <v/>
      </c>
      <c r="AP188" s="3" t="str">
        <f>IF(AND(G188&lt;&gt;"LIBSETS_SETTYPE_BATTLEGROUND",G188&lt;&gt;"LIBSETS_SETTYPE_SPECIAL"),IF(AQ188&lt;&gt;"",VLOOKUP(AQ188,'ESO zones'!$D$5:$H$4957,5,FALSE),""),"")</f>
        <v/>
      </c>
      <c r="AU188" s="3" t="str">
        <f>IF(AND(G188&lt;&gt;"LIBSETS_SETTYPE_BATTLEGROUND",G188&lt;&gt;"LIBSETS_SETTYPE_SPECIAL"),IF(AV188&lt;&gt;"",VLOOKUP(AV188,'ESO zones'!$D$5:$H$4957,5,FALSE),""),"")</f>
        <v/>
      </c>
      <c r="AZ188" s="49" t="s">
        <v>403</v>
      </c>
      <c r="BA188" s="49"/>
      <c r="BB188" s="49"/>
      <c r="BC188" s="49"/>
      <c r="BD188" s="49"/>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1">
        <v>226</v>
      </c>
      <c r="B189" t="s">
        <v>837</v>
      </c>
      <c r="C189" t="s">
        <v>838</v>
      </c>
      <c r="D189" s="3">
        <f t="shared" si="12"/>
        <v>226</v>
      </c>
      <c r="G189" s="9" t="s">
        <v>163</v>
      </c>
      <c r="I189" t="s">
        <v>401</v>
      </c>
      <c r="J189" t="s">
        <v>401</v>
      </c>
      <c r="K189">
        <v>255</v>
      </c>
      <c r="L189">
        <v>255</v>
      </c>
      <c r="M189">
        <v>255</v>
      </c>
      <c r="N189">
        <v>9</v>
      </c>
      <c r="Q189" s="3">
        <f>IF(AND(P189&lt;&gt;"",ISNUMBER(P189),NOT(ISNA(P189))),P189,IF(R189&lt;&gt;"",VLOOKUP(R189,'ESO zones'!$D$5:$H$10005,5,FALSE),""))</f>
        <v>816</v>
      </c>
      <c r="R189" t="str">
        <f>IF(AND(O189&lt;&gt;"",NOT(ISERROR(O189))),O189,IF(AND(P189&lt;&gt;"",ISNUMBER(P189),P189&gt;0,NOT(ISNA(P189))),VLOOKUP(P189,'ESO zones'!$A$5:$D$10003,4,FALSE),IF(AND(K189&lt;&gt;"",K189&gt;0,NOT(ISERROR(K189))),VLOOKUP(K189,'ESO wayshrines'!$K$3:$N$9972,4,FALSE),"")))</f>
        <v>Hew's Bane</v>
      </c>
      <c r="T189" s="16" t="str">
        <f>IF(AND(S189&lt;&gt;"",NOT(ISERROR(S189))),S189,VLOOKUP(A189,'ESO Set&amp;DLCs'!$A$3:$D$99998,4,FALSE))</f>
        <v>DLC_THIEVES_GUILD</v>
      </c>
      <c r="U189" s="3" t="str">
        <f>IF(T189&lt;&gt;"",VLOOKUP(T189,ConstDLCIds!$B$4:$C$1000,2,FALSE),"")</f>
        <v>Thieves Guild</v>
      </c>
      <c r="V189" s="4" t="s">
        <v>281</v>
      </c>
      <c r="Y189" s="5"/>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zones'!$A$5:$D$10003,4,FALSE),"")</f>
        <v>Hew's Bane</v>
      </c>
      <c r="AB189" s="4"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zones'!$A$5:$D$10003,4,FALSE),"")</f>
        <v>Hew's Bane</v>
      </c>
      <c r="AK189" s="3" t="str">
        <f>IF(AND(G189&lt;&gt;"LIBSETS_SETTYPE_BATTLEGROUND",G189&lt;&gt;"LIBSETS_SETTYPE_SPECIAL"),IF(AL189&lt;&gt;"",VLOOKUP(AL189,'ESO zones'!$D$5:$H$4957,5,FALSE),""),"")</f>
        <v/>
      </c>
      <c r="AP189" s="3" t="str">
        <f>IF(AND(G189&lt;&gt;"LIBSETS_SETTYPE_BATTLEGROUND",G189&lt;&gt;"LIBSETS_SETTYPE_SPECIAL"),IF(AQ189&lt;&gt;"",VLOOKUP(AQ189,'ESO zones'!$D$5:$H$4957,5,FALSE),""),"")</f>
        <v/>
      </c>
      <c r="AU189" s="3" t="str">
        <f>IF(AND(G189&lt;&gt;"LIBSETS_SETTYPE_BATTLEGROUND",G189&lt;&gt;"LIBSETS_SETTYPE_SPECIAL"),IF(AV189&lt;&gt;"",VLOOKUP(AV189,'ESO zones'!$D$5:$H$4957,5,FALSE),""),"")</f>
        <v/>
      </c>
      <c r="AZ189" s="49" t="s">
        <v>403</v>
      </c>
      <c r="BA189" s="49"/>
      <c r="BB189" s="49"/>
      <c r="BC189" s="49"/>
      <c r="BD189" s="49"/>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2">
        <v>227</v>
      </c>
      <c r="B190" t="s">
        <v>839</v>
      </c>
      <c r="C190" t="s">
        <v>840</v>
      </c>
      <c r="D190" s="3">
        <f t="shared" si="12"/>
        <v>227</v>
      </c>
      <c r="G190" s="9" t="s">
        <v>174</v>
      </c>
      <c r="I190" t="s">
        <v>401</v>
      </c>
      <c r="J190" t="s">
        <v>401</v>
      </c>
      <c r="K190">
        <v>255</v>
      </c>
      <c r="L190">
        <v>255</v>
      </c>
      <c r="M190">
        <v>255</v>
      </c>
      <c r="O190" s="5" t="s">
        <v>841</v>
      </c>
      <c r="Q190" s="3">
        <f>IF(AND(P190&lt;&gt;"",ISNUMBER(P190),NOT(ISNA(P190))),P190,IF(R190&lt;&gt;"",VLOOKUP(R190,'ESO zones'!$D$5:$H$10005,5,FALSE),""))</f>
        <v>816</v>
      </c>
      <c r="R190" t="str">
        <f>IF(AND(O190&lt;&gt;"",NOT(ISERROR(O190))),O190,IF(AND(P190&lt;&gt;"",ISNUMBER(P190),P190&gt;0,NOT(ISNA(P190))),VLOOKUP(P190,'ESO zones'!$A$5:$D$10003,4,FALSE),IF(AND(K190&lt;&gt;"",K190&gt;0,NOT(ISERROR(K190))),VLOOKUP(K190,'ESO wayshrines'!$K$3:$N$9972,4,FALSE),"")))</f>
        <v>Hew's Bane</v>
      </c>
      <c r="T190" s="16" t="str">
        <f>IF(AND(S190&lt;&gt;"",NOT(ISERROR(S190))),S190,VLOOKUP(A190,'ESO Set&amp;DLCs'!$A$3:$D$99998,4,FALSE))</f>
        <v>DLC_THIEVES_GUILD</v>
      </c>
      <c r="U190" s="3" t="str">
        <f>IF(T190&lt;&gt;"",VLOOKUP(T190,ConstDLCIds!$B$4:$C$1000,2,FALSE),"")</f>
        <v>Thieves Guild</v>
      </c>
      <c r="V190" s="4" t="s">
        <v>215</v>
      </c>
      <c r="Y190" s="5"/>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zones'!$A$5:$D$10003,4,FALSE),"")</f>
        <v>Hew's Bane</v>
      </c>
      <c r="AB190" s="4"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zones'!$A$5:$D$10003,4,FALSE),"")</f>
        <v>Hew's Bane</v>
      </c>
      <c r="AH190" s="4" t="s">
        <v>224</v>
      </c>
      <c r="AK190" s="3">
        <f>IF(AND(G190&lt;&gt;"LIBSETS_SETTYPE_BATTLEGROUND",G190&lt;&gt;"LIBSETS_SETTYPE_SPECIAL"),IF(AL190&lt;&gt;"",VLOOKUP(AL190,'ESO zones'!$D$5:$H$4957,5,FALSE),""),"")</f>
        <v>816</v>
      </c>
      <c r="AL190" t="s">
        <v>841</v>
      </c>
      <c r="AM190" s="4" t="s">
        <v>269</v>
      </c>
      <c r="AP190" s="3" t="str">
        <f>IF(AND(G190&lt;&gt;"LIBSETS_SETTYPE_BATTLEGROUND",G190&lt;&gt;"LIBSETS_SETTYPE_SPECIAL"),IF(AQ190&lt;&gt;"",VLOOKUP(AQ190,'ESO zones'!$D$5:$H$4957,5,FALSE),""),"")</f>
        <v/>
      </c>
      <c r="AU190" s="3" t="str">
        <f>IF(AND(G190&lt;&gt;"LIBSETS_SETTYPE_BATTLEGROUND",G190&lt;&gt;"LIBSETS_SETTYPE_SPECIAL"),IF(AV190&lt;&gt;"",VLOOKUP(AV190,'ESO zones'!$D$5:$H$4957,5,FALSE),""),"")</f>
        <v/>
      </c>
      <c r="AZ190" s="49" t="s">
        <v>410</v>
      </c>
      <c r="BA190" s="49"/>
      <c r="BB190" s="49"/>
      <c r="BC190" s="49"/>
      <c r="BD190" s="49"/>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2">
        <v>228</v>
      </c>
      <c r="B191" t="s">
        <v>842</v>
      </c>
      <c r="C191" t="s">
        <v>843</v>
      </c>
      <c r="D191" s="3">
        <f t="shared" si="12"/>
        <v>228</v>
      </c>
      <c r="G191" s="9" t="s">
        <v>174</v>
      </c>
      <c r="I191" t="s">
        <v>401</v>
      </c>
      <c r="J191" t="s">
        <v>401</v>
      </c>
      <c r="K191">
        <v>255</v>
      </c>
      <c r="L191">
        <v>255</v>
      </c>
      <c r="M191">
        <v>255</v>
      </c>
      <c r="O191" s="5" t="s">
        <v>841</v>
      </c>
      <c r="Q191" s="3">
        <f>IF(AND(P191&lt;&gt;"",ISNUMBER(P191),NOT(ISNA(P191))),P191,IF(R191&lt;&gt;"",VLOOKUP(R191,'ESO zones'!$D$5:$H$10005,5,FALSE),""))</f>
        <v>816</v>
      </c>
      <c r="R191" t="str">
        <f>IF(AND(O191&lt;&gt;"",NOT(ISERROR(O191))),O191,IF(AND(P191&lt;&gt;"",ISNUMBER(P191),P191&gt;0,NOT(ISNA(P191))),VLOOKUP(P191,'ESO zones'!$A$5:$D$10003,4,FALSE),IF(AND(K191&lt;&gt;"",K191&gt;0,NOT(ISERROR(K191))),VLOOKUP(K191,'ESO wayshrines'!$K$3:$N$9972,4,FALSE),"")))</f>
        <v>Hew's Bane</v>
      </c>
      <c r="T191" s="16" t="str">
        <f>IF(AND(S191&lt;&gt;"",NOT(ISERROR(S191))),S191,VLOOKUP(A191,'ESO Set&amp;DLCs'!$A$3:$D$99998,4,FALSE))</f>
        <v>DLC_THIEVES_GUILD</v>
      </c>
      <c r="U191" s="3" t="str">
        <f>IF(T191&lt;&gt;"",VLOOKUP(T191,ConstDLCIds!$B$4:$C$1000,2,FALSE),"")</f>
        <v>Thieves Guild</v>
      </c>
      <c r="V191" s="4" t="s">
        <v>215</v>
      </c>
      <c r="Y191" s="5"/>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zones'!$A$5:$D$10003,4,FALSE),"")</f>
        <v>Hew's Bane</v>
      </c>
      <c r="AB191" s="4"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zones'!$A$5:$D$10003,4,FALSE),"")</f>
        <v>Hew's Bane</v>
      </c>
      <c r="AH191" s="4" t="s">
        <v>224</v>
      </c>
      <c r="AK191" s="3">
        <f>IF(AND(G191&lt;&gt;"LIBSETS_SETTYPE_BATTLEGROUND",G191&lt;&gt;"LIBSETS_SETTYPE_SPECIAL"),IF(AL191&lt;&gt;"",VLOOKUP(AL191,'ESO zones'!$D$5:$H$4957,5,FALSE),""),"")</f>
        <v>816</v>
      </c>
      <c r="AL191" t="s">
        <v>841</v>
      </c>
      <c r="AM191" s="4" t="s">
        <v>269</v>
      </c>
      <c r="AP191" s="3" t="str">
        <f>IF(AND(G191&lt;&gt;"LIBSETS_SETTYPE_BATTLEGROUND",G191&lt;&gt;"LIBSETS_SETTYPE_SPECIAL"),IF(AQ191&lt;&gt;"",VLOOKUP(AQ191,'ESO zones'!$D$5:$H$4957,5,FALSE),""),"")</f>
        <v/>
      </c>
      <c r="AU191" s="3" t="str">
        <f>IF(AND(G191&lt;&gt;"LIBSETS_SETTYPE_BATTLEGROUND",G191&lt;&gt;"LIBSETS_SETTYPE_SPECIAL"),IF(AV191&lt;&gt;"",VLOOKUP(AV191,'ESO zones'!$D$5:$H$4957,5,FALSE),""),"")</f>
        <v/>
      </c>
      <c r="AZ191" s="49" t="s">
        <v>410</v>
      </c>
      <c r="BA191" s="49"/>
      <c r="BB191" s="49"/>
      <c r="BC191" s="49"/>
      <c r="BD191" s="49"/>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2">
        <v>229</v>
      </c>
      <c r="B192" t="s">
        <v>844</v>
      </c>
      <c r="C192" t="s">
        <v>845</v>
      </c>
      <c r="D192" s="3">
        <f t="shared" si="12"/>
        <v>229</v>
      </c>
      <c r="G192" s="9" t="s">
        <v>178</v>
      </c>
      <c r="I192" t="s">
        <v>401</v>
      </c>
      <c r="J192" t="s">
        <v>401</v>
      </c>
      <c r="K192">
        <v>258</v>
      </c>
      <c r="L192">
        <v>258</v>
      </c>
      <c r="M192">
        <v>258</v>
      </c>
      <c r="O192" s="5" t="s">
        <v>846</v>
      </c>
      <c r="Q192" s="3">
        <f>IF(AND(P192&lt;&gt;"",ISNUMBER(P192),NOT(ISNA(P192))),P192,IF(R192&lt;&gt;"",VLOOKUP(R192,'ESO zones'!$D$5:$H$10005,5,FALSE),""))</f>
        <v>725</v>
      </c>
      <c r="R192" t="str">
        <f>IF(AND(O192&lt;&gt;"",NOT(ISERROR(O192))),O192,IF(AND(P192&lt;&gt;"",ISNUMBER(P192),P192&gt;0,NOT(ISNA(P192))),VLOOKUP(P192,'ESO zones'!$A$5:$D$10003,4,FALSE),IF(AND(K192&lt;&gt;"",K192&gt;0,NOT(ISERROR(K192))),VLOOKUP(K192,'ESO wayshrines'!$K$3:$N$9972,4,FALSE),"")))</f>
        <v>Maw of Lorkhaj</v>
      </c>
      <c r="T192" s="16" t="str">
        <f>IF(AND(S192&lt;&gt;"",NOT(ISERROR(S192))),S192,VLOOKUP(A192,'ESO Set&amp;DLCs'!$A$3:$D$99998,4,FALSE))</f>
        <v>DLC_THIEVES_GUILD</v>
      </c>
      <c r="U192" s="3" t="str">
        <f>IF(T192&lt;&gt;"",VLOOKUP(T192,ConstDLCIds!$B$4:$C$1000,2,FALSE),"")</f>
        <v>Thieves Guild</v>
      </c>
      <c r="V192" s="4" t="s">
        <v>272</v>
      </c>
      <c r="Y192" s="5">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zones'!$A$5:$D$10003,4,FALSE),"")</f>
        <v>Maw of Lorkhaj</v>
      </c>
      <c r="AB192" s="4" t="s">
        <v>272</v>
      </c>
      <c r="AE192" s="29">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zones'!$A$5:$D$10003,4,FALSE),"")</f>
        <v>Maw of Lorkhaj</v>
      </c>
      <c r="AH192" s="4" t="s">
        <v>272</v>
      </c>
      <c r="AI192" s="29"/>
      <c r="AJ192" s="29"/>
      <c r="AK192" s="3" t="str">
        <f>IF(AND(G192&lt;&gt;"LIBSETS_SETTYPE_BATTLEGROUND",G192&lt;&gt;"LIBSETS_SETTYPE_SPECIAL"),IF(AL192&lt;&gt;"",VLOOKUP(AL192,'ESO zones'!$D$5:$H$4957,5,FALSE),""),"")</f>
        <v/>
      </c>
      <c r="AN192" s="29"/>
      <c r="AO192" s="29"/>
      <c r="AP192" s="3" t="str">
        <f>IF(AND(G192&lt;&gt;"LIBSETS_SETTYPE_BATTLEGROUND",G192&lt;&gt;"LIBSETS_SETTYPE_SPECIAL"),IF(AQ192&lt;&gt;"",VLOOKUP(AQ192,'ESO zones'!$D$5:$H$4957,5,FALSE),""),"")</f>
        <v/>
      </c>
      <c r="AS192" s="29"/>
      <c r="AT192" s="29"/>
      <c r="AU192" s="3" t="str">
        <f>IF(AND(G192&lt;&gt;"LIBSETS_SETTYPE_BATTLEGROUND",G192&lt;&gt;"LIBSETS_SETTYPE_SPECIAL"),IF(AV192&lt;&gt;"",VLOOKUP(AV192,'ESO zones'!$D$5:$H$4957,5,FALSE),""),"")</f>
        <v/>
      </c>
      <c r="AX192" s="29"/>
      <c r="AY192" s="29"/>
      <c r="AZ192" s="49" t="s">
        <v>403</v>
      </c>
      <c r="BA192" s="49"/>
      <c r="BB192" s="49"/>
      <c r="BC192" s="49"/>
      <c r="BD192" s="49"/>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2">
        <v>230</v>
      </c>
      <c r="B193" t="s">
        <v>847</v>
      </c>
      <c r="C193" t="s">
        <v>848</v>
      </c>
      <c r="D193" s="3">
        <f t="shared" si="12"/>
        <v>230</v>
      </c>
      <c r="G193" s="9" t="s">
        <v>178</v>
      </c>
      <c r="I193" t="s">
        <v>401</v>
      </c>
      <c r="J193" t="s">
        <v>401</v>
      </c>
      <c r="K193">
        <v>258</v>
      </c>
      <c r="L193">
        <v>258</v>
      </c>
      <c r="M193">
        <v>258</v>
      </c>
      <c r="O193" s="5" t="s">
        <v>846</v>
      </c>
      <c r="Q193" s="3">
        <f>IF(AND(P193&lt;&gt;"",ISNUMBER(P193),NOT(ISNA(P193))),P193,IF(R193&lt;&gt;"",VLOOKUP(R193,'ESO zones'!$D$5:$H$10005,5,FALSE),""))</f>
        <v>725</v>
      </c>
      <c r="R193" t="str">
        <f>IF(AND(O193&lt;&gt;"",NOT(ISERROR(O193))),O193,IF(AND(P193&lt;&gt;"",ISNUMBER(P193),P193&gt;0,NOT(ISNA(P193))),VLOOKUP(P193,'ESO zones'!$A$5:$D$10003,4,FALSE),IF(AND(K193&lt;&gt;"",K193&gt;0,NOT(ISERROR(K193))),VLOOKUP(K193,'ESO wayshrines'!$K$3:$N$9972,4,FALSE),"")))</f>
        <v>Maw of Lorkhaj</v>
      </c>
      <c r="T193" s="16" t="str">
        <f>IF(AND(S193&lt;&gt;"",NOT(ISERROR(S193))),S193,VLOOKUP(A193,'ESO Set&amp;DLCs'!$A$3:$D$99998,4,FALSE))</f>
        <v>DLC_THIEVES_GUILD</v>
      </c>
      <c r="U193" s="3" t="str">
        <f>IF(T193&lt;&gt;"",VLOOKUP(T193,ConstDLCIds!$B$4:$C$1000,2,FALSE),"")</f>
        <v>Thieves Guild</v>
      </c>
      <c r="V193" s="4" t="s">
        <v>272</v>
      </c>
      <c r="Y193" s="5">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zones'!$A$5:$D$10003,4,FALSE),"")</f>
        <v>Maw of Lorkhaj</v>
      </c>
      <c r="AB193" s="4" t="s">
        <v>272</v>
      </c>
      <c r="AE193" s="29">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zones'!$A$5:$D$10003,4,FALSE),"")</f>
        <v>Maw of Lorkhaj</v>
      </c>
      <c r="AH193" s="4" t="s">
        <v>272</v>
      </c>
      <c r="AI193" s="29"/>
      <c r="AJ193" s="29"/>
      <c r="AK193" s="3" t="str">
        <f>IF(AND(G193&lt;&gt;"LIBSETS_SETTYPE_BATTLEGROUND",G193&lt;&gt;"LIBSETS_SETTYPE_SPECIAL"),IF(AL193&lt;&gt;"",VLOOKUP(AL193,'ESO zones'!$D$5:$H$4957,5,FALSE),""),"")</f>
        <v/>
      </c>
      <c r="AN193" s="29"/>
      <c r="AO193" s="29"/>
      <c r="AP193" s="3" t="str">
        <f>IF(AND(G193&lt;&gt;"LIBSETS_SETTYPE_BATTLEGROUND",G193&lt;&gt;"LIBSETS_SETTYPE_SPECIAL"),IF(AQ193&lt;&gt;"",VLOOKUP(AQ193,'ESO zones'!$D$5:$H$4957,5,FALSE),""),"")</f>
        <v/>
      </c>
      <c r="AS193" s="29"/>
      <c r="AT193" s="29"/>
      <c r="AU193" s="3" t="str">
        <f>IF(AND(G193&lt;&gt;"LIBSETS_SETTYPE_BATTLEGROUND",G193&lt;&gt;"LIBSETS_SETTYPE_SPECIAL"),IF(AV193&lt;&gt;"",VLOOKUP(AV193,'ESO zones'!$D$5:$H$4957,5,FALSE),""),"")</f>
        <v/>
      </c>
      <c r="AX193" s="29"/>
      <c r="AY193" s="29"/>
      <c r="AZ193" s="49" t="s">
        <v>403</v>
      </c>
      <c r="BA193" s="49"/>
      <c r="BB193" s="49"/>
      <c r="BC193" s="49"/>
      <c r="BD193" s="49"/>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2">
        <v>231</v>
      </c>
      <c r="B194" t="s">
        <v>849</v>
      </c>
      <c r="C194" t="s">
        <v>850</v>
      </c>
      <c r="D194" s="3">
        <f t="shared" si="12"/>
        <v>231</v>
      </c>
      <c r="G194" s="9" t="s">
        <v>178</v>
      </c>
      <c r="I194" t="s">
        <v>401</v>
      </c>
      <c r="J194" t="s">
        <v>401</v>
      </c>
      <c r="K194">
        <v>258</v>
      </c>
      <c r="L194">
        <v>258</v>
      </c>
      <c r="M194">
        <v>258</v>
      </c>
      <c r="O194" s="5" t="s">
        <v>846</v>
      </c>
      <c r="Q194" s="3">
        <f>IF(AND(P194&lt;&gt;"",ISNUMBER(P194),NOT(ISNA(P194))),P194,IF(R194&lt;&gt;"",VLOOKUP(R194,'ESO zones'!$D$5:$H$10005,5,FALSE),""))</f>
        <v>725</v>
      </c>
      <c r="R194" t="str">
        <f>IF(AND(O194&lt;&gt;"",NOT(ISERROR(O194))),O194,IF(AND(P194&lt;&gt;"",ISNUMBER(P194),P194&gt;0,NOT(ISNA(P194))),VLOOKUP(P194,'ESO zones'!$A$5:$D$10003,4,FALSE),IF(AND(K194&lt;&gt;"",K194&gt;0,NOT(ISERROR(K194))),VLOOKUP(K194,'ESO wayshrines'!$K$3:$N$9972,4,FALSE),"")))</f>
        <v>Maw of Lorkhaj</v>
      </c>
      <c r="T194" s="16" t="str">
        <f>IF(AND(S194&lt;&gt;"",NOT(ISERROR(S194))),S194,VLOOKUP(A194,'ESO Set&amp;DLCs'!$A$3:$D$99998,4,FALSE))</f>
        <v>DLC_THIEVES_GUILD</v>
      </c>
      <c r="U194" s="3" t="str">
        <f>IF(T194&lt;&gt;"",VLOOKUP(T194,ConstDLCIds!$B$4:$C$1000,2,FALSE),"")</f>
        <v>Thieves Guild</v>
      </c>
      <c r="V194" s="4" t="s">
        <v>272</v>
      </c>
      <c r="Y194" s="5">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zones'!$A$5:$D$10003,4,FALSE),"")</f>
        <v>Maw of Lorkhaj</v>
      </c>
      <c r="AB194" s="4" t="s">
        <v>272</v>
      </c>
      <c r="AE194" s="29">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zones'!$A$5:$D$10003,4,FALSE),"")</f>
        <v>Maw of Lorkhaj</v>
      </c>
      <c r="AH194" s="4" t="s">
        <v>272</v>
      </c>
      <c r="AI194" s="29"/>
      <c r="AJ194" s="29"/>
      <c r="AK194" s="3" t="str">
        <f>IF(AND(G194&lt;&gt;"LIBSETS_SETTYPE_BATTLEGROUND",G194&lt;&gt;"LIBSETS_SETTYPE_SPECIAL"),IF(AL194&lt;&gt;"",VLOOKUP(AL194,'ESO zones'!$D$5:$H$4957,5,FALSE),""),"")</f>
        <v/>
      </c>
      <c r="AN194" s="29"/>
      <c r="AO194" s="29"/>
      <c r="AP194" s="3" t="str">
        <f>IF(AND(G194&lt;&gt;"LIBSETS_SETTYPE_BATTLEGROUND",G194&lt;&gt;"LIBSETS_SETTYPE_SPECIAL"),IF(AQ194&lt;&gt;"",VLOOKUP(AQ194,'ESO zones'!$D$5:$H$4957,5,FALSE),""),"")</f>
        <v/>
      </c>
      <c r="AS194" s="29"/>
      <c r="AT194" s="29"/>
      <c r="AU194" s="3" t="str">
        <f>IF(AND(G194&lt;&gt;"LIBSETS_SETTYPE_BATTLEGROUND",G194&lt;&gt;"LIBSETS_SETTYPE_SPECIAL"),IF(AV194&lt;&gt;"",VLOOKUP(AV194,'ESO zones'!$D$5:$H$4957,5,FALSE),""),"")</f>
        <v/>
      </c>
      <c r="AX194" s="29"/>
      <c r="AY194" s="29"/>
      <c r="AZ194" s="49" t="s">
        <v>403</v>
      </c>
      <c r="BA194" s="49"/>
      <c r="BB194" s="49"/>
      <c r="BC194" s="49"/>
      <c r="BD194" s="49"/>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2">
        <v>232</v>
      </c>
      <c r="B195" t="s">
        <v>851</v>
      </c>
      <c r="C195" t="s">
        <v>852</v>
      </c>
      <c r="D195" s="3">
        <f t="shared" ref="D195:D258" si="18">A195</f>
        <v>232</v>
      </c>
      <c r="G195" s="9" t="s">
        <v>178</v>
      </c>
      <c r="I195" t="s">
        <v>401</v>
      </c>
      <c r="J195" t="s">
        <v>401</v>
      </c>
      <c r="K195">
        <v>258</v>
      </c>
      <c r="L195">
        <v>258</v>
      </c>
      <c r="M195">
        <v>258</v>
      </c>
      <c r="O195" s="5" t="s">
        <v>846</v>
      </c>
      <c r="Q195" s="3">
        <f>IF(AND(P195&lt;&gt;"",ISNUMBER(P195),NOT(ISNA(P195))),P195,IF(R195&lt;&gt;"",VLOOKUP(R195,'ESO zones'!$D$5:$H$10005,5,FALSE),""))</f>
        <v>725</v>
      </c>
      <c r="R195" t="str">
        <f>IF(AND(O195&lt;&gt;"",NOT(ISERROR(O195))),O195,IF(AND(P195&lt;&gt;"",ISNUMBER(P195),P195&gt;0,NOT(ISNA(P195))),VLOOKUP(P195,'ESO zones'!$A$5:$D$10003,4,FALSE),IF(AND(K195&lt;&gt;"",K195&gt;0,NOT(ISERROR(K195))),VLOOKUP(K195,'ESO wayshrines'!$K$3:$N$9972,4,FALSE),"")))</f>
        <v>Maw of Lorkhaj</v>
      </c>
      <c r="T195" s="16" t="str">
        <f>IF(AND(S195&lt;&gt;"",NOT(ISERROR(S195))),S195,VLOOKUP(A195,'ESO Set&amp;DLCs'!$A$3:$D$99998,4,FALSE))</f>
        <v>DLC_THIEVES_GUILD</v>
      </c>
      <c r="U195" s="3" t="str">
        <f>IF(T195&lt;&gt;"",VLOOKUP(T195,ConstDLCIds!$B$4:$C$1000,2,FALSE),"")</f>
        <v>Thieves Guild</v>
      </c>
      <c r="V195" s="4" t="s">
        <v>272</v>
      </c>
      <c r="Y195" s="5">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zones'!$A$5:$D$10003,4,FALSE),"")</f>
        <v>Maw of Lorkhaj</v>
      </c>
      <c r="AB195" s="4" t="s">
        <v>272</v>
      </c>
      <c r="AE195" s="29">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zones'!$A$5:$D$10003,4,FALSE),"")</f>
        <v>Maw of Lorkhaj</v>
      </c>
      <c r="AH195" s="4" t="s">
        <v>272</v>
      </c>
      <c r="AI195" s="29"/>
      <c r="AJ195" s="29"/>
      <c r="AK195" s="3" t="str">
        <f>IF(AND(G195&lt;&gt;"LIBSETS_SETTYPE_BATTLEGROUND",G195&lt;&gt;"LIBSETS_SETTYPE_SPECIAL"),IF(AL195&lt;&gt;"",VLOOKUP(AL195,'ESO zones'!$D$5:$H$4957,5,FALSE),""),"")</f>
        <v/>
      </c>
      <c r="AN195" s="29"/>
      <c r="AO195" s="29"/>
      <c r="AP195" s="3" t="str">
        <f>IF(AND(G195&lt;&gt;"LIBSETS_SETTYPE_BATTLEGROUND",G195&lt;&gt;"LIBSETS_SETTYPE_SPECIAL"),IF(AQ195&lt;&gt;"",VLOOKUP(AQ195,'ESO zones'!$D$5:$H$4957,5,FALSE),""),"")</f>
        <v/>
      </c>
      <c r="AS195" s="29"/>
      <c r="AT195" s="29"/>
      <c r="AU195" s="3" t="str">
        <f>IF(AND(G195&lt;&gt;"LIBSETS_SETTYPE_BATTLEGROUND",G195&lt;&gt;"LIBSETS_SETTYPE_SPECIAL"),IF(AV195&lt;&gt;"",VLOOKUP(AV195,'ESO zones'!$D$5:$H$4957,5,FALSE),""),"")</f>
        <v/>
      </c>
      <c r="AX195" s="29"/>
      <c r="AZ195" s="49" t="s">
        <v>403</v>
      </c>
      <c r="BA195" s="49"/>
      <c r="BB195" s="49"/>
      <c r="BC195" s="49"/>
      <c r="BD195" s="49"/>
      <c r="BE195" s="18"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8"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8" t="str">
        <f t="shared" ref="BG195:BG258" si="21">IF(A195&lt;&gt;"",IF(F195&lt;&gt;"Not in the game (anymore)",IF(A195&lt;&gt;"",", setType="&amp;G195,"")&amp;IF(G195="LIBSETS_SETTYPE_CLASS",", classId="&amp;BC195,"")&amp;IF(J195="true",", multiTrialSet=true",""),"")&amp;IF(AND(H195&lt;&gt;"",ISNUMBER(H195)),", undauntedChestId="&amp;H195,""),"")</f>
        <v>, setType=LIBSETS_SETTYPE_TRIAL</v>
      </c>
      <c r="BH195" s="18" t="str">
        <f t="shared" ref="BH195:BH258" si="22">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8" t="str">
        <f t="shared" ref="BI195:BI258" si="23">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853</v>
      </c>
      <c r="C196" t="s">
        <v>854</v>
      </c>
      <c r="D196" s="3">
        <f t="shared" si="18"/>
        <v>234</v>
      </c>
      <c r="G196" s="9" t="s">
        <v>165</v>
      </c>
      <c r="I196" t="s">
        <v>401</v>
      </c>
      <c r="J196" t="s">
        <v>401</v>
      </c>
      <c r="K196">
        <v>-1</v>
      </c>
      <c r="L196">
        <v>-1</v>
      </c>
      <c r="M196">
        <v>-1</v>
      </c>
      <c r="O196" s="5" t="s">
        <v>166</v>
      </c>
      <c r="Q196" s="3">
        <f>IF(AND(P196&lt;&gt;"",ISNUMBER(P196),NOT(ISNA(P196))),P196,IF(R196&lt;&gt;"",VLOOKUP(R196,'ESO zones'!$D$5:$H$10005,5,FALSE),""))</f>
        <v>181</v>
      </c>
      <c r="R196" t="str">
        <f>IF(AND(O196&lt;&gt;"",NOT(ISERROR(O196))),O196,IF(AND(P196&lt;&gt;"",ISNUMBER(P196),P196&gt;0,NOT(ISNA(P196))),VLOOKUP(P196,'ESO zones'!$A$5:$D$10003,4,FALSE),IF(AND(K196&lt;&gt;"",K196&gt;0,NOT(ISERROR(K196))),VLOOKUP(K196,'ESO wayshrines'!$K$3:$N$9972,4,FALSE),"")))</f>
        <v>Cyrodiil</v>
      </c>
      <c r="T196" s="16" t="str">
        <f>IF(AND(S196&lt;&gt;"",NOT(ISERROR(S196))),S196,VLOOKUP(A196,'ESO Set&amp;DLCs'!$A$3:$D$99998,4,FALSE))</f>
        <v>DLC_BASE_GAME</v>
      </c>
      <c r="U196" s="3" t="str">
        <f>IF(T196&lt;&gt;"",VLOOKUP(T196,ConstDLCIds!$B$4:$C$1000,2,FALSE),"")</f>
        <v>Included in base game</v>
      </c>
      <c r="V196" s="4" t="s">
        <v>197</v>
      </c>
      <c r="Y196" s="5">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zones'!$A$5:$D$10003,4,FALSE),"")</f>
        <v>Cyrodiil</v>
      </c>
      <c r="AB196" s="4" t="s">
        <v>301</v>
      </c>
      <c r="AE196" s="5">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zones'!$A$5:$D$10003,4,FALSE),"")</f>
        <v>Cyrodiil</v>
      </c>
      <c r="AH196" s="62" t="s">
        <v>248</v>
      </c>
      <c r="AK196" s="3">
        <f>IF(AND(G196&lt;&gt;"LIBSETS_SETTYPE_BATTLEGROUND",G196&lt;&gt;"LIBSETS_SETTYPE_SPECIAL"),IF(AL196&lt;&gt;"",VLOOKUP(AL196,'ESO zones'!$D$5:$H$4957,5,FALSE),""),"")</f>
        <v>181</v>
      </c>
      <c r="AL196" t="s">
        <v>166</v>
      </c>
      <c r="AM196" s="4" t="s">
        <v>298</v>
      </c>
      <c r="AP196" s="3">
        <f>IF(AND(G196&lt;&gt;"LIBSETS_SETTYPE_BATTLEGROUND",G196&lt;&gt;"LIBSETS_SETTYPE_SPECIAL"),IF(AQ196&lt;&gt;"",VLOOKUP(AQ196,'ESO zones'!$D$5:$H$4957,5,FALSE),""),"")</f>
        <v>181</v>
      </c>
      <c r="AQ196" t="s">
        <v>166</v>
      </c>
      <c r="AR196" s="4" t="s">
        <v>215</v>
      </c>
      <c r="AU196" s="3">
        <f>IF(AND(G196&lt;&gt;"LIBSETS_SETTYPE_BATTLEGROUND",G196&lt;&gt;"LIBSETS_SETTYPE_SPECIAL"),IF(AV196&lt;&gt;"",VLOOKUP(AV196,'ESO zones'!$D$5:$H$4957,5,FALSE),""),"")</f>
        <v>181</v>
      </c>
      <c r="AV196" t="s">
        <v>166</v>
      </c>
      <c r="AW196" s="4" t="s">
        <v>257</v>
      </c>
      <c r="AZ196" s="49" t="s">
        <v>410</v>
      </c>
      <c r="BA196" s="49"/>
      <c r="BB196" s="49"/>
      <c r="BC196" s="49"/>
      <c r="BD196" s="49"/>
      <c r="BE196" s="18" t="str">
        <f t="shared" si="19"/>
        <v>[234] = {wayshrines={-1,-1,-1,}, dlcId=DLC_BASE_GAME</v>
      </c>
      <c r="BF196" s="18" t="str">
        <f t="shared" si="20"/>
        <v>, zoneIds={181,181,181,181,181,181}, veteran=false</v>
      </c>
      <c r="BG196" s="18" t="str">
        <f t="shared" si="21"/>
        <v>, setType=LIBSETS_SETTYPE_CYRODIIL</v>
      </c>
      <c r="BH196"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si="23"/>
        <v>}, --Marksman\'s Crest / Wappen des Meisterschützen   [Cyrodiil, Cyrodiil, Cyrodiil, Cyrodiil, Cyrodiil, Cyrodiil]</v>
      </c>
    </row>
    <row r="197" spans="1:61" x14ac:dyDescent="0.25">
      <c r="A197" s="12">
        <v>235</v>
      </c>
      <c r="B197" t="s">
        <v>855</v>
      </c>
      <c r="C197" t="s">
        <v>856</v>
      </c>
      <c r="D197" s="3">
        <f t="shared" si="18"/>
        <v>235</v>
      </c>
      <c r="G197" s="9" t="s">
        <v>165</v>
      </c>
      <c r="I197" t="s">
        <v>401</v>
      </c>
      <c r="J197" t="s">
        <v>401</v>
      </c>
      <c r="K197">
        <v>-1</v>
      </c>
      <c r="L197">
        <v>-1</v>
      </c>
      <c r="M197">
        <v>-1</v>
      </c>
      <c r="O197" s="5" t="s">
        <v>166</v>
      </c>
      <c r="Q197" s="3">
        <f>IF(AND(P197&lt;&gt;"",ISNUMBER(P197),NOT(ISNA(P197))),P197,IF(R197&lt;&gt;"",VLOOKUP(R197,'ESO zones'!$D$5:$H$10005,5,FALSE),""))</f>
        <v>181</v>
      </c>
      <c r="R197" t="str">
        <f>IF(AND(O197&lt;&gt;"",NOT(ISERROR(O197))),O197,IF(AND(P197&lt;&gt;"",ISNUMBER(P197),P197&gt;0,NOT(ISNA(P197))),VLOOKUP(P197,'ESO zones'!$A$5:$D$10003,4,FALSE),IF(AND(K197&lt;&gt;"",K197&gt;0,NOT(ISERROR(K197))),VLOOKUP(K197,'ESO wayshrines'!$K$3:$N$9972,4,FALSE),"")))</f>
        <v>Cyrodiil</v>
      </c>
      <c r="T197" s="16" t="str">
        <f>IF(AND(S197&lt;&gt;"",NOT(ISERROR(S197))),S197,VLOOKUP(A197,'ESO Set&amp;DLCs'!$A$3:$D$99998,4,FALSE))</f>
        <v>DLC_BASE_GAME</v>
      </c>
      <c r="U197" s="3" t="str">
        <f>IF(T197&lt;&gt;"",VLOOKUP(T197,ConstDLCIds!$B$4:$C$1000,2,FALSE),"")</f>
        <v>Included in base game</v>
      </c>
      <c r="V197" s="4" t="s">
        <v>197</v>
      </c>
      <c r="Y197" s="5">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zones'!$A$5:$D$10003,4,FALSE),"")</f>
        <v>Cyrodiil</v>
      </c>
      <c r="AB197" s="4" t="s">
        <v>301</v>
      </c>
      <c r="AE197" s="5">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zones'!$A$5:$D$10003,4,FALSE),"")</f>
        <v>Cyrodiil</v>
      </c>
      <c r="AH197" s="62" t="s">
        <v>248</v>
      </c>
      <c r="AK197" s="3">
        <f>IF(AND(G197&lt;&gt;"LIBSETS_SETTYPE_BATTLEGROUND",G197&lt;&gt;"LIBSETS_SETTYPE_SPECIAL"),IF(AL197&lt;&gt;"",VLOOKUP(AL197,'ESO zones'!$D$5:$H$4957,5,FALSE),""),"")</f>
        <v>181</v>
      </c>
      <c r="AL197" t="s">
        <v>166</v>
      </c>
      <c r="AM197" s="4" t="s">
        <v>298</v>
      </c>
      <c r="AP197" s="3">
        <f>IF(AND(G197&lt;&gt;"LIBSETS_SETTYPE_BATTLEGROUND",G197&lt;&gt;"LIBSETS_SETTYPE_SPECIAL"),IF(AQ197&lt;&gt;"",VLOOKUP(AQ197,'ESO zones'!$D$5:$H$4957,5,FALSE),""),"")</f>
        <v>181</v>
      </c>
      <c r="AQ197" t="s">
        <v>166</v>
      </c>
      <c r="AR197" s="4" t="s">
        <v>215</v>
      </c>
      <c r="AU197" s="3">
        <f>IF(AND(G197&lt;&gt;"LIBSETS_SETTYPE_BATTLEGROUND",G197&lt;&gt;"LIBSETS_SETTYPE_SPECIAL"),IF(AV197&lt;&gt;"",VLOOKUP(AV197,'ESO zones'!$D$5:$H$4957,5,FALSE),""),"")</f>
        <v>181</v>
      </c>
      <c r="AV197" t="s">
        <v>166</v>
      </c>
      <c r="AW197" s="4" t="s">
        <v>257</v>
      </c>
      <c r="AZ197" s="49" t="s">
        <v>403</v>
      </c>
      <c r="BA197" s="49"/>
      <c r="BB197" s="49"/>
      <c r="BC197" s="49"/>
      <c r="BD197" s="49"/>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2">
        <v>236</v>
      </c>
      <c r="B198" t="s">
        <v>857</v>
      </c>
      <c r="C198" t="s">
        <v>858</v>
      </c>
      <c r="D198" s="3">
        <f t="shared" si="18"/>
        <v>236</v>
      </c>
      <c r="G198" s="9" t="s">
        <v>165</v>
      </c>
      <c r="I198" t="s">
        <v>401</v>
      </c>
      <c r="J198" t="s">
        <v>401</v>
      </c>
      <c r="K198">
        <v>-1</v>
      </c>
      <c r="L198">
        <v>-1</v>
      </c>
      <c r="M198">
        <v>-1</v>
      </c>
      <c r="O198" s="5" t="s">
        <v>166</v>
      </c>
      <c r="Q198" s="3">
        <f>IF(AND(P198&lt;&gt;"",ISNUMBER(P198),NOT(ISNA(P198))),P198,IF(R198&lt;&gt;"",VLOOKUP(R198,'ESO zones'!$D$5:$H$10005,5,FALSE),""))</f>
        <v>181</v>
      </c>
      <c r="R198" t="str">
        <f>IF(AND(O198&lt;&gt;"",NOT(ISERROR(O198))),O198,IF(AND(P198&lt;&gt;"",ISNUMBER(P198),P198&gt;0,NOT(ISNA(P198))),VLOOKUP(P198,'ESO zones'!$A$5:$D$10003,4,FALSE),IF(AND(K198&lt;&gt;"",K198&gt;0,NOT(ISERROR(K198))),VLOOKUP(K198,'ESO wayshrines'!$K$3:$N$9972,4,FALSE),"")))</f>
        <v>Cyrodiil</v>
      </c>
      <c r="T198" s="16" t="str">
        <f>IF(AND(S198&lt;&gt;"",NOT(ISERROR(S198))),S198,VLOOKUP(A198,'ESO Set&amp;DLCs'!$A$3:$D$99998,4,FALSE))</f>
        <v>DLC_BASE_GAME</v>
      </c>
      <c r="U198" s="3" t="str">
        <f>IF(T198&lt;&gt;"",VLOOKUP(T198,ConstDLCIds!$B$4:$C$1000,2,FALSE),"")</f>
        <v>Included in base game</v>
      </c>
      <c r="V198" s="4" t="s">
        <v>248</v>
      </c>
      <c r="Y198" s="5">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zones'!$A$5:$D$10003,4,FALSE),"")</f>
        <v>Cyrodiil</v>
      </c>
      <c r="AB198" s="4" t="s">
        <v>301</v>
      </c>
      <c r="AE198" s="5">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zones'!$A$5:$D$10003,4,FALSE),"")</f>
        <v>Cyrodiil</v>
      </c>
      <c r="AH198" s="4" t="s">
        <v>248</v>
      </c>
      <c r="AK198" s="3">
        <f>IF(AND(G198&lt;&gt;"LIBSETS_SETTYPE_BATTLEGROUND",G198&lt;&gt;"LIBSETS_SETTYPE_SPECIAL"),IF(AL198&lt;&gt;"",VLOOKUP(AL198,'ESO zones'!$D$5:$H$4957,5,FALSE),""),"")</f>
        <v>181</v>
      </c>
      <c r="AL198" t="s">
        <v>166</v>
      </c>
      <c r="AM198" s="4" t="s">
        <v>298</v>
      </c>
      <c r="AP198" s="3">
        <f>IF(AND(G198&lt;&gt;"LIBSETS_SETTYPE_BATTLEGROUND",G198&lt;&gt;"LIBSETS_SETTYPE_SPECIAL"),IF(AQ198&lt;&gt;"",VLOOKUP(AQ198,'ESO zones'!$D$5:$H$4957,5,FALSE),""),"")</f>
        <v>181</v>
      </c>
      <c r="AQ198" t="s">
        <v>166</v>
      </c>
      <c r="AR198" s="4" t="s">
        <v>215</v>
      </c>
      <c r="AU198" s="3">
        <f>IF(AND(G198&lt;&gt;"LIBSETS_SETTYPE_BATTLEGROUND",G198&lt;&gt;"LIBSETS_SETTYPE_SPECIAL"),IF(AV198&lt;&gt;"",VLOOKUP(AV198,'ESO zones'!$D$5:$H$4957,5,FALSE),""),"")</f>
        <v>181</v>
      </c>
      <c r="AV198" t="s">
        <v>166</v>
      </c>
      <c r="AW198" s="4" t="s">
        <v>257</v>
      </c>
      <c r="AZ198" s="49" t="s">
        <v>403</v>
      </c>
      <c r="BA198" s="49"/>
      <c r="BB198" s="49"/>
      <c r="BC198" s="49"/>
      <c r="BD198" s="49"/>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2">
        <v>237</v>
      </c>
      <c r="B199" t="s">
        <v>859</v>
      </c>
      <c r="C199" t="s">
        <v>860</v>
      </c>
      <c r="D199" s="3">
        <f t="shared" si="18"/>
        <v>237</v>
      </c>
      <c r="G199" s="9" t="s">
        <v>165</v>
      </c>
      <c r="I199" t="s">
        <v>401</v>
      </c>
      <c r="J199" t="s">
        <v>401</v>
      </c>
      <c r="K199">
        <v>-1</v>
      </c>
      <c r="L199">
        <v>-1</v>
      </c>
      <c r="M199">
        <v>-1</v>
      </c>
      <c r="O199" s="5" t="s">
        <v>166</v>
      </c>
      <c r="Q199" s="3">
        <f>IF(AND(P199&lt;&gt;"",ISNUMBER(P199),NOT(ISNA(P199))),P199,IF(R199&lt;&gt;"",VLOOKUP(R199,'ESO zones'!$D$5:$H$10005,5,FALSE),""))</f>
        <v>181</v>
      </c>
      <c r="R199" t="str">
        <f>IF(AND(O199&lt;&gt;"",NOT(ISERROR(O199))),O199,IF(AND(P199&lt;&gt;"",ISNUMBER(P199),P199&gt;0,NOT(ISNA(P199))),VLOOKUP(P199,'ESO zones'!$A$5:$D$10003,4,FALSE),IF(AND(K199&lt;&gt;"",K199&gt;0,NOT(ISERROR(K199))),VLOOKUP(K199,'ESO wayshrines'!$K$3:$N$9972,4,FALSE),"")))</f>
        <v>Cyrodiil</v>
      </c>
      <c r="T199" s="16" t="str">
        <f>IF(AND(S199&lt;&gt;"",NOT(ISERROR(S199))),S199,VLOOKUP(A199,'ESO Set&amp;DLCs'!$A$3:$D$99998,4,FALSE))</f>
        <v>DLC_BASE_GAME</v>
      </c>
      <c r="U199" s="3" t="str">
        <f>IF(T199&lt;&gt;"",VLOOKUP(T199,ConstDLCIds!$B$4:$C$1000,2,FALSE),"")</f>
        <v>Included in base game</v>
      </c>
      <c r="V199" s="4" t="s">
        <v>197</v>
      </c>
      <c r="Y199" s="5">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zones'!$A$5:$D$10003,4,FALSE),"")</f>
        <v>Cyrodiil</v>
      </c>
      <c r="AB199" s="4" t="s">
        <v>301</v>
      </c>
      <c r="AE199" s="5">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zones'!$A$5:$D$10003,4,FALSE),"")</f>
        <v>Cyrodiil</v>
      </c>
      <c r="AH199" s="62" t="s">
        <v>248</v>
      </c>
      <c r="AK199" s="3">
        <f>IF(AND(G199&lt;&gt;"LIBSETS_SETTYPE_BATTLEGROUND",G199&lt;&gt;"LIBSETS_SETTYPE_SPECIAL"),IF(AL199&lt;&gt;"",VLOOKUP(AL199,'ESO zones'!$D$5:$H$4957,5,FALSE),""),"")</f>
        <v>181</v>
      </c>
      <c r="AL199" t="s">
        <v>166</v>
      </c>
      <c r="AM199" s="4" t="s">
        <v>298</v>
      </c>
      <c r="AP199" s="3">
        <f>IF(AND(G199&lt;&gt;"LIBSETS_SETTYPE_BATTLEGROUND",G199&lt;&gt;"LIBSETS_SETTYPE_SPECIAL"),IF(AQ199&lt;&gt;"",VLOOKUP(AQ199,'ESO zones'!$D$5:$H$4957,5,FALSE),""),"")</f>
        <v>181</v>
      </c>
      <c r="AQ199" t="s">
        <v>166</v>
      </c>
      <c r="AR199" s="4" t="s">
        <v>215</v>
      </c>
      <c r="AU199" s="3">
        <f>IF(AND(G199&lt;&gt;"LIBSETS_SETTYPE_BATTLEGROUND",G199&lt;&gt;"LIBSETS_SETTYPE_SPECIAL"),IF(AV199&lt;&gt;"",VLOOKUP(AV199,'ESO zones'!$D$5:$H$4957,5,FALSE),""),"")</f>
        <v>181</v>
      </c>
      <c r="AV199" t="s">
        <v>166</v>
      </c>
      <c r="AW199" s="4" t="s">
        <v>257</v>
      </c>
      <c r="AZ199" s="49" t="s">
        <v>410</v>
      </c>
      <c r="BA199" s="49"/>
      <c r="BB199" s="49"/>
      <c r="BC199" s="49"/>
      <c r="BD199" s="49"/>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2">
        <v>238</v>
      </c>
      <c r="B200" t="s">
        <v>861</v>
      </c>
      <c r="C200" t="s">
        <v>862</v>
      </c>
      <c r="D200" s="3">
        <f t="shared" si="18"/>
        <v>238</v>
      </c>
      <c r="G200" s="9" t="s">
        <v>165</v>
      </c>
      <c r="I200" t="s">
        <v>401</v>
      </c>
      <c r="J200" t="s">
        <v>401</v>
      </c>
      <c r="K200">
        <v>-1</v>
      </c>
      <c r="L200">
        <v>-1</v>
      </c>
      <c r="M200">
        <v>-1</v>
      </c>
      <c r="O200" s="5" t="s">
        <v>166</v>
      </c>
      <c r="Q200" s="3">
        <f>IF(AND(P200&lt;&gt;"",ISNUMBER(P200),NOT(ISNA(P200))),P200,IF(R200&lt;&gt;"",VLOOKUP(R200,'ESO zones'!$D$5:$H$10005,5,FALSE),""))</f>
        <v>181</v>
      </c>
      <c r="R200" t="str">
        <f>IF(AND(O200&lt;&gt;"",NOT(ISERROR(O200))),O200,IF(AND(P200&lt;&gt;"",ISNUMBER(P200),P200&gt;0,NOT(ISNA(P200))),VLOOKUP(P200,'ESO zones'!$A$5:$D$10003,4,FALSE),IF(AND(K200&lt;&gt;"",K200&gt;0,NOT(ISERROR(K200))),VLOOKUP(K200,'ESO wayshrines'!$K$3:$N$9972,4,FALSE),"")))</f>
        <v>Cyrodiil</v>
      </c>
      <c r="T200" s="16" t="str">
        <f>IF(AND(S200&lt;&gt;"",NOT(ISERROR(S200))),S200,VLOOKUP(A200,'ESO Set&amp;DLCs'!$A$3:$D$99998,4,FALSE))</f>
        <v>DLC_BASE_GAME</v>
      </c>
      <c r="U200" s="3" t="str">
        <f>IF(T200&lt;&gt;"",VLOOKUP(T200,ConstDLCIds!$B$4:$C$1000,2,FALSE),"")</f>
        <v>Included in base game</v>
      </c>
      <c r="V200" s="4" t="s">
        <v>197</v>
      </c>
      <c r="Y200" s="5">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zones'!$A$5:$D$10003,4,FALSE),"")</f>
        <v>Cyrodiil</v>
      </c>
      <c r="AB200" s="4" t="s">
        <v>301</v>
      </c>
      <c r="AE200" s="5">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zones'!$A$5:$D$10003,4,FALSE),"")</f>
        <v>Cyrodiil</v>
      </c>
      <c r="AH200" s="62" t="s">
        <v>248</v>
      </c>
      <c r="AK200" s="3">
        <f>IF(AND(G200&lt;&gt;"LIBSETS_SETTYPE_BATTLEGROUND",G200&lt;&gt;"LIBSETS_SETTYPE_SPECIAL"),IF(AL200&lt;&gt;"",VLOOKUP(AL200,'ESO zones'!$D$5:$H$4957,5,FALSE),""),"")</f>
        <v>181</v>
      </c>
      <c r="AL200" t="s">
        <v>166</v>
      </c>
      <c r="AM200" s="4" t="s">
        <v>298</v>
      </c>
      <c r="AP200" s="3">
        <f>IF(AND(G200&lt;&gt;"LIBSETS_SETTYPE_BATTLEGROUND",G200&lt;&gt;"LIBSETS_SETTYPE_SPECIAL"),IF(AQ200&lt;&gt;"",VLOOKUP(AQ200,'ESO zones'!$D$5:$H$4957,5,FALSE),""),"")</f>
        <v>181</v>
      </c>
      <c r="AQ200" t="s">
        <v>166</v>
      </c>
      <c r="AR200" s="4" t="s">
        <v>215</v>
      </c>
      <c r="AU200" s="3">
        <f>IF(AND(G200&lt;&gt;"LIBSETS_SETTYPE_BATTLEGROUND",G200&lt;&gt;"LIBSETS_SETTYPE_SPECIAL"),IF(AV200&lt;&gt;"",VLOOKUP(AV200,'ESO zones'!$D$5:$H$4957,5,FALSE),""),"")</f>
        <v>181</v>
      </c>
      <c r="AV200" t="s">
        <v>166</v>
      </c>
      <c r="AW200" s="4" t="s">
        <v>257</v>
      </c>
      <c r="AZ200" s="49" t="s">
        <v>403</v>
      </c>
      <c r="BA200" s="49"/>
      <c r="BB200" s="49"/>
      <c r="BC200" s="49"/>
      <c r="BD200" s="49"/>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2">
        <v>239</v>
      </c>
      <c r="B201" t="s">
        <v>863</v>
      </c>
      <c r="C201" t="s">
        <v>864</v>
      </c>
      <c r="D201" s="3">
        <f t="shared" si="18"/>
        <v>239</v>
      </c>
      <c r="G201" s="9" t="s">
        <v>165</v>
      </c>
      <c r="I201" t="s">
        <v>401</v>
      </c>
      <c r="J201" t="s">
        <v>401</v>
      </c>
      <c r="K201">
        <v>-1</v>
      </c>
      <c r="L201">
        <v>-1</v>
      </c>
      <c r="M201">
        <v>-1</v>
      </c>
      <c r="O201" s="5" t="s">
        <v>166</v>
      </c>
      <c r="Q201" s="3">
        <f>IF(AND(P201&lt;&gt;"",ISNUMBER(P201),NOT(ISNA(P201))),P201,IF(R201&lt;&gt;"",VLOOKUP(R201,'ESO zones'!$D$5:$H$10005,5,FALSE),""))</f>
        <v>181</v>
      </c>
      <c r="R201" t="str">
        <f>IF(AND(O201&lt;&gt;"",NOT(ISERROR(O201))),O201,IF(AND(P201&lt;&gt;"",ISNUMBER(P201),P201&gt;0,NOT(ISNA(P201))),VLOOKUP(P201,'ESO zones'!$A$5:$D$10003,4,FALSE),IF(AND(K201&lt;&gt;"",K201&gt;0,NOT(ISERROR(K201))),VLOOKUP(K201,'ESO wayshrines'!$K$3:$N$9972,4,FALSE),"")))</f>
        <v>Cyrodiil</v>
      </c>
      <c r="T201" s="16" t="str">
        <f>IF(AND(S201&lt;&gt;"",NOT(ISERROR(S201))),S201,VLOOKUP(A201,'ESO Set&amp;DLCs'!$A$3:$D$99998,4,FALSE))</f>
        <v>DLC_BASE_GAME</v>
      </c>
      <c r="U201" s="3" t="str">
        <f>IF(T201&lt;&gt;"",VLOOKUP(T201,ConstDLCIds!$B$4:$C$1000,2,FALSE),"")</f>
        <v>Included in base game</v>
      </c>
      <c r="V201" s="4" t="s">
        <v>197</v>
      </c>
      <c r="Y201" s="5">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zones'!$A$5:$D$10003,4,FALSE),"")</f>
        <v>Cyrodiil</v>
      </c>
      <c r="AB201" s="4" t="s">
        <v>301</v>
      </c>
      <c r="AE201" s="5">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zones'!$A$5:$D$10003,4,FALSE),"")</f>
        <v>Cyrodiil</v>
      </c>
      <c r="AH201" s="62" t="s">
        <v>248</v>
      </c>
      <c r="AK201" s="3">
        <f>IF(AND(G201&lt;&gt;"LIBSETS_SETTYPE_BATTLEGROUND",G201&lt;&gt;"LIBSETS_SETTYPE_SPECIAL"),IF(AL201&lt;&gt;"",VLOOKUP(AL201,'ESO zones'!$D$5:$H$4957,5,FALSE),""),"")</f>
        <v>181</v>
      </c>
      <c r="AL201" t="s">
        <v>166</v>
      </c>
      <c r="AM201" s="4" t="s">
        <v>298</v>
      </c>
      <c r="AP201" s="3">
        <f>IF(AND(G201&lt;&gt;"LIBSETS_SETTYPE_BATTLEGROUND",G201&lt;&gt;"LIBSETS_SETTYPE_SPECIAL"),IF(AQ201&lt;&gt;"",VLOOKUP(AQ201,'ESO zones'!$D$5:$H$4957,5,FALSE),""),"")</f>
        <v>181</v>
      </c>
      <c r="AQ201" t="s">
        <v>166</v>
      </c>
      <c r="AR201" s="4" t="s">
        <v>215</v>
      </c>
      <c r="AU201" s="3">
        <f>IF(AND(G201&lt;&gt;"LIBSETS_SETTYPE_BATTLEGROUND",G201&lt;&gt;"LIBSETS_SETTYPE_SPECIAL"),IF(AV201&lt;&gt;"",VLOOKUP(AV201,'ESO zones'!$D$5:$H$4957,5,FALSE),""),"")</f>
        <v>181</v>
      </c>
      <c r="AV201" t="s">
        <v>166</v>
      </c>
      <c r="AW201" s="4" t="s">
        <v>257</v>
      </c>
      <c r="AZ201" s="49" t="s">
        <v>403</v>
      </c>
      <c r="BA201" s="49"/>
      <c r="BB201" s="49"/>
      <c r="BC201" s="49"/>
      <c r="BD201" s="49"/>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1">
        <v>240</v>
      </c>
      <c r="B202" t="s">
        <v>865</v>
      </c>
      <c r="C202" t="s">
        <v>866</v>
      </c>
      <c r="D202" s="3">
        <f t="shared" si="18"/>
        <v>240</v>
      </c>
      <c r="G202" s="9" t="s">
        <v>163</v>
      </c>
      <c r="I202" t="s">
        <v>401</v>
      </c>
      <c r="J202" t="s">
        <v>401</v>
      </c>
      <c r="K202">
        <v>254</v>
      </c>
      <c r="L202">
        <v>254</v>
      </c>
      <c r="M202">
        <v>254</v>
      </c>
      <c r="N202">
        <v>5</v>
      </c>
      <c r="Q202" s="3">
        <f>IF(AND(P202&lt;&gt;"",ISNUMBER(P202),NOT(ISNA(P202))),P202,IF(R202&lt;&gt;"",VLOOKUP(R202,'ESO zones'!$D$5:$H$10005,5,FALSE),""))</f>
        <v>823</v>
      </c>
      <c r="R202" t="str">
        <f>IF(AND(O202&lt;&gt;"",NOT(ISERROR(O202))),O202,IF(AND(P202&lt;&gt;"",ISNUMBER(P202),P202&gt;0,NOT(ISNA(P202))),VLOOKUP(P202,'ESO zones'!$A$5:$D$10003,4,FALSE),IF(AND(K202&lt;&gt;"",K202&gt;0,NOT(ISERROR(K202))),VLOOKUP(K202,'ESO wayshrines'!$K$3:$N$9972,4,FALSE),"")))</f>
        <v>Gold Coast</v>
      </c>
      <c r="T202" s="16" t="str">
        <f>IF(AND(S202&lt;&gt;"",NOT(ISERROR(S202))),S202,VLOOKUP(A202,'ESO Set&amp;DLCs'!$A$3:$D$99998,4,FALSE))</f>
        <v>DLC_DARK_BROTHERHOOD</v>
      </c>
      <c r="U202" s="3" t="str">
        <f>IF(T202&lt;&gt;"",VLOOKUP(T202,ConstDLCIds!$B$4:$C$1000,2,FALSE),"")</f>
        <v>Dark Brotherhood</v>
      </c>
      <c r="V202" s="4" t="s">
        <v>281</v>
      </c>
      <c r="Y202" s="5"/>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zones'!$A$5:$D$10003,4,FALSE),"")</f>
        <v>Gold Coast</v>
      </c>
      <c r="AB202" s="4"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zones'!$A$5:$D$10003,4,FALSE),"")</f>
        <v>Gold Coast</v>
      </c>
      <c r="AK202" s="3" t="str">
        <f>IF(AND(G202&lt;&gt;"LIBSETS_SETTYPE_BATTLEGROUND",G202&lt;&gt;"LIBSETS_SETTYPE_SPECIAL"),IF(AL202&lt;&gt;"",VLOOKUP(AL202,'ESO zones'!$D$5:$H$4957,5,FALSE),""),"")</f>
        <v/>
      </c>
      <c r="AP202" s="3" t="str">
        <f>IF(AND(G202&lt;&gt;"LIBSETS_SETTYPE_BATTLEGROUND",G202&lt;&gt;"LIBSETS_SETTYPE_SPECIAL"),IF(AQ202&lt;&gt;"",VLOOKUP(AQ202,'ESO zones'!$D$5:$H$4957,5,FALSE),""),"")</f>
        <v/>
      </c>
      <c r="AU202" s="3" t="str">
        <f>IF(AND(G202&lt;&gt;"LIBSETS_SETTYPE_BATTLEGROUND",G202&lt;&gt;"LIBSETS_SETTYPE_SPECIAL"),IF(AV202&lt;&gt;"",VLOOKUP(AV202,'ESO zones'!$D$5:$H$4957,5,FALSE),""),"")</f>
        <v/>
      </c>
      <c r="AZ202" s="49" t="s">
        <v>410</v>
      </c>
      <c r="BA202" s="49"/>
      <c r="BB202" s="49"/>
      <c r="BC202" s="49"/>
      <c r="BD202" s="49"/>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1">
        <v>241</v>
      </c>
      <c r="B203" t="s">
        <v>867</v>
      </c>
      <c r="C203" t="s">
        <v>868</v>
      </c>
      <c r="D203" s="3">
        <f t="shared" si="18"/>
        <v>241</v>
      </c>
      <c r="G203" s="9" t="s">
        <v>163</v>
      </c>
      <c r="I203" t="s">
        <v>401</v>
      </c>
      <c r="J203" t="s">
        <v>401</v>
      </c>
      <c r="K203">
        <v>251</v>
      </c>
      <c r="L203">
        <v>251</v>
      </c>
      <c r="M203">
        <v>251</v>
      </c>
      <c r="N203">
        <v>7</v>
      </c>
      <c r="Q203" s="3">
        <f>IF(AND(P203&lt;&gt;"",ISNUMBER(P203),NOT(ISNA(P203))),P203,IF(R203&lt;&gt;"",VLOOKUP(R203,'ESO zones'!$D$5:$H$10005,5,FALSE),""))</f>
        <v>823</v>
      </c>
      <c r="R203" t="str">
        <f>IF(AND(O203&lt;&gt;"",NOT(ISERROR(O203))),O203,IF(AND(P203&lt;&gt;"",ISNUMBER(P203),P203&gt;0,NOT(ISNA(P203))),VLOOKUP(P203,'ESO zones'!$A$5:$D$10003,4,FALSE),IF(AND(K203&lt;&gt;"",K203&gt;0,NOT(ISERROR(K203))),VLOOKUP(K203,'ESO wayshrines'!$K$3:$N$9972,4,FALSE),"")))</f>
        <v>Gold Coast</v>
      </c>
      <c r="T203" s="16" t="str">
        <f>IF(AND(S203&lt;&gt;"",NOT(ISERROR(S203))),S203,VLOOKUP(A203,'ESO Set&amp;DLCs'!$A$3:$D$99998,4,FALSE))</f>
        <v>DLC_DARK_BROTHERHOOD</v>
      </c>
      <c r="U203" s="3" t="str">
        <f>IF(T203&lt;&gt;"",VLOOKUP(T203,ConstDLCIds!$B$4:$C$1000,2,FALSE),"")</f>
        <v>Dark Brotherhood</v>
      </c>
      <c r="V203" s="4" t="s">
        <v>281</v>
      </c>
      <c r="Y203" s="5"/>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zones'!$A$5:$D$10003,4,FALSE),"")</f>
        <v>Gold Coast</v>
      </c>
      <c r="AB203" s="4"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zones'!$A$5:$D$10003,4,FALSE),"")</f>
        <v>Gold Coast</v>
      </c>
      <c r="AK203" s="3" t="str">
        <f>IF(AND(G203&lt;&gt;"LIBSETS_SETTYPE_BATTLEGROUND",G203&lt;&gt;"LIBSETS_SETTYPE_SPECIAL"),IF(AL203&lt;&gt;"",VLOOKUP(AL203,'ESO zones'!$D$5:$H$4957,5,FALSE),""),"")</f>
        <v/>
      </c>
      <c r="AP203" s="3" t="str">
        <f>IF(AND(G203&lt;&gt;"LIBSETS_SETTYPE_BATTLEGROUND",G203&lt;&gt;"LIBSETS_SETTYPE_SPECIAL"),IF(AQ203&lt;&gt;"",VLOOKUP(AQ203,'ESO zones'!$D$5:$H$4957,5,FALSE),""),"")</f>
        <v/>
      </c>
      <c r="AU203" s="3" t="str">
        <f>IF(AND(G203&lt;&gt;"LIBSETS_SETTYPE_BATTLEGROUND",G203&lt;&gt;"LIBSETS_SETTYPE_SPECIAL"),IF(AV203&lt;&gt;"",VLOOKUP(AV203,'ESO zones'!$D$5:$H$4957,5,FALSE),""),"")</f>
        <v/>
      </c>
      <c r="AZ203" s="49" t="s">
        <v>403</v>
      </c>
      <c r="BA203" s="49"/>
      <c r="BB203" s="49"/>
      <c r="BC203" s="49"/>
      <c r="BD203" s="49"/>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1">
        <v>242</v>
      </c>
      <c r="B204" t="s">
        <v>869</v>
      </c>
      <c r="C204" t="s">
        <v>870</v>
      </c>
      <c r="D204" s="3">
        <f t="shared" si="18"/>
        <v>242</v>
      </c>
      <c r="G204" s="9" t="s">
        <v>163</v>
      </c>
      <c r="I204" t="s">
        <v>401</v>
      </c>
      <c r="J204" t="s">
        <v>401</v>
      </c>
      <c r="K204">
        <v>254</v>
      </c>
      <c r="L204">
        <v>254</v>
      </c>
      <c r="M204">
        <v>254</v>
      </c>
      <c r="N204">
        <v>9</v>
      </c>
      <c r="Q204" s="3">
        <f>IF(AND(P204&lt;&gt;"",ISNUMBER(P204),NOT(ISNA(P204))),P204,IF(R204&lt;&gt;"",VLOOKUP(R204,'ESO zones'!$D$5:$H$10005,5,FALSE),""))</f>
        <v>823</v>
      </c>
      <c r="R204" t="str">
        <f>IF(AND(O204&lt;&gt;"",NOT(ISERROR(O204))),O204,IF(AND(P204&lt;&gt;"",ISNUMBER(P204),P204&gt;0,NOT(ISNA(P204))),VLOOKUP(P204,'ESO zones'!$A$5:$D$10003,4,FALSE),IF(AND(K204&lt;&gt;"",K204&gt;0,NOT(ISERROR(K204))),VLOOKUP(K204,'ESO wayshrines'!$K$3:$N$9972,4,FALSE),"")))</f>
        <v>Gold Coast</v>
      </c>
      <c r="T204" s="16" t="str">
        <f>IF(AND(S204&lt;&gt;"",NOT(ISERROR(S204))),S204,VLOOKUP(A204,'ESO Set&amp;DLCs'!$A$3:$D$99998,4,FALSE))</f>
        <v>DLC_DARK_BROTHERHOOD</v>
      </c>
      <c r="U204" s="3" t="str">
        <f>IF(T204&lt;&gt;"",VLOOKUP(T204,ConstDLCIds!$B$4:$C$1000,2,FALSE),"")</f>
        <v>Dark Brotherhood</v>
      </c>
      <c r="V204" s="4" t="s">
        <v>281</v>
      </c>
      <c r="Y204" s="5"/>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zones'!$A$5:$D$10003,4,FALSE),"")</f>
        <v>Gold Coast</v>
      </c>
      <c r="AB204" s="4"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zones'!$A$5:$D$10003,4,FALSE),"")</f>
        <v>Gold Coast</v>
      </c>
      <c r="AK204" s="3" t="str">
        <f>IF(AND(G204&lt;&gt;"LIBSETS_SETTYPE_BATTLEGROUND",G204&lt;&gt;"LIBSETS_SETTYPE_SPECIAL"),IF(AL204&lt;&gt;"",VLOOKUP(AL204,'ESO zones'!$D$5:$H$4957,5,FALSE),""),"")</f>
        <v/>
      </c>
      <c r="AP204" s="3" t="str">
        <f>IF(AND(G204&lt;&gt;"LIBSETS_SETTYPE_BATTLEGROUND",G204&lt;&gt;"LIBSETS_SETTYPE_SPECIAL"),IF(AQ204&lt;&gt;"",VLOOKUP(AQ204,'ESO zones'!$D$5:$H$4957,5,FALSE),""),"")</f>
        <v/>
      </c>
      <c r="AU204" s="3" t="str">
        <f>IF(AND(G204&lt;&gt;"LIBSETS_SETTYPE_BATTLEGROUND",G204&lt;&gt;"LIBSETS_SETTYPE_SPECIAL"),IF(AV204&lt;&gt;"",VLOOKUP(AV204,'ESO zones'!$D$5:$H$4957,5,FALSE),""),"")</f>
        <v/>
      </c>
      <c r="AZ204" s="49" t="s">
        <v>403</v>
      </c>
      <c r="BA204" s="49"/>
      <c r="BB204" s="49"/>
      <c r="BC204" s="49"/>
      <c r="BD204" s="49"/>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2">
        <v>243</v>
      </c>
      <c r="B205" t="s">
        <v>871</v>
      </c>
      <c r="C205" t="s">
        <v>872</v>
      </c>
      <c r="D205" s="3">
        <f t="shared" si="18"/>
        <v>243</v>
      </c>
      <c r="G205" s="9" t="s">
        <v>174</v>
      </c>
      <c r="I205" t="s">
        <v>401</v>
      </c>
      <c r="J205" t="s">
        <v>401</v>
      </c>
      <c r="K205">
        <v>254</v>
      </c>
      <c r="L205">
        <v>254</v>
      </c>
      <c r="M205">
        <v>254</v>
      </c>
      <c r="O205" s="5" t="s">
        <v>873</v>
      </c>
      <c r="Q205" s="3">
        <f>IF(AND(P205&lt;&gt;"",ISNUMBER(P205),NOT(ISNA(P205))),P205,IF(R205&lt;&gt;"",VLOOKUP(R205,'ESO zones'!$D$5:$H$10005,5,FALSE),""))</f>
        <v>823</v>
      </c>
      <c r="R205" t="str">
        <f>IF(AND(O205&lt;&gt;"",NOT(ISERROR(O205))),O205,IF(AND(P205&lt;&gt;"",ISNUMBER(P205),P205&gt;0,NOT(ISNA(P205))),VLOOKUP(P205,'ESO zones'!$A$5:$D$10003,4,FALSE),IF(AND(K205&lt;&gt;"",K205&gt;0,NOT(ISERROR(K205))),VLOOKUP(K205,'ESO wayshrines'!$K$3:$N$9972,4,FALSE),"")))</f>
        <v>Gold Coast</v>
      </c>
      <c r="T205" s="16" t="str">
        <f>IF(AND(S205&lt;&gt;"",NOT(ISERROR(S205))),S205,VLOOKUP(A205,'ESO Set&amp;DLCs'!$A$3:$D$99998,4,FALSE))</f>
        <v>DLC_DARK_BROTHERHOOD</v>
      </c>
      <c r="U205" s="3" t="str">
        <f>IF(T205&lt;&gt;"",VLOOKUP(T205,ConstDLCIds!$B$4:$C$1000,2,FALSE),"")</f>
        <v>Dark Brotherhood</v>
      </c>
      <c r="V205" s="4" t="s">
        <v>215</v>
      </c>
      <c r="Y205" s="5"/>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zones'!$A$5:$D$10003,4,FALSE),"")</f>
        <v>Gold Coast</v>
      </c>
      <c r="AB205" s="4"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zones'!$A$5:$D$10003,4,FALSE),"")</f>
        <v>Gold Coast</v>
      </c>
      <c r="AH205" s="4" t="s">
        <v>224</v>
      </c>
      <c r="AK205" s="3">
        <f>IF(AND(G205&lt;&gt;"LIBSETS_SETTYPE_BATTLEGROUND",G205&lt;&gt;"LIBSETS_SETTYPE_SPECIAL"),IF(AL205&lt;&gt;"",VLOOKUP(AL205,'ESO zones'!$D$5:$H$4957,5,FALSE),""),"")</f>
        <v>823</v>
      </c>
      <c r="AL205" t="s">
        <v>873</v>
      </c>
      <c r="AM205" s="4" t="s">
        <v>269</v>
      </c>
      <c r="AP205" s="3" t="str">
        <f>IF(AND(G205&lt;&gt;"LIBSETS_SETTYPE_BATTLEGROUND",G205&lt;&gt;"LIBSETS_SETTYPE_SPECIAL"),IF(AQ205&lt;&gt;"",VLOOKUP(AQ205,'ESO zones'!$D$5:$H$4957,5,FALSE),""),"")</f>
        <v/>
      </c>
      <c r="AU205" s="3" t="str">
        <f>IF(AND(G205&lt;&gt;"LIBSETS_SETTYPE_BATTLEGROUND",G205&lt;&gt;"LIBSETS_SETTYPE_SPECIAL"),IF(AV205&lt;&gt;"",VLOOKUP(AV205,'ESO zones'!$D$5:$H$4957,5,FALSE),""),"")</f>
        <v/>
      </c>
      <c r="AZ205" s="49" t="s">
        <v>403</v>
      </c>
      <c r="BA205" s="49"/>
      <c r="BB205" s="49"/>
      <c r="BC205" s="49"/>
      <c r="BD205" s="49"/>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2">
        <v>244</v>
      </c>
      <c r="B206" t="s">
        <v>874</v>
      </c>
      <c r="C206" t="s">
        <v>875</v>
      </c>
      <c r="D206" s="3">
        <f t="shared" si="18"/>
        <v>244</v>
      </c>
      <c r="G206" s="9" t="s">
        <v>174</v>
      </c>
      <c r="I206" t="s">
        <v>401</v>
      </c>
      <c r="J206" t="s">
        <v>401</v>
      </c>
      <c r="K206">
        <v>254</v>
      </c>
      <c r="L206">
        <v>254</v>
      </c>
      <c r="M206">
        <v>254</v>
      </c>
      <c r="O206" s="5" t="s">
        <v>873</v>
      </c>
      <c r="Q206" s="3">
        <f>IF(AND(P206&lt;&gt;"",ISNUMBER(P206),NOT(ISNA(P206))),P206,IF(R206&lt;&gt;"",VLOOKUP(R206,'ESO zones'!$D$5:$H$10005,5,FALSE),""))</f>
        <v>823</v>
      </c>
      <c r="R206" t="str">
        <f>IF(AND(O206&lt;&gt;"",NOT(ISERROR(O206))),O206,IF(AND(P206&lt;&gt;"",ISNUMBER(P206),P206&gt;0,NOT(ISNA(P206))),VLOOKUP(P206,'ESO zones'!$A$5:$D$10003,4,FALSE),IF(AND(K206&lt;&gt;"",K206&gt;0,NOT(ISERROR(K206))),VLOOKUP(K206,'ESO wayshrines'!$K$3:$N$9972,4,FALSE),"")))</f>
        <v>Gold Coast</v>
      </c>
      <c r="T206" s="16" t="str">
        <f>IF(AND(S206&lt;&gt;"",NOT(ISERROR(S206))),S206,VLOOKUP(A206,'ESO Set&amp;DLCs'!$A$3:$D$99998,4,FALSE))</f>
        <v>DLC_DARK_BROTHERHOOD</v>
      </c>
      <c r="U206" s="3" t="str">
        <f>IF(T206&lt;&gt;"",VLOOKUP(T206,ConstDLCIds!$B$4:$C$1000,2,FALSE),"")</f>
        <v>Dark Brotherhood</v>
      </c>
      <c r="V206" s="4" t="s">
        <v>215</v>
      </c>
      <c r="Y206" s="5"/>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zones'!$A$5:$D$10003,4,FALSE),"")</f>
        <v>Gold Coast</v>
      </c>
      <c r="AB206" s="4"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zones'!$A$5:$D$10003,4,FALSE),"")</f>
        <v>Gold Coast</v>
      </c>
      <c r="AH206" s="4" t="s">
        <v>224</v>
      </c>
      <c r="AK206" s="3">
        <f>IF(AND(G206&lt;&gt;"LIBSETS_SETTYPE_BATTLEGROUND",G206&lt;&gt;"LIBSETS_SETTYPE_SPECIAL"),IF(AL206&lt;&gt;"",VLOOKUP(AL206,'ESO zones'!$D$5:$H$4957,5,FALSE),""),"")</f>
        <v>823</v>
      </c>
      <c r="AL206" t="s">
        <v>873</v>
      </c>
      <c r="AM206" s="4" t="s">
        <v>269</v>
      </c>
      <c r="AP206" s="3" t="str">
        <f>IF(AND(G206&lt;&gt;"LIBSETS_SETTYPE_BATTLEGROUND",G206&lt;&gt;"LIBSETS_SETTYPE_SPECIAL"),IF(AQ206&lt;&gt;"",VLOOKUP(AQ206,'ESO zones'!$D$5:$H$4957,5,FALSE),""),"")</f>
        <v/>
      </c>
      <c r="AU206" s="3" t="str">
        <f>IF(AND(G206&lt;&gt;"LIBSETS_SETTYPE_BATTLEGROUND",G206&lt;&gt;"LIBSETS_SETTYPE_SPECIAL"),IF(AV206&lt;&gt;"",VLOOKUP(AV206,'ESO zones'!$D$5:$H$4957,5,FALSE),""),"")</f>
        <v/>
      </c>
      <c r="AZ206" s="49" t="s">
        <v>410</v>
      </c>
      <c r="BA206" s="49"/>
      <c r="BB206" s="49"/>
      <c r="BC206" s="49"/>
      <c r="BD206" s="49"/>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2">
        <v>245</v>
      </c>
      <c r="B207" t="s">
        <v>876</v>
      </c>
      <c r="C207" t="s">
        <v>877</v>
      </c>
      <c r="D207" s="3">
        <f t="shared" si="18"/>
        <v>245</v>
      </c>
      <c r="G207" s="9" t="s">
        <v>174</v>
      </c>
      <c r="I207" t="s">
        <v>401</v>
      </c>
      <c r="J207" t="s">
        <v>401</v>
      </c>
      <c r="K207">
        <v>254</v>
      </c>
      <c r="L207">
        <v>254</v>
      </c>
      <c r="M207">
        <v>254</v>
      </c>
      <c r="O207" s="5" t="s">
        <v>873</v>
      </c>
      <c r="Q207" s="3">
        <f>IF(AND(P207&lt;&gt;"",ISNUMBER(P207),NOT(ISNA(P207))),P207,IF(R207&lt;&gt;"",VLOOKUP(R207,'ESO zones'!$D$5:$H$10005,5,FALSE),""))</f>
        <v>823</v>
      </c>
      <c r="R207" t="str">
        <f>IF(AND(O207&lt;&gt;"",NOT(ISERROR(O207))),O207,IF(AND(P207&lt;&gt;"",ISNUMBER(P207),P207&gt;0,NOT(ISNA(P207))),VLOOKUP(P207,'ESO zones'!$A$5:$D$10003,4,FALSE),IF(AND(K207&lt;&gt;"",K207&gt;0,NOT(ISERROR(K207))),VLOOKUP(K207,'ESO wayshrines'!$K$3:$N$9972,4,FALSE),"")))</f>
        <v>Gold Coast</v>
      </c>
      <c r="T207" s="16" t="str">
        <f>IF(AND(S207&lt;&gt;"",NOT(ISERROR(S207))),S207,VLOOKUP(A207,'ESO Set&amp;DLCs'!$A$3:$D$99998,4,FALSE))</f>
        <v>DLC_DARK_BROTHERHOOD</v>
      </c>
      <c r="U207" s="3" t="str">
        <f>IF(T207&lt;&gt;"",VLOOKUP(T207,ConstDLCIds!$B$4:$C$1000,2,FALSE),"")</f>
        <v>Dark Brotherhood</v>
      </c>
      <c r="V207" s="4" t="s">
        <v>215</v>
      </c>
      <c r="Y207" s="5"/>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zones'!$A$5:$D$10003,4,FALSE),"")</f>
        <v>Gold Coast</v>
      </c>
      <c r="AB207" s="4" t="s">
        <v>218</v>
      </c>
      <c r="AE207" s="30"/>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zones'!$A$5:$D$10003,4,FALSE),"")</f>
        <v>Gold Coast</v>
      </c>
      <c r="AH207" s="4" t="s">
        <v>224</v>
      </c>
      <c r="AI207" s="30"/>
      <c r="AJ207" s="30"/>
      <c r="AK207" s="3">
        <f>IF(AND(G207&lt;&gt;"LIBSETS_SETTYPE_BATTLEGROUND",G207&lt;&gt;"LIBSETS_SETTYPE_SPECIAL"),IF(AL207&lt;&gt;"",VLOOKUP(AL207,'ESO zones'!$D$5:$H$4957,5,FALSE),""),"")</f>
        <v>823</v>
      </c>
      <c r="AL207" t="s">
        <v>873</v>
      </c>
      <c r="AM207" s="4" t="s">
        <v>269</v>
      </c>
      <c r="AP207" s="3">
        <f>IF(AND(G207&lt;&gt;"LIBSETS_SETTYPE_BATTLEGROUND",G207&lt;&gt;"LIBSETS_SETTYPE_SPECIAL"),IF(AQ207&lt;&gt;"",VLOOKUP(AQ207,'ESO zones'!$D$5:$H$4957,5,FALSE),""),"")</f>
        <v>823</v>
      </c>
      <c r="AQ207" t="s">
        <v>873</v>
      </c>
      <c r="AR207" s="3" t="s">
        <v>263</v>
      </c>
      <c r="AS207" s="30" t="s">
        <v>878</v>
      </c>
      <c r="AT207" s="30" t="s">
        <v>879</v>
      </c>
      <c r="AU207" s="3" t="str">
        <f>IF(AND(G207&lt;&gt;"LIBSETS_SETTYPE_BATTLEGROUND",G207&lt;&gt;"LIBSETS_SETTYPE_SPECIAL"),IF(AV207&lt;&gt;"",VLOOKUP(AV207,'ESO zones'!$D$5:$H$4957,5,FALSE),""),"")</f>
        <v/>
      </c>
      <c r="AX207" s="30"/>
      <c r="AY207" s="30"/>
      <c r="AZ207" s="49" t="s">
        <v>403</v>
      </c>
      <c r="BA207" s="49"/>
      <c r="BB207" s="49"/>
      <c r="BC207" s="49"/>
      <c r="BD207" s="49"/>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2">
        <v>246</v>
      </c>
      <c r="B208" t="s">
        <v>880</v>
      </c>
      <c r="C208" t="s">
        <v>881</v>
      </c>
      <c r="D208" s="3">
        <f t="shared" si="18"/>
        <v>246</v>
      </c>
      <c r="G208" s="9" t="s">
        <v>171</v>
      </c>
      <c r="I208" t="s">
        <v>401</v>
      </c>
      <c r="J208" t="s">
        <v>401</v>
      </c>
      <c r="K208">
        <v>-1</v>
      </c>
      <c r="L208">
        <v>-1</v>
      </c>
      <c r="M208">
        <v>-1</v>
      </c>
      <c r="O208" s="5" t="s">
        <v>764</v>
      </c>
      <c r="Q208" s="3">
        <f>IF(AND(P208&lt;&gt;"",ISNUMBER(P208),NOT(ISNA(P208))),P208,IF(R208&lt;&gt;"",VLOOKUP(R208,'ESO zones'!$D$5:$H$10005,5,FALSE),""))</f>
        <v>643</v>
      </c>
      <c r="R208" t="str">
        <f>IF(AND(O208&lt;&gt;"",NOT(ISERROR(O208))),O208,IF(AND(P208&lt;&gt;"",ISNUMBER(P208),P208&gt;0,NOT(ISNA(P208))),VLOOKUP(P208,'ESO zones'!$A$5:$D$10003,4,FALSE),IF(AND(K208&lt;&gt;"",K208&gt;0,NOT(ISERROR(K208))),VLOOKUP(K208,'ESO wayshrines'!$K$3:$N$9972,4,FALSE),"")))</f>
        <v>Imperial Sewers</v>
      </c>
      <c r="T208" s="16" t="str">
        <f>IF(AND(S208&lt;&gt;"",NOT(ISERROR(S208))),S208,VLOOKUP(A208,'ESO Set&amp;DLCs'!$A$3:$D$99998,4,FALSE))</f>
        <v>DLC_IMPERIAL_CITY</v>
      </c>
      <c r="U208" s="3" t="str">
        <f>IF(T208&lt;&gt;"",VLOOKUP(T208,ConstDLCIds!$B$4:$C$1000,2,FALSE),"")</f>
        <v>Imperial City</v>
      </c>
      <c r="V208" s="4" t="s">
        <v>245</v>
      </c>
      <c r="Y208" s="5">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zones'!$A$5:$D$10003,4,FALSE),"")</f>
        <v>Imperial City</v>
      </c>
      <c r="AB208" s="4" t="s">
        <v>289</v>
      </c>
      <c r="AE208" s="30"/>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zones'!$A$5:$D$10003,4,FALSE),"")</f>
        <v/>
      </c>
      <c r="AI208" s="30"/>
      <c r="AJ208" s="30"/>
      <c r="AK208" s="3" t="str">
        <f>IF(AND(G208&lt;&gt;"LIBSETS_SETTYPE_BATTLEGROUND",G208&lt;&gt;"LIBSETS_SETTYPE_SPECIAL"),IF(AL208&lt;&gt;"",VLOOKUP(AL208,'ESO zones'!$D$5:$H$4957,5,FALSE),""),"")</f>
        <v/>
      </c>
      <c r="AN208" s="30"/>
      <c r="AO208" s="30"/>
      <c r="AP208" s="3" t="str">
        <f>IF(AND(G208&lt;&gt;"LIBSETS_SETTYPE_BATTLEGROUND",G208&lt;&gt;"LIBSETS_SETTYPE_SPECIAL"),IF(AQ208&lt;&gt;"",VLOOKUP(AQ208,'ESO zones'!$D$5:$H$4957,5,FALSE),""),"")</f>
        <v/>
      </c>
      <c r="AS208" s="30"/>
      <c r="AT208" s="30"/>
      <c r="AU208" s="3" t="str">
        <f>IF(AND(G208&lt;&gt;"LIBSETS_SETTYPE_BATTLEGROUND",G208&lt;&gt;"LIBSETS_SETTYPE_SPECIAL"),IF(AV208&lt;&gt;"",VLOOKUP(AV208,'ESO zones'!$D$5:$H$4957,5,FALSE),""),"")</f>
        <v/>
      </c>
      <c r="AX208" s="30"/>
      <c r="AY208" s="30"/>
      <c r="AZ208" s="49" t="s">
        <v>403</v>
      </c>
      <c r="BA208" s="49"/>
      <c r="BB208" s="49"/>
      <c r="BC208" s="49"/>
      <c r="BD208" s="49"/>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2">
        <v>247</v>
      </c>
      <c r="B209" t="s">
        <v>882</v>
      </c>
      <c r="C209" t="s">
        <v>883</v>
      </c>
      <c r="D209" s="3">
        <f t="shared" si="18"/>
        <v>247</v>
      </c>
      <c r="G209" s="9" t="s">
        <v>171</v>
      </c>
      <c r="I209" t="s">
        <v>401</v>
      </c>
      <c r="J209" t="s">
        <v>401</v>
      </c>
      <c r="K209">
        <v>-1</v>
      </c>
      <c r="L209">
        <v>-1</v>
      </c>
      <c r="M209">
        <v>-1</v>
      </c>
      <c r="O209" s="5" t="s">
        <v>764</v>
      </c>
      <c r="Q209" s="3">
        <f>IF(AND(P209&lt;&gt;"",ISNUMBER(P209),NOT(ISNA(P209))),P209,IF(R209&lt;&gt;"",VLOOKUP(R209,'ESO zones'!$D$5:$H$10005,5,FALSE),""))</f>
        <v>643</v>
      </c>
      <c r="R209" t="str">
        <f>IF(AND(O209&lt;&gt;"",NOT(ISERROR(O209))),O209,IF(AND(P209&lt;&gt;"",ISNUMBER(P209),P209&gt;0,NOT(ISNA(P209))),VLOOKUP(P209,'ESO zones'!$A$5:$D$10003,4,FALSE),IF(AND(K209&lt;&gt;"",K209&gt;0,NOT(ISERROR(K209))),VLOOKUP(K209,'ESO wayshrines'!$K$3:$N$9972,4,FALSE),"")))</f>
        <v>Imperial Sewers</v>
      </c>
      <c r="T209" s="16" t="str">
        <f>IF(AND(S209&lt;&gt;"",NOT(ISERROR(S209))),S209,VLOOKUP(A209,'ESO Set&amp;DLCs'!$A$3:$D$99998,4,FALSE))</f>
        <v>DLC_IMPERIAL_CITY</v>
      </c>
      <c r="U209" s="3" t="str">
        <f>IF(T209&lt;&gt;"",VLOOKUP(T209,ConstDLCIds!$B$4:$C$1000,2,FALSE),"")</f>
        <v>Imperial City</v>
      </c>
      <c r="V209" s="4" t="s">
        <v>245</v>
      </c>
      <c r="Y209" s="5">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zones'!$A$5:$D$10003,4,FALSE),"")</f>
        <v>Imperial City</v>
      </c>
      <c r="AB209" s="4" t="s">
        <v>289</v>
      </c>
      <c r="AE209" s="30"/>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zones'!$A$5:$D$10003,4,FALSE),"")</f>
        <v/>
      </c>
      <c r="AI209" s="30"/>
      <c r="AJ209" s="30"/>
      <c r="AK209" s="3" t="str">
        <f>IF(AND(G209&lt;&gt;"LIBSETS_SETTYPE_BATTLEGROUND",G209&lt;&gt;"LIBSETS_SETTYPE_SPECIAL"),IF(AL209&lt;&gt;"",VLOOKUP(AL209,'ESO zones'!$D$5:$H$4957,5,FALSE),""),"")</f>
        <v/>
      </c>
      <c r="AN209" s="30"/>
      <c r="AO209" s="30"/>
      <c r="AP209" s="3" t="str">
        <f>IF(AND(G209&lt;&gt;"LIBSETS_SETTYPE_BATTLEGROUND",G209&lt;&gt;"LIBSETS_SETTYPE_SPECIAL"),IF(AQ209&lt;&gt;"",VLOOKUP(AQ209,'ESO zones'!$D$5:$H$4957,5,FALSE),""),"")</f>
        <v/>
      </c>
      <c r="AS209" s="30"/>
      <c r="AT209" s="30"/>
      <c r="AU209" s="3" t="str">
        <f>IF(AND(G209&lt;&gt;"LIBSETS_SETTYPE_BATTLEGROUND",G209&lt;&gt;"LIBSETS_SETTYPE_SPECIAL"),IF(AV209&lt;&gt;"",VLOOKUP(AV209,'ESO zones'!$D$5:$H$4957,5,FALSE),""),"")</f>
        <v/>
      </c>
      <c r="AX209" s="30"/>
      <c r="AY209" s="30"/>
      <c r="AZ209" s="49" t="s">
        <v>403</v>
      </c>
      <c r="BA209" s="49"/>
      <c r="BB209" s="49"/>
      <c r="BC209" s="49"/>
      <c r="BD209" s="49"/>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2">
        <v>248</v>
      </c>
      <c r="B210" t="s">
        <v>884</v>
      </c>
      <c r="C210" t="s">
        <v>885</v>
      </c>
      <c r="D210" s="3">
        <f t="shared" si="18"/>
        <v>248</v>
      </c>
      <c r="G210" s="9" t="s">
        <v>171</v>
      </c>
      <c r="I210" t="s">
        <v>401</v>
      </c>
      <c r="J210" t="s">
        <v>401</v>
      </c>
      <c r="K210">
        <v>-1</v>
      </c>
      <c r="L210">
        <v>-1</v>
      </c>
      <c r="M210">
        <v>-1</v>
      </c>
      <c r="O210" s="5" t="s">
        <v>764</v>
      </c>
      <c r="Q210" s="3">
        <f>IF(AND(P210&lt;&gt;"",ISNUMBER(P210),NOT(ISNA(P210))),P210,IF(R210&lt;&gt;"",VLOOKUP(R210,'ESO zones'!$D$5:$H$10005,5,FALSE),""))</f>
        <v>643</v>
      </c>
      <c r="R210" t="str">
        <f>IF(AND(O210&lt;&gt;"",NOT(ISERROR(O210))),O210,IF(AND(P210&lt;&gt;"",ISNUMBER(P210),P210&gt;0,NOT(ISNA(P210))),VLOOKUP(P210,'ESO zones'!$A$5:$D$10003,4,FALSE),IF(AND(K210&lt;&gt;"",K210&gt;0,NOT(ISERROR(K210))),VLOOKUP(K210,'ESO wayshrines'!$K$3:$N$9972,4,FALSE),"")))</f>
        <v>Imperial Sewers</v>
      </c>
      <c r="T210" s="16" t="str">
        <f>IF(AND(S210&lt;&gt;"",NOT(ISERROR(S210))),S210,VLOOKUP(A210,'ESO Set&amp;DLCs'!$A$3:$D$99998,4,FALSE))</f>
        <v>DLC_IMPERIAL_CITY</v>
      </c>
      <c r="U210" s="3" t="str">
        <f>IF(T210&lt;&gt;"",VLOOKUP(T210,ConstDLCIds!$B$4:$C$1000,2,FALSE),"")</f>
        <v>Imperial City</v>
      </c>
      <c r="V210" s="4" t="s">
        <v>245</v>
      </c>
      <c r="Y210" s="5">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zones'!$A$5:$D$10003,4,FALSE),"")</f>
        <v>Imperial City</v>
      </c>
      <c r="AB210" s="4" t="s">
        <v>289</v>
      </c>
      <c r="AE210" s="30"/>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zones'!$A$5:$D$10003,4,FALSE),"")</f>
        <v/>
      </c>
      <c r="AI210" s="30"/>
      <c r="AJ210" s="30"/>
      <c r="AK210" s="3" t="str">
        <f>IF(AND(G210&lt;&gt;"LIBSETS_SETTYPE_BATTLEGROUND",G210&lt;&gt;"LIBSETS_SETTYPE_SPECIAL"),IF(AL210&lt;&gt;"",VLOOKUP(AL210,'ESO zones'!$D$5:$H$4957,5,FALSE),""),"")</f>
        <v/>
      </c>
      <c r="AN210" s="30"/>
      <c r="AO210" s="30"/>
      <c r="AP210" s="3" t="str">
        <f>IF(AND(G210&lt;&gt;"LIBSETS_SETTYPE_BATTLEGROUND",G210&lt;&gt;"LIBSETS_SETTYPE_SPECIAL"),IF(AQ210&lt;&gt;"",VLOOKUP(AQ210,'ESO zones'!$D$5:$H$4957,5,FALSE),""),"")</f>
        <v/>
      </c>
      <c r="AS210" s="30"/>
      <c r="AT210" s="30"/>
      <c r="AU210" s="3" t="str">
        <f>IF(AND(G210&lt;&gt;"LIBSETS_SETTYPE_BATTLEGROUND",G210&lt;&gt;"LIBSETS_SETTYPE_SPECIAL"),IF(AV210&lt;&gt;"",VLOOKUP(AV210,'ESO zones'!$D$5:$H$4957,5,FALSE),""),"")</f>
        <v/>
      </c>
      <c r="AX210" s="30"/>
      <c r="AY210" s="30"/>
      <c r="AZ210" s="49" t="s">
        <v>403</v>
      </c>
      <c r="BA210" s="49"/>
      <c r="BB210" s="49"/>
      <c r="BC210" s="49"/>
      <c r="BD210" s="49"/>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2">
        <v>253</v>
      </c>
      <c r="B211" t="s">
        <v>886</v>
      </c>
      <c r="C211" t="s">
        <v>887</v>
      </c>
      <c r="D211" s="3">
        <f t="shared" si="18"/>
        <v>253</v>
      </c>
      <c r="G211" s="9" t="s">
        <v>171</v>
      </c>
      <c r="I211" t="s">
        <v>401</v>
      </c>
      <c r="J211" t="s">
        <v>401</v>
      </c>
      <c r="K211">
        <v>-1</v>
      </c>
      <c r="L211">
        <v>-1</v>
      </c>
      <c r="M211">
        <v>-1</v>
      </c>
      <c r="O211" s="5" t="s">
        <v>764</v>
      </c>
      <c r="Q211" s="3">
        <f>IF(AND(P211&lt;&gt;"",ISNUMBER(P211),NOT(ISNA(P211))),P211,IF(R211&lt;&gt;"",VLOOKUP(R211,'ESO zones'!$D$5:$H$10005,5,FALSE),""))</f>
        <v>643</v>
      </c>
      <c r="R211" t="str">
        <f>IF(AND(O211&lt;&gt;"",NOT(ISERROR(O211))),O211,IF(AND(P211&lt;&gt;"",ISNUMBER(P211),P211&gt;0,NOT(ISNA(P211))),VLOOKUP(P211,'ESO zones'!$A$5:$D$10003,4,FALSE),IF(AND(K211&lt;&gt;"",K211&gt;0,NOT(ISERROR(K211))),VLOOKUP(K211,'ESO wayshrines'!$K$3:$N$9972,4,FALSE),"")))</f>
        <v>Imperial Sewers</v>
      </c>
      <c r="T211" s="16" t="str">
        <f>IF(AND(S211&lt;&gt;"",NOT(ISERROR(S211))),S211,VLOOKUP(A211,'ESO Set&amp;DLCs'!$A$3:$D$99998,4,FALSE))</f>
        <v>DLC_IMPERIAL_CITY</v>
      </c>
      <c r="U211" s="3" t="str">
        <f>IF(T211&lt;&gt;"",VLOOKUP(T211,ConstDLCIds!$B$4:$C$1000,2,FALSE),"")</f>
        <v>Imperial City</v>
      </c>
      <c r="V211" s="4" t="s">
        <v>245</v>
      </c>
      <c r="Y211" s="5">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zones'!$A$5:$D$10003,4,FALSE),"")</f>
        <v>Imperial City</v>
      </c>
      <c r="AB211" s="4" t="s">
        <v>289</v>
      </c>
      <c r="AE211" s="30"/>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zones'!$A$5:$D$10003,4,FALSE),"")</f>
        <v/>
      </c>
      <c r="AI211" s="30"/>
      <c r="AJ211" s="30"/>
      <c r="AK211" s="3" t="str">
        <f>IF(AND(G211&lt;&gt;"LIBSETS_SETTYPE_BATTLEGROUND",G211&lt;&gt;"LIBSETS_SETTYPE_SPECIAL"),IF(AL211&lt;&gt;"",VLOOKUP(AL211,'ESO zones'!$D$5:$H$4957,5,FALSE),""),"")</f>
        <v/>
      </c>
      <c r="AN211" s="30"/>
      <c r="AO211" s="30"/>
      <c r="AP211" s="3" t="str">
        <f>IF(AND(G211&lt;&gt;"LIBSETS_SETTYPE_BATTLEGROUND",G211&lt;&gt;"LIBSETS_SETTYPE_SPECIAL"),IF(AQ211&lt;&gt;"",VLOOKUP(AQ211,'ESO zones'!$D$5:$H$4957,5,FALSE),""),"")</f>
        <v/>
      </c>
      <c r="AS211" s="30"/>
      <c r="AT211" s="30"/>
      <c r="AU211" s="3" t="str">
        <f>IF(AND(G211&lt;&gt;"LIBSETS_SETTYPE_BATTLEGROUND",G211&lt;&gt;"LIBSETS_SETTYPE_SPECIAL"),IF(AV211&lt;&gt;"",VLOOKUP(AV211,'ESO zones'!$D$5:$H$4957,5,FALSE),""),"")</f>
        <v/>
      </c>
      <c r="AX211" s="30"/>
      <c r="AY211" s="30"/>
      <c r="AZ211" s="49" t="s">
        <v>403</v>
      </c>
      <c r="BA211" s="49"/>
      <c r="BB211" s="49"/>
      <c r="BC211" s="49"/>
      <c r="BD211" s="49"/>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1">
        <v>256</v>
      </c>
      <c r="B212" t="s">
        <v>888</v>
      </c>
      <c r="C212" t="s">
        <v>889</v>
      </c>
      <c r="D212" s="3">
        <f t="shared" si="18"/>
        <v>256</v>
      </c>
      <c r="G212" s="9" t="s">
        <v>172</v>
      </c>
      <c r="H212">
        <v>3</v>
      </c>
      <c r="I212" t="s">
        <v>712</v>
      </c>
      <c r="J212" t="s">
        <v>401</v>
      </c>
      <c r="K212">
        <v>260</v>
      </c>
      <c r="L212">
        <v>260</v>
      </c>
      <c r="M212">
        <v>260</v>
      </c>
      <c r="O212" s="5" t="s">
        <v>890</v>
      </c>
      <c r="Q212" s="3">
        <f>IF(AND(P212&lt;&gt;"",ISNUMBER(P212),NOT(ISNA(P212))),P212,IF(R212&lt;&gt;"",VLOOKUP(R212,'ESO zones'!$D$5:$H$10005,5,FALSE),""))</f>
        <v>843</v>
      </c>
      <c r="R212" t="str">
        <f>IF(AND(O212&lt;&gt;"",NOT(ISERROR(O212))),O212,IF(AND(P212&lt;&gt;"",ISNUMBER(P212),P212&gt;0,NOT(ISNA(P212))),VLOOKUP(P212,'ESO zones'!$A$5:$D$10003,4,FALSE),IF(AND(K212&lt;&gt;"",K212&gt;0,NOT(ISERROR(K212))),VLOOKUP(K212,'ESO wayshrines'!$K$3:$N$9972,4,FALSE),"")))</f>
        <v>Ruins of Mazzatun</v>
      </c>
      <c r="T212" s="16" t="str">
        <f>IF(AND(S212&lt;&gt;"",NOT(ISERROR(S212))),S212,VLOOKUP(A212,'ESO Set&amp;DLCs'!$A$3:$D$99998,4,FALSE))</f>
        <v>DLC_SHADOWS_OF_THE_HIST</v>
      </c>
      <c r="U212" s="3" t="str">
        <f>IF(T212&lt;&gt;"",VLOOKUP(T212,ConstDLCIds!$B$4:$C$1000,2,FALSE),"")</f>
        <v>Shadows of the Hist</v>
      </c>
      <c r="V212" s="4" t="s">
        <v>212</v>
      </c>
      <c r="W212" s="3" t="s">
        <v>891</v>
      </c>
      <c r="X212" s="3" t="s">
        <v>892</v>
      </c>
      <c r="Y212" s="5"/>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zones'!$A$5:$D$10003,4,FALSE),"")</f>
        <v>Shadowfen</v>
      </c>
      <c r="AC212" s="3" t="str">
        <f>IF(AB212&lt;&gt;"",IF(AB212&lt;&gt;"LIBSETS_DROP_MECHANIC_MONSTER_NAME",VLOOKUP(AB212,ConstDropMechs!$B$4:$C$1001,2,FALSE),""),"")</f>
        <v/>
      </c>
      <c r="AD212" s="3" t="str">
        <f>IF(AB212&lt;&gt;"",IF(AB212&lt;&gt;"LIBSETS_DROP_MECHANIC_MONSTER_NAME",VLOOKUP(AB212,ConstDropMechs!$B$4:$D$1001,3,FALSE),""),"")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zones'!$A$5:$D$10003,4,FALSE),"")</f>
        <v>Shadowfen</v>
      </c>
      <c r="AI212"/>
      <c r="AJ212"/>
      <c r="AK212" s="3" t="str">
        <f>IF(AND(G212&lt;&gt;"LIBSETS_SETTYPE_BATTLEGROUND",G212&lt;&gt;"LIBSETS_SETTYPE_SPECIAL"),IF(AL212&lt;&gt;"",VLOOKUP(AL212,'ESO zones'!$D$5:$H$4957,5,FALSE),""),"")</f>
        <v/>
      </c>
      <c r="AN212"/>
      <c r="AO212"/>
      <c r="AP212" s="3" t="str">
        <f>IF(AND(G212&lt;&gt;"LIBSETS_SETTYPE_BATTLEGROUND",G212&lt;&gt;"LIBSETS_SETTYPE_SPECIAL"),IF(AQ212&lt;&gt;"",VLOOKUP(AQ212,'ESO zones'!$D$5:$H$4957,5,FALSE),""),"")</f>
        <v/>
      </c>
      <c r="AS212"/>
      <c r="AT212"/>
      <c r="AU212" s="3" t="str">
        <f>IF(AND(G212&lt;&gt;"LIBSETS_SETTYPE_BATTLEGROUND",G212&lt;&gt;"LIBSETS_SETTYPE_SPECIAL"),IF(AV212&lt;&gt;"",VLOOKUP(AV212,'ESO zones'!$D$5:$H$4957,5,FALSE),""),"")</f>
        <v/>
      </c>
      <c r="AX212"/>
      <c r="AY212"/>
      <c r="AZ212" s="49" t="s">
        <v>403</v>
      </c>
      <c r="BA212" s="49"/>
      <c r="BB212" s="49"/>
      <c r="BC212" s="49"/>
      <c r="BD212" s="49"/>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1">
        <v>257</v>
      </c>
      <c r="B213" t="s">
        <v>893</v>
      </c>
      <c r="C213" t="s">
        <v>893</v>
      </c>
      <c r="D213" s="3">
        <f t="shared" si="18"/>
        <v>257</v>
      </c>
      <c r="G213" s="9" t="s">
        <v>172</v>
      </c>
      <c r="H213">
        <v>3</v>
      </c>
      <c r="I213" t="s">
        <v>712</v>
      </c>
      <c r="J213" t="s">
        <v>401</v>
      </c>
      <c r="K213">
        <v>261</v>
      </c>
      <c r="L213">
        <v>261</v>
      </c>
      <c r="M213">
        <v>261</v>
      </c>
      <c r="O213" s="5" t="s">
        <v>894</v>
      </c>
      <c r="Q213" s="3">
        <f>IF(AND(P213&lt;&gt;"",ISNUMBER(P213),NOT(ISNA(P213))),P213,IF(R213&lt;&gt;"",VLOOKUP(R213,'ESO zones'!$D$5:$H$10005,5,FALSE),""))</f>
        <v>848</v>
      </c>
      <c r="R213" t="str">
        <f>IF(AND(O213&lt;&gt;"",NOT(ISERROR(O213))),O213,IF(AND(P213&lt;&gt;"",ISNUMBER(P213),P213&gt;0,NOT(ISNA(P213))),VLOOKUP(P213,'ESO zones'!$A$5:$D$10003,4,FALSE),IF(AND(K213&lt;&gt;"",K213&gt;0,NOT(ISERROR(K213))),VLOOKUP(K213,'ESO wayshrines'!$K$3:$N$9972,4,FALSE),"")))</f>
        <v>Cradle of Shadows</v>
      </c>
      <c r="T213" s="16" t="str">
        <f>IF(AND(S213&lt;&gt;"",NOT(ISERROR(S213))),S213,VLOOKUP(A213,'ESO Set&amp;DLCs'!$A$3:$D$99998,4,FALSE))</f>
        <v>DLC_SHADOWS_OF_THE_HIST</v>
      </c>
      <c r="U213" s="3" t="str">
        <f>IF(T213&lt;&gt;"",VLOOKUP(T213,ConstDLCIds!$B$4:$C$1000,2,FALSE),"")</f>
        <v>Shadows of the Hist</v>
      </c>
      <c r="V213" s="4" t="s">
        <v>212</v>
      </c>
      <c r="W213" s="3" t="s">
        <v>893</v>
      </c>
      <c r="X213" s="3" t="s">
        <v>893</v>
      </c>
      <c r="Y213" s="5"/>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zones'!$A$5:$D$10003,4,FALSE),"")</f>
        <v>Shadowfen</v>
      </c>
      <c r="AC213" s="3" t="str">
        <f>IF(AB213&lt;&gt;"",IF(AB213&lt;&gt;"LIBSETS_DROP_MECHANIC_MONSTER_NAME",VLOOKUP(AB213,ConstDropMechs!$B$4:$C$1001,2,FALSE),""),"")</f>
        <v/>
      </c>
      <c r="AD213" s="3" t="str">
        <f>IF(AB213&lt;&gt;"",IF(AB213&lt;&gt;"LIBSETS_DROP_MECHANIC_MONSTER_NAME",VLOOKUP(AB213,ConstDropMechs!$B$4:$D$1001,3,FALSE),""),"")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zones'!$A$5:$D$10003,4,FALSE),"")</f>
        <v>Shadowfen</v>
      </c>
      <c r="AI213"/>
      <c r="AJ213"/>
      <c r="AK213" s="3" t="str">
        <f>IF(AND(G213&lt;&gt;"LIBSETS_SETTYPE_BATTLEGROUND",G213&lt;&gt;"LIBSETS_SETTYPE_SPECIAL"),IF(AL213&lt;&gt;"",VLOOKUP(AL213,'ESO zones'!$D$5:$H$4957,5,FALSE),""),"")</f>
        <v/>
      </c>
      <c r="AN213"/>
      <c r="AO213"/>
      <c r="AP213" s="3" t="str">
        <f>IF(AND(G213&lt;&gt;"LIBSETS_SETTYPE_BATTLEGROUND",G213&lt;&gt;"LIBSETS_SETTYPE_SPECIAL"),IF(AQ213&lt;&gt;"",VLOOKUP(AQ213,'ESO zones'!$D$5:$H$4957,5,FALSE),""),"")</f>
        <v/>
      </c>
      <c r="AS213"/>
      <c r="AT213"/>
      <c r="AU213" s="3" t="str">
        <f>IF(AND(G213&lt;&gt;"LIBSETS_SETTYPE_BATTLEGROUND",G213&lt;&gt;"LIBSETS_SETTYPE_SPECIAL"),IF(AV213&lt;&gt;"",VLOOKUP(AV213,'ESO zones'!$D$5:$H$4957,5,FALSE),""),"")</f>
        <v/>
      </c>
      <c r="AX213"/>
      <c r="AY213"/>
      <c r="AZ213" s="49" t="s">
        <v>403</v>
      </c>
      <c r="BA213" s="49"/>
      <c r="BB213" s="49"/>
      <c r="BC213" s="49"/>
      <c r="BD213" s="49"/>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2">
        <v>258</v>
      </c>
      <c r="B214" t="s">
        <v>895</v>
      </c>
      <c r="C214" t="s">
        <v>896</v>
      </c>
      <c r="D214" s="3">
        <f t="shared" si="18"/>
        <v>258</v>
      </c>
      <c r="G214" s="9" t="s">
        <v>169</v>
      </c>
      <c r="I214" t="s">
        <v>401</v>
      </c>
      <c r="J214" t="s">
        <v>401</v>
      </c>
      <c r="K214">
        <v>260</v>
      </c>
      <c r="L214">
        <v>260</v>
      </c>
      <c r="M214">
        <v>260</v>
      </c>
      <c r="O214" s="5" t="s">
        <v>890</v>
      </c>
      <c r="Q214" s="3">
        <f>IF(AND(P214&lt;&gt;"",ISNUMBER(P214),NOT(ISNA(P214))),P214,IF(R214&lt;&gt;"",VLOOKUP(R214,'ESO zones'!$D$5:$H$10005,5,FALSE),""))</f>
        <v>843</v>
      </c>
      <c r="R214" t="str">
        <f>IF(AND(O214&lt;&gt;"",NOT(ISERROR(O214))),O214,IF(AND(P214&lt;&gt;"",ISNUMBER(P214),P214&gt;0,NOT(ISNA(P214))),VLOOKUP(P214,'ESO zones'!$A$5:$D$10003,4,FALSE),IF(AND(K214&lt;&gt;"",K214&gt;0,NOT(ISERROR(K214))),VLOOKUP(K214,'ESO wayshrines'!$K$3:$N$9972,4,FALSE),"")))</f>
        <v>Ruins of Mazzatun</v>
      </c>
      <c r="T214" s="16" t="str">
        <f>IF(AND(S214&lt;&gt;"",NOT(ISERROR(S214))),S214,VLOOKUP(A214,'ESO Set&amp;DLCs'!$A$3:$D$99998,4,FALSE))</f>
        <v>DLC_SHADOWS_OF_THE_HIST</v>
      </c>
      <c r="U214" s="3" t="str">
        <f>IF(T214&lt;&gt;"",VLOOKUP(T214,ConstDLCIds!$B$4:$C$1000,2,FALSE),"")</f>
        <v>Shadows of the Hist</v>
      </c>
      <c r="V214" s="4" t="s">
        <v>278</v>
      </c>
      <c r="Y214" s="5"/>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zones'!$A$5:$D$10003,4,FALSE),"")</f>
        <v>Shadowfen</v>
      </c>
      <c r="AE214" s="30"/>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zones'!$A$5:$D$10003,4,FALSE),"")</f>
        <v>Shadowfen</v>
      </c>
      <c r="AI214" s="30"/>
      <c r="AJ214" s="30"/>
      <c r="AK214" s="3" t="str">
        <f>IF(AND(G214&lt;&gt;"LIBSETS_SETTYPE_BATTLEGROUND",G214&lt;&gt;"LIBSETS_SETTYPE_SPECIAL"),IF(AL214&lt;&gt;"",VLOOKUP(AL214,'ESO zones'!$D$5:$H$4957,5,FALSE),""),"")</f>
        <v/>
      </c>
      <c r="AN214" s="30"/>
      <c r="AO214" s="30"/>
      <c r="AP214" s="3" t="str">
        <f>IF(AND(G214&lt;&gt;"LIBSETS_SETTYPE_BATTLEGROUND",G214&lt;&gt;"LIBSETS_SETTYPE_SPECIAL"),IF(AQ214&lt;&gt;"",VLOOKUP(AQ214,'ESO zones'!$D$5:$H$4957,5,FALSE),""),"")</f>
        <v/>
      </c>
      <c r="AS214" s="30"/>
      <c r="AT214" s="30"/>
      <c r="AU214" s="3" t="str">
        <f>IF(AND(G214&lt;&gt;"LIBSETS_SETTYPE_BATTLEGROUND",G214&lt;&gt;"LIBSETS_SETTYPE_SPECIAL"),IF(AV214&lt;&gt;"",VLOOKUP(AV214,'ESO zones'!$D$5:$H$4957,5,FALSE),""),"")</f>
        <v/>
      </c>
      <c r="AX214" s="30"/>
      <c r="AY214" s="30"/>
      <c r="AZ214" s="49" t="s">
        <v>410</v>
      </c>
      <c r="BA214" s="49"/>
      <c r="BB214" s="49"/>
      <c r="BC214" s="49"/>
      <c r="BD214" s="49"/>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2">
        <v>259</v>
      </c>
      <c r="B215" t="s">
        <v>897</v>
      </c>
      <c r="C215" t="s">
        <v>898</v>
      </c>
      <c r="D215" s="3">
        <f t="shared" si="18"/>
        <v>259</v>
      </c>
      <c r="G215" s="9" t="s">
        <v>169</v>
      </c>
      <c r="I215" t="s">
        <v>401</v>
      </c>
      <c r="J215" t="s">
        <v>401</v>
      </c>
      <c r="K215">
        <v>260</v>
      </c>
      <c r="L215">
        <v>260</v>
      </c>
      <c r="M215">
        <v>260</v>
      </c>
      <c r="O215" s="5" t="s">
        <v>890</v>
      </c>
      <c r="Q215" s="3">
        <f>IF(AND(P215&lt;&gt;"",ISNUMBER(P215),NOT(ISNA(P215))),P215,IF(R215&lt;&gt;"",VLOOKUP(R215,'ESO zones'!$D$5:$H$10005,5,FALSE),""))</f>
        <v>843</v>
      </c>
      <c r="R215" t="str">
        <f>IF(AND(O215&lt;&gt;"",NOT(ISERROR(O215))),O215,IF(AND(P215&lt;&gt;"",ISNUMBER(P215),P215&gt;0,NOT(ISNA(P215))),VLOOKUP(P215,'ESO zones'!$A$5:$D$10003,4,FALSE),IF(AND(K215&lt;&gt;"",K215&gt;0,NOT(ISERROR(K215))),VLOOKUP(K215,'ESO wayshrines'!$K$3:$N$9972,4,FALSE),"")))</f>
        <v>Ruins of Mazzatun</v>
      </c>
      <c r="T215" s="16" t="str">
        <f>IF(AND(S215&lt;&gt;"",NOT(ISERROR(S215))),S215,VLOOKUP(A215,'ESO Set&amp;DLCs'!$A$3:$D$99998,4,FALSE))</f>
        <v>DLC_SHADOWS_OF_THE_HIST</v>
      </c>
      <c r="U215" s="3" t="str">
        <f>IF(T215&lt;&gt;"",VLOOKUP(T215,ConstDLCIds!$B$4:$C$1000,2,FALSE),"")</f>
        <v>Shadows of the Hist</v>
      </c>
      <c r="V215" s="4" t="s">
        <v>278</v>
      </c>
      <c r="Y215" s="5"/>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zones'!$A$5:$D$10003,4,FALSE),"")</f>
        <v>Shadowfen</v>
      </c>
      <c r="AE215" s="30"/>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zones'!$A$5:$D$10003,4,FALSE),"")</f>
        <v>Shadowfen</v>
      </c>
      <c r="AI215" s="30"/>
      <c r="AJ215" s="30"/>
      <c r="AK215" s="3" t="str">
        <f>IF(AND(G215&lt;&gt;"LIBSETS_SETTYPE_BATTLEGROUND",G215&lt;&gt;"LIBSETS_SETTYPE_SPECIAL"),IF(AL215&lt;&gt;"",VLOOKUP(AL215,'ESO zones'!$D$5:$H$4957,5,FALSE),""),"")</f>
        <v/>
      </c>
      <c r="AN215" s="30"/>
      <c r="AO215" s="30"/>
      <c r="AP215" s="3" t="str">
        <f>IF(AND(G215&lt;&gt;"LIBSETS_SETTYPE_BATTLEGROUND",G215&lt;&gt;"LIBSETS_SETTYPE_SPECIAL"),IF(AQ215&lt;&gt;"",VLOOKUP(AQ215,'ESO zones'!$D$5:$H$4957,5,FALSE),""),"")</f>
        <v/>
      </c>
      <c r="AS215" s="30"/>
      <c r="AT215" s="30"/>
      <c r="AU215" s="3" t="str">
        <f>IF(AND(G215&lt;&gt;"LIBSETS_SETTYPE_BATTLEGROUND",G215&lt;&gt;"LIBSETS_SETTYPE_SPECIAL"),IF(AV215&lt;&gt;"",VLOOKUP(AV215,'ESO zones'!$D$5:$H$4957,5,FALSE),""),"")</f>
        <v/>
      </c>
      <c r="AX215" s="30"/>
      <c r="AY215" s="30"/>
      <c r="AZ215" s="49" t="s">
        <v>403</v>
      </c>
      <c r="BA215" s="49"/>
      <c r="BB215" s="49"/>
      <c r="BC215" s="49"/>
      <c r="BD215" s="49"/>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2">
        <v>260</v>
      </c>
      <c r="B216" t="s">
        <v>899</v>
      </c>
      <c r="C216" t="s">
        <v>900</v>
      </c>
      <c r="D216" s="3">
        <f t="shared" si="18"/>
        <v>260</v>
      </c>
      <c r="G216" s="9" t="s">
        <v>169</v>
      </c>
      <c r="I216" t="s">
        <v>401</v>
      </c>
      <c r="J216" t="s">
        <v>401</v>
      </c>
      <c r="K216">
        <v>260</v>
      </c>
      <c r="L216">
        <v>260</v>
      </c>
      <c r="M216">
        <v>260</v>
      </c>
      <c r="O216" s="5" t="s">
        <v>890</v>
      </c>
      <c r="Q216" s="3">
        <f>IF(AND(P216&lt;&gt;"",ISNUMBER(P216),NOT(ISNA(P216))),P216,IF(R216&lt;&gt;"",VLOOKUP(R216,'ESO zones'!$D$5:$H$10005,5,FALSE),""))</f>
        <v>843</v>
      </c>
      <c r="R216" t="str">
        <f>IF(AND(O216&lt;&gt;"",NOT(ISERROR(O216))),O216,IF(AND(P216&lt;&gt;"",ISNUMBER(P216),P216&gt;0,NOT(ISNA(P216))),VLOOKUP(P216,'ESO zones'!$A$5:$D$10003,4,FALSE),IF(AND(K216&lt;&gt;"",K216&gt;0,NOT(ISERROR(K216))),VLOOKUP(K216,'ESO wayshrines'!$K$3:$N$9972,4,FALSE),"")))</f>
        <v>Ruins of Mazzatun</v>
      </c>
      <c r="T216" s="16" t="str">
        <f>IF(AND(S216&lt;&gt;"",NOT(ISERROR(S216))),S216,VLOOKUP(A216,'ESO Set&amp;DLCs'!$A$3:$D$99998,4,FALSE))</f>
        <v>DLC_SHADOWS_OF_THE_HIST</v>
      </c>
      <c r="U216" s="3" t="str">
        <f>IF(T216&lt;&gt;"",VLOOKUP(T216,ConstDLCIds!$B$4:$C$1000,2,FALSE),"")</f>
        <v>Shadows of the Hist</v>
      </c>
      <c r="V216" s="4" t="s">
        <v>278</v>
      </c>
      <c r="Y216" s="5"/>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zones'!$A$5:$D$10003,4,FALSE),"")</f>
        <v>Shadowfen</v>
      </c>
      <c r="AE216" s="30"/>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zones'!$A$5:$D$10003,4,FALSE),"")</f>
        <v>Shadowfen</v>
      </c>
      <c r="AI216" s="30"/>
      <c r="AJ216" s="30"/>
      <c r="AK216" s="3" t="str">
        <f>IF(AND(G216&lt;&gt;"LIBSETS_SETTYPE_BATTLEGROUND",G216&lt;&gt;"LIBSETS_SETTYPE_SPECIAL"),IF(AL216&lt;&gt;"",VLOOKUP(AL216,'ESO zones'!$D$5:$H$4957,5,FALSE),""),"")</f>
        <v/>
      </c>
      <c r="AN216" s="30"/>
      <c r="AO216" s="30"/>
      <c r="AP216" s="3" t="str">
        <f>IF(AND(G216&lt;&gt;"LIBSETS_SETTYPE_BATTLEGROUND",G216&lt;&gt;"LIBSETS_SETTYPE_SPECIAL"),IF(AQ216&lt;&gt;"",VLOOKUP(AQ216,'ESO zones'!$D$5:$H$4957,5,FALSE),""),"")</f>
        <v/>
      </c>
      <c r="AS216" s="30"/>
      <c r="AT216" s="30"/>
      <c r="AU216" s="3" t="str">
        <f>IF(AND(G216&lt;&gt;"LIBSETS_SETTYPE_BATTLEGROUND",G216&lt;&gt;"LIBSETS_SETTYPE_SPECIAL"),IF(AV216&lt;&gt;"",VLOOKUP(AV216,'ESO zones'!$D$5:$H$4957,5,FALSE),""),"")</f>
        <v/>
      </c>
      <c r="AX216" s="30"/>
      <c r="AY216" s="30"/>
      <c r="AZ216" s="49" t="s">
        <v>403</v>
      </c>
      <c r="BA216" s="49"/>
      <c r="BB216" s="49"/>
      <c r="BC216" s="49"/>
      <c r="BD216" s="49"/>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2">
        <v>261</v>
      </c>
      <c r="B217" t="s">
        <v>901</v>
      </c>
      <c r="C217" t="s">
        <v>902</v>
      </c>
      <c r="D217" s="3">
        <f t="shared" si="18"/>
        <v>261</v>
      </c>
      <c r="G217" s="9" t="s">
        <v>169</v>
      </c>
      <c r="I217" t="s">
        <v>401</v>
      </c>
      <c r="J217" t="s">
        <v>401</v>
      </c>
      <c r="K217">
        <v>261</v>
      </c>
      <c r="L217">
        <v>261</v>
      </c>
      <c r="M217">
        <v>261</v>
      </c>
      <c r="O217" s="5" t="s">
        <v>894</v>
      </c>
      <c r="Q217" s="3">
        <f>IF(AND(P217&lt;&gt;"",ISNUMBER(P217),NOT(ISNA(P217))),P217,IF(R217&lt;&gt;"",VLOOKUP(R217,'ESO zones'!$D$5:$H$10005,5,FALSE),""))</f>
        <v>848</v>
      </c>
      <c r="R217" t="str">
        <f>IF(AND(O217&lt;&gt;"",NOT(ISERROR(O217))),O217,IF(AND(P217&lt;&gt;"",ISNUMBER(P217),P217&gt;0,NOT(ISNA(P217))),VLOOKUP(P217,'ESO zones'!$A$5:$D$10003,4,FALSE),IF(AND(K217&lt;&gt;"",K217&gt;0,NOT(ISERROR(K217))),VLOOKUP(K217,'ESO wayshrines'!$K$3:$N$9972,4,FALSE),"")))</f>
        <v>Cradle of Shadows</v>
      </c>
      <c r="T217" s="16" t="str">
        <f>IF(AND(S217&lt;&gt;"",NOT(ISERROR(S217))),S217,VLOOKUP(A217,'ESO Set&amp;DLCs'!$A$3:$D$99998,4,FALSE))</f>
        <v>DLC_SHADOWS_OF_THE_HIST</v>
      </c>
      <c r="U217" s="3" t="str">
        <f>IF(T217&lt;&gt;"",VLOOKUP(T217,ConstDLCIds!$B$4:$C$1000,2,FALSE),"")</f>
        <v>Shadows of the Hist</v>
      </c>
      <c r="V217" s="4" t="s">
        <v>278</v>
      </c>
      <c r="Y217" s="5"/>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zones'!$A$5:$D$10003,4,FALSE),"")</f>
        <v>Shadowfen</v>
      </c>
      <c r="AE217" s="30"/>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zones'!$A$5:$D$10003,4,FALSE),"")</f>
        <v>Shadowfen</v>
      </c>
      <c r="AI217" s="30"/>
      <c r="AJ217" s="30"/>
      <c r="AK217" s="3" t="str">
        <f>IF(AND(G217&lt;&gt;"LIBSETS_SETTYPE_BATTLEGROUND",G217&lt;&gt;"LIBSETS_SETTYPE_SPECIAL"),IF(AL217&lt;&gt;"",VLOOKUP(AL217,'ESO zones'!$D$5:$H$4957,5,FALSE),""),"")</f>
        <v/>
      </c>
      <c r="AN217" s="30"/>
      <c r="AO217" s="30"/>
      <c r="AP217" s="3" t="str">
        <f>IF(AND(G217&lt;&gt;"LIBSETS_SETTYPE_BATTLEGROUND",G217&lt;&gt;"LIBSETS_SETTYPE_SPECIAL"),IF(AQ217&lt;&gt;"",VLOOKUP(AQ217,'ESO zones'!$D$5:$H$4957,5,FALSE),""),"")</f>
        <v/>
      </c>
      <c r="AS217" s="30"/>
      <c r="AT217" s="30"/>
      <c r="AU217" s="3" t="str">
        <f>IF(AND(G217&lt;&gt;"LIBSETS_SETTYPE_BATTLEGROUND",G217&lt;&gt;"LIBSETS_SETTYPE_SPECIAL"),IF(AV217&lt;&gt;"",VLOOKUP(AV217,'ESO zones'!$D$5:$H$4957,5,FALSE),""),"")</f>
        <v/>
      </c>
      <c r="AX217" s="30"/>
      <c r="AY217" s="30"/>
      <c r="AZ217" s="49" t="s">
        <v>403</v>
      </c>
      <c r="BA217" s="49"/>
      <c r="BB217" s="49"/>
      <c r="BC217" s="49"/>
      <c r="BD217" s="49"/>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2">
        <v>262</v>
      </c>
      <c r="B218" t="s">
        <v>903</v>
      </c>
      <c r="C218" t="s">
        <v>904</v>
      </c>
      <c r="D218" s="3">
        <f t="shared" si="18"/>
        <v>262</v>
      </c>
      <c r="G218" s="9" t="s">
        <v>169</v>
      </c>
      <c r="I218" t="s">
        <v>401</v>
      </c>
      <c r="J218" t="s">
        <v>401</v>
      </c>
      <c r="K218">
        <v>261</v>
      </c>
      <c r="L218">
        <v>261</v>
      </c>
      <c r="M218">
        <v>261</v>
      </c>
      <c r="O218" s="5" t="s">
        <v>894</v>
      </c>
      <c r="Q218" s="3">
        <f>IF(AND(P218&lt;&gt;"",ISNUMBER(P218),NOT(ISNA(P218))),P218,IF(R218&lt;&gt;"",VLOOKUP(R218,'ESO zones'!$D$5:$H$10005,5,FALSE),""))</f>
        <v>848</v>
      </c>
      <c r="R218" t="str">
        <f>IF(AND(O218&lt;&gt;"",NOT(ISERROR(O218))),O218,IF(AND(P218&lt;&gt;"",ISNUMBER(P218),P218&gt;0,NOT(ISNA(P218))),VLOOKUP(P218,'ESO zones'!$A$5:$D$10003,4,FALSE),IF(AND(K218&lt;&gt;"",K218&gt;0,NOT(ISERROR(K218))),VLOOKUP(K218,'ESO wayshrines'!$K$3:$N$9972,4,FALSE),"")))</f>
        <v>Cradle of Shadows</v>
      </c>
      <c r="T218" s="16" t="str">
        <f>IF(AND(S218&lt;&gt;"",NOT(ISERROR(S218))),S218,VLOOKUP(A218,'ESO Set&amp;DLCs'!$A$3:$D$99998,4,FALSE))</f>
        <v>DLC_SHADOWS_OF_THE_HIST</v>
      </c>
      <c r="U218" s="3" t="str">
        <f>IF(T218&lt;&gt;"",VLOOKUP(T218,ConstDLCIds!$B$4:$C$1000,2,FALSE),"")</f>
        <v>Shadows of the Hist</v>
      </c>
      <c r="V218" s="4" t="s">
        <v>278</v>
      </c>
      <c r="Y218" s="5"/>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zones'!$A$5:$D$10003,4,FALSE),"")</f>
        <v>Shadowfen</v>
      </c>
      <c r="AE218" s="30"/>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zones'!$A$5:$D$10003,4,FALSE),"")</f>
        <v>Shadowfen</v>
      </c>
      <c r="AI218" s="30"/>
      <c r="AJ218" s="30"/>
      <c r="AK218" s="3" t="str">
        <f>IF(AND(G218&lt;&gt;"LIBSETS_SETTYPE_BATTLEGROUND",G218&lt;&gt;"LIBSETS_SETTYPE_SPECIAL"),IF(AL218&lt;&gt;"",VLOOKUP(AL218,'ESO zones'!$D$5:$H$4957,5,FALSE),""),"")</f>
        <v/>
      </c>
      <c r="AN218" s="30"/>
      <c r="AO218" s="30"/>
      <c r="AP218" s="3" t="str">
        <f>IF(AND(G218&lt;&gt;"LIBSETS_SETTYPE_BATTLEGROUND",G218&lt;&gt;"LIBSETS_SETTYPE_SPECIAL"),IF(AQ218&lt;&gt;"",VLOOKUP(AQ218,'ESO zones'!$D$5:$H$4957,5,FALSE),""),"")</f>
        <v/>
      </c>
      <c r="AS218" s="30"/>
      <c r="AT218" s="30"/>
      <c r="AU218" s="3" t="str">
        <f>IF(AND(G218&lt;&gt;"LIBSETS_SETTYPE_BATTLEGROUND",G218&lt;&gt;"LIBSETS_SETTYPE_SPECIAL"),IF(AV218&lt;&gt;"",VLOOKUP(AV218,'ESO zones'!$D$5:$H$4957,5,FALSE),""),"")</f>
        <v/>
      </c>
      <c r="AX218" s="30"/>
      <c r="AY218" s="30"/>
      <c r="AZ218" s="49" t="s">
        <v>403</v>
      </c>
      <c r="BA218" s="49"/>
      <c r="BB218" s="49"/>
      <c r="BC218" s="49"/>
      <c r="BD218" s="49"/>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4" customFormat="1" x14ac:dyDescent="0.25">
      <c r="A219" s="12">
        <v>263</v>
      </c>
      <c r="B219" t="s">
        <v>905</v>
      </c>
      <c r="C219" t="s">
        <v>906</v>
      </c>
      <c r="D219" s="3">
        <f t="shared" si="18"/>
        <v>263</v>
      </c>
      <c r="E219"/>
      <c r="F219"/>
      <c r="G219" s="9" t="s">
        <v>169</v>
      </c>
      <c r="H219"/>
      <c r="I219" t="s">
        <v>401</v>
      </c>
      <c r="J219" t="s">
        <v>401</v>
      </c>
      <c r="K219">
        <v>261</v>
      </c>
      <c r="L219">
        <v>261</v>
      </c>
      <c r="M219">
        <v>261</v>
      </c>
      <c r="N219"/>
      <c r="O219" s="5" t="s">
        <v>894</v>
      </c>
      <c r="P219" s="5"/>
      <c r="Q219" s="3">
        <f>IF(AND(P219&lt;&gt;"",ISNUMBER(P219),NOT(ISNA(P219))),P219,IF(R219&lt;&gt;"",VLOOKUP(R219,'ESO zones'!$D$5:$H$10005,5,FALSE),""))</f>
        <v>848</v>
      </c>
      <c r="R219" t="str">
        <f>IF(AND(O219&lt;&gt;"",NOT(ISERROR(O219))),O219,IF(AND(P219&lt;&gt;"",ISNUMBER(P219),P219&gt;0,NOT(ISNA(P219))),VLOOKUP(P219,'ESO zones'!$A$5:$D$10003,4,FALSE),IF(AND(K219&lt;&gt;"",K219&gt;0,NOT(ISERROR(K219))),VLOOKUP(K219,'ESO wayshrines'!$K$3:$N$9972,4,FALSE),"")))</f>
        <v>Cradle of Shadows</v>
      </c>
      <c r="S219" s="5"/>
      <c r="T219" s="16" t="str">
        <f>IF(AND(S219&lt;&gt;"",NOT(ISERROR(S219))),S219,VLOOKUP(A219,'ESO Set&amp;DLCs'!$A$3:$D$99998,4,FALSE))</f>
        <v>DLC_SHADOWS_OF_THE_HIST</v>
      </c>
      <c r="U219" s="3" t="str">
        <f>IF(T219&lt;&gt;"",VLOOKUP(T219,ConstDLCIds!$B$4:$C$1000,2,FALSE),"")</f>
        <v>Shadows of the Hist</v>
      </c>
      <c r="V219" s="4" t="s">
        <v>278</v>
      </c>
      <c r="W219" s="3"/>
      <c r="X219" s="3"/>
      <c r="Y219" s="5"/>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zones'!$A$5:$D$10003,4,FALSE),"")</f>
        <v>Shadowfen</v>
      </c>
      <c r="AB219" s="4"/>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zones'!$A$5:$D$10003,4,FALSE),"")</f>
        <v>Shadowfen</v>
      </c>
      <c r="AH219" s="4"/>
      <c r="AI219" s="3"/>
      <c r="AJ219" s="3"/>
      <c r="AK219" s="3" t="str">
        <f>IF(AND(G219&lt;&gt;"LIBSETS_SETTYPE_BATTLEGROUND",G219&lt;&gt;"LIBSETS_SETTYPE_SPECIAL"),IF(AL219&lt;&gt;"",VLOOKUP(AL219,'ESO zones'!$D$5:$H$4957,5,FALSE),""),"")</f>
        <v/>
      </c>
      <c r="AL219"/>
      <c r="AM219" s="4"/>
      <c r="AN219" s="3"/>
      <c r="AO219" s="3"/>
      <c r="AP219" s="3" t="str">
        <f>IF(AND(G219&lt;&gt;"LIBSETS_SETTYPE_BATTLEGROUND",G219&lt;&gt;"LIBSETS_SETTYPE_SPECIAL"),IF(AQ219&lt;&gt;"",VLOOKUP(AQ219,'ESO zones'!$D$5:$H$4957,5,FALSE),""),"")</f>
        <v/>
      </c>
      <c r="AQ219"/>
      <c r="AR219" s="4"/>
      <c r="AS219" s="3"/>
      <c r="AT219" s="3"/>
      <c r="AU219" s="3" t="str">
        <f>IF(AND(G219&lt;&gt;"LIBSETS_SETTYPE_BATTLEGROUND",G219&lt;&gt;"LIBSETS_SETTYPE_SPECIAL"),IF(AV219&lt;&gt;"",VLOOKUP(AV219,'ESO zones'!$D$5:$H$4957,5,FALSE),""),"")</f>
        <v/>
      </c>
      <c r="AV219"/>
      <c r="AW219" s="4"/>
      <c r="AX219" s="3"/>
      <c r="AY219" s="3"/>
      <c r="AZ219" s="49" t="s">
        <v>403</v>
      </c>
      <c r="BA219" s="49"/>
      <c r="BB219" s="49"/>
      <c r="BC219" s="49"/>
      <c r="BD219" s="49"/>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4" customFormat="1" x14ac:dyDescent="0.25">
      <c r="A220" s="15">
        <v>264</v>
      </c>
      <c r="B220" s="14" t="s">
        <v>907</v>
      </c>
      <c r="C220" t="s">
        <v>908</v>
      </c>
      <c r="D220" s="22">
        <f t="shared" si="18"/>
        <v>264</v>
      </c>
      <c r="E220" s="14" t="s">
        <v>909</v>
      </c>
      <c r="F220" s="14" t="s">
        <v>813</v>
      </c>
      <c r="G220" s="23" t="s">
        <v>172</v>
      </c>
      <c r="I220" s="14" t="s">
        <v>712</v>
      </c>
      <c r="J220" s="14" t="s">
        <v>401</v>
      </c>
      <c r="K220" s="14">
        <v>-1</v>
      </c>
      <c r="L220" s="14">
        <v>-1</v>
      </c>
      <c r="M220" s="14">
        <v>-1</v>
      </c>
      <c r="O220" s="5"/>
      <c r="P220" s="5"/>
      <c r="Q220" s="3" t="str">
        <f>IF(AND(P220&lt;&gt;"",ISNUMBER(P220),NOT(ISNA(P220))),P220,IF(R220&lt;&gt;"",VLOOKUP(R220,'ESO zones'!$D$5:$H$10005,5,FALSE),""))</f>
        <v/>
      </c>
      <c r="R220" t="str">
        <f>IF(AND(O220&lt;&gt;"",NOT(ISERROR(O220))),O220,IF(AND(P220&lt;&gt;"",ISNUMBER(P220),P220&gt;0,NOT(ISNA(P220))),VLOOKUP(P220,'ESO zones'!$A$5:$D$10003,4,FALSE),IF(AND(K220&lt;&gt;"",K220&gt;0,NOT(ISERROR(K220))),VLOOKUP(K220,'ESO wayshrines'!$K$3:$N$9972,4,FALSE),"")))</f>
        <v/>
      </c>
      <c r="S220" s="5"/>
      <c r="T220" s="16">
        <f>IF(AND(S220&lt;&gt;"",NOT(ISERROR(S220))),S220,VLOOKUP(A220,'ESO Set&amp;DLCs'!$A$3:$D$99998,4,FALSE))</f>
        <v>0</v>
      </c>
      <c r="U220" s="3" t="e">
        <f>IF(T220&lt;&gt;"",VLOOKUP(T220,ConstDLCIds!$B$4:$C$1000,2,FALSE),"")</f>
        <v>#N/A</v>
      </c>
      <c r="V220" s="4"/>
      <c r="W220" s="3"/>
      <c r="X220" s="3"/>
      <c r="Y220" s="5"/>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zones'!$A$5:$D$10003,4,FALSE),"")</f>
        <v/>
      </c>
      <c r="AB220" s="4"/>
      <c r="AC220" s="3" t="str">
        <f>IF(AB220&lt;&gt;"",IF(AB220&lt;&gt;"LIBSETS_DROP_MECHANIC_MONSTER_NAME",VLOOKUP(AB220,ConstDropMechs!$B$4:$C$1001,2,FALSE),""),"")</f>
        <v/>
      </c>
      <c r="AD220" s="3" t="str">
        <f>IF(AB220&lt;&gt;"",IF(AB220&lt;&gt;"LIBSETS_DROP_MECHANIC_MONSTER_NAME",VLOOKUP(AB220,ConstDropMechs!$B$4:$D$1001,3,FALSE),""),"")</f>
        <v/>
      </c>
      <c r="AE220" s="30"/>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zones'!$A$5:$D$10003,4,FALSE),"")</f>
        <v/>
      </c>
      <c r="AH220" s="4"/>
      <c r="AI220" s="30"/>
      <c r="AJ220" s="30"/>
      <c r="AK220" s="3" t="str">
        <f>IF(AND(G220&lt;&gt;"LIBSETS_SETTYPE_BATTLEGROUND",G220&lt;&gt;"LIBSETS_SETTYPE_SPECIAL"),IF(AL220&lt;&gt;"",VLOOKUP(AL220,'ESO zones'!$D$5:$H$4957,5,FALSE),""),"")</f>
        <v/>
      </c>
      <c r="AL220"/>
      <c r="AM220" s="4"/>
      <c r="AN220" s="30"/>
      <c r="AO220" s="30"/>
      <c r="AP220" s="3" t="str">
        <f>IF(AND(G220&lt;&gt;"LIBSETS_SETTYPE_BATTLEGROUND",G220&lt;&gt;"LIBSETS_SETTYPE_SPECIAL"),IF(AQ220&lt;&gt;"",VLOOKUP(AQ220,'ESO zones'!$D$5:$H$4957,5,FALSE),""),"")</f>
        <v/>
      </c>
      <c r="AR220" s="4"/>
      <c r="AS220" s="30"/>
      <c r="AT220" s="30"/>
      <c r="AU220" s="3" t="str">
        <f>IF(AND(G220&lt;&gt;"LIBSETS_SETTYPE_BATTLEGROUND",G220&lt;&gt;"LIBSETS_SETTYPE_SPECIAL"),IF(AV220&lt;&gt;"",VLOOKUP(AV220,'ESO zones'!$D$5:$H$4957,5,FALSE),""),"")</f>
        <v/>
      </c>
      <c r="AW220" s="4"/>
      <c r="AX220" s="30"/>
      <c r="AY220" s="30"/>
      <c r="AZ220" s="49" t="s">
        <v>403</v>
      </c>
      <c r="BA220" s="49"/>
      <c r="BB220" s="49"/>
      <c r="BC220" s="49"/>
      <c r="BD220" s="49"/>
      <c r="BE220" s="18" t="str">
        <f t="shared" si="19"/>
        <v/>
      </c>
      <c r="BF220" s="18" t="str">
        <f t="shared" si="20"/>
        <v/>
      </c>
      <c r="BG220" s="18" t="str">
        <f t="shared" si="21"/>
        <v/>
      </c>
      <c r="BH220" s="18" t="str">
        <f t="shared" si="22"/>
        <v/>
      </c>
      <c r="BI220" s="18" t="str">
        <f t="shared" si="23"/>
        <v/>
      </c>
    </row>
    <row r="221" spans="1:61" x14ac:dyDescent="0.25">
      <c r="A221" s="1">
        <v>265</v>
      </c>
      <c r="B221" t="s">
        <v>910</v>
      </c>
      <c r="C221" t="s">
        <v>911</v>
      </c>
      <c r="D221" s="3">
        <f t="shared" si="18"/>
        <v>265</v>
      </c>
      <c r="G221" s="9" t="s">
        <v>172</v>
      </c>
      <c r="H221">
        <v>2</v>
      </c>
      <c r="I221" t="s">
        <v>712</v>
      </c>
      <c r="J221" t="s">
        <v>401</v>
      </c>
      <c r="K221">
        <v>194</v>
      </c>
      <c r="L221">
        <v>194</v>
      </c>
      <c r="M221">
        <v>194</v>
      </c>
      <c r="O221" s="5" t="s">
        <v>611</v>
      </c>
      <c r="Q221" s="3">
        <f>IF(AND(P221&lt;&gt;"",ISNUMBER(P221),NOT(ISNA(P221))),P221,IF(R221&lt;&gt;"",VLOOKUP(R221,'ESO zones'!$D$5:$H$10005,5,FALSE),""))</f>
        <v>380</v>
      </c>
      <c r="R221" t="str">
        <f>IF(AND(O221&lt;&gt;"",NOT(ISERROR(O221))),O221,IF(AND(P221&lt;&gt;"",ISNUMBER(P221),P221&gt;0,NOT(ISNA(P221))),VLOOKUP(P221,'ESO zones'!$A$5:$D$10003,4,FALSE),IF(AND(K221&lt;&gt;"",K221&gt;0,NOT(ISERROR(K221))),VLOOKUP(K221,'ESO wayshrines'!$K$3:$N$9972,4,FALSE),"")))</f>
        <v>The Banished Cells I</v>
      </c>
      <c r="T221" s="16" t="str">
        <f>IF(AND(S221&lt;&gt;"",NOT(ISERROR(S221))),S221,VLOOKUP(A221,'ESO Set&amp;DLCs'!$A$3:$D$99998,4,FALSE))</f>
        <v>DLC_BASE_GAME</v>
      </c>
      <c r="U221" s="3" t="str">
        <f>IF(T221&lt;&gt;"",VLOOKUP(T221,ConstDLCIds!$B$4:$C$1000,2,FALSE),"")</f>
        <v>Included in base game</v>
      </c>
      <c r="V221" s="4" t="s">
        <v>212</v>
      </c>
      <c r="W221" s="3" t="s">
        <v>748</v>
      </c>
      <c r="X221" s="3" t="s">
        <v>749</v>
      </c>
      <c r="Y221" s="5"/>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zones'!$A$5:$D$10003,4,FALSE),"")</f>
        <v>Auridon</v>
      </c>
      <c r="AC221" s="3" t="str">
        <f>IF(AB221&lt;&gt;"",IF(AB221&lt;&gt;"LIBSETS_DROP_MECHANIC_MONSTER_NAME",VLOOKUP(AB221,ConstDropMechs!$B$4:$C$1001,2,FALSE),""),"")</f>
        <v/>
      </c>
      <c r="AD221" s="3" t="str">
        <f>IF(AB221&lt;&gt;"",IF(AB221&lt;&gt;"LIBSETS_DROP_MECHANIC_MONSTER_NAME",VLOOKUP(AB221,ConstDropMechs!$B$4:$D$1001,3,FALSE),""),"")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zones'!$A$5:$D$10003,4,FALSE),"")</f>
        <v>Auridon</v>
      </c>
      <c r="AI221"/>
      <c r="AJ221"/>
      <c r="AK221" s="3" t="str">
        <f>IF(AND(G221&lt;&gt;"LIBSETS_SETTYPE_BATTLEGROUND",G221&lt;&gt;"LIBSETS_SETTYPE_SPECIAL"),IF(AL221&lt;&gt;"",VLOOKUP(AL221,'ESO zones'!$D$5:$H$4957,5,FALSE),""),"")</f>
        <v/>
      </c>
      <c r="AN221"/>
      <c r="AO221"/>
      <c r="AP221" s="3" t="str">
        <f>IF(AND(G221&lt;&gt;"LIBSETS_SETTYPE_BATTLEGROUND",G221&lt;&gt;"LIBSETS_SETTYPE_SPECIAL"),IF(AQ221&lt;&gt;"",VLOOKUP(AQ221,'ESO zones'!$D$5:$H$4957,5,FALSE),""),"")</f>
        <v/>
      </c>
      <c r="AS221"/>
      <c r="AT221"/>
      <c r="AU221" s="3" t="str">
        <f>IF(AND(G221&lt;&gt;"LIBSETS_SETTYPE_BATTLEGROUND",G221&lt;&gt;"LIBSETS_SETTYPE_SPECIAL"),IF(AV221&lt;&gt;"",VLOOKUP(AV221,'ESO zones'!$D$5:$H$4957,5,FALSE),""),"")</f>
        <v/>
      </c>
      <c r="AX221"/>
      <c r="AY221"/>
      <c r="AZ221" s="49" t="s">
        <v>403</v>
      </c>
      <c r="BA221" s="49"/>
      <c r="BB221" s="49"/>
      <c r="BC221" s="49"/>
      <c r="BD221" s="49"/>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1">
        <v>266</v>
      </c>
      <c r="B222" t="s">
        <v>912</v>
      </c>
      <c r="C222" t="s">
        <v>913</v>
      </c>
      <c r="D222" s="3">
        <f t="shared" si="18"/>
        <v>266</v>
      </c>
      <c r="G222" s="9" t="s">
        <v>172</v>
      </c>
      <c r="H222">
        <v>2</v>
      </c>
      <c r="I222" t="s">
        <v>712</v>
      </c>
      <c r="J222" t="s">
        <v>401</v>
      </c>
      <c r="K222">
        <v>98</v>
      </c>
      <c r="L222">
        <v>98</v>
      </c>
      <c r="M222">
        <v>98</v>
      </c>
      <c r="O222" s="5" t="s">
        <v>445</v>
      </c>
      <c r="Q222" s="3">
        <f>IF(AND(P222&lt;&gt;"",ISNUMBER(P222),NOT(ISNA(P222))),P222,IF(R222&lt;&gt;"",VLOOKUP(R222,'ESO zones'!$D$5:$H$10005,5,FALSE),""))</f>
        <v>283</v>
      </c>
      <c r="R222" t="str">
        <f>IF(AND(O222&lt;&gt;"",NOT(ISERROR(O222))),O222,IF(AND(P222&lt;&gt;"",ISNUMBER(P222),P222&gt;0,NOT(ISNA(P222))),VLOOKUP(P222,'ESO zones'!$A$5:$D$10003,4,FALSE),IF(AND(K222&lt;&gt;"",K222&gt;0,NOT(ISERROR(K222))),VLOOKUP(K222,'ESO wayshrines'!$K$3:$N$9972,4,FALSE),"")))</f>
        <v>Fungal Grotto I</v>
      </c>
      <c r="T222" s="16" t="str">
        <f>IF(AND(S222&lt;&gt;"",NOT(ISERROR(S222))),S222,VLOOKUP(A222,'ESO Set&amp;DLCs'!$A$3:$D$99998,4,FALSE))</f>
        <v>DLC_BASE_GAME</v>
      </c>
      <c r="U222" s="3" t="str">
        <f>IF(T222&lt;&gt;"",VLOOKUP(T222,ConstDLCIds!$B$4:$C$1000,2,FALSE),"")</f>
        <v>Included in base game</v>
      </c>
      <c r="V222" s="4" t="s">
        <v>212</v>
      </c>
      <c r="W222" s="3" t="s">
        <v>914</v>
      </c>
      <c r="X222" s="3" t="s">
        <v>915</v>
      </c>
      <c r="Y222" s="5"/>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zones'!$A$5:$D$10003,4,FALSE),"")</f>
        <v>Stonefalls</v>
      </c>
      <c r="AC222" s="3" t="str">
        <f>IF(AB222&lt;&gt;"",IF(AB222&lt;&gt;"LIBSETS_DROP_MECHANIC_MONSTER_NAME",VLOOKUP(AB222,ConstDropMechs!$B$4:$C$1001,2,FALSE),""),"")</f>
        <v/>
      </c>
      <c r="AD222" s="3" t="str">
        <f>IF(AB222&lt;&gt;"",IF(AB222&lt;&gt;"LIBSETS_DROP_MECHANIC_MONSTER_NAME",VLOOKUP(AB222,ConstDropMechs!$B$4:$D$1001,3,FALSE),""),"")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zones'!$A$5:$D$10003,4,FALSE),"")</f>
        <v>Stonefalls</v>
      </c>
      <c r="AI222"/>
      <c r="AJ222"/>
      <c r="AK222" s="3" t="str">
        <f>IF(AND(G222&lt;&gt;"LIBSETS_SETTYPE_BATTLEGROUND",G222&lt;&gt;"LIBSETS_SETTYPE_SPECIAL"),IF(AL222&lt;&gt;"",VLOOKUP(AL222,'ESO zones'!$D$5:$H$4957,5,FALSE),""),"")</f>
        <v/>
      </c>
      <c r="AN222"/>
      <c r="AO222"/>
      <c r="AP222" s="3" t="str">
        <f>IF(AND(G222&lt;&gt;"LIBSETS_SETTYPE_BATTLEGROUND",G222&lt;&gt;"LIBSETS_SETTYPE_SPECIAL"),IF(AQ222&lt;&gt;"",VLOOKUP(AQ222,'ESO zones'!$D$5:$H$4957,5,FALSE),""),"")</f>
        <v/>
      </c>
      <c r="AS222"/>
      <c r="AT222"/>
      <c r="AU222" s="3" t="str">
        <f>IF(AND(G222&lt;&gt;"LIBSETS_SETTYPE_BATTLEGROUND",G222&lt;&gt;"LIBSETS_SETTYPE_SPECIAL"),IF(AV222&lt;&gt;"",VLOOKUP(AV222,'ESO zones'!$D$5:$H$4957,5,FALSE),""),"")</f>
        <v/>
      </c>
      <c r="AX222"/>
      <c r="AY222"/>
      <c r="AZ222" s="49" t="s">
        <v>403</v>
      </c>
      <c r="BA222" s="49"/>
      <c r="BB222" s="49"/>
      <c r="BC222" s="49"/>
      <c r="BD222" s="49"/>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1">
        <v>267</v>
      </c>
      <c r="B223" t="s">
        <v>916</v>
      </c>
      <c r="C223" t="s">
        <v>917</v>
      </c>
      <c r="D223" s="3">
        <f t="shared" si="18"/>
        <v>267</v>
      </c>
      <c r="G223" s="9" t="s">
        <v>172</v>
      </c>
      <c r="H223">
        <v>2</v>
      </c>
      <c r="I223" t="s">
        <v>712</v>
      </c>
      <c r="J223" t="s">
        <v>401</v>
      </c>
      <c r="K223">
        <v>193</v>
      </c>
      <c r="L223">
        <v>193</v>
      </c>
      <c r="M223">
        <v>193</v>
      </c>
      <c r="O223" s="5" t="s">
        <v>450</v>
      </c>
      <c r="Q223" s="3">
        <f>IF(AND(P223&lt;&gt;"",ISNUMBER(P223),NOT(ISNA(P223))),P223,IF(R223&lt;&gt;"",VLOOKUP(R223,'ESO zones'!$D$5:$H$10005,5,FALSE),""))</f>
        <v>144</v>
      </c>
      <c r="R223" t="str">
        <f>IF(AND(O223&lt;&gt;"",NOT(ISERROR(O223))),O223,IF(AND(P223&lt;&gt;"",ISNUMBER(P223),P223&gt;0,NOT(ISNA(P223))),VLOOKUP(P223,'ESO zones'!$A$5:$D$10003,4,FALSE),IF(AND(K223&lt;&gt;"",K223&gt;0,NOT(ISERROR(K223))),VLOOKUP(K223,'ESO wayshrines'!$K$3:$N$9972,4,FALSE),"")))</f>
        <v>Spindleclutch I</v>
      </c>
      <c r="T223" s="16" t="str">
        <f>IF(AND(S223&lt;&gt;"",NOT(ISERROR(S223))),S223,VLOOKUP(A223,'ESO Set&amp;DLCs'!$A$3:$D$99998,4,FALSE))</f>
        <v>DLC_BASE_GAME</v>
      </c>
      <c r="U223" s="3" t="str">
        <f>IF(T223&lt;&gt;"",VLOOKUP(T223,ConstDLCIds!$B$4:$C$1000,2,FALSE),"")</f>
        <v>Included in base game</v>
      </c>
      <c r="V223" s="4" t="s">
        <v>212</v>
      </c>
      <c r="W223" s="3" t="s">
        <v>918</v>
      </c>
      <c r="X223" s="3" t="s">
        <v>919</v>
      </c>
      <c r="Y223" s="5"/>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zones'!$A$5:$D$10003,4,FALSE),"")</f>
        <v>Glenumbra</v>
      </c>
      <c r="AC223" s="3" t="str">
        <f>IF(AB223&lt;&gt;"",IF(AB223&lt;&gt;"LIBSETS_DROP_MECHANIC_MONSTER_NAME",VLOOKUP(AB223,ConstDropMechs!$B$4:$C$1001,2,FALSE),""),"")</f>
        <v/>
      </c>
      <c r="AD223" s="3" t="str">
        <f>IF(AB223&lt;&gt;"",IF(AB223&lt;&gt;"LIBSETS_DROP_MECHANIC_MONSTER_NAME",VLOOKUP(AB223,ConstDropMechs!$B$4:$D$1001,3,FALSE),""),"")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zones'!$A$5:$D$10003,4,FALSE),"")</f>
        <v>Glenumbra</v>
      </c>
      <c r="AI223"/>
      <c r="AJ223"/>
      <c r="AK223" s="3" t="str">
        <f>IF(AND(G223&lt;&gt;"LIBSETS_SETTYPE_BATTLEGROUND",G223&lt;&gt;"LIBSETS_SETTYPE_SPECIAL"),IF(AL223&lt;&gt;"",VLOOKUP(AL223,'ESO zones'!$D$5:$H$4957,5,FALSE),""),"")</f>
        <v/>
      </c>
      <c r="AN223"/>
      <c r="AO223"/>
      <c r="AP223" s="3" t="str">
        <f>IF(AND(G223&lt;&gt;"LIBSETS_SETTYPE_BATTLEGROUND",G223&lt;&gt;"LIBSETS_SETTYPE_SPECIAL"),IF(AQ223&lt;&gt;"",VLOOKUP(AQ223,'ESO zones'!$D$5:$H$4957,5,FALSE),""),"")</f>
        <v/>
      </c>
      <c r="AS223"/>
      <c r="AT223"/>
      <c r="AU223" s="3" t="str">
        <f>IF(AND(G223&lt;&gt;"LIBSETS_SETTYPE_BATTLEGROUND",G223&lt;&gt;"LIBSETS_SETTYPE_SPECIAL"),IF(AV223&lt;&gt;"",VLOOKUP(AV223,'ESO zones'!$D$5:$H$4957,5,FALSE),""),"")</f>
        <v/>
      </c>
      <c r="AX223"/>
      <c r="AY223"/>
      <c r="AZ223" s="49" t="s">
        <v>403</v>
      </c>
      <c r="BA223" s="49"/>
      <c r="BB223" s="49"/>
      <c r="BC223" s="49"/>
      <c r="BD223" s="49"/>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1">
        <v>268</v>
      </c>
      <c r="B224" t="s">
        <v>920</v>
      </c>
      <c r="C224" t="s">
        <v>921</v>
      </c>
      <c r="D224" s="3">
        <f t="shared" si="18"/>
        <v>268</v>
      </c>
      <c r="G224" s="9" t="s">
        <v>172</v>
      </c>
      <c r="H224">
        <v>2</v>
      </c>
      <c r="I224" t="s">
        <v>712</v>
      </c>
      <c r="J224" t="s">
        <v>401</v>
      </c>
      <c r="K224">
        <v>198</v>
      </c>
      <c r="L224">
        <v>198</v>
      </c>
      <c r="M224">
        <v>198</v>
      </c>
      <c r="O224" s="5" t="s">
        <v>582</v>
      </c>
      <c r="Q224" s="3">
        <f>IF(AND(P224&lt;&gt;"",ISNUMBER(P224),NOT(ISNA(P224))),P224,IF(R224&lt;&gt;"",VLOOKUP(R224,'ESO zones'!$D$5:$H$10005,5,FALSE),""))</f>
        <v>63</v>
      </c>
      <c r="R224" t="str">
        <f>IF(AND(O224&lt;&gt;"",NOT(ISERROR(O224))),O224,IF(AND(P224&lt;&gt;"",ISNUMBER(P224),P224&gt;0,NOT(ISNA(P224))),VLOOKUP(P224,'ESO zones'!$A$5:$D$10003,4,FALSE),IF(AND(K224&lt;&gt;"",K224&gt;0,NOT(ISERROR(K224))),VLOOKUP(K224,'ESO wayshrines'!$K$3:$N$9972,4,FALSE),"")))</f>
        <v>Darkshade Caverns I</v>
      </c>
      <c r="T224" s="16" t="str">
        <f>IF(AND(S224&lt;&gt;"",NOT(ISERROR(S224))),S224,VLOOKUP(A224,'ESO Set&amp;DLCs'!$A$3:$D$99998,4,FALSE))</f>
        <v>DLC_BASE_GAME</v>
      </c>
      <c r="U224" s="3" t="str">
        <f>IF(T224&lt;&gt;"",VLOOKUP(T224,ConstDLCIds!$B$4:$C$1000,2,FALSE),"")</f>
        <v>Included in base game</v>
      </c>
      <c r="V224" s="4" t="s">
        <v>212</v>
      </c>
      <c r="W224" s="3" t="s">
        <v>921</v>
      </c>
      <c r="X224" s="3" t="s">
        <v>920</v>
      </c>
      <c r="Y224" s="5"/>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zones'!$A$5:$D$10003,4,FALSE),"")</f>
        <v>Deshaan</v>
      </c>
      <c r="AC224" s="3" t="str">
        <f>IF(AB224&lt;&gt;"",IF(AB224&lt;&gt;"LIBSETS_DROP_MECHANIC_MONSTER_NAME",VLOOKUP(AB224,ConstDropMechs!$B$4:$C$1001,2,FALSE),""),"")</f>
        <v/>
      </c>
      <c r="AD224" s="3" t="str">
        <f>IF(AB224&lt;&gt;"",IF(AB224&lt;&gt;"LIBSETS_DROP_MECHANIC_MONSTER_NAME",VLOOKUP(AB224,ConstDropMechs!$B$4:$D$1001,3,FALSE),""),"")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zones'!$A$5:$D$10003,4,FALSE),"")</f>
        <v>Deshaan</v>
      </c>
      <c r="AI224"/>
      <c r="AJ224"/>
      <c r="AK224" s="3" t="str">
        <f>IF(AND(G224&lt;&gt;"LIBSETS_SETTYPE_BATTLEGROUND",G224&lt;&gt;"LIBSETS_SETTYPE_SPECIAL"),IF(AL224&lt;&gt;"",VLOOKUP(AL224,'ESO zones'!$D$5:$H$4957,5,FALSE),""),"")</f>
        <v/>
      </c>
      <c r="AN224"/>
      <c r="AO224"/>
      <c r="AP224" s="3" t="str">
        <f>IF(AND(G224&lt;&gt;"LIBSETS_SETTYPE_BATTLEGROUND",G224&lt;&gt;"LIBSETS_SETTYPE_SPECIAL"),IF(AQ224&lt;&gt;"",VLOOKUP(AQ224,'ESO zones'!$D$5:$H$4957,5,FALSE),""),"")</f>
        <v/>
      </c>
      <c r="AS224"/>
      <c r="AT224"/>
      <c r="AU224" s="3" t="str">
        <f>IF(AND(G224&lt;&gt;"LIBSETS_SETTYPE_BATTLEGROUND",G224&lt;&gt;"LIBSETS_SETTYPE_SPECIAL"),IF(AV224&lt;&gt;"",VLOOKUP(AV224,'ESO zones'!$D$5:$H$4957,5,FALSE),""),"")</f>
        <v/>
      </c>
      <c r="AX224"/>
      <c r="AY224"/>
      <c r="AZ224" s="49" t="s">
        <v>403</v>
      </c>
      <c r="BA224" s="49"/>
      <c r="BB224" s="49"/>
      <c r="BC224" s="49"/>
      <c r="BD224" s="49"/>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1">
        <v>269</v>
      </c>
      <c r="B225" t="s">
        <v>922</v>
      </c>
      <c r="C225" t="s">
        <v>923</v>
      </c>
      <c r="D225" s="3">
        <f t="shared" si="18"/>
        <v>269</v>
      </c>
      <c r="G225" s="9" t="s">
        <v>172</v>
      </c>
      <c r="H225">
        <v>2</v>
      </c>
      <c r="I225" t="s">
        <v>712</v>
      </c>
      <c r="J225" t="s">
        <v>401</v>
      </c>
      <c r="K225">
        <v>191</v>
      </c>
      <c r="L225">
        <v>191</v>
      </c>
      <c r="M225">
        <v>191</v>
      </c>
      <c r="O225" s="5" t="s">
        <v>428</v>
      </c>
      <c r="Q225" s="3">
        <f>IF(AND(P225&lt;&gt;"",ISNUMBER(P225),NOT(ISNA(P225))),P225,IF(R225&lt;&gt;"",VLOOKUP(R225,'ESO zones'!$D$5:$H$10005,5,FALSE),""))</f>
        <v>126</v>
      </c>
      <c r="R225" t="str">
        <f>IF(AND(O225&lt;&gt;"",NOT(ISERROR(O225))),O225,IF(AND(P225&lt;&gt;"",ISNUMBER(P225),P225&gt;0,NOT(ISNA(P225))),VLOOKUP(P225,'ESO zones'!$A$5:$D$10003,4,FALSE),IF(AND(K225&lt;&gt;"",K225&gt;0,NOT(ISERROR(K225))),VLOOKUP(K225,'ESO wayshrines'!$K$3:$N$9972,4,FALSE),"")))</f>
        <v>Elden Hollow I</v>
      </c>
      <c r="T225" s="16" t="str">
        <f>IF(AND(S225&lt;&gt;"",NOT(ISERROR(S225))),S225,VLOOKUP(A225,'ESO Set&amp;DLCs'!$A$3:$D$99998,4,FALSE))</f>
        <v>DLC_BASE_GAME</v>
      </c>
      <c r="U225" s="3" t="str">
        <f>IF(T225&lt;&gt;"",VLOOKUP(T225,ConstDLCIds!$B$4:$C$1000,2,FALSE),"")</f>
        <v>Included in base game</v>
      </c>
      <c r="V225" s="4" t="s">
        <v>212</v>
      </c>
      <c r="W225" s="3" t="s">
        <v>924</v>
      </c>
      <c r="X225" s="3" t="s">
        <v>925</v>
      </c>
      <c r="Y225" s="5"/>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zones'!$A$5:$D$10003,4,FALSE),"")</f>
        <v>Grahtwood</v>
      </c>
      <c r="AC225" s="3" t="str">
        <f>IF(AB225&lt;&gt;"",IF(AB225&lt;&gt;"LIBSETS_DROP_MECHANIC_MONSTER_NAME",VLOOKUP(AB225,ConstDropMechs!$B$4:$C$1001,2,FALSE),""),"")</f>
        <v/>
      </c>
      <c r="AD225" s="3" t="str">
        <f>IF(AB225&lt;&gt;"",IF(AB225&lt;&gt;"LIBSETS_DROP_MECHANIC_MONSTER_NAME",VLOOKUP(AB225,ConstDropMechs!$B$4:$D$1001,3,FALSE),""),"")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zones'!$A$5:$D$10003,4,FALSE),"")</f>
        <v>Grahtwood</v>
      </c>
      <c r="AI225"/>
      <c r="AJ225"/>
      <c r="AK225" s="3" t="str">
        <f>IF(AND(G225&lt;&gt;"LIBSETS_SETTYPE_BATTLEGROUND",G225&lt;&gt;"LIBSETS_SETTYPE_SPECIAL"),IF(AL225&lt;&gt;"",VLOOKUP(AL225,'ESO zones'!$D$5:$H$4957,5,FALSE),""),"")</f>
        <v/>
      </c>
      <c r="AN225"/>
      <c r="AO225"/>
      <c r="AP225" s="3" t="str">
        <f>IF(AND(G225&lt;&gt;"LIBSETS_SETTYPE_BATTLEGROUND",G225&lt;&gt;"LIBSETS_SETTYPE_SPECIAL"),IF(AQ225&lt;&gt;"",VLOOKUP(AQ225,'ESO zones'!$D$5:$H$4957,5,FALSE),""),"")</f>
        <v/>
      </c>
      <c r="AS225"/>
      <c r="AT225"/>
      <c r="AU225" s="3" t="str">
        <f>IF(AND(G225&lt;&gt;"LIBSETS_SETTYPE_BATTLEGROUND",G225&lt;&gt;"LIBSETS_SETTYPE_SPECIAL"),IF(AV225&lt;&gt;"",VLOOKUP(AV225,'ESO zones'!$D$5:$H$4957,5,FALSE),""),"")</f>
        <v/>
      </c>
      <c r="AX225"/>
      <c r="AY225"/>
      <c r="AZ225" s="49" t="s">
        <v>403</v>
      </c>
      <c r="BA225" s="49"/>
      <c r="BB225" s="49"/>
      <c r="BC225" s="49"/>
      <c r="BD225" s="49"/>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1">
        <v>270</v>
      </c>
      <c r="B226" t="s">
        <v>926</v>
      </c>
      <c r="C226" t="s">
        <v>927</v>
      </c>
      <c r="D226" s="3">
        <f t="shared" si="18"/>
        <v>270</v>
      </c>
      <c r="G226" s="9" t="s">
        <v>172</v>
      </c>
      <c r="H226">
        <v>2</v>
      </c>
      <c r="I226" t="s">
        <v>712</v>
      </c>
      <c r="J226" t="s">
        <v>401</v>
      </c>
      <c r="K226">
        <v>189</v>
      </c>
      <c r="L226">
        <v>189</v>
      </c>
      <c r="M226">
        <v>189</v>
      </c>
      <c r="O226" s="5" t="s">
        <v>432</v>
      </c>
      <c r="Q226" s="3">
        <f>IF(AND(P226&lt;&gt;"",ISNUMBER(P226),NOT(ISNA(P226))),P226,IF(R226&lt;&gt;"",VLOOKUP(R226,'ESO zones'!$D$5:$H$10005,5,FALSE),""))</f>
        <v>146</v>
      </c>
      <c r="R226" t="str">
        <f>IF(AND(O226&lt;&gt;"",NOT(ISERROR(O226))),O226,IF(AND(P226&lt;&gt;"",ISNUMBER(P226),P226&gt;0,NOT(ISNA(P226))),VLOOKUP(P226,'ESO zones'!$A$5:$D$10003,4,FALSE),IF(AND(K226&lt;&gt;"",K226&gt;0,NOT(ISERROR(K226))),VLOOKUP(K226,'ESO wayshrines'!$K$3:$N$9972,4,FALSE),"")))</f>
        <v>Wayrest Sewers I</v>
      </c>
      <c r="T226" s="16" t="str">
        <f>IF(AND(S226&lt;&gt;"",NOT(ISERROR(S226))),S226,VLOOKUP(A226,'ESO Set&amp;DLCs'!$A$3:$D$99998,4,FALSE))</f>
        <v>DLC_BASE_GAME</v>
      </c>
      <c r="U226" s="3" t="str">
        <f>IF(T226&lt;&gt;"",VLOOKUP(T226,ConstDLCIds!$B$4:$C$1000,2,FALSE),"")</f>
        <v>Included in base game</v>
      </c>
      <c r="V226" s="4" t="s">
        <v>212</v>
      </c>
      <c r="W226" s="3" t="s">
        <v>728</v>
      </c>
      <c r="X226" s="3" t="s">
        <v>729</v>
      </c>
      <c r="Y226" s="5"/>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zones'!$A$5:$D$10003,4,FALSE),"")</f>
        <v>Stormhaven</v>
      </c>
      <c r="AC226" s="3" t="str">
        <f>IF(AB226&lt;&gt;"",IF(AB226&lt;&gt;"LIBSETS_DROP_MECHANIC_MONSTER_NAME",VLOOKUP(AB226,ConstDropMechs!$B$4:$C$1001,2,FALSE),""),"")</f>
        <v/>
      </c>
      <c r="AD226" s="3" t="str">
        <f>IF(AB226&lt;&gt;"",IF(AB226&lt;&gt;"LIBSETS_DROP_MECHANIC_MONSTER_NAME",VLOOKUP(AB226,ConstDropMechs!$B$4:$D$1001,3,FALSE),""),"")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zones'!$A$5:$D$10003,4,FALSE),"")</f>
        <v>Stormhaven</v>
      </c>
      <c r="AI226"/>
      <c r="AJ226"/>
      <c r="AK226" s="3" t="str">
        <f>IF(AND(G226&lt;&gt;"LIBSETS_SETTYPE_BATTLEGROUND",G226&lt;&gt;"LIBSETS_SETTYPE_SPECIAL"),IF(AL226&lt;&gt;"",VLOOKUP(AL226,'ESO zones'!$D$5:$H$4957,5,FALSE),""),"")</f>
        <v/>
      </c>
      <c r="AN226"/>
      <c r="AO226"/>
      <c r="AP226" s="3" t="str">
        <f>IF(AND(G226&lt;&gt;"LIBSETS_SETTYPE_BATTLEGROUND",G226&lt;&gt;"LIBSETS_SETTYPE_SPECIAL"),IF(AQ226&lt;&gt;"",VLOOKUP(AQ226,'ESO zones'!$D$5:$H$4957,5,FALSE),""),"")</f>
        <v/>
      </c>
      <c r="AS226"/>
      <c r="AT226"/>
      <c r="AU226" s="3" t="str">
        <f>IF(AND(G226&lt;&gt;"LIBSETS_SETTYPE_BATTLEGROUND",G226&lt;&gt;"LIBSETS_SETTYPE_SPECIAL"),IF(AV226&lt;&gt;"",VLOOKUP(AV226,'ESO zones'!$D$5:$H$4957,5,FALSE),""),"")</f>
        <v/>
      </c>
      <c r="AX226"/>
      <c r="AY226"/>
      <c r="AZ226" s="49" t="s">
        <v>403</v>
      </c>
      <c r="BA226" s="49"/>
      <c r="BB226" s="49"/>
      <c r="BC226" s="49"/>
      <c r="BD226" s="49"/>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1">
        <v>271</v>
      </c>
      <c r="B227" t="s">
        <v>928</v>
      </c>
      <c r="C227" t="s">
        <v>928</v>
      </c>
      <c r="D227" s="3">
        <f t="shared" si="18"/>
        <v>271</v>
      </c>
      <c r="G227" s="9" t="s">
        <v>172</v>
      </c>
      <c r="H227">
        <v>1</v>
      </c>
      <c r="I227" t="s">
        <v>712</v>
      </c>
      <c r="J227" t="s">
        <v>401</v>
      </c>
      <c r="K227">
        <v>192</v>
      </c>
      <c r="L227">
        <v>192</v>
      </c>
      <c r="M227">
        <v>192</v>
      </c>
      <c r="O227" s="5" t="s">
        <v>697</v>
      </c>
      <c r="Q227" s="3">
        <f>IF(AND(P227&lt;&gt;"",ISNUMBER(P227),NOT(ISNA(P227))),P227,IF(R227&lt;&gt;"",VLOOKUP(R227,'ESO zones'!$D$5:$H$10005,5,FALSE),""))</f>
        <v>148</v>
      </c>
      <c r="R227" t="str">
        <f>IF(AND(O227&lt;&gt;"",NOT(ISERROR(O227))),O227,IF(AND(P227&lt;&gt;"",ISNUMBER(P227),P227&gt;0,NOT(ISNA(P227))),VLOOKUP(P227,'ESO zones'!$A$5:$D$10003,4,FALSE),IF(AND(K227&lt;&gt;"",K227&gt;0,NOT(ISERROR(K227))),VLOOKUP(K227,'ESO wayshrines'!$K$3:$N$9972,4,FALSE),"")))</f>
        <v>Arx Corinium</v>
      </c>
      <c r="T227" s="16" t="str">
        <f>IF(AND(S227&lt;&gt;"",NOT(ISERROR(S227))),S227,VLOOKUP(A227,'ESO Set&amp;DLCs'!$A$3:$D$99998,4,FALSE))</f>
        <v>DLC_BASE_GAME</v>
      </c>
      <c r="U227" s="3" t="str">
        <f>IF(T227&lt;&gt;"",VLOOKUP(T227,ConstDLCIds!$B$4:$C$1000,2,FALSE),"")</f>
        <v>Included in base game</v>
      </c>
      <c r="V227" s="4" t="s">
        <v>212</v>
      </c>
      <c r="W227" s="3" t="s">
        <v>929</v>
      </c>
      <c r="X227" s="3" t="s">
        <v>930</v>
      </c>
      <c r="Y227" s="5"/>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zones'!$A$5:$D$10003,4,FALSE),"")</f>
        <v>Shadowfen</v>
      </c>
      <c r="AC227" s="3" t="str">
        <f>IF(AB227&lt;&gt;"",IF(AB227&lt;&gt;"LIBSETS_DROP_MECHANIC_MONSTER_NAME",VLOOKUP(AB227,ConstDropMechs!$B$4:$C$1001,2,FALSE),""),"")</f>
        <v/>
      </c>
      <c r="AD227" s="3" t="str">
        <f>IF(AB227&lt;&gt;"",IF(AB227&lt;&gt;"LIBSETS_DROP_MECHANIC_MONSTER_NAME",VLOOKUP(AB227,ConstDropMechs!$B$4:$D$1001,3,FALSE),""),"")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zones'!$A$5:$D$10003,4,FALSE),"")</f>
        <v>Shadowfen</v>
      </c>
      <c r="AI227"/>
      <c r="AJ227"/>
      <c r="AK227" s="3" t="str">
        <f>IF(AND(G227&lt;&gt;"LIBSETS_SETTYPE_BATTLEGROUND",G227&lt;&gt;"LIBSETS_SETTYPE_SPECIAL"),IF(AL227&lt;&gt;"",VLOOKUP(AL227,'ESO zones'!$D$5:$H$4957,5,FALSE),""),"")</f>
        <v/>
      </c>
      <c r="AN227"/>
      <c r="AO227"/>
      <c r="AP227" s="3" t="str">
        <f>IF(AND(G227&lt;&gt;"LIBSETS_SETTYPE_BATTLEGROUND",G227&lt;&gt;"LIBSETS_SETTYPE_SPECIAL"),IF(AQ227&lt;&gt;"",VLOOKUP(AQ227,'ESO zones'!$D$5:$H$4957,5,FALSE),""),"")</f>
        <v/>
      </c>
      <c r="AS227"/>
      <c r="AT227"/>
      <c r="AU227" s="3" t="str">
        <f>IF(AND(G227&lt;&gt;"LIBSETS_SETTYPE_BATTLEGROUND",G227&lt;&gt;"LIBSETS_SETTYPE_SPECIAL"),IF(AV227&lt;&gt;"",VLOOKUP(AV227,'ESO zones'!$D$5:$H$4957,5,FALSE),""),"")</f>
        <v/>
      </c>
      <c r="AX227"/>
      <c r="AY227"/>
      <c r="AZ227" s="49" t="s">
        <v>403</v>
      </c>
      <c r="BA227" s="49"/>
      <c r="BB227" s="49"/>
      <c r="BC227" s="49"/>
      <c r="BD227" s="49"/>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1">
        <v>272</v>
      </c>
      <c r="B228" t="s">
        <v>931</v>
      </c>
      <c r="C228" t="s">
        <v>932</v>
      </c>
      <c r="D228" s="3">
        <f t="shared" si="18"/>
        <v>272</v>
      </c>
      <c r="G228" s="9" t="s">
        <v>172</v>
      </c>
      <c r="H228">
        <v>1</v>
      </c>
      <c r="I228" t="s">
        <v>712</v>
      </c>
      <c r="J228" t="s">
        <v>401</v>
      </c>
      <c r="K228">
        <v>197</v>
      </c>
      <c r="L228">
        <v>197</v>
      </c>
      <c r="M228">
        <v>197</v>
      </c>
      <c r="O228" s="5" t="s">
        <v>703</v>
      </c>
      <c r="Q228" s="3">
        <f>IF(AND(P228&lt;&gt;"",ISNUMBER(P228),NOT(ISNA(P228))),P228,IF(R228&lt;&gt;"",VLOOKUP(R228,'ESO zones'!$D$5:$H$10005,5,FALSE),""))</f>
        <v>176</v>
      </c>
      <c r="R228" t="str">
        <f>IF(AND(O228&lt;&gt;"",NOT(ISERROR(O228))),O228,IF(AND(P228&lt;&gt;"",ISNUMBER(P228),P228&gt;0,NOT(ISNA(P228))),VLOOKUP(P228,'ESO zones'!$A$5:$D$10003,4,FALSE),IF(AND(K228&lt;&gt;"",K228&gt;0,NOT(ISERROR(K228))),VLOOKUP(K228,'ESO wayshrines'!$K$3:$N$9972,4,FALSE),"")))</f>
        <v>City of Ash I</v>
      </c>
      <c r="T228" s="16" t="str">
        <f>IF(AND(S228&lt;&gt;"",NOT(ISERROR(S228))),S228,VLOOKUP(A228,'ESO Set&amp;DLCs'!$A$3:$D$99998,4,FALSE))</f>
        <v>DLC_BASE_GAME</v>
      </c>
      <c r="U228" s="3" t="str">
        <f>IF(T228&lt;&gt;"",VLOOKUP(T228,ConstDLCIds!$B$4:$C$1000,2,FALSE),"")</f>
        <v>Included in base game</v>
      </c>
      <c r="V228" s="4" t="s">
        <v>212</v>
      </c>
      <c r="W228" s="3" t="s">
        <v>933</v>
      </c>
      <c r="X228" s="3" t="s">
        <v>934</v>
      </c>
      <c r="Y228" s="5"/>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zones'!$A$5:$D$10003,4,FALSE),"")</f>
        <v>Greenshade</v>
      </c>
      <c r="AC228" s="3" t="str">
        <f>IF(AB228&lt;&gt;"",IF(AB228&lt;&gt;"LIBSETS_DROP_MECHANIC_MONSTER_NAME",VLOOKUP(AB228,ConstDropMechs!$B$4:$C$1001,2,FALSE),""),"")</f>
        <v/>
      </c>
      <c r="AD228" s="3" t="str">
        <f>IF(AB228&lt;&gt;"",IF(AB228&lt;&gt;"LIBSETS_DROP_MECHANIC_MONSTER_NAME",VLOOKUP(AB228,ConstDropMechs!$B$4:$D$1001,3,FALSE),""),"")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zones'!$A$5:$D$10003,4,FALSE),"")</f>
        <v>Greenshade</v>
      </c>
      <c r="AI228"/>
      <c r="AJ228"/>
      <c r="AK228" s="3" t="str">
        <f>IF(AND(G228&lt;&gt;"LIBSETS_SETTYPE_BATTLEGROUND",G228&lt;&gt;"LIBSETS_SETTYPE_SPECIAL"),IF(AL228&lt;&gt;"",VLOOKUP(AL228,'ESO zones'!$D$5:$H$4957,5,FALSE),""),"")</f>
        <v/>
      </c>
      <c r="AN228"/>
      <c r="AO228"/>
      <c r="AP228" s="3" t="str">
        <f>IF(AND(G228&lt;&gt;"LIBSETS_SETTYPE_BATTLEGROUND",G228&lt;&gt;"LIBSETS_SETTYPE_SPECIAL"),IF(AQ228&lt;&gt;"",VLOOKUP(AQ228,'ESO zones'!$D$5:$H$4957,5,FALSE),""),"")</f>
        <v/>
      </c>
      <c r="AS228"/>
      <c r="AT228"/>
      <c r="AU228" s="3" t="str">
        <f>IF(AND(G228&lt;&gt;"LIBSETS_SETTYPE_BATTLEGROUND",G228&lt;&gt;"LIBSETS_SETTYPE_SPECIAL"),IF(AV228&lt;&gt;"",VLOOKUP(AV228,'ESO zones'!$D$5:$H$4957,5,FALSE),""),"")</f>
        <v/>
      </c>
      <c r="AX228"/>
      <c r="AY228"/>
      <c r="AZ228" s="49" t="s">
        <v>403</v>
      </c>
      <c r="BA228" s="49"/>
      <c r="BB228" s="49"/>
      <c r="BC228" s="49"/>
      <c r="BD228" s="49"/>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1">
        <v>273</v>
      </c>
      <c r="B229" t="s">
        <v>935</v>
      </c>
      <c r="C229" t="s">
        <v>935</v>
      </c>
      <c r="D229" s="3">
        <f t="shared" si="18"/>
        <v>273</v>
      </c>
      <c r="G229" s="9" t="s">
        <v>172</v>
      </c>
      <c r="H229">
        <v>1</v>
      </c>
      <c r="I229" t="s">
        <v>712</v>
      </c>
      <c r="J229" t="s">
        <v>401</v>
      </c>
      <c r="K229">
        <v>190</v>
      </c>
      <c r="L229">
        <v>190</v>
      </c>
      <c r="M229">
        <v>190</v>
      </c>
      <c r="O229" s="5" t="s">
        <v>634</v>
      </c>
      <c r="Q229" s="3">
        <f>IF(AND(P229&lt;&gt;"",ISNUMBER(P229),NOT(ISNA(P229))),P229,IF(R229&lt;&gt;"",VLOOKUP(R229,'ESO zones'!$D$5:$H$10005,5,FALSE),""))</f>
        <v>130</v>
      </c>
      <c r="R229" t="str">
        <f>IF(AND(O229&lt;&gt;"",NOT(ISERROR(O229))),O229,IF(AND(P229&lt;&gt;"",ISNUMBER(P229),P229&gt;0,NOT(ISNA(P229))),VLOOKUP(P229,'ESO zones'!$A$5:$D$10003,4,FALSE),IF(AND(K229&lt;&gt;"",K229&gt;0,NOT(ISERROR(K229))),VLOOKUP(K229,'ESO wayshrines'!$K$3:$N$9972,4,FALSE),"")))</f>
        <v>Crypt of Hearts I</v>
      </c>
      <c r="T229" s="16" t="str">
        <f>IF(AND(S229&lt;&gt;"",NOT(ISERROR(S229))),S229,VLOOKUP(A229,'ESO Set&amp;DLCs'!$A$3:$D$99998,4,FALSE))</f>
        <v>DLC_BASE_GAME</v>
      </c>
      <c r="U229" s="3" t="str">
        <f>IF(T229&lt;&gt;"",VLOOKUP(T229,ConstDLCIds!$B$4:$C$1000,2,FALSE),"")</f>
        <v>Included in base game</v>
      </c>
      <c r="V229" s="4" t="s">
        <v>212</v>
      </c>
      <c r="W229" s="3" t="s">
        <v>936</v>
      </c>
      <c r="X229" s="3" t="s">
        <v>937</v>
      </c>
      <c r="Y229" s="5"/>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zones'!$A$5:$D$10003,4,FALSE),"")</f>
        <v>Rivenspire</v>
      </c>
      <c r="AC229" s="3" t="str">
        <f>IF(AB229&lt;&gt;"",IF(AB229&lt;&gt;"LIBSETS_DROP_MECHANIC_MONSTER_NAME",VLOOKUP(AB229,ConstDropMechs!$B$4:$C$1001,2,FALSE),""),"")</f>
        <v/>
      </c>
      <c r="AD229" s="3" t="str">
        <f>IF(AB229&lt;&gt;"",IF(AB229&lt;&gt;"LIBSETS_DROP_MECHANIC_MONSTER_NAME",VLOOKUP(AB229,ConstDropMechs!$B$4:$D$1001,3,FALSE),""),"")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zones'!$A$5:$D$10003,4,FALSE),"")</f>
        <v>Rivenspire</v>
      </c>
      <c r="AI229"/>
      <c r="AJ229"/>
      <c r="AK229" s="3" t="str">
        <f>IF(AND(G229&lt;&gt;"LIBSETS_SETTYPE_BATTLEGROUND",G229&lt;&gt;"LIBSETS_SETTYPE_SPECIAL"),IF(AL229&lt;&gt;"",VLOOKUP(AL229,'ESO zones'!$D$5:$H$4957,5,FALSE),""),"")</f>
        <v/>
      </c>
      <c r="AN229"/>
      <c r="AO229"/>
      <c r="AP229" s="3" t="str">
        <f>IF(AND(G229&lt;&gt;"LIBSETS_SETTYPE_BATTLEGROUND",G229&lt;&gt;"LIBSETS_SETTYPE_SPECIAL"),IF(AQ229&lt;&gt;"",VLOOKUP(AQ229,'ESO zones'!$D$5:$H$4957,5,FALSE),""),"")</f>
        <v/>
      </c>
      <c r="AS229"/>
      <c r="AT229"/>
      <c r="AU229" s="3" t="str">
        <f>IF(AND(G229&lt;&gt;"LIBSETS_SETTYPE_BATTLEGROUND",G229&lt;&gt;"LIBSETS_SETTYPE_SPECIAL"),IF(AV229&lt;&gt;"",VLOOKUP(AV229,'ESO zones'!$D$5:$H$4957,5,FALSE),""),"")</f>
        <v/>
      </c>
      <c r="AX229"/>
      <c r="AY229"/>
      <c r="AZ229" s="49" t="s">
        <v>403</v>
      </c>
      <c r="BA229" s="49"/>
      <c r="BB229" s="49"/>
      <c r="BC229" s="49"/>
      <c r="BD229" s="49"/>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1">
        <v>274</v>
      </c>
      <c r="B230" t="s">
        <v>938</v>
      </c>
      <c r="C230" t="s">
        <v>939</v>
      </c>
      <c r="D230" s="3">
        <f t="shared" si="18"/>
        <v>274</v>
      </c>
      <c r="G230" s="9" t="s">
        <v>172</v>
      </c>
      <c r="H230">
        <v>1</v>
      </c>
      <c r="I230" t="s">
        <v>712</v>
      </c>
      <c r="J230" t="s">
        <v>401</v>
      </c>
      <c r="K230">
        <v>195</v>
      </c>
      <c r="L230">
        <v>195</v>
      </c>
      <c r="M230">
        <v>195</v>
      </c>
      <c r="O230" s="5" t="s">
        <v>485</v>
      </c>
      <c r="Q230" s="3">
        <f>IF(AND(P230&lt;&gt;"",ISNUMBER(P230),NOT(ISNA(P230))),P230,IF(R230&lt;&gt;"",VLOOKUP(R230,'ESO zones'!$D$5:$H$10005,5,FALSE),""))</f>
        <v>449</v>
      </c>
      <c r="R230" t="str">
        <f>IF(AND(O230&lt;&gt;"",NOT(ISERROR(O230))),O230,IF(AND(P230&lt;&gt;"",ISNUMBER(P230),P230&gt;0,NOT(ISNA(P230))),VLOOKUP(P230,'ESO zones'!$A$5:$D$10003,4,FALSE),IF(AND(K230&lt;&gt;"",K230&gt;0,NOT(ISERROR(K230))),VLOOKUP(K230,'ESO wayshrines'!$K$3:$N$9972,4,FALSE),"")))</f>
        <v>Direfrost Keep</v>
      </c>
      <c r="T230" s="16" t="str">
        <f>IF(AND(S230&lt;&gt;"",NOT(ISERROR(S230))),S230,VLOOKUP(A230,'ESO Set&amp;DLCs'!$A$3:$D$99998,4,FALSE))</f>
        <v>DLC_BASE_GAME</v>
      </c>
      <c r="U230" s="3" t="str">
        <f>IF(T230&lt;&gt;"",VLOOKUP(T230,ConstDLCIds!$B$4:$C$1000,2,FALSE),"")</f>
        <v>Included in base game</v>
      </c>
      <c r="V230" s="4" t="s">
        <v>212</v>
      </c>
      <c r="W230" s="3" t="s">
        <v>940</v>
      </c>
      <c r="X230" s="3" t="s">
        <v>941</v>
      </c>
      <c r="Y230" s="5"/>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zones'!$A$5:$D$10003,4,FALSE),"")</f>
        <v>Eastmarch</v>
      </c>
      <c r="AC230" s="3" t="str">
        <f>IF(AB230&lt;&gt;"",IF(AB230&lt;&gt;"LIBSETS_DROP_MECHANIC_MONSTER_NAME",VLOOKUP(AB230,ConstDropMechs!$B$4:$C$1001,2,FALSE),""),"")</f>
        <v/>
      </c>
      <c r="AD230" s="3" t="str">
        <f>IF(AB230&lt;&gt;"",IF(AB230&lt;&gt;"LIBSETS_DROP_MECHANIC_MONSTER_NAME",VLOOKUP(AB230,ConstDropMechs!$B$4:$D$1001,3,FALSE),""),"")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zones'!$A$5:$D$10003,4,FALSE),"")</f>
        <v>Eastmarch</v>
      </c>
      <c r="AI230"/>
      <c r="AJ230"/>
      <c r="AK230" s="3" t="str">
        <f>IF(AND(G230&lt;&gt;"LIBSETS_SETTYPE_BATTLEGROUND",G230&lt;&gt;"LIBSETS_SETTYPE_SPECIAL"),IF(AL230&lt;&gt;"",VLOOKUP(AL230,'ESO zones'!$D$5:$H$4957,5,FALSE),""),"")</f>
        <v/>
      </c>
      <c r="AN230"/>
      <c r="AO230"/>
      <c r="AP230" s="3" t="str">
        <f>IF(AND(G230&lt;&gt;"LIBSETS_SETTYPE_BATTLEGROUND",G230&lt;&gt;"LIBSETS_SETTYPE_SPECIAL"),IF(AQ230&lt;&gt;"",VLOOKUP(AQ230,'ESO zones'!$D$5:$H$4957,5,FALSE),""),"")</f>
        <v/>
      </c>
      <c r="AS230"/>
      <c r="AT230"/>
      <c r="AU230" s="3" t="str">
        <f>IF(AND(G230&lt;&gt;"LIBSETS_SETTYPE_BATTLEGROUND",G230&lt;&gt;"LIBSETS_SETTYPE_SPECIAL"),IF(AV230&lt;&gt;"",VLOOKUP(AV230,'ESO zones'!$D$5:$H$4957,5,FALSE),""),"")</f>
        <v/>
      </c>
      <c r="AX230"/>
      <c r="AY230"/>
      <c r="AZ230" s="49" t="s">
        <v>403</v>
      </c>
      <c r="BA230" s="49"/>
      <c r="BB230" s="49"/>
      <c r="BC230" s="49"/>
      <c r="BD230" s="49"/>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1">
        <v>275</v>
      </c>
      <c r="B231" t="s">
        <v>942</v>
      </c>
      <c r="C231" t="s">
        <v>943</v>
      </c>
      <c r="D231" s="3">
        <f t="shared" si="18"/>
        <v>275</v>
      </c>
      <c r="G231" s="9" t="s">
        <v>172</v>
      </c>
      <c r="H231">
        <v>1</v>
      </c>
      <c r="I231" t="s">
        <v>712</v>
      </c>
      <c r="J231" t="s">
        <v>401</v>
      </c>
      <c r="K231">
        <v>188</v>
      </c>
      <c r="L231">
        <v>188</v>
      </c>
      <c r="M231">
        <v>188</v>
      </c>
      <c r="O231" s="5" t="s">
        <v>777</v>
      </c>
      <c r="Q231" s="3">
        <f>IF(AND(P231&lt;&gt;"",ISNUMBER(P231),NOT(ISNA(P231))),P231,IF(R231&lt;&gt;"",VLOOKUP(R231,'ESO zones'!$D$5:$H$10005,5,FALSE),""))</f>
        <v>131</v>
      </c>
      <c r="R231" t="str">
        <f>IF(AND(O231&lt;&gt;"",NOT(ISERROR(O231))),O231,IF(AND(P231&lt;&gt;"",ISNUMBER(P231),P231&gt;0,NOT(ISNA(P231))),VLOOKUP(P231,'ESO zones'!$A$5:$D$10003,4,FALSE),IF(AND(K231&lt;&gt;"",K231&gt;0,NOT(ISERROR(K231))),VLOOKUP(K231,'ESO wayshrines'!$K$3:$N$9972,4,FALSE),"")))</f>
        <v>Tempest Island</v>
      </c>
      <c r="T231" s="16" t="str">
        <f>IF(AND(S231&lt;&gt;"",NOT(ISERROR(S231))),S231,VLOOKUP(A231,'ESO Set&amp;DLCs'!$A$3:$D$99998,4,FALSE))</f>
        <v>DLC_BASE_GAME</v>
      </c>
      <c r="U231" s="3" t="str">
        <f>IF(T231&lt;&gt;"",VLOOKUP(T231,ConstDLCIds!$B$4:$C$1000,2,FALSE),"")</f>
        <v>Included in base game</v>
      </c>
      <c r="V231" s="4" t="s">
        <v>212</v>
      </c>
      <c r="W231" s="3" t="s">
        <v>944</v>
      </c>
      <c r="X231" s="3" t="s">
        <v>945</v>
      </c>
      <c r="Y231" s="5"/>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zones'!$A$5:$D$10003,4,FALSE),"")</f>
        <v>Malabal Tor</v>
      </c>
      <c r="AC231" s="3" t="str">
        <f>IF(AB231&lt;&gt;"",IF(AB231&lt;&gt;"LIBSETS_DROP_MECHANIC_MONSTER_NAME",VLOOKUP(AB231,ConstDropMechs!$B$4:$C$1001,2,FALSE),""),"")</f>
        <v/>
      </c>
      <c r="AD231" s="3" t="str">
        <f>IF(AB231&lt;&gt;"",IF(AB231&lt;&gt;"LIBSETS_DROP_MECHANIC_MONSTER_NAME",VLOOKUP(AB231,ConstDropMechs!$B$4:$D$1001,3,FALSE),""),"")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zones'!$A$5:$D$10003,4,FALSE),"")</f>
        <v>Malabal Tor</v>
      </c>
      <c r="AI231"/>
      <c r="AJ231"/>
      <c r="AK231" s="3" t="str">
        <f>IF(AND(G231&lt;&gt;"LIBSETS_SETTYPE_BATTLEGROUND",G231&lt;&gt;"LIBSETS_SETTYPE_SPECIAL"),IF(AL231&lt;&gt;"",VLOOKUP(AL231,'ESO zones'!$D$5:$H$4957,5,FALSE),""),"")</f>
        <v/>
      </c>
      <c r="AN231"/>
      <c r="AO231"/>
      <c r="AP231" s="3" t="str">
        <f>IF(AND(G231&lt;&gt;"LIBSETS_SETTYPE_BATTLEGROUND",G231&lt;&gt;"LIBSETS_SETTYPE_SPECIAL"),IF(AQ231&lt;&gt;"",VLOOKUP(AQ231,'ESO zones'!$D$5:$H$4957,5,FALSE),""),"")</f>
        <v/>
      </c>
      <c r="AS231"/>
      <c r="AT231"/>
      <c r="AU231" s="3" t="str">
        <f>IF(AND(G231&lt;&gt;"LIBSETS_SETTYPE_BATTLEGROUND",G231&lt;&gt;"LIBSETS_SETTYPE_SPECIAL"),IF(AV231&lt;&gt;"",VLOOKUP(AV231,'ESO zones'!$D$5:$H$4957,5,FALSE),""),"")</f>
        <v/>
      </c>
      <c r="AX231"/>
      <c r="AY231"/>
      <c r="AZ231" s="49" t="s">
        <v>403</v>
      </c>
      <c r="BA231" s="49"/>
      <c r="BB231" s="49"/>
      <c r="BC231" s="49"/>
      <c r="BD231" s="49"/>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1">
        <v>276</v>
      </c>
      <c r="B232" t="s">
        <v>946</v>
      </c>
      <c r="C232" t="s">
        <v>947</v>
      </c>
      <c r="D232" s="3">
        <f t="shared" si="18"/>
        <v>276</v>
      </c>
      <c r="G232" s="9" t="s">
        <v>172</v>
      </c>
      <c r="H232">
        <v>1</v>
      </c>
      <c r="I232" t="s">
        <v>712</v>
      </c>
      <c r="J232" t="s">
        <v>401</v>
      </c>
      <c r="K232">
        <v>196</v>
      </c>
      <c r="L232">
        <v>196</v>
      </c>
      <c r="M232">
        <v>196</v>
      </c>
      <c r="O232" s="5" t="s">
        <v>539</v>
      </c>
      <c r="Q232" s="3">
        <f>IF(AND(P232&lt;&gt;"",ISNUMBER(P232),NOT(ISNA(P232))),P232,IF(R232&lt;&gt;"",VLOOKUP(R232,'ESO zones'!$D$5:$H$10005,5,FALSE),""))</f>
        <v>22</v>
      </c>
      <c r="R232" t="str">
        <f>IF(AND(O232&lt;&gt;"",NOT(ISERROR(O232))),O232,IF(AND(P232&lt;&gt;"",ISNUMBER(P232),P232&gt;0,NOT(ISNA(P232))),VLOOKUP(P232,'ESO zones'!$A$5:$D$10003,4,FALSE),IF(AND(K232&lt;&gt;"",K232&gt;0,NOT(ISERROR(K232))),VLOOKUP(K232,'ESO wayshrines'!$K$3:$N$9972,4,FALSE),"")))</f>
        <v>Volenfell</v>
      </c>
      <c r="T232" s="16" t="str">
        <f>IF(AND(S232&lt;&gt;"",NOT(ISERROR(S232))),S232,VLOOKUP(A232,'ESO Set&amp;DLCs'!$A$3:$D$99998,4,FALSE))</f>
        <v>DLC_BASE_GAME</v>
      </c>
      <c r="U232" s="3" t="str">
        <f>IF(T232&lt;&gt;"",VLOOKUP(T232,ConstDLCIds!$B$4:$C$1000,2,FALSE),"")</f>
        <v>Included in base game</v>
      </c>
      <c r="V232" s="4" t="s">
        <v>212</v>
      </c>
      <c r="W232" s="3" t="s">
        <v>948</v>
      </c>
      <c r="X232" s="3" t="s">
        <v>949</v>
      </c>
      <c r="Y232" s="5"/>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zones'!$A$5:$D$10003,4,FALSE),"")</f>
        <v>Alik'r Desert</v>
      </c>
      <c r="AC232" s="3" t="str">
        <f>IF(AB232&lt;&gt;"",IF(AB232&lt;&gt;"LIBSETS_DROP_MECHANIC_MONSTER_NAME",VLOOKUP(AB232,ConstDropMechs!$B$4:$C$1001,2,FALSE),""),"")</f>
        <v/>
      </c>
      <c r="AD232" s="3" t="str">
        <f>IF(AB232&lt;&gt;"",IF(AB232&lt;&gt;"LIBSETS_DROP_MECHANIC_MONSTER_NAME",VLOOKUP(AB232,ConstDropMechs!$B$4:$D$1001,3,FALSE),""),"")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zones'!$A$5:$D$10003,4,FALSE),"")</f>
        <v>Alik'r Desert</v>
      </c>
      <c r="AI232"/>
      <c r="AJ232"/>
      <c r="AK232" s="3" t="str">
        <f>IF(AND(G232&lt;&gt;"LIBSETS_SETTYPE_BATTLEGROUND",G232&lt;&gt;"LIBSETS_SETTYPE_SPECIAL"),IF(AL232&lt;&gt;"",VLOOKUP(AL232,'ESO zones'!$D$5:$H$4957,5,FALSE),""),"")</f>
        <v/>
      </c>
      <c r="AN232"/>
      <c r="AO232"/>
      <c r="AP232" s="3" t="str">
        <f>IF(AND(G232&lt;&gt;"LIBSETS_SETTYPE_BATTLEGROUND",G232&lt;&gt;"LIBSETS_SETTYPE_SPECIAL"),IF(AQ232&lt;&gt;"",VLOOKUP(AQ232,'ESO zones'!$D$5:$H$4957,5,FALSE),""),"")</f>
        <v/>
      </c>
      <c r="AS232"/>
      <c r="AT232"/>
      <c r="AU232" s="3" t="str">
        <f>IF(AND(G232&lt;&gt;"LIBSETS_SETTYPE_BATTLEGROUND",G232&lt;&gt;"LIBSETS_SETTYPE_SPECIAL"),IF(AV232&lt;&gt;"",VLOOKUP(AV232,'ESO zones'!$D$5:$H$4957,5,FALSE),""),"")</f>
        <v/>
      </c>
      <c r="AX232"/>
      <c r="AY232"/>
      <c r="AZ232" s="49" t="s">
        <v>403</v>
      </c>
      <c r="BA232" s="49"/>
      <c r="BB232" s="49"/>
      <c r="BC232" s="49"/>
      <c r="BD232" s="49"/>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1">
        <v>277</v>
      </c>
      <c r="B233" t="s">
        <v>950</v>
      </c>
      <c r="C233" t="s">
        <v>951</v>
      </c>
      <c r="D233" s="3">
        <f t="shared" si="18"/>
        <v>277</v>
      </c>
      <c r="G233" s="9" t="s">
        <v>172</v>
      </c>
      <c r="H233">
        <v>1</v>
      </c>
      <c r="I233" t="s">
        <v>712</v>
      </c>
      <c r="J233" t="s">
        <v>401</v>
      </c>
      <c r="K233">
        <v>186</v>
      </c>
      <c r="L233">
        <v>186</v>
      </c>
      <c r="M233">
        <v>186</v>
      </c>
      <c r="O233" s="5" t="s">
        <v>700</v>
      </c>
      <c r="Q233" s="3">
        <f>IF(AND(P233&lt;&gt;"",ISNUMBER(P233),NOT(ISNA(P233))),P233,IF(R233&lt;&gt;"",VLOOKUP(R233,'ESO zones'!$D$5:$H$10005,5,FALSE),""))</f>
        <v>38</v>
      </c>
      <c r="R233" t="str">
        <f>IF(AND(O233&lt;&gt;"",NOT(ISERROR(O233))),O233,IF(AND(P233&lt;&gt;"",ISNUMBER(P233),P233&gt;0,NOT(ISNA(P233))),VLOOKUP(P233,'ESO zones'!$A$5:$D$10003,4,FALSE),IF(AND(K233&lt;&gt;"",K233&gt;0,NOT(ISERROR(K233))),VLOOKUP(K233,'ESO wayshrines'!$K$3:$N$9972,4,FALSE),"")))</f>
        <v>Blackheart Haven</v>
      </c>
      <c r="T233" s="16" t="str">
        <f>IF(AND(S233&lt;&gt;"",NOT(ISERROR(S233))),S233,VLOOKUP(A233,'ESO Set&amp;DLCs'!$A$3:$D$99998,4,FALSE))</f>
        <v>DLC_BASE_GAME</v>
      </c>
      <c r="U233" s="3" t="str">
        <f>IF(T233&lt;&gt;"",VLOOKUP(T233,ConstDLCIds!$B$4:$C$1000,2,FALSE),"")</f>
        <v>Included in base game</v>
      </c>
      <c r="V233" s="4" t="s">
        <v>212</v>
      </c>
      <c r="W233" s="3" t="s">
        <v>952</v>
      </c>
      <c r="X233" s="3" t="s">
        <v>953</v>
      </c>
      <c r="Y233" s="5"/>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zones'!$A$5:$D$10003,4,FALSE),"")</f>
        <v>Bangkorai</v>
      </c>
      <c r="AC233" s="3" t="str">
        <f>IF(AB233&lt;&gt;"",IF(AB233&lt;&gt;"LIBSETS_DROP_MECHANIC_MONSTER_NAME",VLOOKUP(AB233,ConstDropMechs!$B$4:$C$1001,2,FALSE),""),"")</f>
        <v/>
      </c>
      <c r="AD233" s="3" t="str">
        <f>IF(AB233&lt;&gt;"",IF(AB233&lt;&gt;"LIBSETS_DROP_MECHANIC_MONSTER_NAME",VLOOKUP(AB233,ConstDropMechs!$B$4:$D$1001,3,FALSE),""),"")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zones'!$A$5:$D$10003,4,FALSE),"")</f>
        <v>Bangkorai</v>
      </c>
      <c r="AI233"/>
      <c r="AJ233"/>
      <c r="AK233" s="3" t="str">
        <f>IF(AND(G233&lt;&gt;"LIBSETS_SETTYPE_BATTLEGROUND",G233&lt;&gt;"LIBSETS_SETTYPE_SPECIAL"),IF(AL233&lt;&gt;"",VLOOKUP(AL233,'ESO zones'!$D$5:$H$4957,5,FALSE),""),"")</f>
        <v/>
      </c>
      <c r="AN233"/>
      <c r="AO233"/>
      <c r="AP233" s="3" t="str">
        <f>IF(AND(G233&lt;&gt;"LIBSETS_SETTYPE_BATTLEGROUND",G233&lt;&gt;"LIBSETS_SETTYPE_SPECIAL"),IF(AQ233&lt;&gt;"",VLOOKUP(AQ233,'ESO zones'!$D$5:$H$4957,5,FALSE),""),"")</f>
        <v/>
      </c>
      <c r="AS233"/>
      <c r="AT233"/>
      <c r="AU233" s="3" t="str">
        <f>IF(AND(G233&lt;&gt;"LIBSETS_SETTYPE_BATTLEGROUND",G233&lt;&gt;"LIBSETS_SETTYPE_SPECIAL"),IF(AV233&lt;&gt;"",VLOOKUP(AV233,'ESO zones'!$D$5:$H$4957,5,FALSE),""),"")</f>
        <v/>
      </c>
      <c r="AX233"/>
      <c r="AY233"/>
      <c r="AZ233" s="49" t="s">
        <v>403</v>
      </c>
      <c r="BA233" s="49"/>
      <c r="BB233" s="49"/>
      <c r="BC233" s="49"/>
      <c r="BD233" s="49"/>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1">
        <v>278</v>
      </c>
      <c r="B234" t="s">
        <v>954</v>
      </c>
      <c r="C234" t="s">
        <v>955</v>
      </c>
      <c r="D234" s="3">
        <f t="shared" si="18"/>
        <v>278</v>
      </c>
      <c r="G234" s="9" t="s">
        <v>172</v>
      </c>
      <c r="H234">
        <v>1</v>
      </c>
      <c r="I234" t="s">
        <v>712</v>
      </c>
      <c r="J234" t="s">
        <v>401</v>
      </c>
      <c r="K234">
        <v>187</v>
      </c>
      <c r="L234">
        <v>187</v>
      </c>
      <c r="M234">
        <v>187</v>
      </c>
      <c r="O234" s="5" t="s">
        <v>470</v>
      </c>
      <c r="Q234" s="3">
        <f>IF(AND(P234&lt;&gt;"",ISNUMBER(P234),NOT(ISNA(P234))),P234,IF(R234&lt;&gt;"",VLOOKUP(R234,'ESO zones'!$D$5:$H$10005,5,FALSE),""))</f>
        <v>64</v>
      </c>
      <c r="R234" t="str">
        <f>IF(AND(O234&lt;&gt;"",NOT(ISERROR(O234))),O234,IF(AND(P234&lt;&gt;"",ISNUMBER(P234),P234&gt;0,NOT(ISNA(P234))),VLOOKUP(P234,'ESO zones'!$A$5:$D$10003,4,FALSE),IF(AND(K234&lt;&gt;"",K234&gt;0,NOT(ISERROR(K234))),VLOOKUP(K234,'ESO wayshrines'!$K$3:$N$9972,4,FALSE),"")))</f>
        <v>Blessed Crucible</v>
      </c>
      <c r="T234" s="16" t="str">
        <f>IF(AND(S234&lt;&gt;"",NOT(ISERROR(S234))),S234,VLOOKUP(A234,'ESO Set&amp;DLCs'!$A$3:$D$99998,4,FALSE))</f>
        <v>DLC_BASE_GAME</v>
      </c>
      <c r="U234" s="3" t="str">
        <f>IF(T234&lt;&gt;"",VLOOKUP(T234,ConstDLCIds!$B$4:$C$1000,2,FALSE),"")</f>
        <v>Included in base game</v>
      </c>
      <c r="V234" s="4" t="s">
        <v>212</v>
      </c>
      <c r="W234" s="3" t="s">
        <v>956</v>
      </c>
      <c r="X234" s="3" t="s">
        <v>957</v>
      </c>
      <c r="Y234" s="5"/>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zones'!$A$5:$D$10003,4,FALSE),"")</f>
        <v>The Rift</v>
      </c>
      <c r="AC234" s="3" t="str">
        <f>IF(AB234&lt;&gt;"",IF(AB234&lt;&gt;"LIBSETS_DROP_MECHANIC_MONSTER_NAME",VLOOKUP(AB234,ConstDropMechs!$B$4:$C$1001,2,FALSE),""),"")</f>
        <v/>
      </c>
      <c r="AD234" s="3" t="str">
        <f>IF(AB234&lt;&gt;"",IF(AB234&lt;&gt;"LIBSETS_DROP_MECHANIC_MONSTER_NAME",VLOOKUP(AB234,ConstDropMechs!$B$4:$D$1001,3,FALSE),""),"")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zones'!$A$5:$D$10003,4,FALSE),"")</f>
        <v>The Rift</v>
      </c>
      <c r="AI234"/>
      <c r="AJ234"/>
      <c r="AK234" s="3" t="str">
        <f>IF(AND(G234&lt;&gt;"LIBSETS_SETTYPE_BATTLEGROUND",G234&lt;&gt;"LIBSETS_SETTYPE_SPECIAL"),IF(AL234&lt;&gt;"",VLOOKUP(AL234,'ESO zones'!$D$5:$H$4957,5,FALSE),""),"")</f>
        <v/>
      </c>
      <c r="AN234"/>
      <c r="AO234"/>
      <c r="AP234" s="3" t="str">
        <f>IF(AND(G234&lt;&gt;"LIBSETS_SETTYPE_BATTLEGROUND",G234&lt;&gt;"LIBSETS_SETTYPE_SPECIAL"),IF(AQ234&lt;&gt;"",VLOOKUP(AQ234,'ESO zones'!$D$5:$H$4957,5,FALSE),""),"")</f>
        <v/>
      </c>
      <c r="AS234"/>
      <c r="AT234"/>
      <c r="AU234" s="3" t="str">
        <f>IF(AND(G234&lt;&gt;"LIBSETS_SETTYPE_BATTLEGROUND",G234&lt;&gt;"LIBSETS_SETTYPE_SPECIAL"),IF(AV234&lt;&gt;"",VLOOKUP(AV234,'ESO zones'!$D$5:$H$4957,5,FALSE),""),"")</f>
        <v/>
      </c>
      <c r="AX234"/>
      <c r="AY234"/>
      <c r="AZ234" s="49" t="s">
        <v>403</v>
      </c>
      <c r="BA234" s="49"/>
      <c r="BB234" s="49"/>
      <c r="BC234" s="49"/>
      <c r="BD234" s="49"/>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1">
        <v>279</v>
      </c>
      <c r="B235" t="s">
        <v>958</v>
      </c>
      <c r="C235" t="s">
        <v>958</v>
      </c>
      <c r="D235" s="3">
        <f t="shared" si="18"/>
        <v>279</v>
      </c>
      <c r="G235" s="9" t="s">
        <v>172</v>
      </c>
      <c r="H235">
        <v>1</v>
      </c>
      <c r="I235" t="s">
        <v>712</v>
      </c>
      <c r="J235" t="s">
        <v>401</v>
      </c>
      <c r="K235">
        <v>185</v>
      </c>
      <c r="L235">
        <v>185</v>
      </c>
      <c r="M235">
        <v>185</v>
      </c>
      <c r="O235" s="5" t="s">
        <v>402</v>
      </c>
      <c r="Q235" s="3">
        <f>IF(AND(P235&lt;&gt;"",ISNUMBER(P235),NOT(ISNA(P235))),P235,IF(R235&lt;&gt;"",VLOOKUP(R235,'ESO zones'!$D$5:$H$10005,5,FALSE),""))</f>
        <v>31</v>
      </c>
      <c r="R235" t="str">
        <f>IF(AND(O235&lt;&gt;"",NOT(ISERROR(O235))),O235,IF(AND(P235&lt;&gt;"",ISNUMBER(P235),P235&gt;0,NOT(ISNA(P235))),VLOOKUP(P235,'ESO zones'!$A$5:$D$10003,4,FALSE),IF(AND(K235&lt;&gt;"",K235&gt;0,NOT(ISERROR(K235))),VLOOKUP(K235,'ESO wayshrines'!$K$3:$N$9972,4,FALSE),"")))</f>
        <v>Selene's Web</v>
      </c>
      <c r="T235" s="16" t="str">
        <f>IF(AND(S235&lt;&gt;"",NOT(ISERROR(S235))),S235,VLOOKUP(A235,'ESO Set&amp;DLCs'!$A$3:$D$99998,4,FALSE))</f>
        <v>DLC_BASE_GAME</v>
      </c>
      <c r="U235" s="3" t="str">
        <f>IF(T235&lt;&gt;"",VLOOKUP(T235,ConstDLCIds!$B$4:$C$1000,2,FALSE),"")</f>
        <v>Included in base game</v>
      </c>
      <c r="V235" s="4" t="s">
        <v>212</v>
      </c>
      <c r="W235" s="3" t="s">
        <v>958</v>
      </c>
      <c r="X235" s="3" t="s">
        <v>958</v>
      </c>
      <c r="Y235" s="5"/>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zones'!$A$5:$D$10003,4,FALSE),"")</f>
        <v>Reaper's March</v>
      </c>
      <c r="AC235" s="3" t="str">
        <f>IF(AB235&lt;&gt;"",IF(AB235&lt;&gt;"LIBSETS_DROP_MECHANIC_MONSTER_NAME",VLOOKUP(AB235,ConstDropMechs!$B$4:$C$1001,2,FALSE),""),"")</f>
        <v/>
      </c>
      <c r="AD235" s="3" t="str">
        <f>IF(AB235&lt;&gt;"",IF(AB235&lt;&gt;"LIBSETS_DROP_MECHANIC_MONSTER_NAME",VLOOKUP(AB235,ConstDropMechs!$B$4:$D$1001,3,FALSE),""),"")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zones'!$A$5:$D$10003,4,FALSE),"")</f>
        <v>Reaper's March</v>
      </c>
      <c r="AI235"/>
      <c r="AJ235"/>
      <c r="AK235" s="3" t="str">
        <f>IF(AND(G235&lt;&gt;"LIBSETS_SETTYPE_BATTLEGROUND",G235&lt;&gt;"LIBSETS_SETTYPE_SPECIAL"),IF(AL235&lt;&gt;"",VLOOKUP(AL235,'ESO zones'!$D$5:$H$4957,5,FALSE),""),"")</f>
        <v/>
      </c>
      <c r="AN235"/>
      <c r="AO235"/>
      <c r="AP235" s="3" t="str">
        <f>IF(AND(G235&lt;&gt;"LIBSETS_SETTYPE_BATTLEGROUND",G235&lt;&gt;"LIBSETS_SETTYPE_SPECIAL"),IF(AQ235&lt;&gt;"",VLOOKUP(AQ235,'ESO zones'!$D$5:$H$4957,5,FALSE),""),"")</f>
        <v/>
      </c>
      <c r="AS235"/>
      <c r="AT235"/>
      <c r="AU235" s="3" t="str">
        <f>IF(AND(G235&lt;&gt;"LIBSETS_SETTYPE_BATTLEGROUND",G235&lt;&gt;"LIBSETS_SETTYPE_SPECIAL"),IF(AV235&lt;&gt;"",VLOOKUP(AV235,'ESO zones'!$D$5:$H$4957,5,FALSE),""),"")</f>
        <v/>
      </c>
      <c r="AX235"/>
      <c r="AY235"/>
      <c r="AZ235" s="49" t="s">
        <v>403</v>
      </c>
      <c r="BA235" s="49"/>
      <c r="BB235" s="49"/>
      <c r="BC235" s="49"/>
      <c r="BD235" s="49"/>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1">
        <v>280</v>
      </c>
      <c r="B236" t="s">
        <v>959</v>
      </c>
      <c r="C236" t="s">
        <v>959</v>
      </c>
      <c r="D236" s="3">
        <f t="shared" si="18"/>
        <v>280</v>
      </c>
      <c r="G236" s="9" t="s">
        <v>172</v>
      </c>
      <c r="H236">
        <v>1</v>
      </c>
      <c r="I236" t="s">
        <v>712</v>
      </c>
      <c r="J236" t="s">
        <v>401</v>
      </c>
      <c r="K236">
        <v>184</v>
      </c>
      <c r="L236">
        <v>184</v>
      </c>
      <c r="M236">
        <v>184</v>
      </c>
      <c r="O236" s="5" t="s">
        <v>571</v>
      </c>
      <c r="Q236" s="3">
        <f>IF(AND(P236&lt;&gt;"",ISNUMBER(P236),NOT(ISNA(P236))),P236,IF(R236&lt;&gt;"",VLOOKUP(R236,'ESO zones'!$D$5:$H$10005,5,FALSE),""))</f>
        <v>11</v>
      </c>
      <c r="R236" t="str">
        <f>IF(AND(O236&lt;&gt;"",NOT(ISERROR(O236))),O236,IF(AND(P236&lt;&gt;"",ISNUMBER(P236),P236&gt;0,NOT(ISNA(P236))),VLOOKUP(P236,'ESO zones'!$A$5:$D$10003,4,FALSE),IF(AND(K236&lt;&gt;"",K236&gt;0,NOT(ISERROR(K236))),VLOOKUP(K236,'ESO wayshrines'!$K$3:$N$9972,4,FALSE),"")))</f>
        <v>Vaults of Madness</v>
      </c>
      <c r="T236" s="16" t="str">
        <f>IF(AND(S236&lt;&gt;"",NOT(ISERROR(S236))),S236,VLOOKUP(A236,'ESO Set&amp;DLCs'!$A$3:$D$99998,4,FALSE))</f>
        <v>DLC_BASE_GAME</v>
      </c>
      <c r="U236" s="3" t="str">
        <f>IF(T236&lt;&gt;"",VLOOKUP(T236,ConstDLCIds!$B$4:$C$1000,2,FALSE),"")</f>
        <v>Included in base game</v>
      </c>
      <c r="V236" s="4" t="s">
        <v>212</v>
      </c>
      <c r="W236" s="3" t="s">
        <v>960</v>
      </c>
      <c r="X236" s="3" t="s">
        <v>961</v>
      </c>
      <c r="Y236" s="5"/>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zones'!$A$5:$D$10003,4,FALSE),"")</f>
        <v>Coldharbour</v>
      </c>
      <c r="AC236" s="3" t="str">
        <f>IF(AB236&lt;&gt;"",IF(AB236&lt;&gt;"LIBSETS_DROP_MECHANIC_MONSTER_NAME",VLOOKUP(AB236,ConstDropMechs!$B$4:$C$1001,2,FALSE),""),"")</f>
        <v/>
      </c>
      <c r="AD236" s="3" t="str">
        <f>IF(AB236&lt;&gt;"",IF(AB236&lt;&gt;"LIBSETS_DROP_MECHANIC_MONSTER_NAME",VLOOKUP(AB236,ConstDropMechs!$B$4:$D$1001,3,FALSE),""),"")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zones'!$A$5:$D$10003,4,FALSE),"")</f>
        <v>Coldharbour</v>
      </c>
      <c r="AI236"/>
      <c r="AJ236"/>
      <c r="AK236" s="3" t="str">
        <f>IF(AND(G236&lt;&gt;"LIBSETS_SETTYPE_BATTLEGROUND",G236&lt;&gt;"LIBSETS_SETTYPE_SPECIAL"),IF(AL236&lt;&gt;"",VLOOKUP(AL236,'ESO zones'!$D$5:$H$4957,5,FALSE),""),"")</f>
        <v/>
      </c>
      <c r="AN236"/>
      <c r="AO236"/>
      <c r="AP236" s="3" t="str">
        <f>IF(AND(G236&lt;&gt;"LIBSETS_SETTYPE_BATTLEGROUND",G236&lt;&gt;"LIBSETS_SETTYPE_SPECIAL"),IF(AQ236&lt;&gt;"",VLOOKUP(AQ236,'ESO zones'!$D$5:$H$4957,5,FALSE),""),"")</f>
        <v/>
      </c>
      <c r="AS236"/>
      <c r="AT236"/>
      <c r="AU236" s="3" t="str">
        <f>IF(AND(G236&lt;&gt;"LIBSETS_SETTYPE_BATTLEGROUND",G236&lt;&gt;"LIBSETS_SETTYPE_SPECIAL"),IF(AV236&lt;&gt;"",VLOOKUP(AV236,'ESO zones'!$D$5:$H$4957,5,FALSE),""),"")</f>
        <v/>
      </c>
      <c r="AX236"/>
      <c r="AY236"/>
      <c r="AZ236" s="49" t="s">
        <v>403</v>
      </c>
      <c r="BA236" s="49"/>
      <c r="BB236" s="49"/>
      <c r="BC236" s="49"/>
      <c r="BD236" s="49"/>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2">
        <v>281</v>
      </c>
      <c r="B237" t="s">
        <v>962</v>
      </c>
      <c r="C237" t="s">
        <v>963</v>
      </c>
      <c r="D237" s="3">
        <f t="shared" si="18"/>
        <v>281</v>
      </c>
      <c r="G237" s="9" t="s">
        <v>174</v>
      </c>
      <c r="I237" t="s">
        <v>401</v>
      </c>
      <c r="J237" t="s">
        <v>401</v>
      </c>
      <c r="K237">
        <v>138</v>
      </c>
      <c r="L237">
        <v>141</v>
      </c>
      <c r="M237">
        <v>181</v>
      </c>
      <c r="Q237" s="3">
        <f>IF(AND(P237&lt;&gt;"",ISNUMBER(P237),NOT(ISNA(P237))),P237,IF(R237&lt;&gt;"",VLOOKUP(R237,'ESO zones'!$D$5:$H$10005,5,FALSE),""))</f>
        <v>534</v>
      </c>
      <c r="R237" t="str">
        <f>IF(AND(O237&lt;&gt;"",NOT(ISERROR(O237))),O237,IF(AND(P237&lt;&gt;"",ISNUMBER(P237),P237&gt;0,NOT(ISNA(P237))),VLOOKUP(P237,'ESO zones'!$A$5:$D$10003,4,FALSE),IF(AND(K237&lt;&gt;"",K237&gt;0,NOT(ISERROR(K237))),VLOOKUP(K237,'ESO wayshrines'!$K$3:$N$9972,4,FALSE),"")))</f>
        <v>Stros M'Kai</v>
      </c>
      <c r="T237" s="16" t="str">
        <f>IF(AND(S237&lt;&gt;"",NOT(ISERROR(S237))),S237,VLOOKUP(A237,'ESO Set&amp;DLCs'!$A$3:$D$99998,4,FALSE))</f>
        <v>DLC_BASE_GAME</v>
      </c>
      <c r="U237" s="3" t="str">
        <f>IF(T237&lt;&gt;"",VLOOKUP(T237,ConstDLCIds!$B$4:$C$1000,2,FALSE),"")</f>
        <v>Included in base game</v>
      </c>
      <c r="V237" s="4" t="s">
        <v>215</v>
      </c>
      <c r="Y237" s="5"/>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zones'!$A$5:$D$10003,4,FALSE),"")</f>
        <v>Khenarthi's Roost</v>
      </c>
      <c r="AB237" s="57" t="s">
        <v>218</v>
      </c>
      <c r="AE237" s="30"/>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zones'!$A$5:$D$10003,4,FALSE),"")</f>
        <v>Betnikh</v>
      </c>
      <c r="AH237" s="4" t="s">
        <v>224</v>
      </c>
      <c r="AI237" s="30"/>
      <c r="AJ237" s="30"/>
      <c r="AK237" s="3">
        <f>IF(AND(G237&lt;&gt;"LIBSETS_SETTYPE_BATTLEGROUND",G237&lt;&gt;"LIBSETS_SETTYPE_SPECIAL"),IF(AL237&lt;&gt;"",VLOOKUP(AL237,'ESO zones'!$D$5:$H$4957,5,FALSE),""),"")</f>
        <v>280</v>
      </c>
      <c r="AL237" t="s">
        <v>964</v>
      </c>
      <c r="AM237" s="4" t="s">
        <v>224</v>
      </c>
      <c r="AN237" s="30"/>
      <c r="AO237" s="30"/>
      <c r="AP237" s="3">
        <f>IF(AND(G237&lt;&gt;"LIBSETS_SETTYPE_BATTLEGROUND",G237&lt;&gt;"LIBSETS_SETTYPE_SPECIAL"),IF(AQ237&lt;&gt;"",VLOOKUP(AQ237,'ESO zones'!$D$5:$H$4957,5,FALSE),""),"")</f>
        <v>281</v>
      </c>
      <c r="AQ237" t="s">
        <v>965</v>
      </c>
      <c r="AR237" s="4" t="s">
        <v>224</v>
      </c>
      <c r="AS237" s="30"/>
      <c r="AT237" s="30"/>
      <c r="AU237" s="3">
        <f>IF(AND(G237&lt;&gt;"LIBSETS_SETTYPE_BATTLEGROUND",G237&lt;&gt;"LIBSETS_SETTYPE_SPECIAL"),IF(AV237&lt;&gt;"",VLOOKUP(AV237,'ESO zones'!$D$5:$H$4957,5,FALSE),""),"")</f>
        <v>281</v>
      </c>
      <c r="AV237" t="s">
        <v>965</v>
      </c>
      <c r="AW237" s="80" t="s">
        <v>269</v>
      </c>
      <c r="AX237" s="30"/>
      <c r="AY237" s="30"/>
      <c r="AZ237" s="49" t="s">
        <v>410</v>
      </c>
      <c r="BA237" s="49"/>
      <c r="BB237" s="49"/>
      <c r="BC237" s="49"/>
      <c r="BD237" s="49"/>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2">
        <v>282</v>
      </c>
      <c r="B238" t="s">
        <v>966</v>
      </c>
      <c r="C238" t="s">
        <v>967</v>
      </c>
      <c r="D238" s="3">
        <f t="shared" si="18"/>
        <v>282</v>
      </c>
      <c r="G238" s="9" t="s">
        <v>174</v>
      </c>
      <c r="I238" t="s">
        <v>401</v>
      </c>
      <c r="J238" t="s">
        <v>401</v>
      </c>
      <c r="K238">
        <v>55</v>
      </c>
      <c r="L238">
        <v>55</v>
      </c>
      <c r="M238">
        <v>55</v>
      </c>
      <c r="O238" s="5" t="s">
        <v>501</v>
      </c>
      <c r="Q238" s="3">
        <f>IF(AND(P238&lt;&gt;"",ISNUMBER(P238),NOT(ISNA(P238))),P238,IF(R238&lt;&gt;"",VLOOKUP(R238,'ESO zones'!$D$5:$H$10005,5,FALSE),""))</f>
        <v>20</v>
      </c>
      <c r="R238" t="str">
        <f>IF(AND(O238&lt;&gt;"",NOT(ISERROR(O238))),O238,IF(AND(P238&lt;&gt;"",ISNUMBER(P238),P238&gt;0,NOT(ISNA(P238))),VLOOKUP(P238,'ESO zones'!$A$5:$D$10003,4,FALSE),IF(AND(K238&lt;&gt;"",K238&gt;0,NOT(ISERROR(K238))),VLOOKUP(K238,'ESO wayshrines'!$K$3:$N$9972,4,FALSE),"")))</f>
        <v>Rivenspire</v>
      </c>
      <c r="T238" s="16" t="str">
        <f>IF(AND(S238&lt;&gt;"",NOT(ISERROR(S238))),S238,VLOOKUP(A238,'ESO Set&amp;DLCs'!$A$3:$D$99998,4,FALSE))</f>
        <v>DLC_BASE_GAME</v>
      </c>
      <c r="U238" s="3" t="str">
        <f>IF(T238&lt;&gt;"",VLOOKUP(T238,ConstDLCIds!$B$4:$C$1000,2,FALSE),"")</f>
        <v>Included in base game</v>
      </c>
      <c r="V238" s="4" t="s">
        <v>215</v>
      </c>
      <c r="Y238" s="5"/>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zones'!$A$5:$D$10003,4,FALSE),"")</f>
        <v>Rivenspire</v>
      </c>
      <c r="AB238" s="4" t="s">
        <v>218</v>
      </c>
      <c r="AE238" s="3">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zones'!$A$5:$D$10003,4,FALSE),"")</f>
        <v>Obsidian Scar</v>
      </c>
      <c r="AH238" s="4" t="s">
        <v>221</v>
      </c>
      <c r="AI238" s="30"/>
      <c r="AJ238" s="30"/>
      <c r="AK238" s="3">
        <f>IF(AND(G238&lt;&gt;"LIBSETS_SETTYPE_BATTLEGROUND",G238&lt;&gt;"LIBSETS_SETTYPE_SPECIAL"),IF(AL238&lt;&gt;"",VLOOKUP(AL238,'ESO zones'!$D$5:$H$4957,5,FALSE),""),"")</f>
        <v>20</v>
      </c>
      <c r="AL238" t="s">
        <v>501</v>
      </c>
      <c r="AM238" s="4" t="s">
        <v>224</v>
      </c>
      <c r="AN238" s="30"/>
      <c r="AO238" s="30"/>
      <c r="AP238" s="3">
        <f>IF(AND(G238&lt;&gt;"LIBSETS_SETTYPE_BATTLEGROUND",G238&lt;&gt;"LIBSETS_SETTYPE_SPECIAL"),IF(AQ238&lt;&gt;"",VLOOKUP(AQ238,'ESO zones'!$D$5:$H$4957,5,FALSE),""),"")</f>
        <v>20</v>
      </c>
      <c r="AQ238" t="s">
        <v>501</v>
      </c>
      <c r="AR238" s="80" t="s">
        <v>269</v>
      </c>
      <c r="AS238" s="30"/>
      <c r="AT238" s="30"/>
      <c r="AU238" s="3" t="str">
        <f>IF(AND(G238&lt;&gt;"LIBSETS_SETTYPE_BATTLEGROUND",G238&lt;&gt;"LIBSETS_SETTYPE_SPECIAL"),IF(AV238&lt;&gt;"",VLOOKUP(AV238,'ESO zones'!$D$5:$H$4957,5,FALSE),""),"")</f>
        <v/>
      </c>
      <c r="AX238" s="30"/>
      <c r="AY238" s="30"/>
      <c r="AZ238" s="49" t="s">
        <v>403</v>
      </c>
      <c r="BA238" s="49"/>
      <c r="BB238" s="49"/>
      <c r="BC238" s="49"/>
      <c r="BD238" s="49"/>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2">
        <v>283</v>
      </c>
      <c r="B239" t="s">
        <v>968</v>
      </c>
      <c r="C239" t="s">
        <v>969</v>
      </c>
      <c r="D239" s="3">
        <f t="shared" si="18"/>
        <v>283</v>
      </c>
      <c r="G239" s="9" t="s">
        <v>174</v>
      </c>
      <c r="I239" t="s">
        <v>401</v>
      </c>
      <c r="J239" t="s">
        <v>401</v>
      </c>
      <c r="K239">
        <v>61</v>
      </c>
      <c r="L239">
        <v>61</v>
      </c>
      <c r="M239">
        <v>61</v>
      </c>
      <c r="O239" s="5" t="s">
        <v>442</v>
      </c>
      <c r="Q239" s="3">
        <f>IF(AND(P239&lt;&gt;"",ISNUMBER(P239),NOT(ISNA(P239))),P239,IF(R239&lt;&gt;"",VLOOKUP(R239,'ESO zones'!$D$5:$H$10005,5,FALSE),""))</f>
        <v>104</v>
      </c>
      <c r="R239" t="str">
        <f>IF(AND(O239&lt;&gt;"",NOT(ISERROR(O239))),O239,IF(AND(P239&lt;&gt;"",ISNUMBER(P239),P239&gt;0,NOT(ISNA(P239))),VLOOKUP(P239,'ESO zones'!$A$5:$D$10003,4,FALSE),IF(AND(K239&lt;&gt;"",K239&gt;0,NOT(ISERROR(K239))),VLOOKUP(K239,'ESO wayshrines'!$K$3:$N$9972,4,FALSE),"")))</f>
        <v>Alik'r Desert</v>
      </c>
      <c r="T239" s="16" t="str">
        <f>IF(AND(S239&lt;&gt;"",NOT(ISERROR(S239))),S239,VLOOKUP(A239,'ESO Set&amp;DLCs'!$A$3:$D$99998,4,FALSE))</f>
        <v>DLC_BASE_GAME</v>
      </c>
      <c r="U239" s="3" t="str">
        <f>IF(T239&lt;&gt;"",VLOOKUP(T239,ConstDLCIds!$B$4:$C$1000,2,FALSE),"")</f>
        <v>Included in base game</v>
      </c>
      <c r="V239" s="4" t="s">
        <v>215</v>
      </c>
      <c r="Y239" s="5"/>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zones'!$A$5:$D$10003,4,FALSE),"")</f>
        <v>Alik'r Desert</v>
      </c>
      <c r="AB239" s="4" t="s">
        <v>218</v>
      </c>
      <c r="AE239" s="3">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zones'!$A$5:$D$10003,4,FALSE),"")</f>
        <v>Lost City of the Na-Totambu</v>
      </c>
      <c r="AH239" s="4" t="s">
        <v>221</v>
      </c>
      <c r="AI239" s="30"/>
      <c r="AJ239" s="30"/>
      <c r="AK239" s="3">
        <f>IF(AND(G239&lt;&gt;"LIBSETS_SETTYPE_BATTLEGROUND",G239&lt;&gt;"LIBSETS_SETTYPE_SPECIAL"),IF(AL239&lt;&gt;"",VLOOKUP(AL239,'ESO zones'!$D$5:$H$4957,5,FALSE),""),"")</f>
        <v>104</v>
      </c>
      <c r="AL239" t="s">
        <v>442</v>
      </c>
      <c r="AM239" s="4" t="s">
        <v>224</v>
      </c>
      <c r="AN239" s="30"/>
      <c r="AO239" s="30"/>
      <c r="AP239" s="3">
        <f>IF(AND(G239&lt;&gt;"LIBSETS_SETTYPE_BATTLEGROUND",G239&lt;&gt;"LIBSETS_SETTYPE_SPECIAL"),IF(AQ239&lt;&gt;"",VLOOKUP(AQ239,'ESO zones'!$D$5:$H$4957,5,FALSE),""),"")</f>
        <v>104</v>
      </c>
      <c r="AQ239" t="s">
        <v>442</v>
      </c>
      <c r="AR239" s="80" t="s">
        <v>269</v>
      </c>
      <c r="AS239" s="30"/>
      <c r="AT239" s="30"/>
      <c r="AU239" s="3" t="str">
        <f>IF(AND(G239&lt;&gt;"LIBSETS_SETTYPE_BATTLEGROUND",G239&lt;&gt;"LIBSETS_SETTYPE_SPECIAL"),IF(AV239&lt;&gt;"",VLOOKUP(AV239,'ESO zones'!$D$5:$H$4957,5,FALSE),""),"")</f>
        <v/>
      </c>
      <c r="AX239" s="30"/>
      <c r="AY239" s="30"/>
      <c r="AZ239" s="49" t="s">
        <v>410</v>
      </c>
      <c r="BA239" s="49"/>
      <c r="BB239" s="49"/>
      <c r="BC239" s="49"/>
      <c r="BD239" s="49"/>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2">
        <v>284</v>
      </c>
      <c r="B240" t="s">
        <v>970</v>
      </c>
      <c r="C240" t="s">
        <v>971</v>
      </c>
      <c r="D240" s="3">
        <f t="shared" si="18"/>
        <v>284</v>
      </c>
      <c r="G240" s="9" t="s">
        <v>174</v>
      </c>
      <c r="I240" t="s">
        <v>401</v>
      </c>
      <c r="J240" t="s">
        <v>401</v>
      </c>
      <c r="K240">
        <v>61</v>
      </c>
      <c r="L240">
        <v>61</v>
      </c>
      <c r="M240">
        <v>61</v>
      </c>
      <c r="O240" s="5" t="s">
        <v>442</v>
      </c>
      <c r="Q240" s="3">
        <f>IF(AND(P240&lt;&gt;"",ISNUMBER(P240),NOT(ISNA(P240))),P240,IF(R240&lt;&gt;"",VLOOKUP(R240,'ESO zones'!$D$5:$H$10005,5,FALSE),""))</f>
        <v>104</v>
      </c>
      <c r="R240" t="str">
        <f>IF(AND(O240&lt;&gt;"",NOT(ISERROR(O240))),O240,IF(AND(P240&lt;&gt;"",ISNUMBER(P240),P240&gt;0,NOT(ISNA(P240))),VLOOKUP(P240,'ESO zones'!$A$5:$D$10003,4,FALSE),IF(AND(K240&lt;&gt;"",K240&gt;0,NOT(ISERROR(K240))),VLOOKUP(K240,'ESO wayshrines'!$K$3:$N$9972,4,FALSE),"")))</f>
        <v>Alik'r Desert</v>
      </c>
      <c r="T240" s="16" t="str">
        <f>IF(AND(S240&lt;&gt;"",NOT(ISERROR(S240))),S240,VLOOKUP(A240,'ESO Set&amp;DLCs'!$A$3:$D$99998,4,FALSE))</f>
        <v>DLC_BASE_GAME</v>
      </c>
      <c r="U240" s="3" t="str">
        <f>IF(T240&lt;&gt;"",VLOOKUP(T240,ConstDLCIds!$B$4:$C$1000,2,FALSE),"")</f>
        <v>Included in base game</v>
      </c>
      <c r="V240" s="4" t="s">
        <v>215</v>
      </c>
      <c r="Y240" s="5"/>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zones'!$A$5:$D$10003,4,FALSE),"")</f>
        <v>Alik'r Desert</v>
      </c>
      <c r="AB240" s="4" t="s">
        <v>218</v>
      </c>
      <c r="AE240" s="3">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zones'!$A$5:$D$10003,4,FALSE),"")</f>
        <v>Lost City of the Na-Totambu</v>
      </c>
      <c r="AH240" s="4" t="s">
        <v>221</v>
      </c>
      <c r="AI240" s="30"/>
      <c r="AJ240" s="30"/>
      <c r="AK240" s="3">
        <f>IF(AND(G240&lt;&gt;"LIBSETS_SETTYPE_BATTLEGROUND",G240&lt;&gt;"LIBSETS_SETTYPE_SPECIAL"),IF(AL240&lt;&gt;"",VLOOKUP(AL240,'ESO zones'!$D$5:$H$4957,5,FALSE),""),"")</f>
        <v>104</v>
      </c>
      <c r="AL240" t="s">
        <v>442</v>
      </c>
      <c r="AM240" s="4" t="s">
        <v>224</v>
      </c>
      <c r="AN240" s="30"/>
      <c r="AO240" s="30"/>
      <c r="AP240" s="3">
        <f>IF(AND(G240&lt;&gt;"LIBSETS_SETTYPE_BATTLEGROUND",G240&lt;&gt;"LIBSETS_SETTYPE_SPECIAL"),IF(AQ240&lt;&gt;"",VLOOKUP(AQ240,'ESO zones'!$D$5:$H$4957,5,FALSE),""),"")</f>
        <v>104</v>
      </c>
      <c r="AQ240" t="s">
        <v>442</v>
      </c>
      <c r="AR240" s="80" t="s">
        <v>269</v>
      </c>
      <c r="AS240" s="30"/>
      <c r="AT240" s="30"/>
      <c r="AU240" s="3" t="str">
        <f>IF(AND(G240&lt;&gt;"LIBSETS_SETTYPE_BATTLEGROUND",G240&lt;&gt;"LIBSETS_SETTYPE_SPECIAL"),IF(AV240&lt;&gt;"",VLOOKUP(AV240,'ESO zones'!$D$5:$H$4957,5,FALSE),""),"")</f>
        <v/>
      </c>
      <c r="AX240" s="30"/>
      <c r="AY240" s="30"/>
      <c r="AZ240" s="49" t="s">
        <v>403</v>
      </c>
      <c r="BA240" s="49"/>
      <c r="BB240" s="49"/>
      <c r="BC240" s="49"/>
      <c r="BD240" s="49"/>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2">
        <v>285</v>
      </c>
      <c r="B241" t="s">
        <v>972</v>
      </c>
      <c r="C241" t="s">
        <v>973</v>
      </c>
      <c r="D241" s="3">
        <f t="shared" si="18"/>
        <v>285</v>
      </c>
      <c r="G241" s="9" t="s">
        <v>174</v>
      </c>
      <c r="I241" t="s">
        <v>401</v>
      </c>
      <c r="J241" t="s">
        <v>401</v>
      </c>
      <c r="K241">
        <v>36</v>
      </c>
      <c r="L241">
        <v>36</v>
      </c>
      <c r="M241">
        <v>36</v>
      </c>
      <c r="O241" s="5" t="s">
        <v>524</v>
      </c>
      <c r="Q241" s="3">
        <f>IF(AND(P241&lt;&gt;"",ISNUMBER(P241),NOT(ISNA(P241))),P241,IF(R241&lt;&gt;"",VLOOKUP(R241,'ESO zones'!$D$5:$H$10005,5,FALSE),""))</f>
        <v>92</v>
      </c>
      <c r="R241" t="str">
        <f>IF(AND(O241&lt;&gt;"",NOT(ISERROR(O241))),O241,IF(AND(P241&lt;&gt;"",ISNUMBER(P241),P241&gt;0,NOT(ISNA(P241))),VLOOKUP(P241,'ESO zones'!$A$5:$D$10003,4,FALSE),IF(AND(K241&lt;&gt;"",K241&gt;0,NOT(ISERROR(K241))),VLOOKUP(K241,'ESO wayshrines'!$K$3:$N$9972,4,FALSE),"")))</f>
        <v>Bangkorai</v>
      </c>
      <c r="T241" s="16" t="str">
        <f>IF(AND(S241&lt;&gt;"",NOT(ISERROR(S241))),S241,VLOOKUP(A241,'ESO Set&amp;DLCs'!$A$3:$D$99998,4,FALSE))</f>
        <v>DLC_BASE_GAME</v>
      </c>
      <c r="U241" s="3" t="str">
        <f>IF(T241&lt;&gt;"",VLOOKUP(T241,ConstDLCIds!$B$4:$C$1000,2,FALSE),"")</f>
        <v>Included in base game</v>
      </c>
      <c r="V241" s="4" t="s">
        <v>215</v>
      </c>
      <c r="Y241" s="5"/>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zones'!$A$5:$D$10003,4,FALSE),"")</f>
        <v>Bangkorai</v>
      </c>
      <c r="AB241" s="4" t="s">
        <v>218</v>
      </c>
      <c r="AE241" s="3">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zones'!$A$5:$D$10003,4,FALSE),"")</f>
        <v>Razak's Wheel</v>
      </c>
      <c r="AH241" s="4" t="s">
        <v>221</v>
      </c>
      <c r="AI241" s="30"/>
      <c r="AJ241" s="30"/>
      <c r="AK241" s="3">
        <f>IF(AND(G241&lt;&gt;"LIBSETS_SETTYPE_BATTLEGROUND",G241&lt;&gt;"LIBSETS_SETTYPE_SPECIAL"),IF(AL241&lt;&gt;"",VLOOKUP(AL241,'ESO zones'!$D$5:$H$4957,5,FALSE),""),"")</f>
        <v>92</v>
      </c>
      <c r="AL241" t="s">
        <v>524</v>
      </c>
      <c r="AM241" s="4" t="s">
        <v>224</v>
      </c>
      <c r="AN241" s="30"/>
      <c r="AO241" s="30"/>
      <c r="AP241" s="3">
        <f>IF(AND(G241&lt;&gt;"LIBSETS_SETTYPE_BATTLEGROUND",G241&lt;&gt;"LIBSETS_SETTYPE_SPECIAL"),IF(AQ241&lt;&gt;"",VLOOKUP(AQ241,'ESO zones'!$D$5:$H$4957,5,FALSE),""),"")</f>
        <v>92</v>
      </c>
      <c r="AQ241" t="s">
        <v>524</v>
      </c>
      <c r="AR241" s="80" t="s">
        <v>269</v>
      </c>
      <c r="AS241" s="30"/>
      <c r="AT241" s="30"/>
      <c r="AU241" s="3" t="str">
        <f>IF(AND(G241&lt;&gt;"LIBSETS_SETTYPE_BATTLEGROUND",G241&lt;&gt;"LIBSETS_SETTYPE_SPECIAL"),IF(AV241&lt;&gt;"",VLOOKUP(AV241,'ESO zones'!$D$5:$H$4957,5,FALSE),""),"")</f>
        <v/>
      </c>
      <c r="AX241" s="30"/>
      <c r="AY241" s="30"/>
      <c r="AZ241" s="49" t="s">
        <v>403</v>
      </c>
      <c r="BA241" s="49"/>
      <c r="BB241" s="49"/>
      <c r="BC241" s="49"/>
      <c r="BD241" s="49"/>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2">
        <v>286</v>
      </c>
      <c r="B242" t="s">
        <v>974</v>
      </c>
      <c r="C242" t="s">
        <v>975</v>
      </c>
      <c r="D242" s="3">
        <f t="shared" si="18"/>
        <v>286</v>
      </c>
      <c r="G242" s="9" t="s">
        <v>174</v>
      </c>
      <c r="I242" t="s">
        <v>401</v>
      </c>
      <c r="J242" t="s">
        <v>401</v>
      </c>
      <c r="K242">
        <v>36</v>
      </c>
      <c r="L242">
        <v>36</v>
      </c>
      <c r="M242">
        <v>36</v>
      </c>
      <c r="O242" s="5" t="s">
        <v>524</v>
      </c>
      <c r="Q242" s="3">
        <f>IF(AND(P242&lt;&gt;"",ISNUMBER(P242),NOT(ISNA(P242))),P242,IF(R242&lt;&gt;"",VLOOKUP(R242,'ESO zones'!$D$5:$H$10005,5,FALSE),""))</f>
        <v>92</v>
      </c>
      <c r="R242" t="str">
        <f>IF(AND(O242&lt;&gt;"",NOT(ISERROR(O242))),O242,IF(AND(P242&lt;&gt;"",ISNUMBER(P242),P242&gt;0,NOT(ISNA(P242))),VLOOKUP(P242,'ESO zones'!$A$5:$D$10003,4,FALSE),IF(AND(K242&lt;&gt;"",K242&gt;0,NOT(ISERROR(K242))),VLOOKUP(K242,'ESO wayshrines'!$K$3:$N$9972,4,FALSE),"")))</f>
        <v>Bangkorai</v>
      </c>
      <c r="T242" s="16" t="str">
        <f>IF(AND(S242&lt;&gt;"",NOT(ISERROR(S242))),S242,VLOOKUP(A242,'ESO Set&amp;DLCs'!$A$3:$D$99998,4,FALSE))</f>
        <v>DLC_BASE_GAME</v>
      </c>
      <c r="U242" s="3" t="str">
        <f>IF(T242&lt;&gt;"",VLOOKUP(T242,ConstDLCIds!$B$4:$C$1000,2,FALSE),"")</f>
        <v>Included in base game</v>
      </c>
      <c r="V242" s="4" t="s">
        <v>215</v>
      </c>
      <c r="Y242" s="5"/>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zones'!$A$5:$D$10003,4,FALSE),"")</f>
        <v>Bangkorai</v>
      </c>
      <c r="AB242" s="4" t="s">
        <v>218</v>
      </c>
      <c r="AE242" s="3">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zones'!$A$5:$D$10003,4,FALSE),"")</f>
        <v>Razak's Wheel</v>
      </c>
      <c r="AH242" s="4" t="s">
        <v>221</v>
      </c>
      <c r="AI242" s="30"/>
      <c r="AJ242" s="30"/>
      <c r="AK242" s="3">
        <f>IF(AND(G242&lt;&gt;"LIBSETS_SETTYPE_BATTLEGROUND",G242&lt;&gt;"LIBSETS_SETTYPE_SPECIAL"),IF(AL242&lt;&gt;"",VLOOKUP(AL242,'ESO zones'!$D$5:$H$4957,5,FALSE),""),"")</f>
        <v>92</v>
      </c>
      <c r="AL242" t="s">
        <v>524</v>
      </c>
      <c r="AM242" s="4" t="s">
        <v>224</v>
      </c>
      <c r="AN242" s="30"/>
      <c r="AO242" s="30"/>
      <c r="AP242" s="3">
        <f>IF(AND(G242&lt;&gt;"LIBSETS_SETTYPE_BATTLEGROUND",G242&lt;&gt;"LIBSETS_SETTYPE_SPECIAL"),IF(AQ242&lt;&gt;"",VLOOKUP(AQ242,'ESO zones'!$D$5:$H$4957,5,FALSE),""),"")</f>
        <v>92</v>
      </c>
      <c r="AQ242" t="s">
        <v>524</v>
      </c>
      <c r="AR242" s="80" t="s">
        <v>269</v>
      </c>
      <c r="AS242" s="30"/>
      <c r="AT242" s="30"/>
      <c r="AU242" s="3" t="str">
        <f>IF(AND(G242&lt;&gt;"LIBSETS_SETTYPE_BATTLEGROUND",G242&lt;&gt;"LIBSETS_SETTYPE_SPECIAL"),IF(AV242&lt;&gt;"",VLOOKUP(AV242,'ESO zones'!$D$5:$H$4957,5,FALSE),""),"")</f>
        <v/>
      </c>
      <c r="AX242" s="30"/>
      <c r="AY242" s="30"/>
      <c r="AZ242" s="49" t="s">
        <v>410</v>
      </c>
      <c r="BA242" s="49"/>
      <c r="BB242" s="49"/>
      <c r="BC242" s="49"/>
      <c r="BD242" s="49"/>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2">
        <v>287</v>
      </c>
      <c r="B243" t="s">
        <v>976</v>
      </c>
      <c r="C243" t="s">
        <v>977</v>
      </c>
      <c r="D243" s="3">
        <f t="shared" si="18"/>
        <v>287</v>
      </c>
      <c r="G243" s="9" t="s">
        <v>174</v>
      </c>
      <c r="I243" t="s">
        <v>401</v>
      </c>
      <c r="J243" t="s">
        <v>401</v>
      </c>
      <c r="K243">
        <v>214</v>
      </c>
      <c r="L243">
        <v>214</v>
      </c>
      <c r="M243">
        <v>214</v>
      </c>
      <c r="O243" s="5" t="s">
        <v>451</v>
      </c>
      <c r="Q243" s="3">
        <f>IF(AND(P243&lt;&gt;"",ISNUMBER(P243),NOT(ISNA(P243))),P243,IF(R243&lt;&gt;"",VLOOKUP(R243,'ESO zones'!$D$5:$H$10005,5,FALSE),""))</f>
        <v>383</v>
      </c>
      <c r="R243" t="str">
        <f>IF(AND(O243&lt;&gt;"",NOT(ISERROR(O243))),O243,IF(AND(P243&lt;&gt;"",ISNUMBER(P243),P243&gt;0,NOT(ISNA(P243))),VLOOKUP(P243,'ESO zones'!$A$5:$D$10003,4,FALSE),IF(AND(K243&lt;&gt;"",K243&gt;0,NOT(ISERROR(K243))),VLOOKUP(K243,'ESO wayshrines'!$K$3:$N$9972,4,FALSE),"")))</f>
        <v>Grahtwood</v>
      </c>
      <c r="T243" s="16" t="str">
        <f>IF(AND(S243&lt;&gt;"",NOT(ISERROR(S243))),S243,VLOOKUP(A243,'ESO Set&amp;DLCs'!$A$3:$D$99998,4,FALSE))</f>
        <v>DLC_BASE_GAME</v>
      </c>
      <c r="U243" s="3" t="str">
        <f>IF(T243&lt;&gt;"",VLOOKUP(T243,ConstDLCIds!$B$4:$C$1000,2,FALSE),"")</f>
        <v>Included in base game</v>
      </c>
      <c r="V243" s="4" t="s">
        <v>215</v>
      </c>
      <c r="Y243" s="5"/>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zones'!$A$5:$D$10003,4,FALSE),"")</f>
        <v>Grahtwood</v>
      </c>
      <c r="AB243" s="4" t="s">
        <v>218</v>
      </c>
      <c r="AE243" s="3">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zones'!$A$5:$D$10003,4,FALSE),"")</f>
        <v>Root Sunder Ruins</v>
      </c>
      <c r="AH243" s="4" t="s">
        <v>221</v>
      </c>
      <c r="AI243" s="30"/>
      <c r="AJ243" s="30"/>
      <c r="AK243" s="3">
        <f>IF(AND(G243&lt;&gt;"LIBSETS_SETTYPE_BATTLEGROUND",G243&lt;&gt;"LIBSETS_SETTYPE_SPECIAL"),IF(AL243&lt;&gt;"",VLOOKUP(AL243,'ESO zones'!$D$5:$H$4957,5,FALSE),""),"")</f>
        <v>383</v>
      </c>
      <c r="AL243" t="s">
        <v>451</v>
      </c>
      <c r="AM243" s="4" t="s">
        <v>224</v>
      </c>
      <c r="AN243" s="30"/>
      <c r="AO243" s="30"/>
      <c r="AP243" s="3">
        <f>IF(AND(G243&lt;&gt;"LIBSETS_SETTYPE_BATTLEGROUND",G243&lt;&gt;"LIBSETS_SETTYPE_SPECIAL"),IF(AQ243&lt;&gt;"",VLOOKUP(AQ243,'ESO zones'!$D$5:$H$4957,5,FALSE),""),"")</f>
        <v>383</v>
      </c>
      <c r="AQ243" t="s">
        <v>451</v>
      </c>
      <c r="AR243" s="80" t="s">
        <v>269</v>
      </c>
      <c r="AS243" s="30"/>
      <c r="AT243" s="30"/>
      <c r="AU243" s="3" t="str">
        <f>IF(AND(G243&lt;&gt;"LIBSETS_SETTYPE_BATTLEGROUND",G243&lt;&gt;"LIBSETS_SETTYPE_SPECIAL"),IF(AV243&lt;&gt;"",VLOOKUP(AV243,'ESO zones'!$D$5:$H$4957,5,FALSE),""),"")</f>
        <v/>
      </c>
      <c r="AX243" s="30"/>
      <c r="AY243" s="30"/>
      <c r="AZ243" s="49" t="s">
        <v>403</v>
      </c>
      <c r="BA243" s="49"/>
      <c r="BB243" s="49"/>
      <c r="BC243" s="49"/>
      <c r="BD243" s="49"/>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4" customFormat="1" x14ac:dyDescent="0.25">
      <c r="A244" s="12">
        <v>288</v>
      </c>
      <c r="B244" t="s">
        <v>978</v>
      </c>
      <c r="C244" t="s">
        <v>979</v>
      </c>
      <c r="D244" s="3">
        <f t="shared" si="18"/>
        <v>288</v>
      </c>
      <c r="E244"/>
      <c r="F244"/>
      <c r="G244" s="9" t="s">
        <v>174</v>
      </c>
      <c r="H244"/>
      <c r="I244" t="s">
        <v>401</v>
      </c>
      <c r="J244" t="s">
        <v>401</v>
      </c>
      <c r="K244">
        <v>143</v>
      </c>
      <c r="L244">
        <v>143</v>
      </c>
      <c r="M244">
        <v>143</v>
      </c>
      <c r="N244"/>
      <c r="O244" s="5" t="s">
        <v>511</v>
      </c>
      <c r="P244" s="5"/>
      <c r="Q244" s="3">
        <f>IF(AND(P244&lt;&gt;"",ISNUMBER(P244),NOT(ISNA(P244))),P244,IF(R244&lt;&gt;"",VLOOKUP(R244,'ESO zones'!$D$5:$H$10005,5,FALSE),""))</f>
        <v>108</v>
      </c>
      <c r="R244" t="str">
        <f>IF(AND(O244&lt;&gt;"",NOT(ISERROR(O244))),O244,IF(AND(P244&lt;&gt;"",ISNUMBER(P244),P244&gt;0,NOT(ISNA(P244))),VLOOKUP(P244,'ESO zones'!$A$5:$D$10003,4,FALSE),IF(AND(K244&lt;&gt;"",K244&gt;0,NOT(ISERROR(K244))),VLOOKUP(K244,'ESO wayshrines'!$K$3:$N$9972,4,FALSE),"")))</f>
        <v>Greenshade</v>
      </c>
      <c r="S244" s="5"/>
      <c r="T244" s="16" t="str">
        <f>IF(AND(S244&lt;&gt;"",NOT(ISERROR(S244))),S244,VLOOKUP(A244,'ESO Set&amp;DLCs'!$A$3:$D$99998,4,FALSE))</f>
        <v>DLC_BASE_GAME</v>
      </c>
      <c r="U244" s="3" t="str">
        <f>IF(T244&lt;&gt;"",VLOOKUP(T244,ConstDLCIds!$B$4:$C$1000,2,FALSE),"")</f>
        <v>Included in base game</v>
      </c>
      <c r="V244" s="4" t="s">
        <v>215</v>
      </c>
      <c r="W244" s="3"/>
      <c r="X244" s="3"/>
      <c r="Y244" s="5"/>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zones'!$A$5:$D$10003,4,FALSE),"")</f>
        <v>Greenshade</v>
      </c>
      <c r="AB244" s="4" t="s">
        <v>218</v>
      </c>
      <c r="AC244" s="3"/>
      <c r="AD244" s="3"/>
      <c r="AE244" s="3">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zones'!$A$5:$D$10003,4,FALSE),"")</f>
        <v>Rulanyil's Fall</v>
      </c>
      <c r="AH244" s="4" t="s">
        <v>221</v>
      </c>
      <c r="AI244" s="3"/>
      <c r="AJ244" s="3"/>
      <c r="AK244" s="3">
        <f>IF(AND(G244&lt;&gt;"LIBSETS_SETTYPE_BATTLEGROUND",G244&lt;&gt;"LIBSETS_SETTYPE_SPECIAL"),IF(AL244&lt;&gt;"",VLOOKUP(AL244,'ESO zones'!$D$5:$H$4957,5,FALSE),""),"")</f>
        <v>108</v>
      </c>
      <c r="AL244" t="s">
        <v>511</v>
      </c>
      <c r="AM244" s="4" t="s">
        <v>224</v>
      </c>
      <c r="AN244" s="3"/>
      <c r="AO244" s="3"/>
      <c r="AP244" s="3">
        <f>IF(AND(G244&lt;&gt;"LIBSETS_SETTYPE_BATTLEGROUND",G244&lt;&gt;"LIBSETS_SETTYPE_SPECIAL"),IF(AQ244&lt;&gt;"",VLOOKUP(AQ244,'ESO zones'!$D$5:$H$4957,5,FALSE),""),"")</f>
        <v>108</v>
      </c>
      <c r="AQ244" t="s">
        <v>511</v>
      </c>
      <c r="AR244" s="80" t="s">
        <v>269</v>
      </c>
      <c r="AS244" s="3"/>
      <c r="AT244" s="3"/>
      <c r="AU244" s="3" t="str">
        <f>IF(AND(G244&lt;&gt;"LIBSETS_SETTYPE_BATTLEGROUND",G244&lt;&gt;"LIBSETS_SETTYPE_SPECIAL"),IF(AV244&lt;&gt;"",VLOOKUP(AV244,'ESO zones'!$D$5:$H$4957,5,FALSE),""),"")</f>
        <v/>
      </c>
      <c r="AV244"/>
      <c r="AW244" s="4"/>
      <c r="AX244" s="3"/>
      <c r="AY244" s="3"/>
      <c r="AZ244" s="49" t="s">
        <v>410</v>
      </c>
      <c r="BA244" s="49"/>
      <c r="BB244" s="49"/>
      <c r="BC244" s="49"/>
      <c r="BD244" s="49"/>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2">
        <v>289</v>
      </c>
      <c r="B245" t="s">
        <v>980</v>
      </c>
      <c r="C245" t="s">
        <v>981</v>
      </c>
      <c r="D245" s="3">
        <f t="shared" si="18"/>
        <v>289</v>
      </c>
      <c r="G245" s="9" t="s">
        <v>174</v>
      </c>
      <c r="I245" t="s">
        <v>401</v>
      </c>
      <c r="J245" t="s">
        <v>401</v>
      </c>
      <c r="K245">
        <v>102</v>
      </c>
      <c r="L245">
        <v>102</v>
      </c>
      <c r="M245">
        <v>102</v>
      </c>
      <c r="O245" s="5" t="s">
        <v>429</v>
      </c>
      <c r="Q245" s="3">
        <f>IF(AND(P245&lt;&gt;"",ISNUMBER(P245),NOT(ISNA(P245))),P245,IF(R245&lt;&gt;"",VLOOKUP(R245,'ESO zones'!$D$5:$H$10005,5,FALSE),""))</f>
        <v>58</v>
      </c>
      <c r="R245" t="str">
        <f>IF(AND(O245&lt;&gt;"",NOT(ISERROR(O245))),O245,IF(AND(P245&lt;&gt;"",ISNUMBER(P245),P245&gt;0,NOT(ISNA(P245))),VLOOKUP(P245,'ESO zones'!$A$5:$D$10003,4,FALSE),IF(AND(K245&lt;&gt;"",K245&gt;0,NOT(ISERROR(K245))),VLOOKUP(K245,'ESO wayshrines'!$K$3:$N$9972,4,FALSE),"")))</f>
        <v>Malabal Tor</v>
      </c>
      <c r="T245" s="16" t="str">
        <f>IF(AND(S245&lt;&gt;"",NOT(ISERROR(S245))),S245,VLOOKUP(A245,'ESO Set&amp;DLCs'!$A$3:$D$99998,4,FALSE))</f>
        <v>DLC_BASE_GAME</v>
      </c>
      <c r="U245" s="3" t="str">
        <f>IF(T245&lt;&gt;"",VLOOKUP(T245,ConstDLCIds!$B$4:$C$1000,2,FALSE),"")</f>
        <v>Included in base game</v>
      </c>
      <c r="V245" s="4" t="s">
        <v>215</v>
      </c>
      <c r="Y245" s="5"/>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zones'!$A$5:$D$10003,4,FALSE),"")</f>
        <v>Malabal Tor</v>
      </c>
      <c r="AB245" s="4" t="s">
        <v>218</v>
      </c>
      <c r="AE245" s="3">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zones'!$A$5:$D$10003,4,FALSE),"")</f>
        <v>Crimson Cove</v>
      </c>
      <c r="AH245" s="4" t="s">
        <v>221</v>
      </c>
      <c r="AK245" s="3">
        <f>IF(AND(G245&lt;&gt;"LIBSETS_SETTYPE_BATTLEGROUND",G245&lt;&gt;"LIBSETS_SETTYPE_SPECIAL"),IF(AL245&lt;&gt;"",VLOOKUP(AL245,'ESO zones'!$D$5:$H$4957,5,FALSE),""),"")</f>
        <v>58</v>
      </c>
      <c r="AL245" t="s">
        <v>429</v>
      </c>
      <c r="AM245" s="4" t="s">
        <v>224</v>
      </c>
      <c r="AP245" s="3">
        <f>IF(AND(G245&lt;&gt;"LIBSETS_SETTYPE_BATTLEGROUND",G245&lt;&gt;"LIBSETS_SETTYPE_SPECIAL"),IF(AQ245&lt;&gt;"",VLOOKUP(AQ245,'ESO zones'!$D$5:$H$4957,5,FALSE),""),"")</f>
        <v>58</v>
      </c>
      <c r="AQ245" t="s">
        <v>429</v>
      </c>
      <c r="AR245" s="80" t="s">
        <v>269</v>
      </c>
      <c r="AU245" s="3" t="str">
        <f>IF(AND(G245&lt;&gt;"LIBSETS_SETTYPE_BATTLEGROUND",G245&lt;&gt;"LIBSETS_SETTYPE_SPECIAL"),IF(AV245&lt;&gt;"",VLOOKUP(AV245,'ESO zones'!$D$5:$H$4957,5,FALSE),""),"")</f>
        <v/>
      </c>
      <c r="AZ245" s="49" t="s">
        <v>410</v>
      </c>
      <c r="BA245" s="49"/>
      <c r="BB245" s="49"/>
      <c r="BC245" s="49"/>
      <c r="BD245" s="49"/>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2">
        <v>290</v>
      </c>
      <c r="B246" t="s">
        <v>982</v>
      </c>
      <c r="C246" t="s">
        <v>983</v>
      </c>
      <c r="D246" s="3">
        <f t="shared" si="18"/>
        <v>290</v>
      </c>
      <c r="G246" s="9" t="s">
        <v>174</v>
      </c>
      <c r="I246" t="s">
        <v>401</v>
      </c>
      <c r="J246" t="s">
        <v>401</v>
      </c>
      <c r="K246">
        <v>162</v>
      </c>
      <c r="L246">
        <v>162</v>
      </c>
      <c r="M246">
        <v>162</v>
      </c>
      <c r="O246" s="5" t="s">
        <v>568</v>
      </c>
      <c r="Q246" s="3">
        <f>IF(AND(P246&lt;&gt;"",ISNUMBER(P246),NOT(ISNA(P246))),P246,IF(R246&lt;&gt;"",VLOOKUP(R246,'ESO zones'!$D$5:$H$10005,5,FALSE),""))</f>
        <v>382</v>
      </c>
      <c r="R246" t="str">
        <f>IF(AND(O246&lt;&gt;"",NOT(ISERROR(O246))),O246,IF(AND(P246&lt;&gt;"",ISNUMBER(P246),P246&gt;0,NOT(ISNA(P246))),VLOOKUP(P246,'ESO zones'!$A$5:$D$10003,4,FALSE),IF(AND(K246&lt;&gt;"",K246&gt;0,NOT(ISERROR(K246))),VLOOKUP(K246,'ESO wayshrines'!$K$3:$N$9972,4,FALSE),"")))</f>
        <v>Reaper's March</v>
      </c>
      <c r="T246" s="16" t="str">
        <f>IF(AND(S246&lt;&gt;"",NOT(ISERROR(S246))),S246,VLOOKUP(A246,'ESO Set&amp;DLCs'!$A$3:$D$99998,4,FALSE))</f>
        <v>DLC_BASE_GAME</v>
      </c>
      <c r="U246" s="3" t="str">
        <f>IF(T246&lt;&gt;"",VLOOKUP(T246,ConstDLCIds!$B$4:$C$1000,2,FALSE),"")</f>
        <v>Included in base game</v>
      </c>
      <c r="V246" s="4" t="s">
        <v>215</v>
      </c>
      <c r="Y246" s="5"/>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zones'!$A$5:$D$10003,4,FALSE),"")</f>
        <v>Reaper's March</v>
      </c>
      <c r="AB246" s="4" t="s">
        <v>218</v>
      </c>
      <c r="AE246" s="3">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zones'!$A$5:$D$10003,4,FALSE),"")</f>
        <v>The Vile Manse</v>
      </c>
      <c r="AH246" s="4" t="s">
        <v>221</v>
      </c>
      <c r="AK246" s="3">
        <f>IF(AND(G246&lt;&gt;"LIBSETS_SETTYPE_BATTLEGROUND",G246&lt;&gt;"LIBSETS_SETTYPE_SPECIAL"),IF(AL246&lt;&gt;"",VLOOKUP(AL246,'ESO zones'!$D$5:$H$4957,5,FALSE),""),"")</f>
        <v>382</v>
      </c>
      <c r="AL246" t="s">
        <v>568</v>
      </c>
      <c r="AM246" s="4" t="s">
        <v>224</v>
      </c>
      <c r="AP246" s="3">
        <f>IF(AND(G246&lt;&gt;"LIBSETS_SETTYPE_BATTLEGROUND",G246&lt;&gt;"LIBSETS_SETTYPE_SPECIAL"),IF(AQ246&lt;&gt;"",VLOOKUP(AQ246,'ESO zones'!$D$5:$H$4957,5,FALSE),""),"")</f>
        <v>382</v>
      </c>
      <c r="AQ246" t="s">
        <v>568</v>
      </c>
      <c r="AR246" s="80" t="s">
        <v>269</v>
      </c>
      <c r="AU246" s="3" t="str">
        <f>IF(AND(G246&lt;&gt;"LIBSETS_SETTYPE_BATTLEGROUND",G246&lt;&gt;"LIBSETS_SETTYPE_SPECIAL"),IF(AV246&lt;&gt;"",VLOOKUP(AV246,'ESO zones'!$D$5:$H$4957,5,FALSE),""),"")</f>
        <v/>
      </c>
      <c r="AZ246" s="49" t="s">
        <v>403</v>
      </c>
      <c r="BA246" s="49"/>
      <c r="BB246" s="49"/>
      <c r="BC246" s="49"/>
      <c r="BD246" s="49"/>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2">
        <v>291</v>
      </c>
      <c r="B247" t="s">
        <v>984</v>
      </c>
      <c r="C247" t="s">
        <v>985</v>
      </c>
      <c r="D247" s="3">
        <f t="shared" si="18"/>
        <v>291</v>
      </c>
      <c r="G247" s="9" t="s">
        <v>174</v>
      </c>
      <c r="I247" t="s">
        <v>401</v>
      </c>
      <c r="J247" t="s">
        <v>401</v>
      </c>
      <c r="K247">
        <v>65</v>
      </c>
      <c r="L247">
        <v>65</v>
      </c>
      <c r="M247">
        <v>65</v>
      </c>
      <c r="O247" s="5" t="s">
        <v>433</v>
      </c>
      <c r="Q247" s="3">
        <f>IF(AND(P247&lt;&gt;"",ISNUMBER(P247),NOT(ISNA(P247))),P247,IF(R247&lt;&gt;"",VLOOKUP(R247,'ESO zones'!$D$5:$H$10005,5,FALSE),""))</f>
        <v>41</v>
      </c>
      <c r="R247" t="str">
        <f>IF(AND(O247&lt;&gt;"",NOT(ISERROR(O247))),O247,IF(AND(P247&lt;&gt;"",ISNUMBER(P247),P247&gt;0,NOT(ISNA(P247))),VLOOKUP(P247,'ESO zones'!$A$5:$D$10003,4,FALSE),IF(AND(K247&lt;&gt;"",K247&gt;0,NOT(ISERROR(K247))),VLOOKUP(K247,'ESO wayshrines'!$K$3:$N$9972,4,FALSE),"")))</f>
        <v>Stonefalls</v>
      </c>
      <c r="T247" s="16" t="str">
        <f>IF(AND(S247&lt;&gt;"",NOT(ISERROR(S247))),S247,VLOOKUP(A247,'ESO Set&amp;DLCs'!$A$3:$D$99998,4,FALSE))</f>
        <v>DLC_BASE_GAME</v>
      </c>
      <c r="U247" s="3" t="str">
        <f>IF(T247&lt;&gt;"",VLOOKUP(T247,ConstDLCIds!$B$4:$C$1000,2,FALSE),"")</f>
        <v>Included in base game</v>
      </c>
      <c r="V247" s="4" t="s">
        <v>215</v>
      </c>
      <c r="Y247" s="5"/>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zones'!$A$5:$D$10003,4,FALSE),"")</f>
        <v>Stonefalls</v>
      </c>
      <c r="AB247" s="4" t="s">
        <v>218</v>
      </c>
      <c r="AE247" s="3">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zones'!$A$5:$D$10003,4,FALSE),"")</f>
        <v>Crow's Wood</v>
      </c>
      <c r="AH247" s="4" t="s">
        <v>221</v>
      </c>
      <c r="AK247" s="3">
        <f>IF(AND(G247&lt;&gt;"LIBSETS_SETTYPE_BATTLEGROUND",G247&lt;&gt;"LIBSETS_SETTYPE_SPECIAL"),IF(AL247&lt;&gt;"",VLOOKUP(AL247,'ESO zones'!$D$5:$H$4957,5,FALSE),""),"")</f>
        <v>41</v>
      </c>
      <c r="AL247" t="s">
        <v>433</v>
      </c>
      <c r="AM247" s="4" t="s">
        <v>224</v>
      </c>
      <c r="AP247" s="3">
        <f>IF(AND(G247&lt;&gt;"LIBSETS_SETTYPE_BATTLEGROUND",G247&lt;&gt;"LIBSETS_SETTYPE_SPECIAL"),IF(AQ247&lt;&gt;"",VLOOKUP(AQ247,'ESO zones'!$D$5:$H$4957,5,FALSE),""),"")</f>
        <v>41</v>
      </c>
      <c r="AQ247" t="s">
        <v>433</v>
      </c>
      <c r="AR247" s="80" t="s">
        <v>269</v>
      </c>
      <c r="AU247" s="3" t="str">
        <f>IF(AND(G247&lt;&gt;"LIBSETS_SETTYPE_BATTLEGROUND",G247&lt;&gt;"LIBSETS_SETTYPE_SPECIAL"),IF(AV247&lt;&gt;"",VLOOKUP(AV247,'ESO zones'!$D$5:$H$4957,5,FALSE),""),"")</f>
        <v/>
      </c>
      <c r="AZ247" s="49" t="s">
        <v>403</v>
      </c>
      <c r="BA247" s="49"/>
      <c r="BB247" s="49"/>
      <c r="BC247" s="49"/>
      <c r="BD247" s="49"/>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2">
        <v>292</v>
      </c>
      <c r="B248" t="s">
        <v>986</v>
      </c>
      <c r="C248" t="s">
        <v>987</v>
      </c>
      <c r="D248" s="3">
        <f t="shared" si="18"/>
        <v>292</v>
      </c>
      <c r="G248" s="9" t="s">
        <v>174</v>
      </c>
      <c r="I248" t="s">
        <v>401</v>
      </c>
      <c r="J248" t="s">
        <v>401</v>
      </c>
      <c r="K248">
        <v>28</v>
      </c>
      <c r="L248">
        <v>28</v>
      </c>
      <c r="M248">
        <v>28</v>
      </c>
      <c r="O248" s="5" t="s">
        <v>436</v>
      </c>
      <c r="Q248" s="3">
        <f>IF(AND(P248&lt;&gt;"",ISNUMBER(P248),NOT(ISNA(P248))),P248,IF(R248&lt;&gt;"",VLOOKUP(R248,'ESO zones'!$D$5:$H$10005,5,FALSE),""))</f>
        <v>57</v>
      </c>
      <c r="R248" t="str">
        <f>IF(AND(O248&lt;&gt;"",NOT(ISERROR(O248))),O248,IF(AND(P248&lt;&gt;"",ISNUMBER(P248),P248&gt;0,NOT(ISNA(P248))),VLOOKUP(P248,'ESO zones'!$A$5:$D$10003,4,FALSE),IF(AND(K248&lt;&gt;"",K248&gt;0,NOT(ISERROR(K248))),VLOOKUP(K248,'ESO wayshrines'!$K$3:$N$9972,4,FALSE),"")))</f>
        <v>Deshaan</v>
      </c>
      <c r="T248" s="16" t="str">
        <f>IF(AND(S248&lt;&gt;"",NOT(ISERROR(S248))),S248,VLOOKUP(A248,'ESO Set&amp;DLCs'!$A$3:$D$99998,4,FALSE))</f>
        <v>DLC_BASE_GAME</v>
      </c>
      <c r="U248" s="3" t="str">
        <f>IF(T248&lt;&gt;"",VLOOKUP(T248,ConstDLCIds!$B$4:$C$1000,2,FALSE),"")</f>
        <v>Included in base game</v>
      </c>
      <c r="V248" s="4" t="s">
        <v>215</v>
      </c>
      <c r="Y248" s="5"/>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zones'!$A$5:$D$10003,4,FALSE),"")</f>
        <v>Deshaan</v>
      </c>
      <c r="AB248" s="4" t="s">
        <v>218</v>
      </c>
      <c r="AE248" s="3">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zones'!$A$5:$D$10003,4,FALSE),"")</f>
        <v>Forgotten Crypts</v>
      </c>
      <c r="AH248" s="4" t="s">
        <v>221</v>
      </c>
      <c r="AK248" s="3">
        <f>IF(AND(G248&lt;&gt;"LIBSETS_SETTYPE_BATTLEGROUND",G248&lt;&gt;"LIBSETS_SETTYPE_SPECIAL"),IF(AL248&lt;&gt;"",VLOOKUP(AL248,'ESO zones'!$D$5:$H$4957,5,FALSE),""),"")</f>
        <v>57</v>
      </c>
      <c r="AL248" t="s">
        <v>436</v>
      </c>
      <c r="AM248" s="4" t="s">
        <v>224</v>
      </c>
      <c r="AP248" s="3">
        <f>IF(AND(G248&lt;&gt;"LIBSETS_SETTYPE_BATTLEGROUND",G248&lt;&gt;"LIBSETS_SETTYPE_SPECIAL"),IF(AQ248&lt;&gt;"",VLOOKUP(AQ248,'ESO zones'!$D$5:$H$4957,5,FALSE),""),"")</f>
        <v>57</v>
      </c>
      <c r="AQ248" t="s">
        <v>436</v>
      </c>
      <c r="AR248" s="80" t="s">
        <v>269</v>
      </c>
      <c r="AU248" s="3" t="str">
        <f>IF(AND(G248&lt;&gt;"LIBSETS_SETTYPE_BATTLEGROUND",G248&lt;&gt;"LIBSETS_SETTYPE_SPECIAL"),IF(AV248&lt;&gt;"",VLOOKUP(AV248,'ESO zones'!$D$5:$H$4957,5,FALSE),""),"")</f>
        <v/>
      </c>
      <c r="AZ248" s="49" t="s">
        <v>403</v>
      </c>
      <c r="BA248" s="49"/>
      <c r="BB248" s="49"/>
      <c r="BC248" s="49"/>
      <c r="BD248" s="49"/>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2">
        <v>293</v>
      </c>
      <c r="B249" t="s">
        <v>988</v>
      </c>
      <c r="C249" t="s">
        <v>989</v>
      </c>
      <c r="D249" s="3">
        <f t="shared" si="18"/>
        <v>293</v>
      </c>
      <c r="G249" s="9" t="s">
        <v>174</v>
      </c>
      <c r="I249" t="s">
        <v>401</v>
      </c>
      <c r="J249" t="s">
        <v>401</v>
      </c>
      <c r="K249">
        <v>28</v>
      </c>
      <c r="L249">
        <v>28</v>
      </c>
      <c r="M249">
        <v>28</v>
      </c>
      <c r="O249" s="5" t="s">
        <v>436</v>
      </c>
      <c r="Q249" s="3">
        <f>IF(AND(P249&lt;&gt;"",ISNUMBER(P249),NOT(ISNA(P249))),P249,IF(R249&lt;&gt;"",VLOOKUP(R249,'ESO zones'!$D$5:$H$10005,5,FALSE),""))</f>
        <v>57</v>
      </c>
      <c r="R249" t="str">
        <f>IF(AND(O249&lt;&gt;"",NOT(ISERROR(O249))),O249,IF(AND(P249&lt;&gt;"",ISNUMBER(P249),P249&gt;0,NOT(ISNA(P249))),VLOOKUP(P249,'ESO zones'!$A$5:$D$10003,4,FALSE),IF(AND(K249&lt;&gt;"",K249&gt;0,NOT(ISERROR(K249))),VLOOKUP(K249,'ESO wayshrines'!$K$3:$N$9972,4,FALSE),"")))</f>
        <v>Deshaan</v>
      </c>
      <c r="T249" s="16" t="str">
        <f>IF(AND(S249&lt;&gt;"",NOT(ISERROR(S249))),S249,VLOOKUP(A249,'ESO Set&amp;DLCs'!$A$3:$D$99998,4,FALSE))</f>
        <v>DLC_BASE_GAME</v>
      </c>
      <c r="U249" s="3" t="str">
        <f>IF(T249&lt;&gt;"",VLOOKUP(T249,ConstDLCIds!$B$4:$C$1000,2,FALSE),"")</f>
        <v>Included in base game</v>
      </c>
      <c r="V249" s="4" t="s">
        <v>215</v>
      </c>
      <c r="Y249" s="5"/>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zones'!$A$5:$D$10003,4,FALSE),"")</f>
        <v>Deshaan</v>
      </c>
      <c r="AB249" s="4" t="s">
        <v>218</v>
      </c>
      <c r="AE249" s="3">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zones'!$A$5:$D$10003,4,FALSE),"")</f>
        <v>Forgotten Crypts</v>
      </c>
      <c r="AH249" s="4" t="s">
        <v>221</v>
      </c>
      <c r="AK249" s="3">
        <f>IF(AND(G249&lt;&gt;"LIBSETS_SETTYPE_BATTLEGROUND",G249&lt;&gt;"LIBSETS_SETTYPE_SPECIAL"),IF(AL249&lt;&gt;"",VLOOKUP(AL249,'ESO zones'!$D$5:$H$4957,5,FALSE),""),"")</f>
        <v>57</v>
      </c>
      <c r="AL249" t="s">
        <v>436</v>
      </c>
      <c r="AM249" s="4" t="s">
        <v>224</v>
      </c>
      <c r="AP249" s="3">
        <f>IF(AND(G249&lt;&gt;"LIBSETS_SETTYPE_BATTLEGROUND",G249&lt;&gt;"LIBSETS_SETTYPE_SPECIAL"),IF(AQ249&lt;&gt;"",VLOOKUP(AQ249,'ESO zones'!$D$5:$H$4957,5,FALSE),""),"")</f>
        <v>57</v>
      </c>
      <c r="AQ249" t="s">
        <v>436</v>
      </c>
      <c r="AR249" s="80" t="s">
        <v>269</v>
      </c>
      <c r="AU249" s="3" t="str">
        <f>IF(AND(G249&lt;&gt;"LIBSETS_SETTYPE_BATTLEGROUND",G249&lt;&gt;"LIBSETS_SETTYPE_SPECIAL"),IF(AV249&lt;&gt;"",VLOOKUP(AV249,'ESO zones'!$D$5:$H$4957,5,FALSE),""),"")</f>
        <v/>
      </c>
      <c r="AZ249" s="49" t="s">
        <v>410</v>
      </c>
      <c r="BA249" s="49"/>
      <c r="BB249" s="49"/>
      <c r="BC249" s="49"/>
      <c r="BD249" s="49"/>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2">
        <v>294</v>
      </c>
      <c r="B250" t="s">
        <v>990</v>
      </c>
      <c r="C250" t="s">
        <v>991</v>
      </c>
      <c r="D250" s="3">
        <f t="shared" si="18"/>
        <v>294</v>
      </c>
      <c r="G250" s="9" t="s">
        <v>174</v>
      </c>
      <c r="I250" t="s">
        <v>401</v>
      </c>
      <c r="J250" t="s">
        <v>401</v>
      </c>
      <c r="K250">
        <v>109</v>
      </c>
      <c r="L250">
        <v>109</v>
      </c>
      <c r="M250">
        <v>109</v>
      </c>
      <c r="O250" s="5" t="s">
        <v>406</v>
      </c>
      <c r="Q250" s="3">
        <f>IF(AND(P250&lt;&gt;"",ISNUMBER(P250),NOT(ISNA(P250))),P250,IF(R250&lt;&gt;"",VLOOKUP(R250,'ESO zones'!$D$5:$H$10005,5,FALSE),""))</f>
        <v>103</v>
      </c>
      <c r="R250" t="str">
        <f>IF(AND(O250&lt;&gt;"",NOT(ISERROR(O250))),O250,IF(AND(P250&lt;&gt;"",ISNUMBER(P250),P250&gt;0,NOT(ISNA(P250))),VLOOKUP(P250,'ESO zones'!$A$5:$D$10003,4,FALSE),IF(AND(K250&lt;&gt;"",K250&gt;0,NOT(ISERROR(K250))),VLOOKUP(K250,'ESO wayshrines'!$K$3:$N$9972,4,FALSE),"")))</f>
        <v>The Rift</v>
      </c>
      <c r="T250" s="16" t="str">
        <f>IF(AND(S250&lt;&gt;"",NOT(ISERROR(S250))),S250,VLOOKUP(A250,'ESO Set&amp;DLCs'!$A$3:$D$99998,4,FALSE))</f>
        <v>DLC_BASE_GAME</v>
      </c>
      <c r="U250" s="3" t="str">
        <f>IF(T250&lt;&gt;"",VLOOKUP(T250,ConstDLCIds!$B$4:$C$1000,2,FALSE),"")</f>
        <v>Included in base game</v>
      </c>
      <c r="V250" s="4"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zones'!$A$5:$D$10003,4,FALSE),"")</f>
        <v>The Rift</v>
      </c>
      <c r="AB250" s="4" t="s">
        <v>218</v>
      </c>
      <c r="AE250" s="3">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zones'!$A$5:$D$10003,4,FALSE),"")</f>
        <v>The Lion's Den</v>
      </c>
      <c r="AH250" s="4" t="s">
        <v>221</v>
      </c>
      <c r="AK250" s="3">
        <f>IF(AND(G250&lt;&gt;"LIBSETS_SETTYPE_BATTLEGROUND",G250&lt;&gt;"LIBSETS_SETTYPE_SPECIAL"),IF(AL250&lt;&gt;"",VLOOKUP(AL250,'ESO zones'!$D$5:$H$4957,5,FALSE),""),"")</f>
        <v>103</v>
      </c>
      <c r="AL250" t="s">
        <v>406</v>
      </c>
      <c r="AM250" s="4" t="s">
        <v>224</v>
      </c>
      <c r="AP250" s="3">
        <f>IF(AND(G250&lt;&gt;"LIBSETS_SETTYPE_BATTLEGROUND",G250&lt;&gt;"LIBSETS_SETTYPE_SPECIAL"),IF(AQ250&lt;&gt;"",VLOOKUP(AQ250,'ESO zones'!$D$5:$H$4957,5,FALSE),""),"")</f>
        <v>103</v>
      </c>
      <c r="AQ250" t="s">
        <v>406</v>
      </c>
      <c r="AR250" s="80" t="s">
        <v>269</v>
      </c>
      <c r="AU250" s="3" t="str">
        <f>IF(AND(G250&lt;&gt;"LIBSETS_SETTYPE_BATTLEGROUND",G250&lt;&gt;"LIBSETS_SETTYPE_SPECIAL"),IF(AV250&lt;&gt;"",VLOOKUP(AV250,'ESO zones'!$D$5:$H$4957,5,FALSE),""),"")</f>
        <v/>
      </c>
      <c r="AZ250" s="49" t="s">
        <v>410</v>
      </c>
      <c r="BA250" s="49"/>
      <c r="BB250" s="49"/>
      <c r="BC250" s="49"/>
      <c r="BD250" s="49"/>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2">
        <v>295</v>
      </c>
      <c r="B251" t="s">
        <v>992</v>
      </c>
      <c r="C251" t="s">
        <v>993</v>
      </c>
      <c r="D251" s="3">
        <f t="shared" si="18"/>
        <v>295</v>
      </c>
      <c r="G251" s="9" t="s">
        <v>169</v>
      </c>
      <c r="I251" t="s">
        <v>401</v>
      </c>
      <c r="J251" t="s">
        <v>401</v>
      </c>
      <c r="K251">
        <v>194</v>
      </c>
      <c r="L251">
        <v>194</v>
      </c>
      <c r="M251">
        <v>194</v>
      </c>
      <c r="O251" s="5" t="s">
        <v>611</v>
      </c>
      <c r="Q251" s="3">
        <f>IF(AND(P251&lt;&gt;"",ISNUMBER(P251),NOT(ISNA(P251))),P251,IF(R251&lt;&gt;"",VLOOKUP(R251,'ESO zones'!$D$5:$H$10005,5,FALSE),""))</f>
        <v>380</v>
      </c>
      <c r="R251" t="str">
        <f>IF(AND(O251&lt;&gt;"",NOT(ISERROR(O251))),O251,IF(AND(P251&lt;&gt;"",ISNUMBER(P251),P251&gt;0,NOT(ISNA(P251))),VLOOKUP(P251,'ESO zones'!$A$5:$D$10003,4,FALSE),IF(AND(K251&lt;&gt;"",K251&gt;0,NOT(ISERROR(K251))),VLOOKUP(K251,'ESO wayshrines'!$K$3:$N$9972,4,FALSE),"")))</f>
        <v>The Banished Cells I</v>
      </c>
      <c r="T251" s="16" t="str">
        <f>IF(AND(S251&lt;&gt;"",NOT(ISERROR(S251))),S251,VLOOKUP(A251,'ESO Set&amp;DLCs'!$A$3:$D$99998,4,FALSE))</f>
        <v>DLC_BASE_GAME</v>
      </c>
      <c r="U251" s="3" t="str">
        <f>IF(T251&lt;&gt;"",VLOOKUP(T251,ConstDLCIds!$B$4:$C$1000,2,FALSE),"")</f>
        <v>Included in base game</v>
      </c>
      <c r="V251" s="4" t="s">
        <v>278</v>
      </c>
      <c r="Y251" s="5">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zones'!$A$5:$D$10003,4,FALSE),"")</f>
        <v>The Banished Cells II</v>
      </c>
      <c r="AB251" s="4"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zones'!$A$5:$D$10003,4,FALSE),"")</f>
        <v>Auridon</v>
      </c>
      <c r="AH251" s="57"/>
      <c r="AK251" s="3" t="str">
        <f>IF(AND(G251&lt;&gt;"LIBSETS_SETTYPE_BATTLEGROUND",G251&lt;&gt;"LIBSETS_SETTYPE_SPECIAL"),IF(AL251&lt;&gt;"",VLOOKUP(AL251,'ESO zones'!$D$5:$H$4957,5,FALSE),""),"")</f>
        <v/>
      </c>
      <c r="AP251" s="3" t="str">
        <f>IF(AND(G251&lt;&gt;"LIBSETS_SETTYPE_BATTLEGROUND",G251&lt;&gt;"LIBSETS_SETTYPE_SPECIAL"),IF(AQ251&lt;&gt;"",VLOOKUP(AQ251,'ESO zones'!$D$5:$H$4957,5,FALSE),""),"")</f>
        <v/>
      </c>
      <c r="AU251" s="3" t="str">
        <f>IF(AND(G251&lt;&gt;"LIBSETS_SETTYPE_BATTLEGROUND",G251&lt;&gt;"LIBSETS_SETTYPE_SPECIAL"),IF(AV251&lt;&gt;"",VLOOKUP(AV251,'ESO zones'!$D$5:$H$4957,5,FALSE),""),"")</f>
        <v/>
      </c>
      <c r="AZ251" s="49" t="s">
        <v>403</v>
      </c>
      <c r="BA251" s="49"/>
      <c r="BB251" s="49"/>
      <c r="BC251" s="49"/>
      <c r="BD251" s="49"/>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2">
        <v>296</v>
      </c>
      <c r="B252" t="s">
        <v>994</v>
      </c>
      <c r="C252" t="s">
        <v>995</v>
      </c>
      <c r="D252" s="3">
        <f t="shared" si="18"/>
        <v>296</v>
      </c>
      <c r="G252" s="9" t="s">
        <v>169</v>
      </c>
      <c r="I252" t="s">
        <v>401</v>
      </c>
      <c r="J252" t="s">
        <v>401</v>
      </c>
      <c r="K252">
        <v>193</v>
      </c>
      <c r="L252">
        <v>193</v>
      </c>
      <c r="M252">
        <v>193</v>
      </c>
      <c r="O252" s="5" t="s">
        <v>450</v>
      </c>
      <c r="Q252" s="3">
        <f>IF(AND(P252&lt;&gt;"",ISNUMBER(P252),NOT(ISNA(P252))),P252,IF(R252&lt;&gt;"",VLOOKUP(R252,'ESO zones'!$D$5:$H$10005,5,FALSE),""))</f>
        <v>144</v>
      </c>
      <c r="R252" t="str">
        <f>IF(AND(O252&lt;&gt;"",NOT(ISERROR(O252))),O252,IF(AND(P252&lt;&gt;"",ISNUMBER(P252),P252&gt;0,NOT(ISNA(P252))),VLOOKUP(P252,'ESO zones'!$A$5:$D$10003,4,FALSE),IF(AND(K252&lt;&gt;"",K252&gt;0,NOT(ISERROR(K252))),VLOOKUP(K252,'ESO wayshrines'!$K$3:$N$9972,4,FALSE),"")))</f>
        <v>Spindleclutch I</v>
      </c>
      <c r="T252" s="16" t="str">
        <f>IF(AND(S252&lt;&gt;"",NOT(ISERROR(S252))),S252,VLOOKUP(A252,'ESO Set&amp;DLCs'!$A$3:$D$99998,4,FALSE))</f>
        <v>DLC_BASE_GAME</v>
      </c>
      <c r="U252" s="3" t="str">
        <f>IF(T252&lt;&gt;"",VLOOKUP(T252,ConstDLCIds!$B$4:$C$1000,2,FALSE),"")</f>
        <v>Included in base game</v>
      </c>
      <c r="V252" s="4" t="s">
        <v>278</v>
      </c>
      <c r="Y252" s="5">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zones'!$A$5:$D$10003,4,FALSE),"")</f>
        <v>Spindleclutch II</v>
      </c>
      <c r="AB252" s="4"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zones'!$A$5:$D$10003,4,FALSE),"")</f>
        <v>Glenumbra</v>
      </c>
      <c r="AH252" s="57"/>
      <c r="AK252" s="3" t="str">
        <f>IF(AND(G252&lt;&gt;"LIBSETS_SETTYPE_BATTLEGROUND",G252&lt;&gt;"LIBSETS_SETTYPE_SPECIAL"),IF(AL252&lt;&gt;"",VLOOKUP(AL252,'ESO zones'!$D$5:$H$4957,5,FALSE),""),"")</f>
        <v/>
      </c>
      <c r="AP252" s="3" t="str">
        <f>IF(AND(G252&lt;&gt;"LIBSETS_SETTYPE_BATTLEGROUND",G252&lt;&gt;"LIBSETS_SETTYPE_SPECIAL"),IF(AQ252&lt;&gt;"",VLOOKUP(AQ252,'ESO zones'!$D$5:$H$4957,5,FALSE),""),"")</f>
        <v/>
      </c>
      <c r="AU252" s="3" t="str">
        <f>IF(AND(G252&lt;&gt;"LIBSETS_SETTYPE_BATTLEGROUND",G252&lt;&gt;"LIBSETS_SETTYPE_SPECIAL"),IF(AV252&lt;&gt;"",VLOOKUP(AV252,'ESO zones'!$D$5:$H$4957,5,FALSE),""),"")</f>
        <v/>
      </c>
      <c r="AZ252" s="49" t="s">
        <v>403</v>
      </c>
      <c r="BA252" s="49"/>
      <c r="BB252" s="49"/>
      <c r="BC252" s="49"/>
      <c r="BD252" s="49"/>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2">
        <v>297</v>
      </c>
      <c r="B253" t="s">
        <v>996</v>
      </c>
      <c r="C253" t="s">
        <v>997</v>
      </c>
      <c r="D253" s="3">
        <f t="shared" si="18"/>
        <v>297</v>
      </c>
      <c r="G253" s="9" t="s">
        <v>169</v>
      </c>
      <c r="I253" t="s">
        <v>401</v>
      </c>
      <c r="J253" t="s">
        <v>401</v>
      </c>
      <c r="K253">
        <v>98</v>
      </c>
      <c r="L253">
        <v>98</v>
      </c>
      <c r="M253">
        <v>98</v>
      </c>
      <c r="O253" s="5" t="s">
        <v>445</v>
      </c>
      <c r="Q253" s="3">
        <f>IF(AND(P253&lt;&gt;"",ISNUMBER(P253),NOT(ISNA(P253))),P253,IF(R253&lt;&gt;"",VLOOKUP(R253,'ESO zones'!$D$5:$H$10005,5,FALSE),""))</f>
        <v>283</v>
      </c>
      <c r="R253" t="str">
        <f>IF(AND(O253&lt;&gt;"",NOT(ISERROR(O253))),O253,IF(AND(P253&lt;&gt;"",ISNUMBER(P253),P253&gt;0,NOT(ISNA(P253))),VLOOKUP(P253,'ESO zones'!$A$5:$D$10003,4,FALSE),IF(AND(K253&lt;&gt;"",K253&gt;0,NOT(ISERROR(K253))),VLOOKUP(K253,'ESO wayshrines'!$K$3:$N$9972,4,FALSE),"")))</f>
        <v>Fungal Grotto I</v>
      </c>
      <c r="T253" s="16" t="str">
        <f>IF(AND(S253&lt;&gt;"",NOT(ISERROR(S253))),S253,VLOOKUP(A253,'ESO Set&amp;DLCs'!$A$3:$D$99998,4,FALSE))</f>
        <v>DLC_BASE_GAME</v>
      </c>
      <c r="U253" s="3" t="str">
        <f>IF(T253&lt;&gt;"",VLOOKUP(T253,ConstDLCIds!$B$4:$C$1000,2,FALSE),"")</f>
        <v>Included in base game</v>
      </c>
      <c r="V253" s="4" t="s">
        <v>278</v>
      </c>
      <c r="Y253" s="5">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zones'!$A$5:$D$10003,4,FALSE),"")</f>
        <v>Fungal Grotto II</v>
      </c>
      <c r="AB253" s="4"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zones'!$A$5:$D$10003,4,FALSE),"")</f>
        <v>Stonefalls</v>
      </c>
      <c r="AH253" s="57"/>
      <c r="AK253" s="3" t="str">
        <f>IF(AND(G253&lt;&gt;"LIBSETS_SETTYPE_BATTLEGROUND",G253&lt;&gt;"LIBSETS_SETTYPE_SPECIAL"),IF(AL253&lt;&gt;"",VLOOKUP(AL253,'ESO zones'!$D$5:$H$4957,5,FALSE),""),"")</f>
        <v/>
      </c>
      <c r="AP253" s="3" t="str">
        <f>IF(AND(G253&lt;&gt;"LIBSETS_SETTYPE_BATTLEGROUND",G253&lt;&gt;"LIBSETS_SETTYPE_SPECIAL"),IF(AQ253&lt;&gt;"",VLOOKUP(AQ253,'ESO zones'!$D$5:$H$4957,5,FALSE),""),"")</f>
        <v/>
      </c>
      <c r="AU253" s="3" t="str">
        <f>IF(AND(G253&lt;&gt;"LIBSETS_SETTYPE_BATTLEGROUND",G253&lt;&gt;"LIBSETS_SETTYPE_SPECIAL"),IF(AV253&lt;&gt;"",VLOOKUP(AV253,'ESO zones'!$D$5:$H$4957,5,FALSE),""),"")</f>
        <v/>
      </c>
      <c r="AZ253" s="49" t="s">
        <v>410</v>
      </c>
      <c r="BA253" s="49"/>
      <c r="BB253" s="49"/>
      <c r="BC253" s="49"/>
      <c r="BD253" s="49"/>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2">
        <v>298</v>
      </c>
      <c r="B254" t="s">
        <v>998</v>
      </c>
      <c r="C254" t="s">
        <v>999</v>
      </c>
      <c r="D254" s="3">
        <f t="shared" si="18"/>
        <v>298</v>
      </c>
      <c r="G254" s="9" t="s">
        <v>169</v>
      </c>
      <c r="I254" t="s">
        <v>401</v>
      </c>
      <c r="J254" t="s">
        <v>401</v>
      </c>
      <c r="K254">
        <v>191</v>
      </c>
      <c r="L254">
        <v>191</v>
      </c>
      <c r="M254">
        <v>191</v>
      </c>
      <c r="O254" s="5" t="s">
        <v>428</v>
      </c>
      <c r="Q254" s="3">
        <f>IF(AND(P254&lt;&gt;"",ISNUMBER(P254),NOT(ISNA(P254))),P254,IF(R254&lt;&gt;"",VLOOKUP(R254,'ESO zones'!$D$5:$H$10005,5,FALSE),""))</f>
        <v>126</v>
      </c>
      <c r="R254" t="str">
        <f>IF(AND(O254&lt;&gt;"",NOT(ISERROR(O254))),O254,IF(AND(P254&lt;&gt;"",ISNUMBER(P254),P254&gt;0,NOT(ISNA(P254))),VLOOKUP(P254,'ESO zones'!$A$5:$D$10003,4,FALSE),IF(AND(K254&lt;&gt;"",K254&gt;0,NOT(ISERROR(K254))),VLOOKUP(K254,'ESO wayshrines'!$K$3:$N$9972,4,FALSE),"")))</f>
        <v>Elden Hollow I</v>
      </c>
      <c r="T254" s="16" t="str">
        <f>IF(AND(S254&lt;&gt;"",NOT(ISERROR(S254))),S254,VLOOKUP(A254,'ESO Set&amp;DLCs'!$A$3:$D$99998,4,FALSE))</f>
        <v>DLC_BASE_GAME</v>
      </c>
      <c r="U254" s="3" t="str">
        <f>IF(T254&lt;&gt;"",VLOOKUP(T254,ConstDLCIds!$B$4:$C$1000,2,FALSE),"")</f>
        <v>Included in base game</v>
      </c>
      <c r="V254" s="4" t="s">
        <v>278</v>
      </c>
      <c r="Y254" s="5">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zones'!$A$5:$D$10003,4,FALSE),"")</f>
        <v>Elden Hollow II</v>
      </c>
      <c r="AB254" s="4"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zones'!$A$5:$D$10003,4,FALSE),"")</f>
        <v>Grahtwood</v>
      </c>
      <c r="AH254" s="57"/>
      <c r="AK254" s="3" t="str">
        <f>IF(AND(G254&lt;&gt;"LIBSETS_SETTYPE_BATTLEGROUND",G254&lt;&gt;"LIBSETS_SETTYPE_SPECIAL"),IF(AL254&lt;&gt;"",VLOOKUP(AL254,'ESO zones'!$D$5:$H$4957,5,FALSE),""),"")</f>
        <v/>
      </c>
      <c r="AP254" s="3" t="str">
        <f>IF(AND(G254&lt;&gt;"LIBSETS_SETTYPE_BATTLEGROUND",G254&lt;&gt;"LIBSETS_SETTYPE_SPECIAL"),IF(AQ254&lt;&gt;"",VLOOKUP(AQ254,'ESO zones'!$D$5:$H$4957,5,FALSE),""),"")</f>
        <v/>
      </c>
      <c r="AU254" s="3" t="str">
        <f>IF(AND(G254&lt;&gt;"LIBSETS_SETTYPE_BATTLEGROUND",G254&lt;&gt;"LIBSETS_SETTYPE_SPECIAL"),IF(AV254&lt;&gt;"",VLOOKUP(AV254,'ESO zones'!$D$5:$H$4957,5,FALSE),""),"")</f>
        <v/>
      </c>
      <c r="AZ254" s="49" t="s">
        <v>410</v>
      </c>
      <c r="BA254" s="49"/>
      <c r="BB254" s="49"/>
      <c r="BC254" s="49"/>
      <c r="BD254" s="49"/>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2">
        <v>299</v>
      </c>
      <c r="B255" t="s">
        <v>1000</v>
      </c>
      <c r="C255" t="s">
        <v>1001</v>
      </c>
      <c r="D255" s="3">
        <f t="shared" si="18"/>
        <v>299</v>
      </c>
      <c r="G255" s="9" t="s">
        <v>169</v>
      </c>
      <c r="I255" t="s">
        <v>401</v>
      </c>
      <c r="J255" t="s">
        <v>401</v>
      </c>
      <c r="K255">
        <v>189</v>
      </c>
      <c r="L255">
        <v>189</v>
      </c>
      <c r="M255">
        <v>189</v>
      </c>
      <c r="O255" s="5" t="s">
        <v>432</v>
      </c>
      <c r="Q255" s="3">
        <f>IF(AND(P255&lt;&gt;"",ISNUMBER(P255),NOT(ISNA(P255))),P255,IF(R255&lt;&gt;"",VLOOKUP(R255,'ESO zones'!$D$5:$H$10005,5,FALSE),""))</f>
        <v>146</v>
      </c>
      <c r="R255" t="str">
        <f>IF(AND(O255&lt;&gt;"",NOT(ISERROR(O255))),O255,IF(AND(P255&lt;&gt;"",ISNUMBER(P255),P255&gt;0,NOT(ISNA(P255))),VLOOKUP(P255,'ESO zones'!$A$5:$D$10003,4,FALSE),IF(AND(K255&lt;&gt;"",K255&gt;0,NOT(ISERROR(K255))),VLOOKUP(K255,'ESO wayshrines'!$K$3:$N$9972,4,FALSE),"")))</f>
        <v>Wayrest Sewers I</v>
      </c>
      <c r="T255" s="16" t="str">
        <f>IF(AND(S255&lt;&gt;"",NOT(ISERROR(S255))),S255,VLOOKUP(A255,'ESO Set&amp;DLCs'!$A$3:$D$99998,4,FALSE))</f>
        <v>DLC_BASE_GAME</v>
      </c>
      <c r="U255" s="3" t="str">
        <f>IF(T255&lt;&gt;"",VLOOKUP(T255,ConstDLCIds!$B$4:$C$1000,2,FALSE),"")</f>
        <v>Included in base game</v>
      </c>
      <c r="V255" s="4" t="s">
        <v>278</v>
      </c>
      <c r="Y255" s="5">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zones'!$A$5:$D$10003,4,FALSE),"")</f>
        <v>Wayrest Sewers II</v>
      </c>
      <c r="AB255" s="4"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zones'!$A$5:$D$10003,4,FALSE),"")</f>
        <v>Stormhaven</v>
      </c>
      <c r="AH255" s="57"/>
      <c r="AK255" s="3" t="str">
        <f>IF(AND(G255&lt;&gt;"LIBSETS_SETTYPE_BATTLEGROUND",G255&lt;&gt;"LIBSETS_SETTYPE_SPECIAL"),IF(AL255&lt;&gt;"",VLOOKUP(AL255,'ESO zones'!$D$5:$H$4957,5,FALSE),""),"")</f>
        <v/>
      </c>
      <c r="AP255" s="3" t="str">
        <f>IF(AND(G255&lt;&gt;"LIBSETS_SETTYPE_BATTLEGROUND",G255&lt;&gt;"LIBSETS_SETTYPE_SPECIAL"),IF(AQ255&lt;&gt;"",VLOOKUP(AQ255,'ESO zones'!$D$5:$H$4957,5,FALSE),""),"")</f>
        <v/>
      </c>
      <c r="AU255" s="3" t="str">
        <f>IF(AND(G255&lt;&gt;"LIBSETS_SETTYPE_BATTLEGROUND",G255&lt;&gt;"LIBSETS_SETTYPE_SPECIAL"),IF(AV255&lt;&gt;"",VLOOKUP(AV255,'ESO zones'!$D$5:$H$4957,5,FALSE),""),"")</f>
        <v/>
      </c>
      <c r="AZ255" s="49" t="s">
        <v>403</v>
      </c>
      <c r="BA255" s="49"/>
      <c r="BB255" s="49"/>
      <c r="BC255" s="49"/>
      <c r="BD255" s="49"/>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2">
        <v>300</v>
      </c>
      <c r="B256" t="s">
        <v>1002</v>
      </c>
      <c r="C256" t="s">
        <v>1003</v>
      </c>
      <c r="D256" s="3">
        <f t="shared" si="18"/>
        <v>300</v>
      </c>
      <c r="G256" s="9" t="s">
        <v>169</v>
      </c>
      <c r="I256" t="s">
        <v>401</v>
      </c>
      <c r="J256" t="s">
        <v>401</v>
      </c>
      <c r="K256">
        <v>198</v>
      </c>
      <c r="L256">
        <v>198</v>
      </c>
      <c r="M256">
        <v>198</v>
      </c>
      <c r="O256" s="5" t="s">
        <v>582</v>
      </c>
      <c r="Q256" s="3">
        <f>IF(AND(P256&lt;&gt;"",ISNUMBER(P256),NOT(ISNA(P256))),P256,IF(R256&lt;&gt;"",VLOOKUP(R256,'ESO zones'!$D$5:$H$10005,5,FALSE),""))</f>
        <v>63</v>
      </c>
      <c r="R256" t="str">
        <f>IF(AND(O256&lt;&gt;"",NOT(ISERROR(O256))),O256,IF(AND(P256&lt;&gt;"",ISNUMBER(P256),P256&gt;0,NOT(ISNA(P256))),VLOOKUP(P256,'ESO zones'!$A$5:$D$10003,4,FALSE),IF(AND(K256&lt;&gt;"",K256&gt;0,NOT(ISERROR(K256))),VLOOKUP(K256,'ESO wayshrines'!$K$3:$N$9972,4,FALSE),"")))</f>
        <v>Darkshade Caverns I</v>
      </c>
      <c r="T256" s="16" t="str">
        <f>IF(AND(S256&lt;&gt;"",NOT(ISERROR(S256))),S256,VLOOKUP(A256,'ESO Set&amp;DLCs'!$A$3:$D$99998,4,FALSE))</f>
        <v>DLC_BASE_GAME</v>
      </c>
      <c r="U256" s="3" t="str">
        <f>IF(T256&lt;&gt;"",VLOOKUP(T256,ConstDLCIds!$B$4:$C$1000,2,FALSE),"")</f>
        <v>Included in base game</v>
      </c>
      <c r="V256" s="4" t="s">
        <v>278</v>
      </c>
      <c r="Y256" s="5">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zones'!$A$5:$D$10003,4,FALSE),"")</f>
        <v>Darkshade Caverns II</v>
      </c>
      <c r="AB256" s="4"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zones'!$A$5:$D$10003,4,FALSE),"")</f>
        <v>Deshaan</v>
      </c>
      <c r="AH256" s="57"/>
      <c r="AK256" s="3" t="str">
        <f>IF(AND(G256&lt;&gt;"LIBSETS_SETTYPE_BATTLEGROUND",G256&lt;&gt;"LIBSETS_SETTYPE_SPECIAL"),IF(AL256&lt;&gt;"",VLOOKUP(AL256,'ESO zones'!$D$5:$H$4957,5,FALSE),""),"")</f>
        <v/>
      </c>
      <c r="AP256" s="3" t="str">
        <f>IF(AND(G256&lt;&gt;"LIBSETS_SETTYPE_BATTLEGROUND",G256&lt;&gt;"LIBSETS_SETTYPE_SPECIAL"),IF(AQ256&lt;&gt;"",VLOOKUP(AQ256,'ESO zones'!$D$5:$H$4957,5,FALSE),""),"")</f>
        <v/>
      </c>
      <c r="AU256" s="3" t="str">
        <f>IF(AND(G256&lt;&gt;"LIBSETS_SETTYPE_BATTLEGROUND",G256&lt;&gt;"LIBSETS_SETTYPE_SPECIAL"),IF(AV256&lt;&gt;"",VLOOKUP(AV256,'ESO zones'!$D$5:$H$4957,5,FALSE),""),"")</f>
        <v/>
      </c>
      <c r="AZ256" s="49" t="s">
        <v>410</v>
      </c>
      <c r="BA256" s="49"/>
      <c r="BB256" s="49"/>
      <c r="BC256" s="49"/>
      <c r="BD256" s="49"/>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2">
        <v>301</v>
      </c>
      <c r="B257" t="s">
        <v>1004</v>
      </c>
      <c r="C257" t="s">
        <v>1005</v>
      </c>
      <c r="D257" s="3">
        <f t="shared" si="18"/>
        <v>301</v>
      </c>
      <c r="G257" s="9" t="s">
        <v>169</v>
      </c>
      <c r="I257" t="s">
        <v>401</v>
      </c>
      <c r="J257" t="s">
        <v>401</v>
      </c>
      <c r="K257">
        <v>198</v>
      </c>
      <c r="L257">
        <v>198</v>
      </c>
      <c r="M257">
        <v>198</v>
      </c>
      <c r="O257" s="5" t="s">
        <v>582</v>
      </c>
      <c r="Q257" s="3">
        <f>IF(AND(P257&lt;&gt;"",ISNUMBER(P257),NOT(ISNA(P257))),P257,IF(R257&lt;&gt;"",VLOOKUP(R257,'ESO zones'!$D$5:$H$10005,5,FALSE),""))</f>
        <v>63</v>
      </c>
      <c r="R257" t="str">
        <f>IF(AND(O257&lt;&gt;"",NOT(ISERROR(O257))),O257,IF(AND(P257&lt;&gt;"",ISNUMBER(P257),P257&gt;0,NOT(ISNA(P257))),VLOOKUP(P257,'ESO zones'!$A$5:$D$10003,4,FALSE),IF(AND(K257&lt;&gt;"",K257&gt;0,NOT(ISERROR(K257))),VLOOKUP(K257,'ESO wayshrines'!$K$3:$N$9972,4,FALSE),"")))</f>
        <v>Darkshade Caverns I</v>
      </c>
      <c r="T257" s="16" t="str">
        <f>IF(AND(S257&lt;&gt;"",NOT(ISERROR(S257))),S257,VLOOKUP(A257,'ESO Set&amp;DLCs'!$A$3:$D$99998,4,FALSE))</f>
        <v>DLC_BASE_GAME</v>
      </c>
      <c r="U257" s="3" t="str">
        <f>IF(T257&lt;&gt;"",VLOOKUP(T257,ConstDLCIds!$B$4:$C$1000,2,FALSE),"")</f>
        <v>Included in base game</v>
      </c>
      <c r="V257" s="4" t="s">
        <v>278</v>
      </c>
      <c r="Y257" s="5">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zones'!$A$5:$D$10003,4,FALSE),"")</f>
        <v>Darkshade Caverns II</v>
      </c>
      <c r="AB257" s="4"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zones'!$A$5:$D$10003,4,FALSE),"")</f>
        <v>Deshaan</v>
      </c>
      <c r="AH257" s="57"/>
      <c r="AK257" s="3" t="str">
        <f>IF(AND(G257&lt;&gt;"LIBSETS_SETTYPE_BATTLEGROUND",G257&lt;&gt;"LIBSETS_SETTYPE_SPECIAL"),IF(AL257&lt;&gt;"",VLOOKUP(AL257,'ESO zones'!$D$5:$H$4957,5,FALSE),""),"")</f>
        <v/>
      </c>
      <c r="AP257" s="3" t="str">
        <f>IF(AND(G257&lt;&gt;"LIBSETS_SETTYPE_BATTLEGROUND",G257&lt;&gt;"LIBSETS_SETTYPE_SPECIAL"),IF(AQ257&lt;&gt;"",VLOOKUP(AQ257,'ESO zones'!$D$5:$H$4957,5,FALSE),""),"")</f>
        <v/>
      </c>
      <c r="AU257" s="3" t="str">
        <f>IF(AND(G257&lt;&gt;"LIBSETS_SETTYPE_BATTLEGROUND",G257&lt;&gt;"LIBSETS_SETTYPE_SPECIAL"),IF(AV257&lt;&gt;"",VLOOKUP(AV257,'ESO zones'!$D$5:$H$4957,5,FALSE),""),"")</f>
        <v/>
      </c>
      <c r="AZ257" s="49" t="s">
        <v>410</v>
      </c>
      <c r="BA257" s="49"/>
      <c r="BB257" s="49"/>
      <c r="BC257" s="49"/>
      <c r="BD257" s="49"/>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2">
        <v>302</v>
      </c>
      <c r="B258" t="s">
        <v>1006</v>
      </c>
      <c r="C258" t="s">
        <v>1006</v>
      </c>
      <c r="D258" s="3">
        <f t="shared" si="18"/>
        <v>302</v>
      </c>
      <c r="G258" s="9" t="s">
        <v>169</v>
      </c>
      <c r="I258" t="s">
        <v>401</v>
      </c>
      <c r="J258" t="s">
        <v>401</v>
      </c>
      <c r="K258">
        <v>190</v>
      </c>
      <c r="L258">
        <v>190</v>
      </c>
      <c r="M258">
        <v>190</v>
      </c>
      <c r="O258" s="5" t="s">
        <v>634</v>
      </c>
      <c r="Q258" s="3">
        <f>IF(AND(P258&lt;&gt;"",ISNUMBER(P258),NOT(ISNA(P258))),P258,IF(R258&lt;&gt;"",VLOOKUP(R258,'ESO zones'!$D$5:$H$10005,5,FALSE),""))</f>
        <v>130</v>
      </c>
      <c r="R258" t="str">
        <f>IF(AND(O258&lt;&gt;"",NOT(ISERROR(O258))),O258,IF(AND(P258&lt;&gt;"",ISNUMBER(P258),P258&gt;0,NOT(ISNA(P258))),VLOOKUP(P258,'ESO zones'!$A$5:$D$10003,4,FALSE),IF(AND(K258&lt;&gt;"",K258&gt;0,NOT(ISERROR(K258))),VLOOKUP(K258,'ESO wayshrines'!$K$3:$N$9972,4,FALSE),"")))</f>
        <v>Crypt of Hearts I</v>
      </c>
      <c r="T258" s="16" t="str">
        <f>IF(AND(S258&lt;&gt;"",NOT(ISERROR(S258))),S258,VLOOKUP(A258,'ESO Set&amp;DLCs'!$A$3:$D$99998,4,FALSE))</f>
        <v>DLC_BASE_GAME</v>
      </c>
      <c r="U258" s="3" t="str">
        <f>IF(T258&lt;&gt;"",VLOOKUP(T258,ConstDLCIds!$B$4:$C$1000,2,FALSE),"")</f>
        <v>Included in base game</v>
      </c>
      <c r="V258" s="4" t="s">
        <v>278</v>
      </c>
      <c r="Y258" s="5">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zones'!$A$5:$D$10003,4,FALSE),"")</f>
        <v>Crypt of Hearts II</v>
      </c>
      <c r="AB258" s="4"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zones'!$A$5:$D$10003,4,FALSE),"")</f>
        <v>Rivenspire</v>
      </c>
      <c r="AH258" s="57"/>
      <c r="AK258" s="3" t="str">
        <f>IF(AND(G258&lt;&gt;"LIBSETS_SETTYPE_BATTLEGROUND",G258&lt;&gt;"LIBSETS_SETTYPE_SPECIAL"),IF(AL258&lt;&gt;"",VLOOKUP(AL258,'ESO zones'!$D$5:$H$4957,5,FALSE),""),"")</f>
        <v/>
      </c>
      <c r="AP258" s="3" t="str">
        <f>IF(AND(G258&lt;&gt;"LIBSETS_SETTYPE_BATTLEGROUND",G258&lt;&gt;"LIBSETS_SETTYPE_SPECIAL"),IF(AQ258&lt;&gt;"",VLOOKUP(AQ258,'ESO zones'!$D$5:$H$4957,5,FALSE),""),"")</f>
        <v/>
      </c>
      <c r="AU258" s="3" t="str">
        <f>IF(AND(G258&lt;&gt;"LIBSETS_SETTYPE_BATTLEGROUND",G258&lt;&gt;"LIBSETS_SETTYPE_SPECIAL"),IF(AV258&lt;&gt;"",VLOOKUP(AV258,'ESO zones'!$D$5:$H$4957,5,FALSE),""),"")</f>
        <v/>
      </c>
      <c r="AZ258" s="49" t="s">
        <v>410</v>
      </c>
      <c r="BA258" s="49"/>
      <c r="BB258" s="49"/>
      <c r="BC258" s="49"/>
      <c r="BD258" s="49"/>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2">
        <v>303</v>
      </c>
      <c r="B259" t="s">
        <v>1007</v>
      </c>
      <c r="C259" t="s">
        <v>1008</v>
      </c>
      <c r="D259" s="3">
        <f t="shared" ref="D259:D322" si="24">A259</f>
        <v>303</v>
      </c>
      <c r="G259" s="9" t="s">
        <v>169</v>
      </c>
      <c r="I259" t="s">
        <v>401</v>
      </c>
      <c r="J259" t="s">
        <v>401</v>
      </c>
      <c r="K259">
        <v>192</v>
      </c>
      <c r="L259">
        <v>192</v>
      </c>
      <c r="M259">
        <v>192</v>
      </c>
      <c r="O259" s="5" t="s">
        <v>697</v>
      </c>
      <c r="Q259" s="3">
        <f>IF(AND(P259&lt;&gt;"",ISNUMBER(P259),NOT(ISNA(P259))),P259,IF(R259&lt;&gt;"",VLOOKUP(R259,'ESO zones'!$D$5:$H$10005,5,FALSE),""))</f>
        <v>148</v>
      </c>
      <c r="R259" t="str">
        <f>IF(AND(O259&lt;&gt;"",NOT(ISERROR(O259))),O259,IF(AND(P259&lt;&gt;"",ISNUMBER(P259),P259&gt;0,NOT(ISNA(P259))),VLOOKUP(P259,'ESO zones'!$A$5:$D$10003,4,FALSE),IF(AND(K259&lt;&gt;"",K259&gt;0,NOT(ISERROR(K259))),VLOOKUP(K259,'ESO wayshrines'!$K$3:$N$9972,4,FALSE),"")))</f>
        <v>Arx Corinium</v>
      </c>
      <c r="T259" s="16" t="str">
        <f>IF(AND(S259&lt;&gt;"",NOT(ISERROR(S259))),S259,VLOOKUP(A259,'ESO Set&amp;DLCs'!$A$3:$D$99998,4,FALSE))</f>
        <v>DLC_BASE_GAME</v>
      </c>
      <c r="U259" s="3" t="str">
        <f>IF(T259&lt;&gt;"",VLOOKUP(T259,ConstDLCIds!$B$4:$C$1000,2,FALSE),"")</f>
        <v>Included in base game</v>
      </c>
      <c r="V259" s="4" t="s">
        <v>278</v>
      </c>
      <c r="Y259" s="5"/>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zones'!$A$5:$D$10003,4,FALSE),"")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zones'!$A$5:$D$10003,4,FALSE),"")</f>
        <v>Shadowfen</v>
      </c>
      <c r="AK259" s="3" t="str">
        <f>IF(AND(G259&lt;&gt;"LIBSETS_SETTYPE_BATTLEGROUND",G259&lt;&gt;"LIBSETS_SETTYPE_SPECIAL"),IF(AL259&lt;&gt;"",VLOOKUP(AL259,'ESO zones'!$D$5:$H$4957,5,FALSE),""),"")</f>
        <v/>
      </c>
      <c r="AP259" s="3" t="str">
        <f>IF(AND(G259&lt;&gt;"LIBSETS_SETTYPE_BATTLEGROUND",G259&lt;&gt;"LIBSETS_SETTYPE_SPECIAL"),IF(AQ259&lt;&gt;"",VLOOKUP(AQ259,'ESO zones'!$D$5:$H$4957,5,FALSE),""),"")</f>
        <v/>
      </c>
      <c r="AU259" s="3" t="str">
        <f>IF(AND(G259&lt;&gt;"LIBSETS_SETTYPE_BATTLEGROUND",G259&lt;&gt;"LIBSETS_SETTYPE_SPECIAL"),IF(AV259&lt;&gt;"",VLOOKUP(AV259,'ESO zones'!$D$5:$H$4957,5,FALSE),""),"")</f>
        <v/>
      </c>
      <c r="AZ259" s="49" t="s">
        <v>403</v>
      </c>
      <c r="BA259" s="49"/>
      <c r="BB259" s="49"/>
      <c r="BC259" s="49"/>
      <c r="BD259" s="49"/>
      <c r="BE259" s="18"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8"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8" t="str">
        <f t="shared" ref="BG259:BG322" si="27">IF(A259&lt;&gt;"",IF(F259&lt;&gt;"Not in the game (anymore)",IF(A259&lt;&gt;"",", setType="&amp;G259,"")&amp;IF(G259="LIBSETS_SETTYPE_CLASS",", classId="&amp;BC259,"")&amp;IF(J259="true",", multiTrialSet=true",""),"")&amp;IF(AND(H259&lt;&gt;"",ISNUMBER(H259)),", undauntedChestId="&amp;H259,""),"")</f>
        <v>, setType=LIBSETS_SETTYPE_DUNGEON</v>
      </c>
      <c r="BH259" s="18" t="str">
        <f t="shared" ref="BH259:BH322" si="28">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8" t="str">
        <f t="shared" ref="BI259:BI322" si="29">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1009</v>
      </c>
      <c r="C260" t="s">
        <v>1010</v>
      </c>
      <c r="D260" s="3">
        <f t="shared" si="24"/>
        <v>304</v>
      </c>
      <c r="G260" s="9" t="s">
        <v>169</v>
      </c>
      <c r="I260" t="s">
        <v>401</v>
      </c>
      <c r="J260" t="s">
        <v>401</v>
      </c>
      <c r="K260">
        <v>192</v>
      </c>
      <c r="L260">
        <v>192</v>
      </c>
      <c r="M260">
        <v>192</v>
      </c>
      <c r="O260" s="5" t="s">
        <v>697</v>
      </c>
      <c r="Q260" s="3">
        <f>IF(AND(P260&lt;&gt;"",ISNUMBER(P260),NOT(ISNA(P260))),P260,IF(R260&lt;&gt;"",VLOOKUP(R260,'ESO zones'!$D$5:$H$10005,5,FALSE),""))</f>
        <v>148</v>
      </c>
      <c r="R260" t="str">
        <f>IF(AND(O260&lt;&gt;"",NOT(ISERROR(O260))),O260,IF(AND(P260&lt;&gt;"",ISNUMBER(P260),P260&gt;0,NOT(ISNA(P260))),VLOOKUP(P260,'ESO zones'!$A$5:$D$10003,4,FALSE),IF(AND(K260&lt;&gt;"",K260&gt;0,NOT(ISERROR(K260))),VLOOKUP(K260,'ESO wayshrines'!$K$3:$N$9972,4,FALSE),"")))</f>
        <v>Arx Corinium</v>
      </c>
      <c r="T260" s="16" t="str">
        <f>IF(AND(S260&lt;&gt;"",NOT(ISERROR(S260))),S260,VLOOKUP(A260,'ESO Set&amp;DLCs'!$A$3:$D$99998,4,FALSE))</f>
        <v>DLC_BASE_GAME</v>
      </c>
      <c r="U260" s="3" t="str">
        <f>IF(T260&lt;&gt;"",VLOOKUP(T260,ConstDLCIds!$B$4:$C$1000,2,FALSE),"")</f>
        <v>Included in base game</v>
      </c>
      <c r="V260" s="4" t="s">
        <v>278</v>
      </c>
      <c r="Y260" s="5"/>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zones'!$A$5:$D$10003,4,FALSE),"")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zones'!$A$5:$D$10003,4,FALSE),"")</f>
        <v>Shadowfen</v>
      </c>
      <c r="AK260" s="3" t="str">
        <f>IF(AND(G260&lt;&gt;"LIBSETS_SETTYPE_BATTLEGROUND",G260&lt;&gt;"LIBSETS_SETTYPE_SPECIAL"),IF(AL260&lt;&gt;"",VLOOKUP(AL260,'ESO zones'!$D$5:$H$4957,5,FALSE),""),"")</f>
        <v/>
      </c>
      <c r="AP260" s="3" t="str">
        <f>IF(AND(G260&lt;&gt;"LIBSETS_SETTYPE_BATTLEGROUND",G260&lt;&gt;"LIBSETS_SETTYPE_SPECIAL"),IF(AQ260&lt;&gt;"",VLOOKUP(AQ260,'ESO zones'!$D$5:$H$4957,5,FALSE),""),"")</f>
        <v/>
      </c>
      <c r="AU260" s="3" t="str">
        <f>IF(AND(G260&lt;&gt;"LIBSETS_SETTYPE_BATTLEGROUND",G260&lt;&gt;"LIBSETS_SETTYPE_SPECIAL"),IF(AV260&lt;&gt;"",VLOOKUP(AV260,'ESO zones'!$D$5:$H$4957,5,FALSE),""),"")</f>
        <v/>
      </c>
      <c r="AZ260" s="49" t="s">
        <v>403</v>
      </c>
      <c r="BA260" s="49"/>
      <c r="BB260" s="49"/>
      <c r="BC260" s="49"/>
      <c r="BD260" s="49"/>
      <c r="BE260" s="18" t="str">
        <f t="shared" si="25"/>
        <v>[304] = {wayshrines={192,192,192,}, dlcId=DLC_BASE_GAME</v>
      </c>
      <c r="BF260" s="18" t="str">
        <f t="shared" si="26"/>
        <v>, zoneIds={148,117,117}, veteran=false</v>
      </c>
      <c r="BG260" s="18" t="str">
        <f t="shared" si="27"/>
        <v>, setType=LIBSETS_SETTYPE_DUNGEON</v>
      </c>
      <c r="BH260" s="18" t="str">
        <f t="shared" si="28"/>
        <v>, dropMechanic={LIBSETS_DROP_MECHANIC_GROUP_DUNGEON_BOSS}</v>
      </c>
      <c r="BI260" s="18" t="str">
        <f t="shared" si="29"/>
        <v>}, --Medusa / Versteinernder Blick   [Arx Corinium, Shadowfen, Shadowfen]</v>
      </c>
    </row>
    <row r="261" spans="1:61" x14ac:dyDescent="0.25">
      <c r="A261" s="12">
        <v>305</v>
      </c>
      <c r="B261" t="s">
        <v>1011</v>
      </c>
      <c r="C261" t="s">
        <v>1012</v>
      </c>
      <c r="D261" s="3">
        <f t="shared" si="24"/>
        <v>305</v>
      </c>
      <c r="G261" s="9" t="s">
        <v>169</v>
      </c>
      <c r="I261" t="s">
        <v>401</v>
      </c>
      <c r="J261" t="s">
        <v>401</v>
      </c>
      <c r="K261">
        <v>196</v>
      </c>
      <c r="L261">
        <v>196</v>
      </c>
      <c r="M261">
        <v>196</v>
      </c>
      <c r="O261" s="5" t="s">
        <v>539</v>
      </c>
      <c r="Q261" s="3">
        <f>IF(AND(P261&lt;&gt;"",ISNUMBER(P261),NOT(ISNA(P261))),P261,IF(R261&lt;&gt;"",VLOOKUP(R261,'ESO zones'!$D$5:$H$10005,5,FALSE),""))</f>
        <v>22</v>
      </c>
      <c r="R261" t="str">
        <f>IF(AND(O261&lt;&gt;"",NOT(ISERROR(O261))),O261,IF(AND(P261&lt;&gt;"",ISNUMBER(P261),P261&gt;0,NOT(ISNA(P261))),VLOOKUP(P261,'ESO zones'!$A$5:$D$10003,4,FALSE),IF(AND(K261&lt;&gt;"",K261&gt;0,NOT(ISERROR(K261))),VLOOKUP(K261,'ESO wayshrines'!$K$3:$N$9972,4,FALSE),"")))</f>
        <v>Volenfell</v>
      </c>
      <c r="T261" s="16" t="str">
        <f>IF(AND(S261&lt;&gt;"",NOT(ISERROR(S261))),S261,VLOOKUP(A261,'ESO Set&amp;DLCs'!$A$3:$D$99998,4,FALSE))</f>
        <v>DLC_BASE_GAME</v>
      </c>
      <c r="U261" s="3" t="str">
        <f>IF(T261&lt;&gt;"",VLOOKUP(T261,ConstDLCIds!$B$4:$C$1000,2,FALSE),"")</f>
        <v>Included in base game</v>
      </c>
      <c r="V261" s="4" t="s">
        <v>278</v>
      </c>
      <c r="Y261" s="5"/>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zones'!$A$5:$D$10003,4,FALSE),"")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zones'!$A$5:$D$10003,4,FALSE),"")</f>
        <v>Alik'r Desert</v>
      </c>
      <c r="AK261" s="3" t="str">
        <f>IF(AND(G261&lt;&gt;"LIBSETS_SETTYPE_BATTLEGROUND",G261&lt;&gt;"LIBSETS_SETTYPE_SPECIAL"),IF(AL261&lt;&gt;"",VLOOKUP(AL261,'ESO zones'!$D$5:$H$4957,5,FALSE),""),"")</f>
        <v/>
      </c>
      <c r="AP261" s="3" t="str">
        <f>IF(AND(G261&lt;&gt;"LIBSETS_SETTYPE_BATTLEGROUND",G261&lt;&gt;"LIBSETS_SETTYPE_SPECIAL"),IF(AQ261&lt;&gt;"",VLOOKUP(AQ261,'ESO zones'!$D$5:$H$4957,5,FALSE),""),"")</f>
        <v/>
      </c>
      <c r="AU261" s="3" t="str">
        <f>IF(AND(G261&lt;&gt;"LIBSETS_SETTYPE_BATTLEGROUND",G261&lt;&gt;"LIBSETS_SETTYPE_SPECIAL"),IF(AV261&lt;&gt;"",VLOOKUP(AV261,'ESO zones'!$D$5:$H$4957,5,FALSE),""),"")</f>
        <v/>
      </c>
      <c r="AZ261" s="49" t="s">
        <v>403</v>
      </c>
      <c r="BA261" s="49"/>
      <c r="BB261" s="49"/>
      <c r="BC261" s="49"/>
      <c r="BD261" s="49"/>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2">
        <v>307</v>
      </c>
      <c r="B262" t="s">
        <v>1013</v>
      </c>
      <c r="C262" t="s">
        <v>1014</v>
      </c>
      <c r="D262" s="3">
        <f t="shared" si="24"/>
        <v>307</v>
      </c>
      <c r="G262" s="9" t="s">
        <v>169</v>
      </c>
      <c r="I262" t="s">
        <v>401</v>
      </c>
      <c r="J262" t="s">
        <v>401</v>
      </c>
      <c r="K262">
        <v>195</v>
      </c>
      <c r="L262">
        <v>195</v>
      </c>
      <c r="M262">
        <v>195</v>
      </c>
      <c r="O262" s="5" t="s">
        <v>485</v>
      </c>
      <c r="Q262" s="3">
        <f>IF(AND(P262&lt;&gt;"",ISNUMBER(P262),NOT(ISNA(P262))),P262,IF(R262&lt;&gt;"",VLOOKUP(R262,'ESO zones'!$D$5:$H$10005,5,FALSE),""))</f>
        <v>449</v>
      </c>
      <c r="R262" t="str">
        <f>IF(AND(O262&lt;&gt;"",NOT(ISERROR(O262))),O262,IF(AND(P262&lt;&gt;"",ISNUMBER(P262),P262&gt;0,NOT(ISNA(P262))),VLOOKUP(P262,'ESO zones'!$A$5:$D$10003,4,FALSE),IF(AND(K262&lt;&gt;"",K262&gt;0,NOT(ISERROR(K262))),VLOOKUP(K262,'ESO wayshrines'!$K$3:$N$9972,4,FALSE),"")))</f>
        <v>Direfrost Keep</v>
      </c>
      <c r="T262" s="16" t="str">
        <f>IF(AND(S262&lt;&gt;"",NOT(ISERROR(S262))),S262,VLOOKUP(A262,'ESO Set&amp;DLCs'!$A$3:$D$99998,4,FALSE))</f>
        <v>DLC_BASE_GAME</v>
      </c>
      <c r="U262" s="3" t="str">
        <f>IF(T262&lt;&gt;"",VLOOKUP(T262,ConstDLCIds!$B$4:$C$1000,2,FALSE),"")</f>
        <v>Included in base game</v>
      </c>
      <c r="V262" s="4" t="s">
        <v>278</v>
      </c>
      <c r="Y262" s="5"/>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zones'!$A$5:$D$10003,4,FALSE),"")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zones'!$A$5:$D$10003,4,FALSE),"")</f>
        <v>Eastmarch</v>
      </c>
      <c r="AK262" s="3" t="str">
        <f>IF(AND(G262&lt;&gt;"LIBSETS_SETTYPE_BATTLEGROUND",G262&lt;&gt;"LIBSETS_SETTYPE_SPECIAL"),IF(AL262&lt;&gt;"",VLOOKUP(AL262,'ESO zones'!$D$5:$H$4957,5,FALSE),""),"")</f>
        <v/>
      </c>
      <c r="AP262" s="3" t="str">
        <f>IF(AND(G262&lt;&gt;"LIBSETS_SETTYPE_BATTLEGROUND",G262&lt;&gt;"LIBSETS_SETTYPE_SPECIAL"),IF(AQ262&lt;&gt;"",VLOOKUP(AQ262,'ESO zones'!$D$5:$H$4957,5,FALSE),""),"")</f>
        <v/>
      </c>
      <c r="AU262" s="3" t="str">
        <f>IF(AND(G262&lt;&gt;"LIBSETS_SETTYPE_BATTLEGROUND",G262&lt;&gt;"LIBSETS_SETTYPE_SPECIAL"),IF(AV262&lt;&gt;"",VLOOKUP(AV262,'ESO zones'!$D$5:$H$4957,5,FALSE),""),"")</f>
        <v/>
      </c>
      <c r="AZ262" s="49" t="s">
        <v>410</v>
      </c>
      <c r="BA262" s="49"/>
      <c r="BB262" s="49"/>
      <c r="BC262" s="49"/>
      <c r="BD262" s="49"/>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2">
        <v>308</v>
      </c>
      <c r="B263" t="s">
        <v>1015</v>
      </c>
      <c r="C263" t="s">
        <v>1016</v>
      </c>
      <c r="D263" s="3">
        <f t="shared" si="24"/>
        <v>308</v>
      </c>
      <c r="G263" s="9" t="s">
        <v>169</v>
      </c>
      <c r="I263" t="s">
        <v>401</v>
      </c>
      <c r="J263" t="s">
        <v>401</v>
      </c>
      <c r="K263">
        <v>186</v>
      </c>
      <c r="L263">
        <v>186</v>
      </c>
      <c r="M263">
        <v>186</v>
      </c>
      <c r="O263" s="5" t="s">
        <v>700</v>
      </c>
      <c r="Q263" s="3">
        <f>IF(AND(P263&lt;&gt;"",ISNUMBER(P263),NOT(ISNA(P263))),P263,IF(R263&lt;&gt;"",VLOOKUP(R263,'ESO zones'!$D$5:$H$10005,5,FALSE),""))</f>
        <v>38</v>
      </c>
      <c r="R263" t="str">
        <f>IF(AND(O263&lt;&gt;"",NOT(ISERROR(O263))),O263,IF(AND(P263&lt;&gt;"",ISNUMBER(P263),P263&gt;0,NOT(ISNA(P263))),VLOOKUP(P263,'ESO zones'!$A$5:$D$10003,4,FALSE),IF(AND(K263&lt;&gt;"",K263&gt;0,NOT(ISERROR(K263))),VLOOKUP(K263,'ESO wayshrines'!$K$3:$N$9972,4,FALSE),"")))</f>
        <v>Blackheart Haven</v>
      </c>
      <c r="T263" s="16" t="str">
        <f>IF(AND(S263&lt;&gt;"",NOT(ISERROR(S263))),S263,VLOOKUP(A263,'ESO Set&amp;DLCs'!$A$3:$D$99998,4,FALSE))</f>
        <v>DLC_BASE_GAME</v>
      </c>
      <c r="U263" s="3" t="str">
        <f>IF(T263&lt;&gt;"",VLOOKUP(T263,ConstDLCIds!$B$4:$C$1000,2,FALSE),"")</f>
        <v>Included in base game</v>
      </c>
      <c r="V263" s="4" t="s">
        <v>278</v>
      </c>
      <c r="Y263" s="5"/>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zones'!$A$5:$D$10003,4,FALSE),"")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zones'!$A$5:$D$10003,4,FALSE),"")</f>
        <v>Bangkorai</v>
      </c>
      <c r="AK263" s="3" t="str">
        <f>IF(AND(G263&lt;&gt;"LIBSETS_SETTYPE_BATTLEGROUND",G263&lt;&gt;"LIBSETS_SETTYPE_SPECIAL"),IF(AL263&lt;&gt;"",VLOOKUP(AL263,'ESO zones'!$D$5:$H$4957,5,FALSE),""),"")</f>
        <v/>
      </c>
      <c r="AP263" s="3" t="str">
        <f>IF(AND(G263&lt;&gt;"LIBSETS_SETTYPE_BATTLEGROUND",G263&lt;&gt;"LIBSETS_SETTYPE_SPECIAL"),IF(AQ263&lt;&gt;"",VLOOKUP(AQ263,'ESO zones'!$D$5:$H$4957,5,FALSE),""),"")</f>
        <v/>
      </c>
      <c r="AU263" s="3" t="str">
        <f>IF(AND(G263&lt;&gt;"LIBSETS_SETTYPE_BATTLEGROUND",G263&lt;&gt;"LIBSETS_SETTYPE_SPECIAL"),IF(AV263&lt;&gt;"",VLOOKUP(AV263,'ESO zones'!$D$5:$H$4957,5,FALSE),""),"")</f>
        <v/>
      </c>
      <c r="AZ263" s="49" t="s">
        <v>403</v>
      </c>
      <c r="BA263" s="49"/>
      <c r="BB263" s="49"/>
      <c r="BC263" s="49"/>
      <c r="BD263" s="49"/>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2">
        <v>309</v>
      </c>
      <c r="B264" t="s">
        <v>1017</v>
      </c>
      <c r="C264" t="s">
        <v>1018</v>
      </c>
      <c r="D264" s="3">
        <f t="shared" si="24"/>
        <v>309</v>
      </c>
      <c r="G264" s="9" t="s">
        <v>169</v>
      </c>
      <c r="I264" t="s">
        <v>401</v>
      </c>
      <c r="J264" t="s">
        <v>401</v>
      </c>
      <c r="K264">
        <v>186</v>
      </c>
      <c r="L264">
        <v>186</v>
      </c>
      <c r="M264">
        <v>186</v>
      </c>
      <c r="O264" s="5" t="s">
        <v>700</v>
      </c>
      <c r="Q264" s="3">
        <f>IF(AND(P264&lt;&gt;"",ISNUMBER(P264),NOT(ISNA(P264))),P264,IF(R264&lt;&gt;"",VLOOKUP(R264,'ESO zones'!$D$5:$H$10005,5,FALSE),""))</f>
        <v>38</v>
      </c>
      <c r="R264" t="str">
        <f>IF(AND(O264&lt;&gt;"",NOT(ISERROR(O264))),O264,IF(AND(P264&lt;&gt;"",ISNUMBER(P264),P264&gt;0,NOT(ISNA(P264))),VLOOKUP(P264,'ESO zones'!$A$5:$D$10003,4,FALSE),IF(AND(K264&lt;&gt;"",K264&gt;0,NOT(ISERROR(K264))),VLOOKUP(K264,'ESO wayshrines'!$K$3:$N$9972,4,FALSE),"")))</f>
        <v>Blackheart Haven</v>
      </c>
      <c r="T264" s="16" t="str">
        <f>IF(AND(S264&lt;&gt;"",NOT(ISERROR(S264))),S264,VLOOKUP(A264,'ESO Set&amp;DLCs'!$A$3:$D$99998,4,FALSE))</f>
        <v>DLC_BASE_GAME</v>
      </c>
      <c r="U264" s="3" t="str">
        <f>IF(T264&lt;&gt;"",VLOOKUP(T264,ConstDLCIds!$B$4:$C$1000,2,FALSE),"")</f>
        <v>Included in base game</v>
      </c>
      <c r="V264" s="4" t="s">
        <v>278</v>
      </c>
      <c r="Y264" s="5"/>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zones'!$A$5:$D$10003,4,FALSE),"")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zones'!$A$5:$D$10003,4,FALSE),"")</f>
        <v>Bangkorai</v>
      </c>
      <c r="AK264" s="3" t="str">
        <f>IF(AND(G264&lt;&gt;"LIBSETS_SETTYPE_BATTLEGROUND",G264&lt;&gt;"LIBSETS_SETTYPE_SPECIAL"),IF(AL264&lt;&gt;"",VLOOKUP(AL264,'ESO zones'!$D$5:$H$4957,5,FALSE),""),"")</f>
        <v/>
      </c>
      <c r="AP264" s="3" t="str">
        <f>IF(AND(G264&lt;&gt;"LIBSETS_SETTYPE_BATTLEGROUND",G264&lt;&gt;"LIBSETS_SETTYPE_SPECIAL"),IF(AQ264&lt;&gt;"",VLOOKUP(AQ264,'ESO zones'!$D$5:$H$4957,5,FALSE),""),"")</f>
        <v/>
      </c>
      <c r="AU264" s="3" t="str">
        <f>IF(AND(G264&lt;&gt;"LIBSETS_SETTYPE_BATTLEGROUND",G264&lt;&gt;"LIBSETS_SETTYPE_SPECIAL"),IF(AV264&lt;&gt;"",VLOOKUP(AV264,'ESO zones'!$D$5:$H$4957,5,FALSE),""),"")</f>
        <v/>
      </c>
      <c r="AZ264" s="49" t="s">
        <v>403</v>
      </c>
      <c r="BA264" s="49"/>
      <c r="BB264" s="49"/>
      <c r="BC264" s="49"/>
      <c r="BD264" s="49"/>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2">
        <v>310</v>
      </c>
      <c r="B265" t="s">
        <v>1019</v>
      </c>
      <c r="C265" t="s">
        <v>1020</v>
      </c>
      <c r="D265" s="3">
        <f t="shared" si="24"/>
        <v>310</v>
      </c>
      <c r="G265" s="9" t="s">
        <v>169</v>
      </c>
      <c r="I265" t="s">
        <v>401</v>
      </c>
      <c r="J265" t="s">
        <v>401</v>
      </c>
      <c r="K265">
        <v>187</v>
      </c>
      <c r="L265">
        <v>187</v>
      </c>
      <c r="M265">
        <v>187</v>
      </c>
      <c r="O265" s="5" t="s">
        <v>470</v>
      </c>
      <c r="Q265" s="3">
        <f>IF(AND(P265&lt;&gt;"",ISNUMBER(P265),NOT(ISNA(P265))),P265,IF(R265&lt;&gt;"",VLOOKUP(R265,'ESO zones'!$D$5:$H$10005,5,FALSE),""))</f>
        <v>64</v>
      </c>
      <c r="R265" t="str">
        <f>IF(AND(O265&lt;&gt;"",NOT(ISERROR(O265))),O265,IF(AND(P265&lt;&gt;"",ISNUMBER(P265),P265&gt;0,NOT(ISNA(P265))),VLOOKUP(P265,'ESO zones'!$A$5:$D$10003,4,FALSE),IF(AND(K265&lt;&gt;"",K265&gt;0,NOT(ISERROR(K265))),VLOOKUP(K265,'ESO wayshrines'!$K$3:$N$9972,4,FALSE),"")))</f>
        <v>Blessed Crucible</v>
      </c>
      <c r="T265" s="16" t="str">
        <f>IF(AND(S265&lt;&gt;"",NOT(ISERROR(S265))),S265,VLOOKUP(A265,'ESO Set&amp;DLCs'!$A$3:$D$99998,4,FALSE))</f>
        <v>DLC_BASE_GAME</v>
      </c>
      <c r="U265" s="3" t="str">
        <f>IF(T265&lt;&gt;"",VLOOKUP(T265,ConstDLCIds!$B$4:$C$1000,2,FALSE),"")</f>
        <v>Included in base game</v>
      </c>
      <c r="V265" s="4" t="s">
        <v>278</v>
      </c>
      <c r="Y265" s="5"/>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zones'!$A$5:$D$10003,4,FALSE),"")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zones'!$A$5:$D$10003,4,FALSE),"")</f>
        <v>The Rift</v>
      </c>
      <c r="AK265" s="3" t="str">
        <f>IF(AND(G265&lt;&gt;"LIBSETS_SETTYPE_BATTLEGROUND",G265&lt;&gt;"LIBSETS_SETTYPE_SPECIAL"),IF(AL265&lt;&gt;"",VLOOKUP(AL265,'ESO zones'!$D$5:$H$4957,5,FALSE),""),"")</f>
        <v/>
      </c>
      <c r="AP265" s="3" t="str">
        <f>IF(AND(G265&lt;&gt;"LIBSETS_SETTYPE_BATTLEGROUND",G265&lt;&gt;"LIBSETS_SETTYPE_SPECIAL"),IF(AQ265&lt;&gt;"",VLOOKUP(AQ265,'ESO zones'!$D$5:$H$4957,5,FALSE),""),"")</f>
        <v/>
      </c>
      <c r="AU265" s="3" t="str">
        <f>IF(AND(G265&lt;&gt;"LIBSETS_SETTYPE_BATTLEGROUND",G265&lt;&gt;"LIBSETS_SETTYPE_SPECIAL"),IF(AV265&lt;&gt;"",VLOOKUP(AV265,'ESO zones'!$D$5:$H$4957,5,FALSE),""),"")</f>
        <v/>
      </c>
      <c r="AZ265" s="49" t="s">
        <v>410</v>
      </c>
      <c r="BA265" s="49"/>
      <c r="BB265" s="49"/>
      <c r="BC265" s="49"/>
      <c r="BD265" s="49"/>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2">
        <v>311</v>
      </c>
      <c r="B266" t="s">
        <v>1021</v>
      </c>
      <c r="C266" t="s">
        <v>1022</v>
      </c>
      <c r="D266" s="3">
        <f t="shared" si="24"/>
        <v>311</v>
      </c>
      <c r="G266" s="9" t="s">
        <v>169</v>
      </c>
      <c r="I266" t="s">
        <v>401</v>
      </c>
      <c r="J266" t="s">
        <v>401</v>
      </c>
      <c r="K266">
        <v>184</v>
      </c>
      <c r="L266">
        <v>184</v>
      </c>
      <c r="M266">
        <v>184</v>
      </c>
      <c r="O266" s="5" t="s">
        <v>571</v>
      </c>
      <c r="Q266" s="3">
        <f>IF(AND(P266&lt;&gt;"",ISNUMBER(P266),NOT(ISNA(P266))),P266,IF(R266&lt;&gt;"",VLOOKUP(R266,'ESO zones'!$D$5:$H$10005,5,FALSE),""))</f>
        <v>11</v>
      </c>
      <c r="R266" t="str">
        <f>IF(AND(O266&lt;&gt;"",NOT(ISERROR(O266))),O266,IF(AND(P266&lt;&gt;"",ISNUMBER(P266),P266&gt;0,NOT(ISNA(P266))),VLOOKUP(P266,'ESO zones'!$A$5:$D$10003,4,FALSE),IF(AND(K266&lt;&gt;"",K266&gt;0,NOT(ISERROR(K266))),VLOOKUP(K266,'ESO wayshrines'!$K$3:$N$9972,4,FALSE),"")))</f>
        <v>Vaults of Madness</v>
      </c>
      <c r="T266" s="16" t="str">
        <f>IF(AND(S266&lt;&gt;"",NOT(ISERROR(S266))),S266,VLOOKUP(A266,'ESO Set&amp;DLCs'!$A$3:$D$99998,4,FALSE))</f>
        <v>DLC_BASE_GAME</v>
      </c>
      <c r="U266" s="3" t="str">
        <f>IF(T266&lt;&gt;"",VLOOKUP(T266,ConstDLCIds!$B$4:$C$1000,2,FALSE),"")</f>
        <v>Included in base game</v>
      </c>
      <c r="V266" s="4" t="s">
        <v>278</v>
      </c>
      <c r="Y266" s="5"/>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zones'!$A$5:$D$10003,4,FALSE),"")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zones'!$A$5:$D$10003,4,FALSE),"")</f>
        <v>Coldharbour</v>
      </c>
      <c r="AK266" s="3" t="str">
        <f>IF(AND(G266&lt;&gt;"LIBSETS_SETTYPE_BATTLEGROUND",G266&lt;&gt;"LIBSETS_SETTYPE_SPECIAL"),IF(AL266&lt;&gt;"",VLOOKUP(AL266,'ESO zones'!$D$5:$H$4957,5,FALSE),""),"")</f>
        <v/>
      </c>
      <c r="AP266" s="3" t="str">
        <f>IF(AND(G266&lt;&gt;"LIBSETS_SETTYPE_BATTLEGROUND",G266&lt;&gt;"LIBSETS_SETTYPE_SPECIAL"),IF(AQ266&lt;&gt;"",VLOOKUP(AQ266,'ESO zones'!$D$5:$H$4957,5,FALSE),""),"")</f>
        <v/>
      </c>
      <c r="AU266" s="3" t="str">
        <f>IF(AND(G266&lt;&gt;"LIBSETS_SETTYPE_BATTLEGROUND",G266&lt;&gt;"LIBSETS_SETTYPE_SPECIAL"),IF(AV266&lt;&gt;"",VLOOKUP(AV266,'ESO zones'!$D$5:$H$4957,5,FALSE),""),"")</f>
        <v/>
      </c>
      <c r="AZ266" s="49" t="s">
        <v>403</v>
      </c>
      <c r="BA266" s="49"/>
      <c r="BB266" s="49"/>
      <c r="BC266" s="49"/>
      <c r="BD266" s="49"/>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2">
        <v>313</v>
      </c>
      <c r="B267" t="s">
        <v>1023</v>
      </c>
      <c r="C267" t="s">
        <v>1024</v>
      </c>
      <c r="D267" s="3">
        <f t="shared" si="24"/>
        <v>313</v>
      </c>
      <c r="G267" s="9" t="s">
        <v>159</v>
      </c>
      <c r="I267" t="s">
        <v>401</v>
      </c>
      <c r="J267" t="s">
        <v>401</v>
      </c>
      <c r="K267">
        <v>270</v>
      </c>
      <c r="L267">
        <v>270</v>
      </c>
      <c r="M267">
        <v>270</v>
      </c>
      <c r="O267" s="5" t="s">
        <v>416</v>
      </c>
      <c r="Q267" s="3">
        <f>IF(AND(P267&lt;&gt;"",ISNUMBER(P267),NOT(ISNA(P267))),P267,IF(R267&lt;&gt;"",VLOOKUP(R267,'ESO zones'!$D$5:$H$10005,5,FALSE),""))</f>
        <v>635</v>
      </c>
      <c r="R267" t="str">
        <f>IF(AND(O267&lt;&gt;"",NOT(ISERROR(O267))),O267,IF(AND(P267&lt;&gt;"",ISNUMBER(P267),P267&gt;0,NOT(ISNA(P267))),VLOOKUP(P267,'ESO zones'!$A$5:$D$10003,4,FALSE),IF(AND(K267&lt;&gt;"",K267&gt;0,NOT(ISERROR(K267))),VLOOKUP(K267,'ESO wayshrines'!$K$3:$N$9972,4,FALSE),"")))</f>
        <v>Dragonstar Arena</v>
      </c>
      <c r="T267" s="16" t="str">
        <f>IF(AND(S267&lt;&gt;"",NOT(ISERROR(S267))),S267,VLOOKUP(A267,'ESO Set&amp;DLCs'!$A$3:$D$99998,4,FALSE))</f>
        <v>DLC_BASE_GAME</v>
      </c>
      <c r="U267" s="3" t="str">
        <f>IF(T267&lt;&gt;"",VLOOKUP(T267,ConstDLCIds!$B$4:$C$1000,2,FALSE),"")</f>
        <v>Included in base game</v>
      </c>
      <c r="V267" s="4" t="s">
        <v>209</v>
      </c>
      <c r="Y267" s="5"/>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zones'!$A$5:$D$10003,4,FALSE),"")</f>
        <v>Craglorn</v>
      </c>
      <c r="AB267" s="4"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zones'!$A$5:$D$10003,4,FALSE),"")</f>
        <v>Craglorn</v>
      </c>
      <c r="AK267" s="3" t="str">
        <f>IF(AND(G267&lt;&gt;"LIBSETS_SETTYPE_BATTLEGROUND",G267&lt;&gt;"LIBSETS_SETTYPE_SPECIAL"),IF(AL267&lt;&gt;"",VLOOKUP(AL267,'ESO zones'!$D$5:$H$4957,5,FALSE),""),"")</f>
        <v/>
      </c>
      <c r="AP267" s="3" t="str">
        <f>IF(AND(G267&lt;&gt;"LIBSETS_SETTYPE_BATTLEGROUND",G267&lt;&gt;"LIBSETS_SETTYPE_SPECIAL"),IF(AQ267&lt;&gt;"",VLOOKUP(AQ267,'ESO zones'!$D$5:$H$4957,5,FALSE),""),"")</f>
        <v/>
      </c>
      <c r="AU267" s="3" t="str">
        <f>IF(AND(G267&lt;&gt;"LIBSETS_SETTYPE_BATTLEGROUND",G267&lt;&gt;"LIBSETS_SETTYPE_SPECIAL"),IF(AV267&lt;&gt;"",VLOOKUP(AV267,'ESO zones'!$D$5:$H$4957,5,FALSE),""),"")</f>
        <v/>
      </c>
      <c r="AZ267" s="49" t="s">
        <v>403</v>
      </c>
      <c r="BA267" s="49"/>
      <c r="BB267" s="49"/>
      <c r="BC267" s="49"/>
      <c r="BD267" s="49">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2">
        <v>314</v>
      </c>
      <c r="B268" t="s">
        <v>1025</v>
      </c>
      <c r="C268" t="s">
        <v>1026</v>
      </c>
      <c r="D268" s="3">
        <f t="shared" si="24"/>
        <v>314</v>
      </c>
      <c r="G268" s="9" t="s">
        <v>159</v>
      </c>
      <c r="I268" t="s">
        <v>401</v>
      </c>
      <c r="J268" t="s">
        <v>401</v>
      </c>
      <c r="K268">
        <v>270</v>
      </c>
      <c r="L268">
        <v>270</v>
      </c>
      <c r="M268">
        <v>270</v>
      </c>
      <c r="O268" s="5" t="s">
        <v>416</v>
      </c>
      <c r="Q268" s="3">
        <f>IF(AND(P268&lt;&gt;"",ISNUMBER(P268),NOT(ISNA(P268))),P268,IF(R268&lt;&gt;"",VLOOKUP(R268,'ESO zones'!$D$5:$H$10005,5,FALSE),""))</f>
        <v>635</v>
      </c>
      <c r="R268" t="str">
        <f>IF(AND(O268&lt;&gt;"",NOT(ISERROR(O268))),O268,IF(AND(P268&lt;&gt;"",ISNUMBER(P268),P268&gt;0,NOT(ISNA(P268))),VLOOKUP(P268,'ESO zones'!$A$5:$D$10003,4,FALSE),IF(AND(K268&lt;&gt;"",K268&gt;0,NOT(ISERROR(K268))),VLOOKUP(K268,'ESO wayshrines'!$K$3:$N$9972,4,FALSE),"")))</f>
        <v>Dragonstar Arena</v>
      </c>
      <c r="T268" s="16" t="str">
        <f>IF(AND(S268&lt;&gt;"",NOT(ISERROR(S268))),S268,VLOOKUP(A268,'ESO Set&amp;DLCs'!$A$3:$D$99998,4,FALSE))</f>
        <v>DLC_BASE_GAME</v>
      </c>
      <c r="U268" s="3" t="str">
        <f>IF(T268&lt;&gt;"",VLOOKUP(T268,ConstDLCIds!$B$4:$C$1000,2,FALSE),"")</f>
        <v>Included in base game</v>
      </c>
      <c r="V268" s="4" t="s">
        <v>209</v>
      </c>
      <c r="Y268" s="5"/>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zones'!$A$5:$D$10003,4,FALSE),"")</f>
        <v>Craglorn</v>
      </c>
      <c r="AB268" s="4"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zones'!$A$5:$D$10003,4,FALSE),"")</f>
        <v>Craglorn</v>
      </c>
      <c r="AK268" s="3" t="str">
        <f>IF(AND(G268&lt;&gt;"LIBSETS_SETTYPE_BATTLEGROUND",G268&lt;&gt;"LIBSETS_SETTYPE_SPECIAL"),IF(AL268&lt;&gt;"",VLOOKUP(AL268,'ESO zones'!$D$5:$H$4957,5,FALSE),""),"")</f>
        <v/>
      </c>
      <c r="AP268" s="3" t="str">
        <f>IF(AND(G268&lt;&gt;"LIBSETS_SETTYPE_BATTLEGROUND",G268&lt;&gt;"LIBSETS_SETTYPE_SPECIAL"),IF(AQ268&lt;&gt;"",VLOOKUP(AQ268,'ESO zones'!$D$5:$H$4957,5,FALSE),""),"")</f>
        <v/>
      </c>
      <c r="AU268" s="3" t="str">
        <f>IF(AND(G268&lt;&gt;"LIBSETS_SETTYPE_BATTLEGROUND",G268&lt;&gt;"LIBSETS_SETTYPE_SPECIAL"),IF(AV268&lt;&gt;"",VLOOKUP(AV268,'ESO zones'!$D$5:$H$4957,5,FALSE),""),"")</f>
        <v/>
      </c>
      <c r="AZ268" s="49" t="s">
        <v>403</v>
      </c>
      <c r="BA268" s="49"/>
      <c r="BB268" s="49"/>
      <c r="BC268" s="49"/>
      <c r="BD268" s="49">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2">
        <v>315</v>
      </c>
      <c r="B269" t="s">
        <v>1027</v>
      </c>
      <c r="C269" t="s">
        <v>1028</v>
      </c>
      <c r="D269" s="3">
        <f t="shared" si="24"/>
        <v>315</v>
      </c>
      <c r="G269" s="9" t="s">
        <v>159</v>
      </c>
      <c r="I269" t="s">
        <v>401</v>
      </c>
      <c r="J269" t="s">
        <v>401</v>
      </c>
      <c r="K269">
        <v>270</v>
      </c>
      <c r="L269">
        <v>270</v>
      </c>
      <c r="M269">
        <v>270</v>
      </c>
      <c r="O269" s="5" t="s">
        <v>416</v>
      </c>
      <c r="Q269" s="3">
        <f>IF(AND(P269&lt;&gt;"",ISNUMBER(P269),NOT(ISNA(P269))),P269,IF(R269&lt;&gt;"",VLOOKUP(R269,'ESO zones'!$D$5:$H$10005,5,FALSE),""))</f>
        <v>635</v>
      </c>
      <c r="R269" t="str">
        <f>IF(AND(O269&lt;&gt;"",NOT(ISERROR(O269))),O269,IF(AND(P269&lt;&gt;"",ISNUMBER(P269),P269&gt;0,NOT(ISNA(P269))),VLOOKUP(P269,'ESO zones'!$A$5:$D$10003,4,FALSE),IF(AND(K269&lt;&gt;"",K269&gt;0,NOT(ISERROR(K269))),VLOOKUP(K269,'ESO wayshrines'!$K$3:$N$9972,4,FALSE),"")))</f>
        <v>Dragonstar Arena</v>
      </c>
      <c r="T269" s="16" t="str">
        <f>IF(AND(S269&lt;&gt;"",NOT(ISERROR(S269))),S269,VLOOKUP(A269,'ESO Set&amp;DLCs'!$A$3:$D$99998,4,FALSE))</f>
        <v>DLC_BASE_GAME</v>
      </c>
      <c r="U269" s="3" t="str">
        <f>IF(T269&lt;&gt;"",VLOOKUP(T269,ConstDLCIds!$B$4:$C$1000,2,FALSE),"")</f>
        <v>Included in base game</v>
      </c>
      <c r="V269" s="4" t="s">
        <v>209</v>
      </c>
      <c r="Y269" s="5"/>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zones'!$A$5:$D$10003,4,FALSE),"")</f>
        <v>Craglorn</v>
      </c>
      <c r="AB269" s="4"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zones'!$A$5:$D$10003,4,FALSE),"")</f>
        <v>Craglorn</v>
      </c>
      <c r="AK269" s="3" t="str">
        <f>IF(AND(G269&lt;&gt;"LIBSETS_SETTYPE_BATTLEGROUND",G269&lt;&gt;"LIBSETS_SETTYPE_SPECIAL"),IF(AL269&lt;&gt;"",VLOOKUP(AL269,'ESO zones'!$D$5:$H$4957,5,FALSE),""),"")</f>
        <v/>
      </c>
      <c r="AP269" s="3" t="str">
        <f>IF(AND(G269&lt;&gt;"LIBSETS_SETTYPE_BATTLEGROUND",G269&lt;&gt;"LIBSETS_SETTYPE_SPECIAL"),IF(AQ269&lt;&gt;"",VLOOKUP(AQ269,'ESO zones'!$D$5:$H$4957,5,FALSE),""),"")</f>
        <v/>
      </c>
      <c r="AU269" s="3" t="str">
        <f>IF(AND(G269&lt;&gt;"LIBSETS_SETTYPE_BATTLEGROUND",G269&lt;&gt;"LIBSETS_SETTYPE_SPECIAL"),IF(AV269&lt;&gt;"",VLOOKUP(AV269,'ESO zones'!$D$5:$H$4957,5,FALSE),""),"")</f>
        <v/>
      </c>
      <c r="AZ269" s="49" t="s">
        <v>403</v>
      </c>
      <c r="BA269" s="49"/>
      <c r="BB269" s="49"/>
      <c r="BC269" s="49"/>
      <c r="BD269" s="49">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2">
        <v>316</v>
      </c>
      <c r="B270" t="s">
        <v>1029</v>
      </c>
      <c r="C270" t="s">
        <v>1030</v>
      </c>
      <c r="D270" s="3">
        <f t="shared" si="24"/>
        <v>316</v>
      </c>
      <c r="G270" s="9" t="s">
        <v>159</v>
      </c>
      <c r="I270" t="s">
        <v>401</v>
      </c>
      <c r="J270" t="s">
        <v>401</v>
      </c>
      <c r="K270">
        <v>270</v>
      </c>
      <c r="L270">
        <v>270</v>
      </c>
      <c r="M270">
        <v>270</v>
      </c>
      <c r="O270" s="5" t="s">
        <v>416</v>
      </c>
      <c r="Q270" s="3">
        <f>IF(AND(P270&lt;&gt;"",ISNUMBER(P270),NOT(ISNA(P270))),P270,IF(R270&lt;&gt;"",VLOOKUP(R270,'ESO zones'!$D$5:$H$10005,5,FALSE),""))</f>
        <v>635</v>
      </c>
      <c r="R270" t="str">
        <f>IF(AND(O270&lt;&gt;"",NOT(ISERROR(O270))),O270,IF(AND(P270&lt;&gt;"",ISNUMBER(P270),P270&gt;0,NOT(ISNA(P270))),VLOOKUP(P270,'ESO zones'!$A$5:$D$10003,4,FALSE),IF(AND(K270&lt;&gt;"",K270&gt;0,NOT(ISERROR(K270))),VLOOKUP(K270,'ESO wayshrines'!$K$3:$N$9972,4,FALSE),"")))</f>
        <v>Dragonstar Arena</v>
      </c>
      <c r="T270" s="16" t="str">
        <f>IF(AND(S270&lt;&gt;"",NOT(ISERROR(S270))),S270,VLOOKUP(A270,'ESO Set&amp;DLCs'!$A$3:$D$99998,4,FALSE))</f>
        <v>DLC_BASE_GAME</v>
      </c>
      <c r="U270" s="3" t="str">
        <f>IF(T270&lt;&gt;"",VLOOKUP(T270,ConstDLCIds!$B$4:$C$1000,2,FALSE),"")</f>
        <v>Included in base game</v>
      </c>
      <c r="V270" s="4" t="s">
        <v>209</v>
      </c>
      <c r="Y270" s="5"/>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zones'!$A$5:$D$10003,4,FALSE),"")</f>
        <v>Craglorn</v>
      </c>
      <c r="AB270" s="4"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zones'!$A$5:$D$10003,4,FALSE),"")</f>
        <v>Craglorn</v>
      </c>
      <c r="AK270" s="3" t="str">
        <f>IF(AND(G270&lt;&gt;"LIBSETS_SETTYPE_BATTLEGROUND",G270&lt;&gt;"LIBSETS_SETTYPE_SPECIAL"),IF(AL270&lt;&gt;"",VLOOKUP(AL270,'ESO zones'!$D$5:$H$4957,5,FALSE),""),"")</f>
        <v/>
      </c>
      <c r="AP270" s="3" t="str">
        <f>IF(AND(G270&lt;&gt;"LIBSETS_SETTYPE_BATTLEGROUND",G270&lt;&gt;"LIBSETS_SETTYPE_SPECIAL"),IF(AQ270&lt;&gt;"",VLOOKUP(AQ270,'ESO zones'!$D$5:$H$4957,5,FALSE),""),"")</f>
        <v/>
      </c>
      <c r="AU270" s="3" t="str">
        <f>IF(AND(G270&lt;&gt;"LIBSETS_SETTYPE_BATTLEGROUND",G270&lt;&gt;"LIBSETS_SETTYPE_SPECIAL"),IF(AV270&lt;&gt;"",VLOOKUP(AV270,'ESO zones'!$D$5:$H$4957,5,FALSE),""),"")</f>
        <v/>
      </c>
      <c r="AZ270" s="49">
        <v>0</v>
      </c>
      <c r="BA270" s="49"/>
      <c r="BB270" s="49"/>
      <c r="BC270" s="49"/>
      <c r="BD270" s="49">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2">
        <v>317</v>
      </c>
      <c r="B271" t="s">
        <v>1031</v>
      </c>
      <c r="C271" t="s">
        <v>1032</v>
      </c>
      <c r="D271" s="3">
        <f t="shared" si="24"/>
        <v>317</v>
      </c>
      <c r="G271" s="9" t="s">
        <v>159</v>
      </c>
      <c r="I271" t="s">
        <v>401</v>
      </c>
      <c r="J271" t="s">
        <v>401</v>
      </c>
      <c r="K271">
        <v>270</v>
      </c>
      <c r="L271">
        <v>270</v>
      </c>
      <c r="M271">
        <v>270</v>
      </c>
      <c r="O271" s="5" t="s">
        <v>416</v>
      </c>
      <c r="Q271" s="3">
        <f>IF(AND(P271&lt;&gt;"",ISNUMBER(P271),NOT(ISNA(P271))),P271,IF(R271&lt;&gt;"",VLOOKUP(R271,'ESO zones'!$D$5:$H$10005,5,FALSE),""))</f>
        <v>635</v>
      </c>
      <c r="R271" t="str">
        <f>IF(AND(O271&lt;&gt;"",NOT(ISERROR(O271))),O271,IF(AND(P271&lt;&gt;"",ISNUMBER(P271),P271&gt;0,NOT(ISNA(P271))),VLOOKUP(P271,'ESO zones'!$A$5:$D$10003,4,FALSE),IF(AND(K271&lt;&gt;"",K271&gt;0,NOT(ISERROR(K271))),VLOOKUP(K271,'ESO wayshrines'!$K$3:$N$9972,4,FALSE),"")))</f>
        <v>Dragonstar Arena</v>
      </c>
      <c r="T271" s="16" t="str">
        <f>IF(AND(S271&lt;&gt;"",NOT(ISERROR(S271))),S271,VLOOKUP(A271,'ESO Set&amp;DLCs'!$A$3:$D$99998,4,FALSE))</f>
        <v>DLC_BASE_GAME</v>
      </c>
      <c r="U271" s="3" t="str">
        <f>IF(T271&lt;&gt;"",VLOOKUP(T271,ConstDLCIds!$B$4:$C$1000,2,FALSE),"")</f>
        <v>Included in base game</v>
      </c>
      <c r="V271" s="4" t="s">
        <v>209</v>
      </c>
      <c r="Y271" s="5"/>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zones'!$A$5:$D$10003,4,FALSE),"")</f>
        <v>Craglorn</v>
      </c>
      <c r="AB271" s="4"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zones'!$A$5:$D$10003,4,FALSE),"")</f>
        <v>Craglorn</v>
      </c>
      <c r="AK271" s="3" t="str">
        <f>IF(AND(G271&lt;&gt;"LIBSETS_SETTYPE_BATTLEGROUND",G271&lt;&gt;"LIBSETS_SETTYPE_SPECIAL"),IF(AL271&lt;&gt;"",VLOOKUP(AL271,'ESO zones'!$D$5:$H$4957,5,FALSE),""),"")</f>
        <v/>
      </c>
      <c r="AP271" s="3" t="str">
        <f>IF(AND(G271&lt;&gt;"LIBSETS_SETTYPE_BATTLEGROUND",G271&lt;&gt;"LIBSETS_SETTYPE_SPECIAL"),IF(AQ271&lt;&gt;"",VLOOKUP(AQ271,'ESO zones'!$D$5:$H$4957,5,FALSE),""),"")</f>
        <v/>
      </c>
      <c r="AU271" s="3" t="str">
        <f>IF(AND(G271&lt;&gt;"LIBSETS_SETTYPE_BATTLEGROUND",G271&lt;&gt;"LIBSETS_SETTYPE_SPECIAL"),IF(AV271&lt;&gt;"",VLOOKUP(AV271,'ESO zones'!$D$5:$H$4957,5,FALSE),""),"")</f>
        <v/>
      </c>
      <c r="AZ271" s="49" t="s">
        <v>403</v>
      </c>
      <c r="BA271" s="49"/>
      <c r="BB271" s="49"/>
      <c r="BC271" s="49"/>
      <c r="BD271" s="49">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2">
        <v>318</v>
      </c>
      <c r="B272" t="s">
        <v>1033</v>
      </c>
      <c r="C272" t="s">
        <v>1034</v>
      </c>
      <c r="D272" s="3">
        <f t="shared" si="24"/>
        <v>318</v>
      </c>
      <c r="G272" s="9" t="s">
        <v>159</v>
      </c>
      <c r="I272" t="s">
        <v>401</v>
      </c>
      <c r="J272" t="s">
        <v>401</v>
      </c>
      <c r="K272">
        <v>270</v>
      </c>
      <c r="L272">
        <v>270</v>
      </c>
      <c r="M272">
        <v>270</v>
      </c>
      <c r="O272" s="5" t="s">
        <v>416</v>
      </c>
      <c r="Q272" s="3">
        <f>IF(AND(P272&lt;&gt;"",ISNUMBER(P272),NOT(ISNA(P272))),P272,IF(R272&lt;&gt;"",VLOOKUP(R272,'ESO zones'!$D$5:$H$10005,5,FALSE),""))</f>
        <v>635</v>
      </c>
      <c r="R272" t="str">
        <f>IF(AND(O272&lt;&gt;"",NOT(ISERROR(O272))),O272,IF(AND(P272&lt;&gt;"",ISNUMBER(P272),P272&gt;0,NOT(ISNA(P272))),VLOOKUP(P272,'ESO zones'!$A$5:$D$10003,4,FALSE),IF(AND(K272&lt;&gt;"",K272&gt;0,NOT(ISERROR(K272))),VLOOKUP(K272,'ESO wayshrines'!$K$3:$N$9972,4,FALSE),"")))</f>
        <v>Dragonstar Arena</v>
      </c>
      <c r="T272" s="16" t="str">
        <f>IF(AND(S272&lt;&gt;"",NOT(ISERROR(S272))),S272,VLOOKUP(A272,'ESO Set&amp;DLCs'!$A$3:$D$99998,4,FALSE))</f>
        <v>DLC_BASE_GAME</v>
      </c>
      <c r="U272" s="3" t="str">
        <f>IF(T272&lt;&gt;"",VLOOKUP(T272,ConstDLCIds!$B$4:$C$1000,2,FALSE),"")</f>
        <v>Included in base game</v>
      </c>
      <c r="V272" s="4" t="s">
        <v>209</v>
      </c>
      <c r="Y272" s="5"/>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zones'!$A$5:$D$10003,4,FALSE),"")</f>
        <v>Craglorn</v>
      </c>
      <c r="AB272" s="4"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zones'!$A$5:$D$10003,4,FALSE),"")</f>
        <v>Craglorn</v>
      </c>
      <c r="AK272" s="3" t="str">
        <f>IF(AND(G272&lt;&gt;"LIBSETS_SETTYPE_BATTLEGROUND",G272&lt;&gt;"LIBSETS_SETTYPE_SPECIAL"),IF(AL272&lt;&gt;"",VLOOKUP(AL272,'ESO zones'!$D$5:$H$4957,5,FALSE),""),"")</f>
        <v/>
      </c>
      <c r="AP272" s="3" t="str">
        <f>IF(AND(G272&lt;&gt;"LIBSETS_SETTYPE_BATTLEGROUND",G272&lt;&gt;"LIBSETS_SETTYPE_SPECIAL"),IF(AQ272&lt;&gt;"",VLOOKUP(AQ272,'ESO zones'!$D$5:$H$4957,5,FALSE),""),"")</f>
        <v/>
      </c>
      <c r="AU272" s="3" t="str">
        <f>IF(AND(G272&lt;&gt;"LIBSETS_SETTYPE_BATTLEGROUND",G272&lt;&gt;"LIBSETS_SETTYPE_SPECIAL"),IF(AV272&lt;&gt;"",VLOOKUP(AV272,'ESO zones'!$D$5:$H$4957,5,FALSE),""),"")</f>
        <v/>
      </c>
      <c r="AZ272" s="49" t="s">
        <v>403</v>
      </c>
      <c r="BA272" s="49"/>
      <c r="BB272" s="49"/>
      <c r="BC272" s="49"/>
      <c r="BD272" s="49">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2">
        <v>320</v>
      </c>
      <c r="B273" t="s">
        <v>1035</v>
      </c>
      <c r="C273" t="s">
        <v>1036</v>
      </c>
      <c r="D273" s="3">
        <f t="shared" si="24"/>
        <v>320</v>
      </c>
      <c r="G273" s="9" t="s">
        <v>174</v>
      </c>
      <c r="I273" t="s">
        <v>401</v>
      </c>
      <c r="J273" t="s">
        <v>401</v>
      </c>
      <c r="K273">
        <v>284</v>
      </c>
      <c r="L273">
        <v>284</v>
      </c>
      <c r="M273">
        <v>284</v>
      </c>
      <c r="O273" s="5" t="s">
        <v>1037</v>
      </c>
      <c r="Q273" s="3">
        <f>IF(AND(P273&lt;&gt;"",ISNUMBER(P273),NOT(ISNA(P273))),P273,IF(R273&lt;&gt;"",VLOOKUP(R273,'ESO zones'!$D$5:$H$10005,5,FALSE),""))</f>
        <v>849</v>
      </c>
      <c r="R273" t="str">
        <f>IF(AND(O273&lt;&gt;"",NOT(ISERROR(O273))),O273,IF(AND(P273&lt;&gt;"",ISNUMBER(P273),P273&gt;0,NOT(ISNA(P273))),VLOOKUP(P273,'ESO zones'!$A$5:$D$10003,4,FALSE),IF(AND(K273&lt;&gt;"",K273&gt;0,NOT(ISERROR(K273))),VLOOKUP(K273,'ESO wayshrines'!$K$3:$N$9972,4,FALSE),"")))</f>
        <v>Vvardenfell</v>
      </c>
      <c r="T273" s="16" t="str">
        <f>IF(AND(S273&lt;&gt;"",NOT(ISERROR(S273))),S273,VLOOKUP(A273,'ESO Set&amp;DLCs'!$A$3:$D$99998,4,FALSE))</f>
        <v>DLC_MORROWIND</v>
      </c>
      <c r="U273" s="3" t="str">
        <f>IF(T273&lt;&gt;"",VLOOKUP(T273,ConstDLCIds!$B$4:$C$1000,2,FALSE),"")</f>
        <v>Morrowind</v>
      </c>
      <c r="V273" s="4" t="s">
        <v>215</v>
      </c>
      <c r="Y273" s="5"/>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zones'!$A$5:$D$10003,4,FALSE),"")</f>
        <v>Vvardenfell</v>
      </c>
      <c r="AB273" s="4" t="s">
        <v>218</v>
      </c>
      <c r="AE273" s="3">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zones'!$A$5:$D$10003,4,FALSE),"")</f>
        <v>Forgotten Wastes</v>
      </c>
      <c r="AH273" s="4" t="s">
        <v>221</v>
      </c>
      <c r="AK273" s="3">
        <f>IF(AND(G273&lt;&gt;"LIBSETS_SETTYPE_BATTLEGROUND",G273&lt;&gt;"LIBSETS_SETTYPE_SPECIAL"),IF(AL273&lt;&gt;"",VLOOKUP(AL273,'ESO zones'!$D$5:$H$4957,5,FALSE),""),"")</f>
        <v>849</v>
      </c>
      <c r="AL273" t="s">
        <v>1037</v>
      </c>
      <c r="AM273" s="4" t="s">
        <v>224</v>
      </c>
      <c r="AP273" s="3">
        <f>IF(AND(G273&lt;&gt;"LIBSETS_SETTYPE_BATTLEGROUND",G273&lt;&gt;"LIBSETS_SETTYPE_SPECIAL"),IF(AQ273&lt;&gt;"",VLOOKUP(AQ273,'ESO zones'!$D$5:$H$4957,5,FALSE),""),"")</f>
        <v>918</v>
      </c>
      <c r="AQ273" t="s">
        <v>1038</v>
      </c>
      <c r="AR273" s="80" t="s">
        <v>221</v>
      </c>
      <c r="AU273" s="3">
        <f>IF(AND(G273&lt;&gt;"LIBSETS_SETTYPE_BATTLEGROUND",G273&lt;&gt;"LIBSETS_SETTYPE_SPECIAL"),IF(AV273&lt;&gt;"",VLOOKUP(AV273,'ESO zones'!$D$5:$H$4957,5,FALSE),""),"")</f>
        <v>849</v>
      </c>
      <c r="AV273" t="s">
        <v>1037</v>
      </c>
      <c r="AW273" s="4" t="s">
        <v>269</v>
      </c>
      <c r="AZ273" s="49" t="s">
        <v>410</v>
      </c>
      <c r="BA273" s="49"/>
      <c r="BB273" s="49"/>
      <c r="BC273" s="49"/>
      <c r="BD273" s="49"/>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2">
        <v>321</v>
      </c>
      <c r="B274" t="s">
        <v>1039</v>
      </c>
      <c r="C274" t="s">
        <v>1040</v>
      </c>
      <c r="D274" s="3">
        <f t="shared" si="24"/>
        <v>321</v>
      </c>
      <c r="G274" s="9" t="s">
        <v>174</v>
      </c>
      <c r="I274" t="s">
        <v>401</v>
      </c>
      <c r="J274" t="s">
        <v>401</v>
      </c>
      <c r="K274">
        <v>284</v>
      </c>
      <c r="L274">
        <v>284</v>
      </c>
      <c r="M274">
        <v>284</v>
      </c>
      <c r="O274" s="5" t="s">
        <v>1037</v>
      </c>
      <c r="Q274" s="3">
        <f>IF(AND(P274&lt;&gt;"",ISNUMBER(P274),NOT(ISNA(P274))),P274,IF(R274&lt;&gt;"",VLOOKUP(R274,'ESO zones'!$D$5:$H$10005,5,FALSE),""))</f>
        <v>849</v>
      </c>
      <c r="R274" t="str">
        <f>IF(AND(O274&lt;&gt;"",NOT(ISERROR(O274))),O274,IF(AND(P274&lt;&gt;"",ISNUMBER(P274),P274&gt;0,NOT(ISNA(P274))),VLOOKUP(P274,'ESO zones'!$A$5:$D$10003,4,FALSE),IF(AND(K274&lt;&gt;"",K274&gt;0,NOT(ISERROR(K274))),VLOOKUP(K274,'ESO wayshrines'!$K$3:$N$9972,4,FALSE),"")))</f>
        <v>Vvardenfell</v>
      </c>
      <c r="T274" s="16" t="str">
        <f>IF(AND(S274&lt;&gt;"",NOT(ISERROR(S274))),S274,VLOOKUP(A274,'ESO Set&amp;DLCs'!$A$3:$D$99998,4,FALSE))</f>
        <v>DLC_MORROWIND</v>
      </c>
      <c r="U274" s="3" t="str">
        <f>IF(T274&lt;&gt;"",VLOOKUP(T274,ConstDLCIds!$B$4:$C$1000,2,FALSE),"")</f>
        <v>Morrowind</v>
      </c>
      <c r="V274" s="4" t="s">
        <v>215</v>
      </c>
      <c r="Y274" s="5"/>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zones'!$A$5:$D$10003,4,FALSE),"")</f>
        <v>Vvardenfell</v>
      </c>
      <c r="AB274" s="4" t="s">
        <v>218</v>
      </c>
      <c r="AE274" s="3">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zones'!$A$5:$D$10003,4,FALSE),"")</f>
        <v>Forgotten Wastes</v>
      </c>
      <c r="AH274" s="4" t="s">
        <v>221</v>
      </c>
      <c r="AK274" s="3">
        <f>IF(AND(G274&lt;&gt;"LIBSETS_SETTYPE_BATTLEGROUND",G274&lt;&gt;"LIBSETS_SETTYPE_SPECIAL"),IF(AL274&lt;&gt;"",VLOOKUP(AL274,'ESO zones'!$D$5:$H$4957,5,FALSE),""),"")</f>
        <v>849</v>
      </c>
      <c r="AL274" t="s">
        <v>1037</v>
      </c>
      <c r="AM274" s="4" t="s">
        <v>224</v>
      </c>
      <c r="AP274" s="3">
        <f>IF(AND(G274&lt;&gt;"LIBSETS_SETTYPE_BATTLEGROUND",G274&lt;&gt;"LIBSETS_SETTYPE_SPECIAL"),IF(AQ274&lt;&gt;"",VLOOKUP(AQ274,'ESO zones'!$D$5:$H$4957,5,FALSE),""),"")</f>
        <v>918</v>
      </c>
      <c r="AQ274" t="s">
        <v>1038</v>
      </c>
      <c r="AR274" s="80" t="s">
        <v>221</v>
      </c>
      <c r="AU274" s="3">
        <f>IF(AND(G274&lt;&gt;"LIBSETS_SETTYPE_BATTLEGROUND",G274&lt;&gt;"LIBSETS_SETTYPE_SPECIAL"),IF(AV274&lt;&gt;"",VLOOKUP(AV274,'ESO zones'!$D$5:$H$4957,5,FALSE),""),"")</f>
        <v>849</v>
      </c>
      <c r="AV274" t="s">
        <v>1037</v>
      </c>
      <c r="AW274" s="4" t="s">
        <v>269</v>
      </c>
      <c r="AZ274" s="49" t="s">
        <v>403</v>
      </c>
      <c r="BA274" s="49"/>
      <c r="BB274" s="49"/>
      <c r="BC274" s="49"/>
      <c r="BD274" s="49"/>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2">
        <v>322</v>
      </c>
      <c r="B275" t="s">
        <v>1041</v>
      </c>
      <c r="C275" t="s">
        <v>1042</v>
      </c>
      <c r="D275" s="3">
        <f t="shared" si="24"/>
        <v>322</v>
      </c>
      <c r="G275" s="9" t="s">
        <v>174</v>
      </c>
      <c r="I275" t="s">
        <v>401</v>
      </c>
      <c r="J275" t="s">
        <v>401</v>
      </c>
      <c r="K275">
        <v>284</v>
      </c>
      <c r="L275">
        <v>284</v>
      </c>
      <c r="M275">
        <v>284</v>
      </c>
      <c r="O275" s="5" t="s">
        <v>1037</v>
      </c>
      <c r="Q275" s="3">
        <f>IF(AND(P275&lt;&gt;"",ISNUMBER(P275),NOT(ISNA(P275))),P275,IF(R275&lt;&gt;"",VLOOKUP(R275,'ESO zones'!$D$5:$H$10005,5,FALSE),""))</f>
        <v>849</v>
      </c>
      <c r="R275" t="str">
        <f>IF(AND(O275&lt;&gt;"",NOT(ISERROR(O275))),O275,IF(AND(P275&lt;&gt;"",ISNUMBER(P275),P275&gt;0,NOT(ISNA(P275))),VLOOKUP(P275,'ESO zones'!$A$5:$D$10003,4,FALSE),IF(AND(K275&lt;&gt;"",K275&gt;0,NOT(ISERROR(K275))),VLOOKUP(K275,'ESO wayshrines'!$K$3:$N$9972,4,FALSE),"")))</f>
        <v>Vvardenfell</v>
      </c>
      <c r="T275" s="16" t="str">
        <f>IF(AND(S275&lt;&gt;"",NOT(ISERROR(S275))),S275,VLOOKUP(A275,'ESO Set&amp;DLCs'!$A$3:$D$99998,4,FALSE))</f>
        <v>DLC_MORROWIND</v>
      </c>
      <c r="U275" s="3" t="str">
        <f>IF(T275&lt;&gt;"",VLOOKUP(T275,ConstDLCIds!$B$4:$C$1000,2,FALSE),"")</f>
        <v>Morrowind</v>
      </c>
      <c r="V275" s="4" t="s">
        <v>215</v>
      </c>
      <c r="Y275" s="5"/>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zones'!$A$5:$D$10003,4,FALSE),"")</f>
        <v>Vvardenfell</v>
      </c>
      <c r="AB275" s="4" t="s">
        <v>218</v>
      </c>
      <c r="AE275" s="3">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zones'!$A$5:$D$10003,4,FALSE),"")</f>
        <v>Forgotten Wastes</v>
      </c>
      <c r="AH275" s="4" t="s">
        <v>221</v>
      </c>
      <c r="AK275" s="3">
        <f>IF(AND(G275&lt;&gt;"LIBSETS_SETTYPE_BATTLEGROUND",G275&lt;&gt;"LIBSETS_SETTYPE_SPECIAL"),IF(AL275&lt;&gt;"",VLOOKUP(AL275,'ESO zones'!$D$5:$H$4957,5,FALSE),""),"")</f>
        <v>849</v>
      </c>
      <c r="AL275" t="s">
        <v>1037</v>
      </c>
      <c r="AM275" s="4" t="s">
        <v>224</v>
      </c>
      <c r="AP275" s="3">
        <f>IF(AND(G275&lt;&gt;"LIBSETS_SETTYPE_BATTLEGROUND",G275&lt;&gt;"LIBSETS_SETTYPE_SPECIAL"),IF(AQ275&lt;&gt;"",VLOOKUP(AQ275,'ESO zones'!$D$5:$H$4957,5,FALSE),""),"")</f>
        <v>918</v>
      </c>
      <c r="AQ275" t="s">
        <v>1038</v>
      </c>
      <c r="AR275" s="80" t="s">
        <v>221</v>
      </c>
      <c r="AU275" s="3">
        <f>IF(AND(G275&lt;&gt;"LIBSETS_SETTYPE_BATTLEGROUND",G275&lt;&gt;"LIBSETS_SETTYPE_SPECIAL"),IF(AV275&lt;&gt;"",VLOOKUP(AV275,'ESO zones'!$D$5:$H$4957,5,FALSE),""),"")</f>
        <v>849</v>
      </c>
      <c r="AV275" t="s">
        <v>1037</v>
      </c>
      <c r="AW275" s="4" t="s">
        <v>269</v>
      </c>
      <c r="AZ275" s="49" t="s">
        <v>403</v>
      </c>
      <c r="BA275" s="49"/>
      <c r="BB275" s="49"/>
      <c r="BC275" s="49"/>
      <c r="BD275" s="49"/>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1">
        <v>323</v>
      </c>
      <c r="B276" t="s">
        <v>1043</v>
      </c>
      <c r="C276" t="s">
        <v>1044</v>
      </c>
      <c r="D276" s="3">
        <f t="shared" si="24"/>
        <v>323</v>
      </c>
      <c r="G276" s="9" t="s">
        <v>163</v>
      </c>
      <c r="I276" t="s">
        <v>401</v>
      </c>
      <c r="J276" t="s">
        <v>401</v>
      </c>
      <c r="K276">
        <v>276</v>
      </c>
      <c r="L276">
        <v>276</v>
      </c>
      <c r="M276">
        <v>276</v>
      </c>
      <c r="N276">
        <v>3</v>
      </c>
      <c r="Q276" s="3">
        <f>IF(AND(P276&lt;&gt;"",ISNUMBER(P276),NOT(ISNA(P276))),P276,IF(R276&lt;&gt;"",VLOOKUP(R276,'ESO zones'!$D$5:$H$10005,5,FALSE),""))</f>
        <v>849</v>
      </c>
      <c r="R276" t="str">
        <f>IF(AND(O276&lt;&gt;"",NOT(ISERROR(O276))),O276,IF(AND(P276&lt;&gt;"",ISNUMBER(P276),P276&gt;0,NOT(ISNA(P276))),VLOOKUP(P276,'ESO zones'!$A$5:$D$10003,4,FALSE),IF(AND(K276&lt;&gt;"",K276&gt;0,NOT(ISERROR(K276))),VLOOKUP(K276,'ESO wayshrines'!$K$3:$N$9972,4,FALSE),"")))</f>
        <v>Vvardenfell</v>
      </c>
      <c r="T276" s="16" t="str">
        <f>IF(AND(S276&lt;&gt;"",NOT(ISERROR(S276))),S276,VLOOKUP(A276,'ESO Set&amp;DLCs'!$A$3:$D$99998,4,FALSE))</f>
        <v>DLC_MORROWIND</v>
      </c>
      <c r="U276" s="3" t="str">
        <f>IF(T276&lt;&gt;"",VLOOKUP(T276,ConstDLCIds!$B$4:$C$1000,2,FALSE),"")</f>
        <v>Morrowind</v>
      </c>
      <c r="V276" s="4" t="s">
        <v>281</v>
      </c>
      <c r="Y276" s="5"/>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zones'!$A$5:$D$10003,4,FALSE),"")</f>
        <v>Vvardenfell</v>
      </c>
      <c r="AB276" s="4"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zones'!$A$5:$D$10003,4,FALSE),"")</f>
        <v>Vvardenfell</v>
      </c>
      <c r="AK276" s="3" t="str">
        <f>IF(AND(G276&lt;&gt;"LIBSETS_SETTYPE_BATTLEGROUND",G276&lt;&gt;"LIBSETS_SETTYPE_SPECIAL"),IF(AL276&lt;&gt;"",VLOOKUP(AL276,'ESO zones'!$D$5:$H$4957,5,FALSE),""),"")</f>
        <v/>
      </c>
      <c r="AP276" s="3" t="str">
        <f>IF(AND(G276&lt;&gt;"LIBSETS_SETTYPE_BATTLEGROUND",G276&lt;&gt;"LIBSETS_SETTYPE_SPECIAL"),IF(AQ276&lt;&gt;"",VLOOKUP(AQ276,'ESO zones'!$D$5:$H$4957,5,FALSE),""),"")</f>
        <v/>
      </c>
      <c r="AU276" s="3" t="str">
        <f>IF(AND(G276&lt;&gt;"LIBSETS_SETTYPE_BATTLEGROUND",G276&lt;&gt;"LIBSETS_SETTYPE_SPECIAL"),IF(AV276&lt;&gt;"",VLOOKUP(AV276,'ESO zones'!$D$5:$H$4957,5,FALSE),""),"")</f>
        <v/>
      </c>
      <c r="AZ276" s="49" t="s">
        <v>410</v>
      </c>
      <c r="BA276" s="49"/>
      <c r="BB276" s="49"/>
      <c r="BC276" s="49"/>
      <c r="BD276" s="49"/>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1">
        <v>324</v>
      </c>
      <c r="B277" t="s">
        <v>1045</v>
      </c>
      <c r="C277" t="s">
        <v>1046</v>
      </c>
      <c r="D277" s="3">
        <f t="shared" si="24"/>
        <v>324</v>
      </c>
      <c r="G277" s="9" t="s">
        <v>163</v>
      </c>
      <c r="I277" t="s">
        <v>401</v>
      </c>
      <c r="J277" t="s">
        <v>401</v>
      </c>
      <c r="K277">
        <v>329</v>
      </c>
      <c r="L277">
        <v>329</v>
      </c>
      <c r="M277">
        <v>329</v>
      </c>
      <c r="N277">
        <v>8</v>
      </c>
      <c r="Q277" s="3">
        <f>IF(AND(P277&lt;&gt;"",ISNUMBER(P277),NOT(ISNA(P277))),P277,IF(R277&lt;&gt;"",VLOOKUP(R277,'ESO zones'!$D$5:$H$10005,5,FALSE),""))</f>
        <v>849</v>
      </c>
      <c r="R277" t="str">
        <f>IF(AND(O277&lt;&gt;"",NOT(ISERROR(O277))),O277,IF(AND(P277&lt;&gt;"",ISNUMBER(P277),P277&gt;0,NOT(ISNA(P277))),VLOOKUP(P277,'ESO zones'!$A$5:$D$10003,4,FALSE),IF(AND(K277&lt;&gt;"",K277&gt;0,NOT(ISERROR(K277))),VLOOKUP(K277,'ESO wayshrines'!$K$3:$N$9972,4,FALSE),"")))</f>
        <v>Vvardenfell</v>
      </c>
      <c r="T277" s="16" t="str">
        <f>IF(AND(S277&lt;&gt;"",NOT(ISERROR(S277))),S277,VLOOKUP(A277,'ESO Set&amp;DLCs'!$A$3:$D$99998,4,FALSE))</f>
        <v>DLC_MORROWIND</v>
      </c>
      <c r="U277" s="3" t="str">
        <f>IF(T277&lt;&gt;"",VLOOKUP(T277,ConstDLCIds!$B$4:$C$1000,2,FALSE),"")</f>
        <v>Morrowind</v>
      </c>
      <c r="V277" s="4" t="s">
        <v>281</v>
      </c>
      <c r="Y277" s="5"/>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zones'!$A$5:$D$10003,4,FALSE),"")</f>
        <v>Vvardenfell</v>
      </c>
      <c r="AB277" s="4"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zones'!$A$5:$D$10003,4,FALSE),"")</f>
        <v>Vvardenfell</v>
      </c>
      <c r="AK277" s="3" t="str">
        <f>IF(AND(G277&lt;&gt;"LIBSETS_SETTYPE_BATTLEGROUND",G277&lt;&gt;"LIBSETS_SETTYPE_SPECIAL"),IF(AL277&lt;&gt;"",VLOOKUP(AL277,'ESO zones'!$D$5:$H$4957,5,FALSE),""),"")</f>
        <v/>
      </c>
      <c r="AP277" s="3" t="str">
        <f>IF(AND(G277&lt;&gt;"LIBSETS_SETTYPE_BATTLEGROUND",G277&lt;&gt;"LIBSETS_SETTYPE_SPECIAL"),IF(AQ277&lt;&gt;"",VLOOKUP(AQ277,'ESO zones'!$D$5:$H$4957,5,FALSE),""),"")</f>
        <v/>
      </c>
      <c r="AU277" s="3" t="str">
        <f>IF(AND(G277&lt;&gt;"LIBSETS_SETTYPE_BATTLEGROUND",G277&lt;&gt;"LIBSETS_SETTYPE_SPECIAL"),IF(AV277&lt;&gt;"",VLOOKUP(AV277,'ESO zones'!$D$5:$H$4957,5,FALSE),""),"")</f>
        <v/>
      </c>
      <c r="AZ277" s="49" t="s">
        <v>403</v>
      </c>
      <c r="BA277" s="49"/>
      <c r="BB277" s="49"/>
      <c r="BC277" s="49"/>
      <c r="BD277" s="49"/>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1">
        <v>325</v>
      </c>
      <c r="B278" t="s">
        <v>1047</v>
      </c>
      <c r="C278" t="s">
        <v>1048</v>
      </c>
      <c r="D278" s="3">
        <f t="shared" si="24"/>
        <v>325</v>
      </c>
      <c r="G278" s="9" t="s">
        <v>163</v>
      </c>
      <c r="I278" t="s">
        <v>401</v>
      </c>
      <c r="J278" t="s">
        <v>401</v>
      </c>
      <c r="K278">
        <v>282</v>
      </c>
      <c r="L278">
        <v>282</v>
      </c>
      <c r="M278">
        <v>282</v>
      </c>
      <c r="N278">
        <v>6</v>
      </c>
      <c r="Q278" s="3">
        <f>IF(AND(P278&lt;&gt;"",ISNUMBER(P278),NOT(ISNA(P278))),P278,IF(R278&lt;&gt;"",VLOOKUP(R278,'ESO zones'!$D$5:$H$10005,5,FALSE),""))</f>
        <v>849</v>
      </c>
      <c r="R278" t="str">
        <f>IF(AND(O278&lt;&gt;"",NOT(ISERROR(O278))),O278,IF(AND(P278&lt;&gt;"",ISNUMBER(P278),P278&gt;0,NOT(ISNA(P278))),VLOOKUP(P278,'ESO zones'!$A$5:$D$10003,4,FALSE),IF(AND(K278&lt;&gt;"",K278&gt;0,NOT(ISERROR(K278))),VLOOKUP(K278,'ESO wayshrines'!$K$3:$N$9972,4,FALSE),"")))</f>
        <v>Vvardenfell</v>
      </c>
      <c r="T278" s="16" t="str">
        <f>IF(AND(S278&lt;&gt;"",NOT(ISERROR(S278))),S278,VLOOKUP(A278,'ESO Set&amp;DLCs'!$A$3:$D$99998,4,FALSE))</f>
        <v>DLC_MORROWIND</v>
      </c>
      <c r="U278" s="3" t="str">
        <f>IF(T278&lt;&gt;"",VLOOKUP(T278,ConstDLCIds!$B$4:$C$1000,2,FALSE),"")</f>
        <v>Morrowind</v>
      </c>
      <c r="V278" s="4" t="s">
        <v>281</v>
      </c>
      <c r="Y278" s="5"/>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zones'!$A$5:$D$10003,4,FALSE),"")</f>
        <v>Vvardenfell</v>
      </c>
      <c r="AB278" s="4"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zones'!$A$5:$D$10003,4,FALSE),"")</f>
        <v>Vvardenfell</v>
      </c>
      <c r="AK278" s="3" t="str">
        <f>IF(AND(G278&lt;&gt;"LIBSETS_SETTYPE_BATTLEGROUND",G278&lt;&gt;"LIBSETS_SETTYPE_SPECIAL"),IF(AL278&lt;&gt;"",VLOOKUP(AL278,'ESO zones'!$D$5:$H$4957,5,FALSE),""),"")</f>
        <v/>
      </c>
      <c r="AP278" s="3" t="str">
        <f>IF(AND(G278&lt;&gt;"LIBSETS_SETTYPE_BATTLEGROUND",G278&lt;&gt;"LIBSETS_SETTYPE_SPECIAL"),IF(AQ278&lt;&gt;"",VLOOKUP(AQ278,'ESO zones'!$D$5:$H$4957,5,FALSE),""),"")</f>
        <v/>
      </c>
      <c r="AU278" s="3" t="str">
        <f>IF(AND(G278&lt;&gt;"LIBSETS_SETTYPE_BATTLEGROUND",G278&lt;&gt;"LIBSETS_SETTYPE_SPECIAL"),IF(AV278&lt;&gt;"",VLOOKUP(AV278,'ESO zones'!$D$5:$H$4957,5,FALSE),""),"")</f>
        <v/>
      </c>
      <c r="AZ278" s="49" t="s">
        <v>410</v>
      </c>
      <c r="BA278" s="49"/>
      <c r="BB278" s="49"/>
      <c r="BC278" s="49"/>
      <c r="BD278" s="49"/>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2">
        <v>326</v>
      </c>
      <c r="B279" t="s">
        <v>1049</v>
      </c>
      <c r="C279" t="s">
        <v>1050</v>
      </c>
      <c r="D279" s="3">
        <f t="shared" si="24"/>
        <v>326</v>
      </c>
      <c r="G279" s="9" t="s">
        <v>161</v>
      </c>
      <c r="I279" t="s">
        <v>401</v>
      </c>
      <c r="J279" t="s">
        <v>401</v>
      </c>
      <c r="K279">
        <v>-1</v>
      </c>
      <c r="L279">
        <v>-1</v>
      </c>
      <c r="M279">
        <v>-1</v>
      </c>
      <c r="O279" s="5" t="s">
        <v>1051</v>
      </c>
      <c r="P279" s="5">
        <v>-98</v>
      </c>
      <c r="Q279" s="3">
        <f>IF(AND(P279&lt;&gt;"",ISNUMBER(P279),NOT(ISNA(P279))),P279,IF(R279&lt;&gt;"",VLOOKUP(R279,'ESO zones'!$D$5:$H$10005,5,FALSE),""))</f>
        <v>-98</v>
      </c>
      <c r="R279" t="str">
        <f>IF(AND(O279&lt;&gt;"",NOT(ISERROR(O279))),O279,IF(AND(P279&lt;&gt;"",ISNUMBER(P279),P279&gt;0,NOT(ISNA(P279))),VLOOKUP(P279,'ESO zones'!$A$5:$D$10003,4,FALSE),IF(AND(K279&lt;&gt;"",K279&gt;0,NOT(ISERROR(K279))),VLOOKUP(K279,'ESO wayshrines'!$K$3:$N$9972,4,FALSE),"")))</f>
        <v>!Battleground</v>
      </c>
      <c r="T279" s="16" t="str">
        <f>IF(AND(S279&lt;&gt;"",NOT(ISERROR(S279))),S279,VLOOKUP(A279,'ESO Set&amp;DLCs'!$A$3:$D$99998,4,FALSE))</f>
        <v>DLC_BASE_GAME</v>
      </c>
      <c r="U279" s="3" t="str">
        <f>IF(T279&lt;&gt;"",VLOOKUP(T279,ConstDLCIds!$B$4:$C$1000,2,FALSE),"")</f>
        <v>Included in base game</v>
      </c>
      <c r="V279" s="4" t="s">
        <v>227</v>
      </c>
      <c r="Y279" s="5"/>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zones'!$A$5:$D$10003,4,FALSE),"")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zones'!$A$5:$D$10003,4,FALSE),"")</f>
        <v/>
      </c>
      <c r="AK279" s="3" t="str">
        <f>IF(AND(G279&lt;&gt;"LIBSETS_SETTYPE_BATTLEGROUND",G279&lt;&gt;"LIBSETS_SETTYPE_SPECIAL"),IF(AL279&lt;&gt;"",VLOOKUP(AL279,'ESO zones'!$D$5:$H$4957,5,FALSE),""),"")</f>
        <v/>
      </c>
      <c r="AP279" s="3" t="str">
        <f>IF(AND(G279&lt;&gt;"LIBSETS_SETTYPE_BATTLEGROUND",G279&lt;&gt;"LIBSETS_SETTYPE_SPECIAL"),IF(AQ279&lt;&gt;"",VLOOKUP(AQ279,'ESO zones'!$D$5:$H$4957,5,FALSE),""),"")</f>
        <v/>
      </c>
      <c r="AU279" s="3" t="str">
        <f>IF(AND(G279&lt;&gt;"LIBSETS_SETTYPE_BATTLEGROUND",G279&lt;&gt;"LIBSETS_SETTYPE_SPECIAL"),IF(AV279&lt;&gt;"",VLOOKUP(AV279,'ESO zones'!$D$5:$H$4957,5,FALSE),""),"")</f>
        <v/>
      </c>
      <c r="AZ279" s="49" t="s">
        <v>403</v>
      </c>
      <c r="BA279" s="49"/>
      <c r="BB279" s="49"/>
      <c r="BC279" s="49"/>
      <c r="BD279" s="49"/>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2">
        <v>327</v>
      </c>
      <c r="B280" t="s">
        <v>1052</v>
      </c>
      <c r="C280" t="s">
        <v>1053</v>
      </c>
      <c r="D280" s="3">
        <f t="shared" si="24"/>
        <v>327</v>
      </c>
      <c r="G280" s="9" t="s">
        <v>161</v>
      </c>
      <c r="I280" t="s">
        <v>401</v>
      </c>
      <c r="J280" t="s">
        <v>401</v>
      </c>
      <c r="K280">
        <v>-1</v>
      </c>
      <c r="L280">
        <v>-1</v>
      </c>
      <c r="M280">
        <v>-1</v>
      </c>
      <c r="O280" s="5" t="s">
        <v>1051</v>
      </c>
      <c r="P280" s="5">
        <v>-98</v>
      </c>
      <c r="Q280" s="3">
        <f>IF(AND(P280&lt;&gt;"",ISNUMBER(P280),NOT(ISNA(P280))),P280,IF(R280&lt;&gt;"",VLOOKUP(R280,'ESO zones'!$D$5:$H$10005,5,FALSE),""))</f>
        <v>-98</v>
      </c>
      <c r="R280" t="str">
        <f>IF(AND(O280&lt;&gt;"",NOT(ISERROR(O280))),O280,IF(AND(P280&lt;&gt;"",ISNUMBER(P280),P280&gt;0,NOT(ISNA(P280))),VLOOKUP(P280,'ESO zones'!$A$5:$D$10003,4,FALSE),IF(AND(K280&lt;&gt;"",K280&gt;0,NOT(ISERROR(K280))),VLOOKUP(K280,'ESO wayshrines'!$K$3:$N$9972,4,FALSE),"")))</f>
        <v>!Battleground</v>
      </c>
      <c r="T280" s="16" t="str">
        <f>IF(AND(S280&lt;&gt;"",NOT(ISERROR(S280))),S280,VLOOKUP(A280,'ESO Set&amp;DLCs'!$A$3:$D$99998,4,FALSE))</f>
        <v>DLC_BASE_GAME</v>
      </c>
      <c r="U280" s="3" t="str">
        <f>IF(T280&lt;&gt;"",VLOOKUP(T280,ConstDLCIds!$B$4:$C$1000,2,FALSE),"")</f>
        <v>Included in base game</v>
      </c>
      <c r="V280" s="4" t="s">
        <v>227</v>
      </c>
      <c r="Y280" s="5"/>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zones'!$A$5:$D$10003,4,FALSE),"")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zones'!$A$5:$D$10003,4,FALSE),"")</f>
        <v/>
      </c>
      <c r="AK280" s="3" t="str">
        <f>IF(AND(G280&lt;&gt;"LIBSETS_SETTYPE_BATTLEGROUND",G280&lt;&gt;"LIBSETS_SETTYPE_SPECIAL"),IF(AL280&lt;&gt;"",VLOOKUP(AL280,'ESO zones'!$D$5:$H$4957,5,FALSE),""),"")</f>
        <v/>
      </c>
      <c r="AP280" s="3" t="str">
        <f>IF(AND(G280&lt;&gt;"LIBSETS_SETTYPE_BATTLEGROUND",G280&lt;&gt;"LIBSETS_SETTYPE_SPECIAL"),IF(AQ280&lt;&gt;"",VLOOKUP(AQ280,'ESO zones'!$D$5:$H$4957,5,FALSE),""),"")</f>
        <v/>
      </c>
      <c r="AU280" s="3" t="str">
        <f>IF(AND(G280&lt;&gt;"LIBSETS_SETTYPE_BATTLEGROUND",G280&lt;&gt;"LIBSETS_SETTYPE_SPECIAL"),IF(AV280&lt;&gt;"",VLOOKUP(AV280,'ESO zones'!$D$5:$H$4957,5,FALSE),""),"")</f>
        <v/>
      </c>
      <c r="AZ280" s="49" t="s">
        <v>403</v>
      </c>
      <c r="BA280" s="49"/>
      <c r="BB280" s="49"/>
      <c r="BC280" s="49"/>
      <c r="BD280" s="49"/>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2">
        <v>328</v>
      </c>
      <c r="B281" t="s">
        <v>1054</v>
      </c>
      <c r="C281" t="s">
        <v>1055</v>
      </c>
      <c r="D281" s="3">
        <f t="shared" si="24"/>
        <v>328</v>
      </c>
      <c r="G281" s="9" t="s">
        <v>161</v>
      </c>
      <c r="I281" t="s">
        <v>401</v>
      </c>
      <c r="J281" t="s">
        <v>401</v>
      </c>
      <c r="K281">
        <v>-1</v>
      </c>
      <c r="L281">
        <v>-1</v>
      </c>
      <c r="M281">
        <v>-1</v>
      </c>
      <c r="O281" s="5" t="s">
        <v>1051</v>
      </c>
      <c r="P281" s="5">
        <v>-98</v>
      </c>
      <c r="Q281" s="3">
        <f>IF(AND(P281&lt;&gt;"",ISNUMBER(P281),NOT(ISNA(P281))),P281,IF(R281&lt;&gt;"",VLOOKUP(R281,'ESO zones'!$D$5:$H$10005,5,FALSE),""))</f>
        <v>-98</v>
      </c>
      <c r="R281" t="str">
        <f>IF(AND(O281&lt;&gt;"",NOT(ISERROR(O281))),O281,IF(AND(P281&lt;&gt;"",ISNUMBER(P281),P281&gt;0,NOT(ISNA(P281))),VLOOKUP(P281,'ESO zones'!$A$5:$D$10003,4,FALSE),IF(AND(K281&lt;&gt;"",K281&gt;0,NOT(ISERROR(K281))),VLOOKUP(K281,'ESO wayshrines'!$K$3:$N$9972,4,FALSE),"")))</f>
        <v>!Battleground</v>
      </c>
      <c r="T281" s="16" t="str">
        <f>IF(AND(S281&lt;&gt;"",NOT(ISERROR(S281))),S281,VLOOKUP(A281,'ESO Set&amp;DLCs'!$A$3:$D$99998,4,FALSE))</f>
        <v>DLC_BASE_GAME</v>
      </c>
      <c r="U281" s="3" t="str">
        <f>IF(T281&lt;&gt;"",VLOOKUP(T281,ConstDLCIds!$B$4:$C$1000,2,FALSE),"")</f>
        <v>Included in base game</v>
      </c>
      <c r="V281" s="4" t="s">
        <v>227</v>
      </c>
      <c r="Y281" s="5"/>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zones'!$A$5:$D$10003,4,FALSE),"")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zones'!$A$5:$D$10003,4,FALSE),"")</f>
        <v/>
      </c>
      <c r="AK281" s="3" t="str">
        <f>IF(AND(G281&lt;&gt;"LIBSETS_SETTYPE_BATTLEGROUND",G281&lt;&gt;"LIBSETS_SETTYPE_SPECIAL"),IF(AL281&lt;&gt;"",VLOOKUP(AL281,'ESO zones'!$D$5:$H$4957,5,FALSE),""),"")</f>
        <v/>
      </c>
      <c r="AP281" s="3" t="str">
        <f>IF(AND(G281&lt;&gt;"LIBSETS_SETTYPE_BATTLEGROUND",G281&lt;&gt;"LIBSETS_SETTYPE_SPECIAL"),IF(AQ281&lt;&gt;"",VLOOKUP(AQ281,'ESO zones'!$D$5:$H$4957,5,FALSE),""),"")</f>
        <v/>
      </c>
      <c r="AU281" s="3" t="str">
        <f>IF(AND(G281&lt;&gt;"LIBSETS_SETTYPE_BATTLEGROUND",G281&lt;&gt;"LIBSETS_SETTYPE_SPECIAL"),IF(AV281&lt;&gt;"",VLOOKUP(AV281,'ESO zones'!$D$5:$H$4957,5,FALSE),""),"")</f>
        <v/>
      </c>
      <c r="AZ281" s="49" t="s">
        <v>403</v>
      </c>
      <c r="BA281" s="49"/>
      <c r="BB281" s="49"/>
      <c r="BC281" s="49"/>
      <c r="BD281" s="49"/>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2">
        <v>329</v>
      </c>
      <c r="B282" t="s">
        <v>1056</v>
      </c>
      <c r="C282" t="s">
        <v>1057</v>
      </c>
      <c r="D282" s="3">
        <f t="shared" si="24"/>
        <v>329</v>
      </c>
      <c r="G282" s="9" t="s">
        <v>161</v>
      </c>
      <c r="I282" t="s">
        <v>401</v>
      </c>
      <c r="J282" t="s">
        <v>401</v>
      </c>
      <c r="K282">
        <v>-1</v>
      </c>
      <c r="L282">
        <v>-1</v>
      </c>
      <c r="M282">
        <v>-1</v>
      </c>
      <c r="O282" s="5" t="s">
        <v>1051</v>
      </c>
      <c r="P282" s="5">
        <v>-98</v>
      </c>
      <c r="Q282" s="3">
        <f>IF(AND(P282&lt;&gt;"",ISNUMBER(P282),NOT(ISNA(P282))),P282,IF(R282&lt;&gt;"",VLOOKUP(R282,'ESO zones'!$D$5:$H$10005,5,FALSE),""))</f>
        <v>-98</v>
      </c>
      <c r="R282" t="str">
        <f>IF(AND(O282&lt;&gt;"",NOT(ISERROR(O282))),O282,IF(AND(P282&lt;&gt;"",ISNUMBER(P282),P282&gt;0,NOT(ISNA(P282))),VLOOKUP(P282,'ESO zones'!$A$5:$D$10003,4,FALSE),IF(AND(K282&lt;&gt;"",K282&gt;0,NOT(ISERROR(K282))),VLOOKUP(K282,'ESO wayshrines'!$K$3:$N$9972,4,FALSE),"")))</f>
        <v>!Battleground</v>
      </c>
      <c r="T282" s="16" t="str">
        <f>IF(AND(S282&lt;&gt;"",NOT(ISERROR(S282))),S282,VLOOKUP(A282,'ESO Set&amp;DLCs'!$A$3:$D$99998,4,FALSE))</f>
        <v>DLC_BASE_GAME</v>
      </c>
      <c r="U282" s="3" t="str">
        <f>IF(T282&lt;&gt;"",VLOOKUP(T282,ConstDLCIds!$B$4:$C$1000,2,FALSE),"")</f>
        <v>Included in base game</v>
      </c>
      <c r="V282" s="4" t="s">
        <v>227</v>
      </c>
      <c r="Y282" s="5"/>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zones'!$A$5:$D$10003,4,FALSE),"")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zones'!$A$5:$D$10003,4,FALSE),"")</f>
        <v/>
      </c>
      <c r="AK282" s="3" t="str">
        <f>IF(AND(G282&lt;&gt;"LIBSETS_SETTYPE_BATTLEGROUND",G282&lt;&gt;"LIBSETS_SETTYPE_SPECIAL"),IF(AL282&lt;&gt;"",VLOOKUP(AL282,'ESO zones'!$D$5:$H$4957,5,FALSE),""),"")</f>
        <v/>
      </c>
      <c r="AP282" s="3" t="str">
        <f>IF(AND(G282&lt;&gt;"LIBSETS_SETTYPE_BATTLEGROUND",G282&lt;&gt;"LIBSETS_SETTYPE_SPECIAL"),IF(AQ282&lt;&gt;"",VLOOKUP(AQ282,'ESO zones'!$D$5:$H$4957,5,FALSE),""),"")</f>
        <v/>
      </c>
      <c r="AU282" s="3" t="str">
        <f>IF(AND(G282&lt;&gt;"LIBSETS_SETTYPE_BATTLEGROUND",G282&lt;&gt;"LIBSETS_SETTYPE_SPECIAL"),IF(AV282&lt;&gt;"",VLOOKUP(AV282,'ESO zones'!$D$5:$H$4957,5,FALSE),""),"")</f>
        <v/>
      </c>
      <c r="AZ282" s="49" t="s">
        <v>403</v>
      </c>
      <c r="BA282" s="49"/>
      <c r="BB282" s="49"/>
      <c r="BC282" s="49"/>
      <c r="BD282" s="49"/>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2">
        <v>330</v>
      </c>
      <c r="B283" t="s">
        <v>1058</v>
      </c>
      <c r="C283" t="s">
        <v>1059</v>
      </c>
      <c r="D283" s="3">
        <f t="shared" si="24"/>
        <v>330</v>
      </c>
      <c r="G283" s="9" t="s">
        <v>178</v>
      </c>
      <c r="I283" t="s">
        <v>401</v>
      </c>
      <c r="J283" t="s">
        <v>401</v>
      </c>
      <c r="K283">
        <v>331</v>
      </c>
      <c r="L283">
        <v>331</v>
      </c>
      <c r="M283">
        <v>331</v>
      </c>
      <c r="O283" s="5" t="s">
        <v>1060</v>
      </c>
      <c r="Q283" s="3">
        <f>IF(AND(P283&lt;&gt;"",ISNUMBER(P283),NOT(ISNA(P283))),P283,IF(R283&lt;&gt;"",VLOOKUP(R283,'ESO zones'!$D$5:$H$10005,5,FALSE),""))</f>
        <v>975</v>
      </c>
      <c r="R283" t="str">
        <f>IF(AND(O283&lt;&gt;"",NOT(ISERROR(O283))),O283,IF(AND(P283&lt;&gt;"",ISNUMBER(P283),P283&gt;0,NOT(ISNA(P283))),VLOOKUP(P283,'ESO zones'!$A$5:$D$10003,4,FALSE),IF(AND(K283&lt;&gt;"",K283&gt;0,NOT(ISERROR(K283))),VLOOKUP(K283,'ESO wayshrines'!$K$3:$N$9972,4,FALSE),"")))</f>
        <v>Halls of Fabrication</v>
      </c>
      <c r="T283" s="16" t="str">
        <f>IF(AND(S283&lt;&gt;"",NOT(ISERROR(S283))),S283,VLOOKUP(A283,'ESO Set&amp;DLCs'!$A$3:$D$99998,4,FALSE))</f>
        <v>DLC_MORROWIND</v>
      </c>
      <c r="U283" s="3" t="str">
        <f>IF(T283&lt;&gt;"",VLOOKUP(T283,ConstDLCIds!$B$4:$C$1000,2,FALSE),"")</f>
        <v>Morrowind</v>
      </c>
      <c r="V283" s="4" t="s">
        <v>272</v>
      </c>
      <c r="Y283" s="5">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zones'!$A$5:$D$10003,4,FALSE),"")</f>
        <v>Halls of Fabrication</v>
      </c>
      <c r="AB283" s="4" t="s">
        <v>272</v>
      </c>
      <c r="AE283" s="5">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zones'!$A$5:$D$10003,4,FALSE),"")</f>
        <v>Halls of Fabrication</v>
      </c>
      <c r="AH283" s="4" t="s">
        <v>272</v>
      </c>
      <c r="AI283" s="29"/>
      <c r="AJ283" s="29"/>
      <c r="AK283" s="3" t="str">
        <f>IF(AND(G283&lt;&gt;"LIBSETS_SETTYPE_BATTLEGROUND",G283&lt;&gt;"LIBSETS_SETTYPE_SPECIAL"),IF(AL283&lt;&gt;"",VLOOKUP(AL283,'ESO zones'!$D$5:$H$4957,5,FALSE),""),"")</f>
        <v/>
      </c>
      <c r="AN283" s="29"/>
      <c r="AO283" s="29"/>
      <c r="AP283" s="3" t="str">
        <f>IF(AND(G283&lt;&gt;"LIBSETS_SETTYPE_BATTLEGROUND",G283&lt;&gt;"LIBSETS_SETTYPE_SPECIAL"),IF(AQ283&lt;&gt;"",VLOOKUP(AQ283,'ESO zones'!$D$5:$H$4957,5,FALSE),""),"")</f>
        <v/>
      </c>
      <c r="AS283" s="29"/>
      <c r="AT283" s="29"/>
      <c r="AU283" s="3" t="str">
        <f>IF(AND(G283&lt;&gt;"LIBSETS_SETTYPE_BATTLEGROUND",G283&lt;&gt;"LIBSETS_SETTYPE_SPECIAL"),IF(AV283&lt;&gt;"",VLOOKUP(AV283,'ESO zones'!$D$5:$H$4957,5,FALSE),""),"")</f>
        <v/>
      </c>
      <c r="AX283" s="29"/>
      <c r="AY283" s="29"/>
      <c r="AZ283" s="49" t="s">
        <v>403</v>
      </c>
      <c r="BA283" s="49"/>
      <c r="BB283" s="49"/>
      <c r="BC283" s="49"/>
      <c r="BD283" s="49"/>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2">
        <v>331</v>
      </c>
      <c r="B284" t="s">
        <v>1061</v>
      </c>
      <c r="C284" t="s">
        <v>1062</v>
      </c>
      <c r="D284" s="3">
        <f t="shared" si="24"/>
        <v>331</v>
      </c>
      <c r="G284" s="9" t="s">
        <v>178</v>
      </c>
      <c r="I284" t="s">
        <v>401</v>
      </c>
      <c r="J284" t="s">
        <v>401</v>
      </c>
      <c r="K284">
        <v>331</v>
      </c>
      <c r="L284">
        <v>331</v>
      </c>
      <c r="M284">
        <v>331</v>
      </c>
      <c r="O284" s="5" t="s">
        <v>1060</v>
      </c>
      <c r="Q284" s="3">
        <f>IF(AND(P284&lt;&gt;"",ISNUMBER(P284),NOT(ISNA(P284))),P284,IF(R284&lt;&gt;"",VLOOKUP(R284,'ESO zones'!$D$5:$H$10005,5,FALSE),""))</f>
        <v>975</v>
      </c>
      <c r="R284" t="str">
        <f>IF(AND(O284&lt;&gt;"",NOT(ISERROR(O284))),O284,IF(AND(P284&lt;&gt;"",ISNUMBER(P284),P284&gt;0,NOT(ISNA(P284))),VLOOKUP(P284,'ESO zones'!$A$5:$D$10003,4,FALSE),IF(AND(K284&lt;&gt;"",K284&gt;0,NOT(ISERROR(K284))),VLOOKUP(K284,'ESO wayshrines'!$K$3:$N$9972,4,FALSE),"")))</f>
        <v>Halls of Fabrication</v>
      </c>
      <c r="T284" s="16" t="str">
        <f>IF(AND(S284&lt;&gt;"",NOT(ISERROR(S284))),S284,VLOOKUP(A284,'ESO Set&amp;DLCs'!$A$3:$D$99998,4,FALSE))</f>
        <v>DLC_MORROWIND</v>
      </c>
      <c r="U284" s="3" t="str">
        <f>IF(T284&lt;&gt;"",VLOOKUP(T284,ConstDLCIds!$B$4:$C$1000,2,FALSE),"")</f>
        <v>Morrowind</v>
      </c>
      <c r="V284" s="4" t="s">
        <v>272</v>
      </c>
      <c r="Y284" s="5">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zones'!$A$5:$D$10003,4,FALSE),"")</f>
        <v>Halls of Fabrication</v>
      </c>
      <c r="AB284" s="4" t="s">
        <v>272</v>
      </c>
      <c r="AE284" s="5">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zones'!$A$5:$D$10003,4,FALSE),"")</f>
        <v>Halls of Fabrication</v>
      </c>
      <c r="AH284" s="4" t="s">
        <v>272</v>
      </c>
      <c r="AI284" s="29"/>
      <c r="AJ284" s="29"/>
      <c r="AK284" s="3" t="str">
        <f>IF(AND(G284&lt;&gt;"LIBSETS_SETTYPE_BATTLEGROUND",G284&lt;&gt;"LIBSETS_SETTYPE_SPECIAL"),IF(AL284&lt;&gt;"",VLOOKUP(AL284,'ESO zones'!$D$5:$H$4957,5,FALSE),""),"")</f>
        <v/>
      </c>
      <c r="AN284" s="29"/>
      <c r="AO284" s="29"/>
      <c r="AP284" s="3" t="str">
        <f>IF(AND(G284&lt;&gt;"LIBSETS_SETTYPE_BATTLEGROUND",G284&lt;&gt;"LIBSETS_SETTYPE_SPECIAL"),IF(AQ284&lt;&gt;"",VLOOKUP(AQ284,'ESO zones'!$D$5:$H$4957,5,FALSE),""),"")</f>
        <v/>
      </c>
      <c r="AS284" s="29"/>
      <c r="AT284" s="29"/>
      <c r="AU284" s="3" t="str">
        <f>IF(AND(G284&lt;&gt;"LIBSETS_SETTYPE_BATTLEGROUND",G284&lt;&gt;"LIBSETS_SETTYPE_SPECIAL"),IF(AV284&lt;&gt;"",VLOOKUP(AV284,'ESO zones'!$D$5:$H$4957,5,FALSE),""),"")</f>
        <v/>
      </c>
      <c r="AX284" s="29"/>
      <c r="AY284" s="29"/>
      <c r="AZ284" s="49" t="s">
        <v>403</v>
      </c>
      <c r="BA284" s="49"/>
      <c r="BB284" s="49"/>
      <c r="BC284" s="49"/>
      <c r="BD284" s="49"/>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2">
        <v>332</v>
      </c>
      <c r="B285" t="s">
        <v>1063</v>
      </c>
      <c r="C285" t="s">
        <v>1064</v>
      </c>
      <c r="D285" s="3">
        <f t="shared" si="24"/>
        <v>332</v>
      </c>
      <c r="G285" s="9" t="s">
        <v>178</v>
      </c>
      <c r="I285" t="s">
        <v>401</v>
      </c>
      <c r="J285" t="s">
        <v>401</v>
      </c>
      <c r="K285">
        <v>331</v>
      </c>
      <c r="L285">
        <v>331</v>
      </c>
      <c r="M285">
        <v>331</v>
      </c>
      <c r="O285" s="5" t="s">
        <v>1060</v>
      </c>
      <c r="Q285" s="3">
        <f>IF(AND(P285&lt;&gt;"",ISNUMBER(P285),NOT(ISNA(P285))),P285,IF(R285&lt;&gt;"",VLOOKUP(R285,'ESO zones'!$D$5:$H$10005,5,FALSE),""))</f>
        <v>975</v>
      </c>
      <c r="R285" t="str">
        <f>IF(AND(O285&lt;&gt;"",NOT(ISERROR(O285))),O285,IF(AND(P285&lt;&gt;"",ISNUMBER(P285),P285&gt;0,NOT(ISNA(P285))),VLOOKUP(P285,'ESO zones'!$A$5:$D$10003,4,FALSE),IF(AND(K285&lt;&gt;"",K285&gt;0,NOT(ISERROR(K285))),VLOOKUP(K285,'ESO wayshrines'!$K$3:$N$9972,4,FALSE),"")))</f>
        <v>Halls of Fabrication</v>
      </c>
      <c r="T285" s="16" t="str">
        <f>IF(AND(S285&lt;&gt;"",NOT(ISERROR(S285))),S285,VLOOKUP(A285,'ESO Set&amp;DLCs'!$A$3:$D$99998,4,FALSE))</f>
        <v>DLC_MORROWIND</v>
      </c>
      <c r="U285" s="3" t="str">
        <f>IF(T285&lt;&gt;"",VLOOKUP(T285,ConstDLCIds!$B$4:$C$1000,2,FALSE),"")</f>
        <v>Morrowind</v>
      </c>
      <c r="V285" s="4" t="s">
        <v>272</v>
      </c>
      <c r="Y285" s="5">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zones'!$A$5:$D$10003,4,FALSE),"")</f>
        <v>Halls of Fabrication</v>
      </c>
      <c r="AB285" s="4" t="s">
        <v>272</v>
      </c>
      <c r="AE285" s="5">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zones'!$A$5:$D$10003,4,FALSE),"")</f>
        <v>Halls of Fabrication</v>
      </c>
      <c r="AH285" s="4" t="s">
        <v>272</v>
      </c>
      <c r="AI285" s="29"/>
      <c r="AJ285" s="29"/>
      <c r="AK285" s="3" t="str">
        <f>IF(AND(G285&lt;&gt;"LIBSETS_SETTYPE_BATTLEGROUND",G285&lt;&gt;"LIBSETS_SETTYPE_SPECIAL"),IF(AL285&lt;&gt;"",VLOOKUP(AL285,'ESO zones'!$D$5:$H$4957,5,FALSE),""),"")</f>
        <v/>
      </c>
      <c r="AN285" s="29"/>
      <c r="AO285" s="29"/>
      <c r="AP285" s="3" t="str">
        <f>IF(AND(G285&lt;&gt;"LIBSETS_SETTYPE_BATTLEGROUND",G285&lt;&gt;"LIBSETS_SETTYPE_SPECIAL"),IF(AQ285&lt;&gt;"",VLOOKUP(AQ285,'ESO zones'!$D$5:$H$4957,5,FALSE),""),"")</f>
        <v/>
      </c>
      <c r="AS285" s="29"/>
      <c r="AT285" s="29"/>
      <c r="AU285" s="3" t="str">
        <f>IF(AND(G285&lt;&gt;"LIBSETS_SETTYPE_BATTLEGROUND",G285&lt;&gt;"LIBSETS_SETTYPE_SPECIAL"),IF(AV285&lt;&gt;"",VLOOKUP(AV285,'ESO zones'!$D$5:$H$4957,5,FALSE),""),"")</f>
        <v/>
      </c>
      <c r="AX285" s="29"/>
      <c r="AY285" s="29"/>
      <c r="AZ285" s="49" t="s">
        <v>403</v>
      </c>
      <c r="BA285" s="49"/>
      <c r="BB285" s="49"/>
      <c r="BC285" s="49"/>
      <c r="BD285" s="49"/>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2">
        <v>333</v>
      </c>
      <c r="B286" t="s">
        <v>1065</v>
      </c>
      <c r="C286" t="s">
        <v>1066</v>
      </c>
      <c r="D286" s="3">
        <f t="shared" si="24"/>
        <v>333</v>
      </c>
      <c r="G286" s="9" t="s">
        <v>178</v>
      </c>
      <c r="I286" t="s">
        <v>401</v>
      </c>
      <c r="J286" t="s">
        <v>401</v>
      </c>
      <c r="K286">
        <v>331</v>
      </c>
      <c r="L286">
        <v>331</v>
      </c>
      <c r="M286">
        <v>331</v>
      </c>
      <c r="O286" s="5" t="s">
        <v>1060</v>
      </c>
      <c r="Q286" s="3">
        <f>IF(AND(P286&lt;&gt;"",ISNUMBER(P286),NOT(ISNA(P286))),P286,IF(R286&lt;&gt;"",VLOOKUP(R286,'ESO zones'!$D$5:$H$10005,5,FALSE),""))</f>
        <v>975</v>
      </c>
      <c r="R286" t="str">
        <f>IF(AND(O286&lt;&gt;"",NOT(ISERROR(O286))),O286,IF(AND(P286&lt;&gt;"",ISNUMBER(P286),P286&gt;0,NOT(ISNA(P286))),VLOOKUP(P286,'ESO zones'!$A$5:$D$10003,4,FALSE),IF(AND(K286&lt;&gt;"",K286&gt;0,NOT(ISERROR(K286))),VLOOKUP(K286,'ESO wayshrines'!$K$3:$N$9972,4,FALSE),"")))</f>
        <v>Halls of Fabrication</v>
      </c>
      <c r="T286" s="16" t="str">
        <f>IF(AND(S286&lt;&gt;"",NOT(ISERROR(S286))),S286,VLOOKUP(A286,'ESO Set&amp;DLCs'!$A$3:$D$99998,4,FALSE))</f>
        <v>DLC_MORROWIND</v>
      </c>
      <c r="U286" s="3" t="str">
        <f>IF(T286&lt;&gt;"",VLOOKUP(T286,ConstDLCIds!$B$4:$C$1000,2,FALSE),"")</f>
        <v>Morrowind</v>
      </c>
      <c r="V286" s="4" t="s">
        <v>272</v>
      </c>
      <c r="Y286" s="5">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zones'!$A$5:$D$10003,4,FALSE),"")</f>
        <v>Halls of Fabrication</v>
      </c>
      <c r="AB286" s="4" t="s">
        <v>272</v>
      </c>
      <c r="AE286" s="5">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zones'!$A$5:$D$10003,4,FALSE),"")</f>
        <v>Halls of Fabrication</v>
      </c>
      <c r="AH286" s="4" t="s">
        <v>272</v>
      </c>
      <c r="AI286" s="29"/>
      <c r="AJ286" s="29"/>
      <c r="AK286" s="3" t="str">
        <f>IF(AND(G286&lt;&gt;"LIBSETS_SETTYPE_BATTLEGROUND",G286&lt;&gt;"LIBSETS_SETTYPE_SPECIAL"),IF(AL286&lt;&gt;"",VLOOKUP(AL286,'ESO zones'!$D$5:$H$4957,5,FALSE),""),"")</f>
        <v/>
      </c>
      <c r="AN286" s="29"/>
      <c r="AO286" s="29"/>
      <c r="AP286" s="3" t="str">
        <f>IF(AND(G286&lt;&gt;"LIBSETS_SETTYPE_BATTLEGROUND",G286&lt;&gt;"LIBSETS_SETTYPE_SPECIAL"),IF(AQ286&lt;&gt;"",VLOOKUP(AQ286,'ESO zones'!$D$5:$H$4957,5,FALSE),""),"")</f>
        <v/>
      </c>
      <c r="AS286" s="29"/>
      <c r="AT286" s="29"/>
      <c r="AU286" s="3" t="str">
        <f>IF(AND(G286&lt;&gt;"LIBSETS_SETTYPE_BATTLEGROUND",G286&lt;&gt;"LIBSETS_SETTYPE_SPECIAL"),IF(AV286&lt;&gt;"",VLOOKUP(AV286,'ESO zones'!$D$5:$H$4957,5,FALSE),""),"")</f>
        <v/>
      </c>
      <c r="AX286" s="29"/>
      <c r="AY286" s="29"/>
      <c r="AZ286" s="49" t="s">
        <v>403</v>
      </c>
      <c r="BA286" s="49"/>
      <c r="BB286" s="49"/>
      <c r="BC286" s="49"/>
      <c r="BD286" s="49"/>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2">
        <v>334</v>
      </c>
      <c r="B287" t="s">
        <v>1067</v>
      </c>
      <c r="C287" t="s">
        <v>1068</v>
      </c>
      <c r="D287" s="3">
        <f t="shared" si="24"/>
        <v>334</v>
      </c>
      <c r="G287" s="9" t="s">
        <v>161</v>
      </c>
      <c r="I287" t="s">
        <v>401</v>
      </c>
      <c r="J287" t="s">
        <v>401</v>
      </c>
      <c r="K287">
        <v>-1</v>
      </c>
      <c r="L287">
        <v>-1</v>
      </c>
      <c r="M287">
        <v>-1</v>
      </c>
      <c r="O287" s="5" t="s">
        <v>1051</v>
      </c>
      <c r="P287" s="5">
        <v>-98</v>
      </c>
      <c r="Q287" s="3">
        <f>IF(AND(P287&lt;&gt;"",ISNUMBER(P287),NOT(ISNA(P287))),P287,IF(R287&lt;&gt;"",VLOOKUP(R287,'ESO zones'!$D$5:$H$10005,5,FALSE),""))</f>
        <v>-98</v>
      </c>
      <c r="R287" t="str">
        <f>IF(AND(O287&lt;&gt;"",NOT(ISERROR(O287))),O287,IF(AND(P287&lt;&gt;"",ISNUMBER(P287),P287&gt;0,NOT(ISNA(P287))),VLOOKUP(P287,'ESO zones'!$A$5:$D$10003,4,FALSE),IF(AND(K287&lt;&gt;"",K287&gt;0,NOT(ISERROR(K287))),VLOOKUP(K287,'ESO wayshrines'!$K$3:$N$9972,4,FALSE),"")))</f>
        <v>!Battleground</v>
      </c>
      <c r="T287" s="16" t="str">
        <f>IF(AND(S287&lt;&gt;"",NOT(ISERROR(S287))),S287,VLOOKUP(A287,'ESO Set&amp;DLCs'!$A$3:$D$99998,4,FALSE))</f>
        <v>DLC_MORROWIND</v>
      </c>
      <c r="U287" s="3" t="str">
        <f>IF(T287&lt;&gt;"",VLOOKUP(T287,ConstDLCIds!$B$4:$C$1000,2,FALSE),"")</f>
        <v>Morrowind</v>
      </c>
      <c r="V287" s="4" t="s">
        <v>227</v>
      </c>
      <c r="Y287" s="5"/>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zones'!$A$5:$D$10003,4,FALSE),"")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zones'!$A$5:$D$10003,4,FALSE),"")</f>
        <v/>
      </c>
      <c r="AK287" s="3" t="str">
        <f>IF(AND(G287&lt;&gt;"LIBSETS_SETTYPE_BATTLEGROUND",G287&lt;&gt;"LIBSETS_SETTYPE_SPECIAL"),IF(AL287&lt;&gt;"",VLOOKUP(AL287,'ESO zones'!$D$5:$H$4957,5,FALSE),""),"")</f>
        <v/>
      </c>
      <c r="AP287" s="3" t="str">
        <f>IF(AND(G287&lt;&gt;"LIBSETS_SETTYPE_BATTLEGROUND",G287&lt;&gt;"LIBSETS_SETTYPE_SPECIAL"),IF(AQ287&lt;&gt;"",VLOOKUP(AQ287,'ESO zones'!$D$5:$H$4957,5,FALSE),""),"")</f>
        <v/>
      </c>
      <c r="AU287" s="3" t="str">
        <f>IF(AND(G287&lt;&gt;"LIBSETS_SETTYPE_BATTLEGROUND",G287&lt;&gt;"LIBSETS_SETTYPE_SPECIAL"),IF(AV287&lt;&gt;"",VLOOKUP(AV287,'ESO zones'!$D$5:$H$4957,5,FALSE),""),"")</f>
        <v/>
      </c>
      <c r="AZ287" s="49" t="s">
        <v>410</v>
      </c>
      <c r="BA287" s="49"/>
      <c r="BB287" s="49"/>
      <c r="BC287" s="49"/>
      <c r="BD287" s="49"/>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2">
        <v>335</v>
      </c>
      <c r="B288" t="s">
        <v>1069</v>
      </c>
      <c r="C288" t="s">
        <v>1070</v>
      </c>
      <c r="D288" s="3">
        <f t="shared" si="24"/>
        <v>335</v>
      </c>
      <c r="G288" s="9" t="s">
        <v>169</v>
      </c>
      <c r="I288" t="s">
        <v>401</v>
      </c>
      <c r="J288" t="s">
        <v>401</v>
      </c>
      <c r="K288">
        <v>332</v>
      </c>
      <c r="L288">
        <v>332</v>
      </c>
      <c r="M288">
        <v>332</v>
      </c>
      <c r="O288" s="5" t="s">
        <v>1071</v>
      </c>
      <c r="Q288" s="3">
        <f>IF(AND(P288&lt;&gt;"",ISNUMBER(P288),NOT(ISNA(P288))),P288,IF(R288&lt;&gt;"",VLOOKUP(R288,'ESO zones'!$D$5:$H$10005,5,FALSE),""))</f>
        <v>974</v>
      </c>
      <c r="R288" t="str">
        <f>IF(AND(O288&lt;&gt;"",NOT(ISERROR(O288))),O288,IF(AND(P288&lt;&gt;"",ISNUMBER(P288),P288&gt;0,NOT(ISNA(P288))),VLOOKUP(P288,'ESO zones'!$A$5:$D$10003,4,FALSE),IF(AND(K288&lt;&gt;"",K288&gt;0,NOT(ISERROR(K288))),VLOOKUP(K288,'ESO wayshrines'!$K$3:$N$9972,4,FALSE),"")))</f>
        <v>Falkreath Hold</v>
      </c>
      <c r="T288" s="16" t="str">
        <f>IF(AND(S288&lt;&gt;"",NOT(ISERROR(S288))),S288,VLOOKUP(A288,'ESO Set&amp;DLCs'!$A$3:$D$99998,4,FALSE))</f>
        <v>DLC_HORNS_OF_THE_REACH</v>
      </c>
      <c r="U288" s="3" t="str">
        <f>IF(T288&lt;&gt;"",VLOOKUP(T288,ConstDLCIds!$B$4:$C$1000,2,FALSE),"")</f>
        <v>Horns of the Reach</v>
      </c>
      <c r="V288" s="4" t="s">
        <v>278</v>
      </c>
      <c r="Y288" s="5"/>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zones'!$A$5:$D$10003,4,FALSE),"")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zones'!$A$5:$D$10003,4,FALSE),"")</f>
        <v>Craglorn</v>
      </c>
      <c r="AK288" s="3" t="str">
        <f>IF(AND(G288&lt;&gt;"LIBSETS_SETTYPE_BATTLEGROUND",G288&lt;&gt;"LIBSETS_SETTYPE_SPECIAL"),IF(AL288&lt;&gt;"",VLOOKUP(AL288,'ESO zones'!$D$5:$H$4957,5,FALSE),""),"")</f>
        <v/>
      </c>
      <c r="AP288" s="3" t="str">
        <f>IF(AND(G288&lt;&gt;"LIBSETS_SETTYPE_BATTLEGROUND",G288&lt;&gt;"LIBSETS_SETTYPE_SPECIAL"),IF(AQ288&lt;&gt;"",VLOOKUP(AQ288,'ESO zones'!$D$5:$H$4957,5,FALSE),""),"")</f>
        <v/>
      </c>
      <c r="AU288" s="3" t="str">
        <f>IF(AND(G288&lt;&gt;"LIBSETS_SETTYPE_BATTLEGROUND",G288&lt;&gt;"LIBSETS_SETTYPE_SPECIAL"),IF(AV288&lt;&gt;"",VLOOKUP(AV288,'ESO zones'!$D$5:$H$4957,5,FALSE),""),"")</f>
        <v/>
      </c>
      <c r="AZ288" s="49" t="s">
        <v>403</v>
      </c>
      <c r="BA288" s="49"/>
      <c r="BB288" s="49"/>
      <c r="BC288" s="49"/>
      <c r="BD288" s="49"/>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2">
        <v>336</v>
      </c>
      <c r="B289" t="s">
        <v>1072</v>
      </c>
      <c r="C289" t="s">
        <v>1073</v>
      </c>
      <c r="D289" s="3">
        <f t="shared" si="24"/>
        <v>336</v>
      </c>
      <c r="G289" s="9" t="s">
        <v>169</v>
      </c>
      <c r="I289" t="s">
        <v>401</v>
      </c>
      <c r="J289" t="s">
        <v>401</v>
      </c>
      <c r="K289">
        <v>332</v>
      </c>
      <c r="L289">
        <v>332</v>
      </c>
      <c r="M289">
        <v>332</v>
      </c>
      <c r="O289" s="5" t="s">
        <v>1071</v>
      </c>
      <c r="Q289" s="3">
        <f>IF(AND(P289&lt;&gt;"",ISNUMBER(P289),NOT(ISNA(P289))),P289,IF(R289&lt;&gt;"",VLOOKUP(R289,'ESO zones'!$D$5:$H$10005,5,FALSE),""))</f>
        <v>974</v>
      </c>
      <c r="R289" t="str">
        <f>IF(AND(O289&lt;&gt;"",NOT(ISERROR(O289))),O289,IF(AND(P289&lt;&gt;"",ISNUMBER(P289),P289&gt;0,NOT(ISNA(P289))),VLOOKUP(P289,'ESO zones'!$A$5:$D$10003,4,FALSE),IF(AND(K289&lt;&gt;"",K289&gt;0,NOT(ISERROR(K289))),VLOOKUP(K289,'ESO wayshrines'!$K$3:$N$9972,4,FALSE),"")))</f>
        <v>Falkreath Hold</v>
      </c>
      <c r="T289" s="16" t="str">
        <f>IF(AND(S289&lt;&gt;"",NOT(ISERROR(S289))),S289,VLOOKUP(A289,'ESO Set&amp;DLCs'!$A$3:$D$99998,4,FALSE))</f>
        <v>DLC_HORNS_OF_THE_REACH</v>
      </c>
      <c r="U289" s="3" t="str">
        <f>IF(T289&lt;&gt;"",VLOOKUP(T289,ConstDLCIds!$B$4:$C$1000,2,FALSE),"")</f>
        <v>Horns of the Reach</v>
      </c>
      <c r="V289" s="4" t="s">
        <v>278</v>
      </c>
      <c r="Y289" s="5"/>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zones'!$A$5:$D$10003,4,FALSE),"")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zones'!$A$5:$D$10003,4,FALSE),"")</f>
        <v>Craglorn</v>
      </c>
      <c r="AK289" s="3" t="str">
        <f>IF(AND(G289&lt;&gt;"LIBSETS_SETTYPE_BATTLEGROUND",G289&lt;&gt;"LIBSETS_SETTYPE_SPECIAL"),IF(AL289&lt;&gt;"",VLOOKUP(AL289,'ESO zones'!$D$5:$H$4957,5,FALSE),""),"")</f>
        <v/>
      </c>
      <c r="AP289" s="3" t="str">
        <f>IF(AND(G289&lt;&gt;"LIBSETS_SETTYPE_BATTLEGROUND",G289&lt;&gt;"LIBSETS_SETTYPE_SPECIAL"),IF(AQ289&lt;&gt;"",VLOOKUP(AQ289,'ESO zones'!$D$5:$H$4957,5,FALSE),""),"")</f>
        <v/>
      </c>
      <c r="AU289" s="3" t="str">
        <f>IF(AND(G289&lt;&gt;"LIBSETS_SETTYPE_BATTLEGROUND",G289&lt;&gt;"LIBSETS_SETTYPE_SPECIAL"),IF(AV289&lt;&gt;"",VLOOKUP(AV289,'ESO zones'!$D$5:$H$4957,5,FALSE),""),"")</f>
        <v/>
      </c>
      <c r="AZ289" s="49" t="s">
        <v>403</v>
      </c>
      <c r="BA289" s="49"/>
      <c r="BB289" s="49"/>
      <c r="BC289" s="49"/>
      <c r="BD289" s="49"/>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2">
        <v>337</v>
      </c>
      <c r="B290" t="s">
        <v>1074</v>
      </c>
      <c r="C290" t="s">
        <v>1075</v>
      </c>
      <c r="D290" s="3">
        <f t="shared" si="24"/>
        <v>337</v>
      </c>
      <c r="G290" s="9" t="s">
        <v>169</v>
      </c>
      <c r="I290" t="s">
        <v>401</v>
      </c>
      <c r="J290" t="s">
        <v>401</v>
      </c>
      <c r="K290">
        <v>332</v>
      </c>
      <c r="L290">
        <v>332</v>
      </c>
      <c r="M290">
        <v>332</v>
      </c>
      <c r="O290" s="5" t="s">
        <v>1071</v>
      </c>
      <c r="Q290" s="3">
        <f>IF(AND(P290&lt;&gt;"",ISNUMBER(P290),NOT(ISNA(P290))),P290,IF(R290&lt;&gt;"",VLOOKUP(R290,'ESO zones'!$D$5:$H$10005,5,FALSE),""))</f>
        <v>974</v>
      </c>
      <c r="R290" t="str">
        <f>IF(AND(O290&lt;&gt;"",NOT(ISERROR(O290))),O290,IF(AND(P290&lt;&gt;"",ISNUMBER(P290),P290&gt;0,NOT(ISNA(P290))),VLOOKUP(P290,'ESO zones'!$A$5:$D$10003,4,FALSE),IF(AND(K290&lt;&gt;"",K290&gt;0,NOT(ISERROR(K290))),VLOOKUP(K290,'ESO wayshrines'!$K$3:$N$9972,4,FALSE),"")))</f>
        <v>Falkreath Hold</v>
      </c>
      <c r="T290" s="16" t="str">
        <f>IF(AND(S290&lt;&gt;"",NOT(ISERROR(S290))),S290,VLOOKUP(A290,'ESO Set&amp;DLCs'!$A$3:$D$99998,4,FALSE))</f>
        <v>DLC_HORNS_OF_THE_REACH</v>
      </c>
      <c r="U290" s="3" t="str">
        <f>IF(T290&lt;&gt;"",VLOOKUP(T290,ConstDLCIds!$B$4:$C$1000,2,FALSE),"")</f>
        <v>Horns of the Reach</v>
      </c>
      <c r="V290" s="4" t="s">
        <v>278</v>
      </c>
      <c r="Y290" s="5"/>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zones'!$A$5:$D$10003,4,FALSE),"")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zones'!$A$5:$D$10003,4,FALSE),"")</f>
        <v>Craglorn</v>
      </c>
      <c r="AK290" s="3" t="str">
        <f>IF(AND(G290&lt;&gt;"LIBSETS_SETTYPE_BATTLEGROUND",G290&lt;&gt;"LIBSETS_SETTYPE_SPECIAL"),IF(AL290&lt;&gt;"",VLOOKUP(AL290,'ESO zones'!$D$5:$H$4957,5,FALSE),""),"")</f>
        <v/>
      </c>
      <c r="AP290" s="3" t="str">
        <f>IF(AND(G290&lt;&gt;"LIBSETS_SETTYPE_BATTLEGROUND",G290&lt;&gt;"LIBSETS_SETTYPE_SPECIAL"),IF(AQ290&lt;&gt;"",VLOOKUP(AQ290,'ESO zones'!$D$5:$H$4957,5,FALSE),""),"")</f>
        <v/>
      </c>
      <c r="AU290" s="3" t="str">
        <f>IF(AND(G290&lt;&gt;"LIBSETS_SETTYPE_BATTLEGROUND",G290&lt;&gt;"LIBSETS_SETTYPE_SPECIAL"),IF(AV290&lt;&gt;"",VLOOKUP(AV290,'ESO zones'!$D$5:$H$4957,5,FALSE),""),"")</f>
        <v/>
      </c>
      <c r="AZ290" s="49" t="s">
        <v>403</v>
      </c>
      <c r="BA290" s="49"/>
      <c r="BB290" s="49"/>
      <c r="BC290" s="49"/>
      <c r="BD290" s="49"/>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2">
        <v>338</v>
      </c>
      <c r="B291" t="s">
        <v>1076</v>
      </c>
      <c r="C291" t="s">
        <v>1077</v>
      </c>
      <c r="D291" s="3">
        <f t="shared" si="24"/>
        <v>338</v>
      </c>
      <c r="G291" s="9" t="s">
        <v>169</v>
      </c>
      <c r="I291" t="s">
        <v>401</v>
      </c>
      <c r="J291" t="s">
        <v>401</v>
      </c>
      <c r="K291">
        <v>326</v>
      </c>
      <c r="L291">
        <v>326</v>
      </c>
      <c r="M291">
        <v>326</v>
      </c>
      <c r="O291" s="5" t="s">
        <v>1078</v>
      </c>
      <c r="Q291" s="3">
        <f>IF(AND(P291&lt;&gt;"",ISNUMBER(P291),NOT(ISNA(P291))),P291,IF(R291&lt;&gt;"",VLOOKUP(R291,'ESO zones'!$D$5:$H$10005,5,FALSE),""))</f>
        <v>973</v>
      </c>
      <c r="R291" t="str">
        <f>IF(AND(O291&lt;&gt;"",NOT(ISERROR(O291))),O291,IF(AND(P291&lt;&gt;"",ISNUMBER(P291),P291&gt;0,NOT(ISNA(P291))),VLOOKUP(P291,'ESO zones'!$A$5:$D$10003,4,FALSE),IF(AND(K291&lt;&gt;"",K291&gt;0,NOT(ISERROR(K291))),VLOOKUP(K291,'ESO wayshrines'!$K$3:$N$9972,4,FALSE),"")))</f>
        <v>Bloodroot Forge</v>
      </c>
      <c r="T291" s="16" t="str">
        <f>IF(AND(S291&lt;&gt;"",NOT(ISERROR(S291))),S291,VLOOKUP(A291,'ESO Set&amp;DLCs'!$A$3:$D$99998,4,FALSE))</f>
        <v>DLC_HORNS_OF_THE_REACH</v>
      </c>
      <c r="U291" s="3" t="str">
        <f>IF(T291&lt;&gt;"",VLOOKUP(T291,ConstDLCIds!$B$4:$C$1000,2,FALSE),"")</f>
        <v>Horns of the Reach</v>
      </c>
      <c r="V291" s="4" t="s">
        <v>278</v>
      </c>
      <c r="Y291" s="5"/>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zones'!$A$5:$D$10003,4,FALSE),"")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zones'!$A$5:$D$10003,4,FALSE),"")</f>
        <v>Craglorn</v>
      </c>
      <c r="AK291" s="3" t="str">
        <f>IF(AND(G291&lt;&gt;"LIBSETS_SETTYPE_BATTLEGROUND",G291&lt;&gt;"LIBSETS_SETTYPE_SPECIAL"),IF(AL291&lt;&gt;"",VLOOKUP(AL291,'ESO zones'!$D$5:$H$4957,5,FALSE),""),"")</f>
        <v/>
      </c>
      <c r="AP291" s="3" t="str">
        <f>IF(AND(G291&lt;&gt;"LIBSETS_SETTYPE_BATTLEGROUND",G291&lt;&gt;"LIBSETS_SETTYPE_SPECIAL"),IF(AQ291&lt;&gt;"",VLOOKUP(AQ291,'ESO zones'!$D$5:$H$4957,5,FALSE),""),"")</f>
        <v/>
      </c>
      <c r="AU291" s="3" t="str">
        <f>IF(AND(G291&lt;&gt;"LIBSETS_SETTYPE_BATTLEGROUND",G291&lt;&gt;"LIBSETS_SETTYPE_SPECIAL"),IF(AV291&lt;&gt;"",VLOOKUP(AV291,'ESO zones'!$D$5:$H$4957,5,FALSE),""),"")</f>
        <v/>
      </c>
      <c r="AZ291" s="49" t="s">
        <v>403</v>
      </c>
      <c r="BA291" s="49"/>
      <c r="BB291" s="49"/>
      <c r="BC291" s="49"/>
      <c r="BD291" s="49"/>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2">
        <v>339</v>
      </c>
      <c r="B292" t="s">
        <v>1079</v>
      </c>
      <c r="C292" t="s">
        <v>1080</v>
      </c>
      <c r="D292" s="3">
        <f t="shared" si="24"/>
        <v>339</v>
      </c>
      <c r="G292" s="9" t="s">
        <v>169</v>
      </c>
      <c r="I292" t="s">
        <v>401</v>
      </c>
      <c r="J292" t="s">
        <v>401</v>
      </c>
      <c r="K292">
        <v>326</v>
      </c>
      <c r="L292">
        <v>326</v>
      </c>
      <c r="M292">
        <v>326</v>
      </c>
      <c r="O292" s="5" t="s">
        <v>1078</v>
      </c>
      <c r="Q292" s="3">
        <f>IF(AND(P292&lt;&gt;"",ISNUMBER(P292),NOT(ISNA(P292))),P292,IF(R292&lt;&gt;"",VLOOKUP(R292,'ESO zones'!$D$5:$H$10005,5,FALSE),""))</f>
        <v>973</v>
      </c>
      <c r="R292" t="str">
        <f>IF(AND(O292&lt;&gt;"",NOT(ISERROR(O292))),O292,IF(AND(P292&lt;&gt;"",ISNUMBER(P292),P292&gt;0,NOT(ISNA(P292))),VLOOKUP(P292,'ESO zones'!$A$5:$D$10003,4,FALSE),IF(AND(K292&lt;&gt;"",K292&gt;0,NOT(ISERROR(K292))),VLOOKUP(K292,'ESO wayshrines'!$K$3:$N$9972,4,FALSE),"")))</f>
        <v>Bloodroot Forge</v>
      </c>
      <c r="T292" s="16" t="str">
        <f>IF(AND(S292&lt;&gt;"",NOT(ISERROR(S292))),S292,VLOOKUP(A292,'ESO Set&amp;DLCs'!$A$3:$D$99998,4,FALSE))</f>
        <v>DLC_HORNS_OF_THE_REACH</v>
      </c>
      <c r="U292" s="3" t="str">
        <f>IF(T292&lt;&gt;"",VLOOKUP(T292,ConstDLCIds!$B$4:$C$1000,2,FALSE),"")</f>
        <v>Horns of the Reach</v>
      </c>
      <c r="V292" s="4" t="s">
        <v>278</v>
      </c>
      <c r="Y292" s="5"/>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zones'!$A$5:$D$10003,4,FALSE),"")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zones'!$A$5:$D$10003,4,FALSE),"")</f>
        <v>Craglorn</v>
      </c>
      <c r="AK292" s="3" t="str">
        <f>IF(AND(G292&lt;&gt;"LIBSETS_SETTYPE_BATTLEGROUND",G292&lt;&gt;"LIBSETS_SETTYPE_SPECIAL"),IF(AL292&lt;&gt;"",VLOOKUP(AL292,'ESO zones'!$D$5:$H$4957,5,FALSE),""),"")</f>
        <v/>
      </c>
      <c r="AP292" s="3" t="str">
        <f>IF(AND(G292&lt;&gt;"LIBSETS_SETTYPE_BATTLEGROUND",G292&lt;&gt;"LIBSETS_SETTYPE_SPECIAL"),IF(AQ292&lt;&gt;"",VLOOKUP(AQ292,'ESO zones'!$D$5:$H$4957,5,FALSE),""),"")</f>
        <v/>
      </c>
      <c r="AU292" s="3" t="str">
        <f>IF(AND(G292&lt;&gt;"LIBSETS_SETTYPE_BATTLEGROUND",G292&lt;&gt;"LIBSETS_SETTYPE_SPECIAL"),IF(AV292&lt;&gt;"",VLOOKUP(AV292,'ESO zones'!$D$5:$H$4957,5,FALSE),""),"")</f>
        <v/>
      </c>
      <c r="AZ292" s="49" t="s">
        <v>410</v>
      </c>
      <c r="BA292" s="49"/>
      <c r="BB292" s="49"/>
      <c r="BC292" s="49"/>
      <c r="BD292" s="49"/>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2">
        <v>340</v>
      </c>
      <c r="B293" t="s">
        <v>1081</v>
      </c>
      <c r="C293" t="s">
        <v>1082</v>
      </c>
      <c r="D293" s="3">
        <f t="shared" si="24"/>
        <v>340</v>
      </c>
      <c r="G293" s="9" t="s">
        <v>169</v>
      </c>
      <c r="I293" t="s">
        <v>401</v>
      </c>
      <c r="J293" t="s">
        <v>401</v>
      </c>
      <c r="K293">
        <v>326</v>
      </c>
      <c r="L293">
        <v>326</v>
      </c>
      <c r="M293">
        <v>326</v>
      </c>
      <c r="O293" s="5" t="s">
        <v>1078</v>
      </c>
      <c r="Q293" s="3">
        <f>IF(AND(P293&lt;&gt;"",ISNUMBER(P293),NOT(ISNA(P293))),P293,IF(R293&lt;&gt;"",VLOOKUP(R293,'ESO zones'!$D$5:$H$10005,5,FALSE),""))</f>
        <v>973</v>
      </c>
      <c r="R293" t="str">
        <f>IF(AND(O293&lt;&gt;"",NOT(ISERROR(O293))),O293,IF(AND(P293&lt;&gt;"",ISNUMBER(P293),P293&gt;0,NOT(ISNA(P293))),VLOOKUP(P293,'ESO zones'!$A$5:$D$10003,4,FALSE),IF(AND(K293&lt;&gt;"",K293&gt;0,NOT(ISERROR(K293))),VLOOKUP(K293,'ESO wayshrines'!$K$3:$N$9972,4,FALSE),"")))</f>
        <v>Bloodroot Forge</v>
      </c>
      <c r="T293" s="16" t="str">
        <f>IF(AND(S293&lt;&gt;"",NOT(ISERROR(S293))),S293,VLOOKUP(A293,'ESO Set&amp;DLCs'!$A$3:$D$99998,4,FALSE))</f>
        <v>DLC_HORNS_OF_THE_REACH</v>
      </c>
      <c r="U293" s="3" t="str">
        <f>IF(T293&lt;&gt;"",VLOOKUP(T293,ConstDLCIds!$B$4:$C$1000,2,FALSE),"")</f>
        <v>Horns of the Reach</v>
      </c>
      <c r="V293" s="4" t="s">
        <v>278</v>
      </c>
      <c r="Y293" s="5"/>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zones'!$A$5:$D$10003,4,FALSE),"")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zones'!$A$5:$D$10003,4,FALSE),"")</f>
        <v>Craglorn</v>
      </c>
      <c r="AK293" s="3" t="str">
        <f>IF(AND(G293&lt;&gt;"LIBSETS_SETTYPE_BATTLEGROUND",G293&lt;&gt;"LIBSETS_SETTYPE_SPECIAL"),IF(AL293&lt;&gt;"",VLOOKUP(AL293,'ESO zones'!$D$5:$H$4957,5,FALSE),""),"")</f>
        <v/>
      </c>
      <c r="AP293" s="3" t="str">
        <f>IF(AND(G293&lt;&gt;"LIBSETS_SETTYPE_BATTLEGROUND",G293&lt;&gt;"LIBSETS_SETTYPE_SPECIAL"),IF(AQ293&lt;&gt;"",VLOOKUP(AQ293,'ESO zones'!$D$5:$H$4957,5,FALSE),""),"")</f>
        <v/>
      </c>
      <c r="AU293" s="3" t="str">
        <f>IF(AND(G293&lt;&gt;"LIBSETS_SETTYPE_BATTLEGROUND",G293&lt;&gt;"LIBSETS_SETTYPE_SPECIAL"),IF(AV293&lt;&gt;"",VLOOKUP(AV293,'ESO zones'!$D$5:$H$4957,5,FALSE),""),"")</f>
        <v/>
      </c>
      <c r="AZ293" s="49" t="s">
        <v>403</v>
      </c>
      <c r="BA293" s="49"/>
      <c r="BB293" s="49"/>
      <c r="BC293" s="49"/>
      <c r="BD293" s="49"/>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1">
        <v>341</v>
      </c>
      <c r="B294" t="s">
        <v>1083</v>
      </c>
      <c r="C294" t="s">
        <v>1084</v>
      </c>
      <c r="D294" s="3">
        <f t="shared" si="24"/>
        <v>341</v>
      </c>
      <c r="G294" s="9" t="s">
        <v>172</v>
      </c>
      <c r="H294">
        <v>3</v>
      </c>
      <c r="I294" t="s">
        <v>712</v>
      </c>
      <c r="J294" t="s">
        <v>401</v>
      </c>
      <c r="K294">
        <v>326</v>
      </c>
      <c r="L294">
        <v>326</v>
      </c>
      <c r="M294">
        <v>326</v>
      </c>
      <c r="O294" s="5" t="s">
        <v>1078</v>
      </c>
      <c r="Q294" s="3">
        <f>IF(AND(P294&lt;&gt;"",ISNUMBER(P294),NOT(ISNA(P294))),P294,IF(R294&lt;&gt;"",VLOOKUP(R294,'ESO zones'!$D$5:$H$10005,5,FALSE),""))</f>
        <v>973</v>
      </c>
      <c r="R294" t="str">
        <f>IF(AND(O294&lt;&gt;"",NOT(ISERROR(O294))),O294,IF(AND(P294&lt;&gt;"",ISNUMBER(P294),P294&gt;0,NOT(ISNA(P294))),VLOOKUP(P294,'ESO zones'!$A$5:$D$10003,4,FALSE),IF(AND(K294&lt;&gt;"",K294&gt;0,NOT(ISERROR(K294))),VLOOKUP(K294,'ESO wayshrines'!$K$3:$N$9972,4,FALSE),"")))</f>
        <v>Bloodroot Forge</v>
      </c>
      <c r="T294" s="16" t="str">
        <f>IF(AND(S294&lt;&gt;"",NOT(ISERROR(S294))),S294,VLOOKUP(A294,'ESO Set&amp;DLCs'!$A$3:$D$99998,4,FALSE))</f>
        <v>DLC_HORNS_OF_THE_REACH</v>
      </c>
      <c r="U294" s="3" t="str">
        <f>IF(T294&lt;&gt;"",VLOOKUP(T294,ConstDLCIds!$B$4:$C$1000,2,FALSE),"")</f>
        <v>Horns of the Reach</v>
      </c>
      <c r="V294" s="4" t="s">
        <v>212</v>
      </c>
      <c r="W294" s="3" t="s">
        <v>1085</v>
      </c>
      <c r="X294" s="3" t="s">
        <v>1086</v>
      </c>
      <c r="Y294" s="5"/>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zones'!$A$5:$D$10003,4,FALSE),"")</f>
        <v>Craglorn</v>
      </c>
      <c r="AC294" s="3" t="str">
        <f>IF(AB294&lt;&gt;"",IF(AB294&lt;&gt;"LIBSETS_DROP_MECHANIC_MONSTER_NAME",VLOOKUP(AB294,ConstDropMechs!$B$4:$C$1001,2,FALSE),""),"")</f>
        <v/>
      </c>
      <c r="AD294" s="3" t="str">
        <f>IF(AB294&lt;&gt;"",IF(AB294&lt;&gt;"LIBSETS_DROP_MECHANIC_MONSTER_NAME",VLOOKUP(AB294,ConstDropMechs!$B$4:$D$1001,3,FALSE),""),"")</f>
        <v/>
      </c>
      <c r="AE294" s="29"/>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zones'!$A$5:$D$10003,4,FALSE),"")</f>
        <v>Craglorn</v>
      </c>
      <c r="AI294" s="29"/>
      <c r="AJ294" s="29"/>
      <c r="AK294" s="3" t="str">
        <f>IF(AND(G294&lt;&gt;"LIBSETS_SETTYPE_BATTLEGROUND",G294&lt;&gt;"LIBSETS_SETTYPE_SPECIAL"),IF(AL294&lt;&gt;"",VLOOKUP(AL294,'ESO zones'!$D$5:$H$4957,5,FALSE),""),"")</f>
        <v/>
      </c>
      <c r="AN294" s="29"/>
      <c r="AO294" s="29"/>
      <c r="AP294" s="3" t="str">
        <f>IF(AND(G294&lt;&gt;"LIBSETS_SETTYPE_BATTLEGROUND",G294&lt;&gt;"LIBSETS_SETTYPE_SPECIAL"),IF(AQ294&lt;&gt;"",VLOOKUP(AQ294,'ESO zones'!$D$5:$H$4957,5,FALSE),""),"")</f>
        <v/>
      </c>
      <c r="AS294" s="29"/>
      <c r="AT294" s="29"/>
      <c r="AU294" s="3" t="str">
        <f>IF(AND(G294&lt;&gt;"LIBSETS_SETTYPE_BATTLEGROUND",G294&lt;&gt;"LIBSETS_SETTYPE_SPECIAL"),IF(AV294&lt;&gt;"",VLOOKUP(AV294,'ESO zones'!$D$5:$H$4957,5,FALSE),""),"")</f>
        <v/>
      </c>
      <c r="AX294" s="29"/>
      <c r="AY294" s="29"/>
      <c r="AZ294" s="49" t="s">
        <v>403</v>
      </c>
      <c r="BA294" s="49"/>
      <c r="BB294" s="49"/>
      <c r="BC294" s="49"/>
      <c r="BD294" s="49"/>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1">
        <v>342</v>
      </c>
      <c r="B295" t="s">
        <v>1087</v>
      </c>
      <c r="C295" t="s">
        <v>1087</v>
      </c>
      <c r="D295" s="3">
        <f t="shared" si="24"/>
        <v>342</v>
      </c>
      <c r="G295" s="9" t="s">
        <v>172</v>
      </c>
      <c r="H295">
        <v>3</v>
      </c>
      <c r="I295" t="s">
        <v>712</v>
      </c>
      <c r="J295" t="s">
        <v>401</v>
      </c>
      <c r="K295">
        <v>332</v>
      </c>
      <c r="L295">
        <v>332</v>
      </c>
      <c r="M295">
        <v>332</v>
      </c>
      <c r="O295" s="5" t="s">
        <v>1071</v>
      </c>
      <c r="Q295" s="3">
        <f>IF(AND(P295&lt;&gt;"",ISNUMBER(P295),NOT(ISNA(P295))),P295,IF(R295&lt;&gt;"",VLOOKUP(R295,'ESO zones'!$D$5:$H$10005,5,FALSE),""))</f>
        <v>974</v>
      </c>
      <c r="R295" t="str">
        <f>IF(AND(O295&lt;&gt;"",NOT(ISERROR(O295))),O295,IF(AND(P295&lt;&gt;"",ISNUMBER(P295),P295&gt;0,NOT(ISNA(P295))),VLOOKUP(P295,'ESO zones'!$A$5:$D$10003,4,FALSE),IF(AND(K295&lt;&gt;"",K295&gt;0,NOT(ISERROR(K295))),VLOOKUP(K295,'ESO wayshrines'!$K$3:$N$9972,4,FALSE),"")))</f>
        <v>Falkreath Hold</v>
      </c>
      <c r="T295" s="16" t="str">
        <f>IF(AND(S295&lt;&gt;"",NOT(ISERROR(S295))),S295,VLOOKUP(A295,'ESO Set&amp;DLCs'!$A$3:$D$99998,4,FALSE))</f>
        <v>DLC_HORNS_OF_THE_REACH</v>
      </c>
      <c r="U295" s="3" t="str">
        <f>IF(T295&lt;&gt;"",VLOOKUP(T295,ConstDLCIds!$B$4:$C$1000,2,FALSE),"")</f>
        <v>Horns of the Reach</v>
      </c>
      <c r="V295" s="4" t="s">
        <v>212</v>
      </c>
      <c r="W295" s="3" t="s">
        <v>1088</v>
      </c>
      <c r="X295" s="3" t="s">
        <v>1089</v>
      </c>
      <c r="Y295" s="5"/>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zones'!$A$5:$D$10003,4,FALSE),"")</f>
        <v>Craglorn</v>
      </c>
      <c r="AC295" s="3" t="str">
        <f>IF(AB295&lt;&gt;"",IF(AB295&lt;&gt;"LIBSETS_DROP_MECHANIC_MONSTER_NAME",VLOOKUP(AB295,ConstDropMechs!$B$4:$C$1001,2,FALSE),""),"")</f>
        <v/>
      </c>
      <c r="AD295" s="3" t="str">
        <f>IF(AB295&lt;&gt;"",IF(AB295&lt;&gt;"LIBSETS_DROP_MECHANIC_MONSTER_NAME",VLOOKUP(AB295,ConstDropMechs!$B$4:$D$1001,3,FALSE),""),"")</f>
        <v/>
      </c>
      <c r="AE295" s="29"/>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zones'!$A$5:$D$10003,4,FALSE),"")</f>
        <v>Craglorn</v>
      </c>
      <c r="AI295" s="29"/>
      <c r="AJ295" s="29"/>
      <c r="AK295" s="3" t="str">
        <f>IF(AND(G295&lt;&gt;"LIBSETS_SETTYPE_BATTLEGROUND",G295&lt;&gt;"LIBSETS_SETTYPE_SPECIAL"),IF(AL295&lt;&gt;"",VLOOKUP(AL295,'ESO zones'!$D$5:$H$4957,5,FALSE),""),"")</f>
        <v/>
      </c>
      <c r="AN295" s="29"/>
      <c r="AO295" s="29"/>
      <c r="AP295" s="3" t="str">
        <f>IF(AND(G295&lt;&gt;"LIBSETS_SETTYPE_BATTLEGROUND",G295&lt;&gt;"LIBSETS_SETTYPE_SPECIAL"),IF(AQ295&lt;&gt;"",VLOOKUP(AQ295,'ESO zones'!$D$5:$H$4957,5,FALSE),""),"")</f>
        <v/>
      </c>
      <c r="AS295" s="29"/>
      <c r="AT295" s="29"/>
      <c r="AU295" s="3" t="str">
        <f>IF(AND(G295&lt;&gt;"LIBSETS_SETTYPE_BATTLEGROUND",G295&lt;&gt;"LIBSETS_SETTYPE_SPECIAL"),IF(AV295&lt;&gt;"",VLOOKUP(AV295,'ESO zones'!$D$5:$H$4957,5,FALSE),""),"")</f>
        <v/>
      </c>
      <c r="AX295" s="29"/>
      <c r="AZ295" s="49" t="s">
        <v>403</v>
      </c>
      <c r="BA295" s="49"/>
      <c r="BB295" s="49"/>
      <c r="BC295" s="49"/>
      <c r="BD295" s="49"/>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2">
        <v>343</v>
      </c>
      <c r="B296" t="s">
        <v>1090</v>
      </c>
      <c r="C296" t="s">
        <v>1091</v>
      </c>
      <c r="D296" s="3">
        <f t="shared" si="24"/>
        <v>343</v>
      </c>
      <c r="G296" s="9" t="s">
        <v>169</v>
      </c>
      <c r="I296" t="s">
        <v>401</v>
      </c>
      <c r="J296" t="s">
        <v>401</v>
      </c>
      <c r="K296">
        <v>341</v>
      </c>
      <c r="L296">
        <v>341</v>
      </c>
      <c r="M296">
        <v>341</v>
      </c>
      <c r="O296" s="5" t="s">
        <v>1092</v>
      </c>
      <c r="Q296" s="3">
        <f>IF(AND(P296&lt;&gt;"",ISNUMBER(P296),NOT(ISNA(P296))),P296,IF(R296&lt;&gt;"",VLOOKUP(R296,'ESO zones'!$D$5:$H$10005,5,FALSE),""))</f>
        <v>1009</v>
      </c>
      <c r="R296" t="str">
        <f>IF(AND(O296&lt;&gt;"",NOT(ISERROR(O296))),O296,IF(AND(P296&lt;&gt;"",ISNUMBER(P296),P296&gt;0,NOT(ISNA(P296))),VLOOKUP(P296,'ESO zones'!$A$5:$D$10003,4,FALSE),IF(AND(K296&lt;&gt;"",K296&gt;0,NOT(ISERROR(K296))),VLOOKUP(K296,'ESO wayshrines'!$K$3:$N$9972,4,FALSE),"")))</f>
        <v>Fang Lair</v>
      </c>
      <c r="T296" s="16" t="str">
        <f>IF(AND(S296&lt;&gt;"",NOT(ISERROR(S296))),S296,VLOOKUP(A296,'ESO Set&amp;DLCs'!$A$3:$D$99998,4,FALSE))</f>
        <v>DLC_DRAGON_BONES</v>
      </c>
      <c r="U296" s="3" t="str">
        <f>IF(T296&lt;&gt;"",VLOOKUP(T296,ConstDLCIds!$B$4:$C$1000,2,FALSE),"")</f>
        <v>Dragon Bones</v>
      </c>
      <c r="V296" s="4" t="s">
        <v>278</v>
      </c>
      <c r="Y296" s="5"/>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zones'!$A$5:$D$10003,4,FALSE),"")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zones'!$A$5:$D$10003,4,FALSE),"")</f>
        <v>Bangkorai</v>
      </c>
      <c r="AK296" s="3" t="str">
        <f>IF(AND(G296&lt;&gt;"LIBSETS_SETTYPE_BATTLEGROUND",G296&lt;&gt;"LIBSETS_SETTYPE_SPECIAL"),IF(AL296&lt;&gt;"",VLOOKUP(AL296,'ESO zones'!$D$5:$H$4957,5,FALSE),""),"")</f>
        <v/>
      </c>
      <c r="AP296" s="3" t="str">
        <f>IF(AND(G296&lt;&gt;"LIBSETS_SETTYPE_BATTLEGROUND",G296&lt;&gt;"LIBSETS_SETTYPE_SPECIAL"),IF(AQ296&lt;&gt;"",VLOOKUP(AQ296,'ESO zones'!$D$5:$H$4957,5,FALSE),""),"")</f>
        <v/>
      </c>
      <c r="AU296" s="3" t="str">
        <f>IF(AND(G296&lt;&gt;"LIBSETS_SETTYPE_BATTLEGROUND",G296&lt;&gt;"LIBSETS_SETTYPE_SPECIAL"),IF(AV296&lt;&gt;"",VLOOKUP(AV296,'ESO zones'!$D$5:$H$4957,5,FALSE),""),"")</f>
        <v/>
      </c>
      <c r="AZ296" s="49" t="s">
        <v>403</v>
      </c>
      <c r="BA296" s="49"/>
      <c r="BB296" s="49"/>
      <c r="BC296" s="49"/>
      <c r="BD296" s="49"/>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2">
        <v>344</v>
      </c>
      <c r="B297" t="s">
        <v>1093</v>
      </c>
      <c r="C297" t="s">
        <v>1094</v>
      </c>
      <c r="D297" s="3">
        <f t="shared" si="24"/>
        <v>344</v>
      </c>
      <c r="G297" s="9" t="s">
        <v>169</v>
      </c>
      <c r="I297" t="s">
        <v>401</v>
      </c>
      <c r="J297" t="s">
        <v>401</v>
      </c>
      <c r="K297">
        <v>341</v>
      </c>
      <c r="L297">
        <v>341</v>
      </c>
      <c r="M297">
        <v>341</v>
      </c>
      <c r="O297" s="5" t="s">
        <v>1092</v>
      </c>
      <c r="Q297" s="3">
        <f>IF(AND(P297&lt;&gt;"",ISNUMBER(P297),NOT(ISNA(P297))),P297,IF(R297&lt;&gt;"",VLOOKUP(R297,'ESO zones'!$D$5:$H$10005,5,FALSE),""))</f>
        <v>1009</v>
      </c>
      <c r="R297" t="str">
        <f>IF(AND(O297&lt;&gt;"",NOT(ISERROR(O297))),O297,IF(AND(P297&lt;&gt;"",ISNUMBER(P297),P297&gt;0,NOT(ISNA(P297))),VLOOKUP(P297,'ESO zones'!$A$5:$D$10003,4,FALSE),IF(AND(K297&lt;&gt;"",K297&gt;0,NOT(ISERROR(K297))),VLOOKUP(K297,'ESO wayshrines'!$K$3:$N$9972,4,FALSE),"")))</f>
        <v>Fang Lair</v>
      </c>
      <c r="T297" s="16" t="str">
        <f>IF(AND(S297&lt;&gt;"",NOT(ISERROR(S297))),S297,VLOOKUP(A297,'ESO Set&amp;DLCs'!$A$3:$D$99998,4,FALSE))</f>
        <v>DLC_DRAGON_BONES</v>
      </c>
      <c r="U297" s="3" t="str">
        <f>IF(T297&lt;&gt;"",VLOOKUP(T297,ConstDLCIds!$B$4:$C$1000,2,FALSE),"")</f>
        <v>Dragon Bones</v>
      </c>
      <c r="V297" s="4" t="s">
        <v>278</v>
      </c>
      <c r="Y297" s="5"/>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zones'!$A$5:$D$10003,4,FALSE),"")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zones'!$A$5:$D$10003,4,FALSE),"")</f>
        <v>Bangkorai</v>
      </c>
      <c r="AK297" s="3" t="str">
        <f>IF(AND(G297&lt;&gt;"LIBSETS_SETTYPE_BATTLEGROUND",G297&lt;&gt;"LIBSETS_SETTYPE_SPECIAL"),IF(AL297&lt;&gt;"",VLOOKUP(AL297,'ESO zones'!$D$5:$H$4957,5,FALSE),""),"")</f>
        <v/>
      </c>
      <c r="AP297" s="3" t="str">
        <f>IF(AND(G297&lt;&gt;"LIBSETS_SETTYPE_BATTLEGROUND",G297&lt;&gt;"LIBSETS_SETTYPE_SPECIAL"),IF(AQ297&lt;&gt;"",VLOOKUP(AQ297,'ESO zones'!$D$5:$H$4957,5,FALSE),""),"")</f>
        <v/>
      </c>
      <c r="AU297" s="3" t="str">
        <f>IF(AND(G297&lt;&gt;"LIBSETS_SETTYPE_BATTLEGROUND",G297&lt;&gt;"LIBSETS_SETTYPE_SPECIAL"),IF(AV297&lt;&gt;"",VLOOKUP(AV297,'ESO zones'!$D$5:$H$4957,5,FALSE),""),"")</f>
        <v/>
      </c>
      <c r="AZ297" s="49" t="s">
        <v>403</v>
      </c>
      <c r="BA297" s="49"/>
      <c r="BB297" s="49"/>
      <c r="BC297" s="49"/>
      <c r="BD297" s="49"/>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2">
        <v>345</v>
      </c>
      <c r="B298" t="s">
        <v>1095</v>
      </c>
      <c r="C298" t="s">
        <v>1096</v>
      </c>
      <c r="D298" s="3">
        <f t="shared" si="24"/>
        <v>345</v>
      </c>
      <c r="G298" s="9" t="s">
        <v>169</v>
      </c>
      <c r="I298" t="s">
        <v>401</v>
      </c>
      <c r="J298" t="s">
        <v>401</v>
      </c>
      <c r="K298">
        <v>341</v>
      </c>
      <c r="L298">
        <v>341</v>
      </c>
      <c r="M298">
        <v>341</v>
      </c>
      <c r="O298" s="5" t="s">
        <v>1092</v>
      </c>
      <c r="Q298" s="3">
        <f>IF(AND(P298&lt;&gt;"",ISNUMBER(P298),NOT(ISNA(P298))),P298,IF(R298&lt;&gt;"",VLOOKUP(R298,'ESO zones'!$D$5:$H$10005,5,FALSE),""))</f>
        <v>1009</v>
      </c>
      <c r="R298" t="str">
        <f>IF(AND(O298&lt;&gt;"",NOT(ISERROR(O298))),O298,IF(AND(P298&lt;&gt;"",ISNUMBER(P298),P298&gt;0,NOT(ISNA(P298))),VLOOKUP(P298,'ESO zones'!$A$5:$D$10003,4,FALSE),IF(AND(K298&lt;&gt;"",K298&gt;0,NOT(ISERROR(K298))),VLOOKUP(K298,'ESO wayshrines'!$K$3:$N$9972,4,FALSE),"")))</f>
        <v>Fang Lair</v>
      </c>
      <c r="T298" s="16" t="str">
        <f>IF(AND(S298&lt;&gt;"",NOT(ISERROR(S298))),S298,VLOOKUP(A298,'ESO Set&amp;DLCs'!$A$3:$D$99998,4,FALSE))</f>
        <v>DLC_DRAGON_BONES</v>
      </c>
      <c r="U298" s="3" t="str">
        <f>IF(T298&lt;&gt;"",VLOOKUP(T298,ConstDLCIds!$B$4:$C$1000,2,FALSE),"")</f>
        <v>Dragon Bones</v>
      </c>
      <c r="V298" s="4" t="s">
        <v>278</v>
      </c>
      <c r="Y298" s="5"/>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zones'!$A$5:$D$10003,4,FALSE),"")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zones'!$A$5:$D$10003,4,FALSE),"")</f>
        <v>Bangkorai</v>
      </c>
      <c r="AK298" s="3" t="str">
        <f>IF(AND(G298&lt;&gt;"LIBSETS_SETTYPE_BATTLEGROUND",G298&lt;&gt;"LIBSETS_SETTYPE_SPECIAL"),IF(AL298&lt;&gt;"",VLOOKUP(AL298,'ESO zones'!$D$5:$H$4957,5,FALSE),""),"")</f>
        <v/>
      </c>
      <c r="AP298" s="3" t="str">
        <f>IF(AND(G298&lt;&gt;"LIBSETS_SETTYPE_BATTLEGROUND",G298&lt;&gt;"LIBSETS_SETTYPE_SPECIAL"),IF(AQ298&lt;&gt;"",VLOOKUP(AQ298,'ESO zones'!$D$5:$H$4957,5,FALSE),""),"")</f>
        <v/>
      </c>
      <c r="AU298" s="3" t="str">
        <f>IF(AND(G298&lt;&gt;"LIBSETS_SETTYPE_BATTLEGROUND",G298&lt;&gt;"LIBSETS_SETTYPE_SPECIAL"),IF(AV298&lt;&gt;"",VLOOKUP(AV298,'ESO zones'!$D$5:$H$4957,5,FALSE),""),"")</f>
        <v/>
      </c>
      <c r="AZ298" s="49" t="s">
        <v>403</v>
      </c>
      <c r="BA298" s="49"/>
      <c r="BB298" s="49"/>
      <c r="BC298" s="49"/>
      <c r="BD298" s="49"/>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2">
        <v>346</v>
      </c>
      <c r="B299" t="s">
        <v>1097</v>
      </c>
      <c r="C299" t="s">
        <v>1098</v>
      </c>
      <c r="D299" s="3">
        <f t="shared" si="24"/>
        <v>346</v>
      </c>
      <c r="G299" s="9" t="s">
        <v>169</v>
      </c>
      <c r="I299" t="s">
        <v>401</v>
      </c>
      <c r="J299" t="s">
        <v>401</v>
      </c>
      <c r="K299">
        <v>363</v>
      </c>
      <c r="L299">
        <v>363</v>
      </c>
      <c r="M299">
        <v>363</v>
      </c>
      <c r="O299" s="5" t="s">
        <v>1099</v>
      </c>
      <c r="Q299" s="3">
        <f>IF(AND(P299&lt;&gt;"",ISNUMBER(P299),NOT(ISNA(P299))),P299,IF(R299&lt;&gt;"",VLOOKUP(R299,'ESO zones'!$D$5:$H$10005,5,FALSE),""))</f>
        <v>1010</v>
      </c>
      <c r="R299" t="str">
        <f>IF(AND(O299&lt;&gt;"",NOT(ISERROR(O299))),O299,IF(AND(P299&lt;&gt;"",ISNUMBER(P299),P299&gt;0,NOT(ISNA(P299))),VLOOKUP(P299,'ESO zones'!$A$5:$D$10003,4,FALSE),IF(AND(K299&lt;&gt;"",K299&gt;0,NOT(ISERROR(K299))),VLOOKUP(K299,'ESO wayshrines'!$K$3:$N$9972,4,FALSE),"")))</f>
        <v>Scalecaller Peak</v>
      </c>
      <c r="T299" s="16" t="str">
        <f>IF(AND(S299&lt;&gt;"",NOT(ISERROR(S299))),S299,VLOOKUP(A299,'ESO Set&amp;DLCs'!$A$3:$D$99998,4,FALSE))</f>
        <v>DLC_DRAGON_BONES</v>
      </c>
      <c r="U299" s="3" t="str">
        <f>IF(T299&lt;&gt;"",VLOOKUP(T299,ConstDLCIds!$B$4:$C$1000,2,FALSE),"")</f>
        <v>Dragon Bones</v>
      </c>
      <c r="V299" s="4" t="s">
        <v>278</v>
      </c>
      <c r="Y299" s="5"/>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zones'!$A$5:$D$10003,4,FALSE),"")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zones'!$A$5:$D$10003,4,FALSE),"")</f>
        <v>Stormhaven</v>
      </c>
      <c r="AK299" s="3" t="str">
        <f>IF(AND(G299&lt;&gt;"LIBSETS_SETTYPE_BATTLEGROUND",G299&lt;&gt;"LIBSETS_SETTYPE_SPECIAL"),IF(AL299&lt;&gt;"",VLOOKUP(AL299,'ESO zones'!$D$5:$H$4957,5,FALSE),""),"")</f>
        <v/>
      </c>
      <c r="AP299" s="3" t="str">
        <f>IF(AND(G299&lt;&gt;"LIBSETS_SETTYPE_BATTLEGROUND",G299&lt;&gt;"LIBSETS_SETTYPE_SPECIAL"),IF(AQ299&lt;&gt;"",VLOOKUP(AQ299,'ESO zones'!$D$5:$H$4957,5,FALSE),""),"")</f>
        <v/>
      </c>
      <c r="AU299" s="3" t="str">
        <f>IF(AND(G299&lt;&gt;"LIBSETS_SETTYPE_BATTLEGROUND",G299&lt;&gt;"LIBSETS_SETTYPE_SPECIAL"),IF(AV299&lt;&gt;"",VLOOKUP(AV299,'ESO zones'!$D$5:$H$4957,5,FALSE),""),"")</f>
        <v/>
      </c>
      <c r="AZ299" s="49" t="s">
        <v>410</v>
      </c>
      <c r="BA299" s="49"/>
      <c r="BB299" s="49"/>
      <c r="BC299" s="49"/>
      <c r="BD299" s="49"/>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2">
        <v>347</v>
      </c>
      <c r="B300" t="s">
        <v>1100</v>
      </c>
      <c r="C300" t="s">
        <v>1101</v>
      </c>
      <c r="D300" s="3">
        <f t="shared" si="24"/>
        <v>347</v>
      </c>
      <c r="G300" s="9" t="s">
        <v>169</v>
      </c>
      <c r="I300" t="s">
        <v>401</v>
      </c>
      <c r="J300" t="s">
        <v>401</v>
      </c>
      <c r="K300">
        <v>363</v>
      </c>
      <c r="L300">
        <v>363</v>
      </c>
      <c r="M300">
        <v>363</v>
      </c>
      <c r="O300" s="5" t="s">
        <v>1099</v>
      </c>
      <c r="Q300" s="3">
        <f>IF(AND(P300&lt;&gt;"",ISNUMBER(P300),NOT(ISNA(P300))),P300,IF(R300&lt;&gt;"",VLOOKUP(R300,'ESO zones'!$D$5:$H$10005,5,FALSE),""))</f>
        <v>1010</v>
      </c>
      <c r="R300" t="str">
        <f>IF(AND(O300&lt;&gt;"",NOT(ISERROR(O300))),O300,IF(AND(P300&lt;&gt;"",ISNUMBER(P300),P300&gt;0,NOT(ISNA(P300))),VLOOKUP(P300,'ESO zones'!$A$5:$D$10003,4,FALSE),IF(AND(K300&lt;&gt;"",K300&gt;0,NOT(ISERROR(K300))),VLOOKUP(K300,'ESO wayshrines'!$K$3:$N$9972,4,FALSE),"")))</f>
        <v>Scalecaller Peak</v>
      </c>
      <c r="T300" s="16" t="str">
        <f>IF(AND(S300&lt;&gt;"",NOT(ISERROR(S300))),S300,VLOOKUP(A300,'ESO Set&amp;DLCs'!$A$3:$D$99998,4,FALSE))</f>
        <v>DLC_DRAGON_BONES</v>
      </c>
      <c r="U300" s="3" t="str">
        <f>IF(T300&lt;&gt;"",VLOOKUP(T300,ConstDLCIds!$B$4:$C$1000,2,FALSE),"")</f>
        <v>Dragon Bones</v>
      </c>
      <c r="V300" s="4" t="s">
        <v>278</v>
      </c>
      <c r="Y300" s="5"/>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zones'!$A$5:$D$10003,4,FALSE),"")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zones'!$A$5:$D$10003,4,FALSE),"")</f>
        <v>Stormhaven</v>
      </c>
      <c r="AK300" s="3" t="str">
        <f>IF(AND(G300&lt;&gt;"LIBSETS_SETTYPE_BATTLEGROUND",G300&lt;&gt;"LIBSETS_SETTYPE_SPECIAL"),IF(AL300&lt;&gt;"",VLOOKUP(AL300,'ESO zones'!$D$5:$H$4957,5,FALSE),""),"")</f>
        <v/>
      </c>
      <c r="AP300" s="3" t="str">
        <f>IF(AND(G300&lt;&gt;"LIBSETS_SETTYPE_BATTLEGROUND",G300&lt;&gt;"LIBSETS_SETTYPE_SPECIAL"),IF(AQ300&lt;&gt;"",VLOOKUP(AQ300,'ESO zones'!$D$5:$H$4957,5,FALSE),""),"")</f>
        <v/>
      </c>
      <c r="AU300" s="3" t="str">
        <f>IF(AND(G300&lt;&gt;"LIBSETS_SETTYPE_BATTLEGROUND",G300&lt;&gt;"LIBSETS_SETTYPE_SPECIAL"),IF(AV300&lt;&gt;"",VLOOKUP(AV300,'ESO zones'!$D$5:$H$4957,5,FALSE),""),"")</f>
        <v/>
      </c>
      <c r="AZ300" s="49" t="s">
        <v>403</v>
      </c>
      <c r="BA300" s="49"/>
      <c r="BB300" s="49"/>
      <c r="BC300" s="49"/>
      <c r="BD300" s="49"/>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2">
        <v>348</v>
      </c>
      <c r="B301" t="s">
        <v>1102</v>
      </c>
      <c r="C301" t="s">
        <v>1103</v>
      </c>
      <c r="D301" s="3">
        <f t="shared" si="24"/>
        <v>348</v>
      </c>
      <c r="G301" s="9" t="s">
        <v>169</v>
      </c>
      <c r="I301" t="s">
        <v>401</v>
      </c>
      <c r="J301" t="s">
        <v>401</v>
      </c>
      <c r="K301">
        <v>363</v>
      </c>
      <c r="L301">
        <v>363</v>
      </c>
      <c r="M301">
        <v>363</v>
      </c>
      <c r="O301" s="5" t="s">
        <v>1099</v>
      </c>
      <c r="Q301" s="3">
        <f>IF(AND(P301&lt;&gt;"",ISNUMBER(P301),NOT(ISNA(P301))),P301,IF(R301&lt;&gt;"",VLOOKUP(R301,'ESO zones'!$D$5:$H$10005,5,FALSE),""))</f>
        <v>1010</v>
      </c>
      <c r="R301" t="str">
        <f>IF(AND(O301&lt;&gt;"",NOT(ISERROR(O301))),O301,IF(AND(P301&lt;&gt;"",ISNUMBER(P301),P301&gt;0,NOT(ISNA(P301))),VLOOKUP(P301,'ESO zones'!$A$5:$D$10003,4,FALSE),IF(AND(K301&lt;&gt;"",K301&gt;0,NOT(ISERROR(K301))),VLOOKUP(K301,'ESO wayshrines'!$K$3:$N$9972,4,FALSE),"")))</f>
        <v>Scalecaller Peak</v>
      </c>
      <c r="T301" s="16" t="str">
        <f>IF(AND(S301&lt;&gt;"",NOT(ISERROR(S301))),S301,VLOOKUP(A301,'ESO Set&amp;DLCs'!$A$3:$D$99998,4,FALSE))</f>
        <v>DLC_DRAGON_BONES</v>
      </c>
      <c r="U301" s="3" t="str">
        <f>IF(T301&lt;&gt;"",VLOOKUP(T301,ConstDLCIds!$B$4:$C$1000,2,FALSE),"")</f>
        <v>Dragon Bones</v>
      </c>
      <c r="V301" s="4" t="s">
        <v>278</v>
      </c>
      <c r="Y301" s="5"/>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zones'!$A$5:$D$10003,4,FALSE),"")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zones'!$A$5:$D$10003,4,FALSE),"")</f>
        <v>Stormhaven</v>
      </c>
      <c r="AK301" s="3" t="str">
        <f>IF(AND(G301&lt;&gt;"LIBSETS_SETTYPE_BATTLEGROUND",G301&lt;&gt;"LIBSETS_SETTYPE_SPECIAL"),IF(AL301&lt;&gt;"",VLOOKUP(AL301,'ESO zones'!$D$5:$H$4957,5,FALSE),""),"")</f>
        <v/>
      </c>
      <c r="AP301" s="3" t="str">
        <f>IF(AND(G301&lt;&gt;"LIBSETS_SETTYPE_BATTLEGROUND",G301&lt;&gt;"LIBSETS_SETTYPE_SPECIAL"),IF(AQ301&lt;&gt;"",VLOOKUP(AQ301,'ESO zones'!$D$5:$H$4957,5,FALSE),""),"")</f>
        <v/>
      </c>
      <c r="AU301" s="3" t="str">
        <f>IF(AND(G301&lt;&gt;"LIBSETS_SETTYPE_BATTLEGROUND",G301&lt;&gt;"LIBSETS_SETTYPE_SPECIAL"),IF(AV301&lt;&gt;"",VLOOKUP(AV301,'ESO zones'!$D$5:$H$4957,5,FALSE),""),"")</f>
        <v/>
      </c>
      <c r="AZ301" s="49" t="s">
        <v>403</v>
      </c>
      <c r="BA301" s="49"/>
      <c r="BB301" s="49"/>
      <c r="BC301" s="49"/>
      <c r="BD301" s="49"/>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1">
        <v>349</v>
      </c>
      <c r="B302" t="s">
        <v>1104</v>
      </c>
      <c r="C302" t="s">
        <v>1104</v>
      </c>
      <c r="D302" s="3">
        <f t="shared" si="24"/>
        <v>349</v>
      </c>
      <c r="G302" s="9" t="s">
        <v>172</v>
      </c>
      <c r="H302">
        <v>3</v>
      </c>
      <c r="I302" t="s">
        <v>712</v>
      </c>
      <c r="J302" t="s">
        <v>401</v>
      </c>
      <c r="K302">
        <v>341</v>
      </c>
      <c r="L302">
        <v>341</v>
      </c>
      <c r="M302">
        <v>341</v>
      </c>
      <c r="O302" s="5" t="s">
        <v>1092</v>
      </c>
      <c r="Q302" s="3">
        <f>IF(AND(P302&lt;&gt;"",ISNUMBER(P302),NOT(ISNA(P302))),P302,IF(R302&lt;&gt;"",VLOOKUP(R302,'ESO zones'!$D$5:$H$10005,5,FALSE),""))</f>
        <v>1009</v>
      </c>
      <c r="R302" t="str">
        <f>IF(AND(O302&lt;&gt;"",NOT(ISERROR(O302))),O302,IF(AND(P302&lt;&gt;"",ISNUMBER(P302),P302&gt;0,NOT(ISNA(P302))),VLOOKUP(P302,'ESO zones'!$A$5:$D$10003,4,FALSE),IF(AND(K302&lt;&gt;"",K302&gt;0,NOT(ISERROR(K302))),VLOOKUP(K302,'ESO wayshrines'!$K$3:$N$9972,4,FALSE),"")))</f>
        <v>Fang Lair</v>
      </c>
      <c r="T302" s="16" t="str">
        <f>IF(AND(S302&lt;&gt;"",NOT(ISERROR(S302))),S302,VLOOKUP(A302,'ESO Set&amp;DLCs'!$A$3:$D$99998,4,FALSE))</f>
        <v>DLC_DRAGON_BONES</v>
      </c>
      <c r="U302" s="3" t="str">
        <f>IF(T302&lt;&gt;"",VLOOKUP(T302,ConstDLCIds!$B$4:$C$1000,2,FALSE),"")</f>
        <v>Dragon Bones</v>
      </c>
      <c r="V302" s="4" t="s">
        <v>212</v>
      </c>
      <c r="W302" s="3" t="s">
        <v>1104</v>
      </c>
      <c r="X302" s="3" t="s">
        <v>1104</v>
      </c>
      <c r="Y302" s="5"/>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zones'!$A$5:$D$10003,4,FALSE),"")</f>
        <v>Bangkorai</v>
      </c>
      <c r="AC302" s="3" t="str">
        <f>IF(AB302&lt;&gt;"",IF(AB302&lt;&gt;"LIBSETS_DROP_MECHANIC_MONSTER_NAME",VLOOKUP(AB302,ConstDropMechs!$B$4:$C$1001,2,FALSE),""),"")</f>
        <v/>
      </c>
      <c r="AD302" s="3" t="str">
        <f>IF(AB302&lt;&gt;"",IF(AB302&lt;&gt;"LIBSETS_DROP_MECHANIC_MONSTER_NAME",VLOOKUP(AB302,ConstDropMechs!$B$4:$D$1001,3,FALSE),""),"")</f>
        <v/>
      </c>
      <c r="AE302" s="29"/>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zones'!$A$5:$D$10003,4,FALSE),"")</f>
        <v>Bangkorai</v>
      </c>
      <c r="AI302" s="29"/>
      <c r="AJ302" s="29"/>
      <c r="AK302" s="3" t="str">
        <f>IF(AND(G302&lt;&gt;"LIBSETS_SETTYPE_BATTLEGROUND",G302&lt;&gt;"LIBSETS_SETTYPE_SPECIAL"),IF(AL302&lt;&gt;"",VLOOKUP(AL302,'ESO zones'!$D$5:$H$4957,5,FALSE),""),"")</f>
        <v/>
      </c>
      <c r="AN302" s="29"/>
      <c r="AO302" s="29"/>
      <c r="AP302" s="3" t="str">
        <f>IF(AND(G302&lt;&gt;"LIBSETS_SETTYPE_BATTLEGROUND",G302&lt;&gt;"LIBSETS_SETTYPE_SPECIAL"),IF(AQ302&lt;&gt;"",VLOOKUP(AQ302,'ESO zones'!$D$5:$H$4957,5,FALSE),""),"")</f>
        <v/>
      </c>
      <c r="AS302" s="29"/>
      <c r="AT302" s="29"/>
      <c r="AU302" s="3" t="str">
        <f>IF(AND(G302&lt;&gt;"LIBSETS_SETTYPE_BATTLEGROUND",G302&lt;&gt;"LIBSETS_SETTYPE_SPECIAL"),IF(AV302&lt;&gt;"",VLOOKUP(AV302,'ESO zones'!$D$5:$H$4957,5,FALSE),""),"")</f>
        <v/>
      </c>
      <c r="AX302" s="29"/>
      <c r="AZ302" s="49" t="s">
        <v>403</v>
      </c>
      <c r="BA302" s="49"/>
      <c r="BB302" s="49"/>
      <c r="BC302" s="49"/>
      <c r="BD302" s="49"/>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1">
        <v>350</v>
      </c>
      <c r="B303" t="s">
        <v>1105</v>
      </c>
      <c r="C303" t="s">
        <v>1105</v>
      </c>
      <c r="D303" s="3">
        <f t="shared" si="24"/>
        <v>350</v>
      </c>
      <c r="G303" s="9" t="s">
        <v>172</v>
      </c>
      <c r="H303">
        <v>3</v>
      </c>
      <c r="I303" t="s">
        <v>712</v>
      </c>
      <c r="J303" t="s">
        <v>401</v>
      </c>
      <c r="K303">
        <v>363</v>
      </c>
      <c r="L303">
        <v>363</v>
      </c>
      <c r="M303">
        <v>363</v>
      </c>
      <c r="O303" s="5" t="s">
        <v>1099</v>
      </c>
      <c r="Q303" s="3">
        <f>IF(AND(P303&lt;&gt;"",ISNUMBER(P303),NOT(ISNA(P303))),P303,IF(R303&lt;&gt;"",VLOOKUP(R303,'ESO zones'!$D$5:$H$10005,5,FALSE),""))</f>
        <v>1010</v>
      </c>
      <c r="R303" t="str">
        <f>IF(AND(O303&lt;&gt;"",NOT(ISERROR(O303))),O303,IF(AND(P303&lt;&gt;"",ISNUMBER(P303),P303&gt;0,NOT(ISNA(P303))),VLOOKUP(P303,'ESO zones'!$A$5:$D$10003,4,FALSE),IF(AND(K303&lt;&gt;"",K303&gt;0,NOT(ISERROR(K303))),VLOOKUP(K303,'ESO wayshrines'!$K$3:$N$9972,4,FALSE),"")))</f>
        <v>Scalecaller Peak</v>
      </c>
      <c r="T303" s="16" t="str">
        <f>IF(AND(S303&lt;&gt;"",NOT(ISERROR(S303))),S303,VLOOKUP(A303,'ESO Set&amp;DLCs'!$A$3:$D$99998,4,FALSE))</f>
        <v>DLC_DRAGON_BONES</v>
      </c>
      <c r="U303" s="3" t="str">
        <f>IF(T303&lt;&gt;"",VLOOKUP(T303,ConstDLCIds!$B$4:$C$1000,2,FALSE),"")</f>
        <v>Dragon Bones</v>
      </c>
      <c r="V303" s="4" t="s">
        <v>212</v>
      </c>
      <c r="W303" s="3" t="s">
        <v>1105</v>
      </c>
      <c r="X303" s="3" t="s">
        <v>1105</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zones'!$A$5:$D$10003,4,FALSE),"")</f>
        <v>Stormhaven</v>
      </c>
      <c r="AC303" s="3" t="str">
        <f>IF(AB303&lt;&gt;"",IF(AB303&lt;&gt;"LIBSETS_DROP_MECHANIC_MONSTER_NAME",VLOOKUP(AB303,ConstDropMechs!$B$4:$C$1001,2,FALSE),""),"")</f>
        <v/>
      </c>
      <c r="AD303" s="3" t="str">
        <f>IF(AB303&lt;&gt;"",IF(AB303&lt;&gt;"LIBSETS_DROP_MECHANIC_MONSTER_NAME",VLOOKUP(AB303,ConstDropMechs!$B$4:$D$1001,3,FALSE),""),"")</f>
        <v/>
      </c>
      <c r="AE303" s="29"/>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zones'!$A$5:$D$10003,4,FALSE),"")</f>
        <v>Stormhaven</v>
      </c>
      <c r="AI303" s="29"/>
      <c r="AJ303" s="29"/>
      <c r="AK303" s="3" t="str">
        <f>IF(AND(G303&lt;&gt;"LIBSETS_SETTYPE_BATTLEGROUND",G303&lt;&gt;"LIBSETS_SETTYPE_SPECIAL"),IF(AL303&lt;&gt;"",VLOOKUP(AL303,'ESO zones'!$D$5:$H$4957,5,FALSE),""),"")</f>
        <v/>
      </c>
      <c r="AN303" s="29"/>
      <c r="AO303" s="29"/>
      <c r="AP303" s="3" t="str">
        <f>IF(AND(G303&lt;&gt;"LIBSETS_SETTYPE_BATTLEGROUND",G303&lt;&gt;"LIBSETS_SETTYPE_SPECIAL"),IF(AQ303&lt;&gt;"",VLOOKUP(AQ303,'ESO zones'!$D$5:$H$4957,5,FALSE),""),"")</f>
        <v/>
      </c>
      <c r="AS303" s="29"/>
      <c r="AT303" s="29"/>
      <c r="AU303" s="3" t="str">
        <f>IF(AND(G303&lt;&gt;"LIBSETS_SETTYPE_BATTLEGROUND",G303&lt;&gt;"LIBSETS_SETTYPE_SPECIAL"),IF(AV303&lt;&gt;"",VLOOKUP(AV303,'ESO zones'!$D$5:$H$4957,5,FALSE),""),"")</f>
        <v/>
      </c>
      <c r="AX303" s="29"/>
      <c r="AZ303" s="49" t="s">
        <v>403</v>
      </c>
      <c r="BA303" s="49"/>
      <c r="BB303" s="49"/>
      <c r="BC303" s="49"/>
      <c r="BD303" s="49"/>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1">
        <v>351</v>
      </c>
      <c r="B304" t="s">
        <v>1106</v>
      </c>
      <c r="C304" t="s">
        <v>1107</v>
      </c>
      <c r="D304" s="3">
        <f t="shared" si="24"/>
        <v>351</v>
      </c>
      <c r="G304" s="9" t="s">
        <v>163</v>
      </c>
      <c r="I304" t="s">
        <v>401</v>
      </c>
      <c r="J304" t="s">
        <v>401</v>
      </c>
      <c r="K304">
        <v>339</v>
      </c>
      <c r="L304">
        <v>339</v>
      </c>
      <c r="M304">
        <v>339</v>
      </c>
      <c r="N304">
        <v>2</v>
      </c>
      <c r="Q304" s="3">
        <f>IF(AND(P304&lt;&gt;"",ISNUMBER(P304),NOT(ISNA(P304))),P304,IF(R304&lt;&gt;"",VLOOKUP(R304,'ESO zones'!$D$5:$H$10005,5,FALSE),""))</f>
        <v>980</v>
      </c>
      <c r="R304" t="str">
        <f>IF(AND(O304&lt;&gt;"",NOT(ISERROR(O304))),O304,IF(AND(P304&lt;&gt;"",ISNUMBER(P304),P304&gt;0,NOT(ISNA(P304))),VLOOKUP(P304,'ESO zones'!$A$5:$D$10003,4,FALSE),IF(AND(K304&lt;&gt;"",K304&gt;0,NOT(ISERROR(K304))),VLOOKUP(K304,'ESO wayshrines'!$K$3:$N$9972,4,FALSE),"")))</f>
        <v>Clockwork City</v>
      </c>
      <c r="T304" s="16" t="str">
        <f>IF(AND(S304&lt;&gt;"",NOT(ISERROR(S304))),S304,VLOOKUP(A304,'ESO Set&amp;DLCs'!$A$3:$D$99998,4,FALSE))</f>
        <v>DLC_CLOCKWORK_CITY</v>
      </c>
      <c r="U304" s="3" t="str">
        <f>IF(T304&lt;&gt;"",VLOOKUP(T304,ConstDLCIds!$B$4:$C$1000,2,FALSE),"")</f>
        <v>Clockwork City</v>
      </c>
      <c r="V304" s="4" t="s">
        <v>281</v>
      </c>
      <c r="Y304" s="5"/>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zones'!$A$5:$D$10003,4,FALSE),"")</f>
        <v>Clockwork City</v>
      </c>
      <c r="AB304" s="4"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zones'!$A$5:$D$10003,4,FALSE),"")</f>
        <v>Clockwork City</v>
      </c>
      <c r="AK304" s="3" t="str">
        <f>IF(AND(G304&lt;&gt;"LIBSETS_SETTYPE_BATTLEGROUND",G304&lt;&gt;"LIBSETS_SETTYPE_SPECIAL"),IF(AL304&lt;&gt;"",VLOOKUP(AL304,'ESO zones'!$D$5:$H$4957,5,FALSE),""),"")</f>
        <v/>
      </c>
      <c r="AP304" s="3" t="str">
        <f>IF(AND(G304&lt;&gt;"LIBSETS_SETTYPE_BATTLEGROUND",G304&lt;&gt;"LIBSETS_SETTYPE_SPECIAL"),IF(AQ304&lt;&gt;"",VLOOKUP(AQ304,'ESO zones'!$D$5:$H$4957,5,FALSE),""),"")</f>
        <v/>
      </c>
      <c r="AU304" s="3" t="str">
        <f>IF(AND(G304&lt;&gt;"LIBSETS_SETTYPE_BATTLEGROUND",G304&lt;&gt;"LIBSETS_SETTYPE_SPECIAL"),IF(AV304&lt;&gt;"",VLOOKUP(AV304,'ESO zones'!$D$5:$H$4957,5,FALSE),""),"")</f>
        <v/>
      </c>
      <c r="AZ304" s="49" t="s">
        <v>410</v>
      </c>
      <c r="BA304" s="49"/>
      <c r="BB304" s="49"/>
      <c r="BC304" s="49"/>
      <c r="BD304" s="49"/>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1">
        <v>352</v>
      </c>
      <c r="B305" t="s">
        <v>1108</v>
      </c>
      <c r="C305" t="s">
        <v>1109</v>
      </c>
      <c r="D305" s="3">
        <f t="shared" si="24"/>
        <v>352</v>
      </c>
      <c r="G305" s="9" t="s">
        <v>163</v>
      </c>
      <c r="I305" t="s">
        <v>401</v>
      </c>
      <c r="J305" t="s">
        <v>401</v>
      </c>
      <c r="K305">
        <v>337</v>
      </c>
      <c r="L305">
        <v>337</v>
      </c>
      <c r="M305">
        <v>337</v>
      </c>
      <c r="N305">
        <v>4</v>
      </c>
      <c r="Q305" s="3">
        <f>IF(AND(P305&lt;&gt;"",ISNUMBER(P305),NOT(ISNA(P305))),P305,IF(R305&lt;&gt;"",VLOOKUP(R305,'ESO zones'!$D$5:$H$10005,5,FALSE),""))</f>
        <v>980</v>
      </c>
      <c r="R305" t="str">
        <f>IF(AND(O305&lt;&gt;"",NOT(ISERROR(O305))),O305,IF(AND(P305&lt;&gt;"",ISNUMBER(P305),P305&gt;0,NOT(ISNA(P305))),VLOOKUP(P305,'ESO zones'!$A$5:$D$10003,4,FALSE),IF(AND(K305&lt;&gt;"",K305&gt;0,NOT(ISERROR(K305))),VLOOKUP(K305,'ESO wayshrines'!$K$3:$N$9972,4,FALSE),"")))</f>
        <v>Clockwork City</v>
      </c>
      <c r="T305" s="16" t="str">
        <f>IF(AND(S305&lt;&gt;"",NOT(ISERROR(S305))),S305,VLOOKUP(A305,'ESO Set&amp;DLCs'!$A$3:$D$99998,4,FALSE))</f>
        <v>DLC_CLOCKWORK_CITY</v>
      </c>
      <c r="U305" s="3" t="str">
        <f>IF(T305&lt;&gt;"",VLOOKUP(T305,ConstDLCIds!$B$4:$C$1000,2,FALSE),"")</f>
        <v>Clockwork City</v>
      </c>
      <c r="V305" s="4" t="s">
        <v>281</v>
      </c>
      <c r="Y305" s="5"/>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zones'!$A$5:$D$10003,4,FALSE),"")</f>
        <v>Clockwork City</v>
      </c>
      <c r="AB305" s="4"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zones'!$A$5:$D$10003,4,FALSE),"")</f>
        <v>Clockwork City</v>
      </c>
      <c r="AK305" s="3" t="str">
        <f>IF(AND(G305&lt;&gt;"LIBSETS_SETTYPE_BATTLEGROUND",G305&lt;&gt;"LIBSETS_SETTYPE_SPECIAL"),IF(AL305&lt;&gt;"",VLOOKUP(AL305,'ESO zones'!$D$5:$H$4957,5,FALSE),""),"")</f>
        <v/>
      </c>
      <c r="AP305" s="3" t="str">
        <f>IF(AND(G305&lt;&gt;"LIBSETS_SETTYPE_BATTLEGROUND",G305&lt;&gt;"LIBSETS_SETTYPE_SPECIAL"),IF(AQ305&lt;&gt;"",VLOOKUP(AQ305,'ESO zones'!$D$5:$H$4957,5,FALSE),""),"")</f>
        <v/>
      </c>
      <c r="AU305" s="3" t="str">
        <f>IF(AND(G305&lt;&gt;"LIBSETS_SETTYPE_BATTLEGROUND",G305&lt;&gt;"LIBSETS_SETTYPE_SPECIAL"),IF(AV305&lt;&gt;"",VLOOKUP(AV305,'ESO zones'!$D$5:$H$4957,5,FALSE),""),"")</f>
        <v/>
      </c>
      <c r="AZ305" s="49" t="s">
        <v>410</v>
      </c>
      <c r="BA305" s="49"/>
      <c r="BB305" s="49"/>
      <c r="BC305" s="49"/>
      <c r="BD305" s="49"/>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1">
        <v>353</v>
      </c>
      <c r="B306" t="s">
        <v>1110</v>
      </c>
      <c r="C306" t="s">
        <v>1111</v>
      </c>
      <c r="D306" s="3">
        <f t="shared" si="24"/>
        <v>353</v>
      </c>
      <c r="G306" s="9" t="s">
        <v>163</v>
      </c>
      <c r="I306" t="s">
        <v>401</v>
      </c>
      <c r="J306" t="s">
        <v>401</v>
      </c>
      <c r="K306">
        <v>338</v>
      </c>
      <c r="L306">
        <v>338</v>
      </c>
      <c r="M306">
        <v>338</v>
      </c>
      <c r="N306">
        <v>6</v>
      </c>
      <c r="Q306" s="3">
        <f>IF(AND(P306&lt;&gt;"",ISNUMBER(P306),NOT(ISNA(P306))),P306,IF(R306&lt;&gt;"",VLOOKUP(R306,'ESO zones'!$D$5:$H$10005,5,FALSE),""))</f>
        <v>980</v>
      </c>
      <c r="R306" t="str">
        <f>IF(AND(O306&lt;&gt;"",NOT(ISERROR(O306))),O306,IF(AND(P306&lt;&gt;"",ISNUMBER(P306),P306&gt;0,NOT(ISNA(P306))),VLOOKUP(P306,'ESO zones'!$A$5:$D$10003,4,FALSE),IF(AND(K306&lt;&gt;"",K306&gt;0,NOT(ISERROR(K306))),VLOOKUP(K306,'ESO wayshrines'!$K$3:$N$9972,4,FALSE),"")))</f>
        <v>Clockwork City</v>
      </c>
      <c r="T306" s="16" t="str">
        <f>IF(AND(S306&lt;&gt;"",NOT(ISERROR(S306))),S306,VLOOKUP(A306,'ESO Set&amp;DLCs'!$A$3:$D$99998,4,FALSE))</f>
        <v>DLC_CLOCKWORK_CITY</v>
      </c>
      <c r="U306" s="3" t="str">
        <f>IF(T306&lt;&gt;"",VLOOKUP(T306,ConstDLCIds!$B$4:$C$1000,2,FALSE),"")</f>
        <v>Clockwork City</v>
      </c>
      <c r="V306" s="4" t="s">
        <v>281</v>
      </c>
      <c r="Y306" s="5"/>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zones'!$A$5:$D$10003,4,FALSE),"")</f>
        <v>Clockwork City</v>
      </c>
      <c r="AB306" s="4"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zones'!$A$5:$D$10003,4,FALSE),"")</f>
        <v>Clockwork City</v>
      </c>
      <c r="AK306" s="3" t="str">
        <f>IF(AND(G306&lt;&gt;"LIBSETS_SETTYPE_BATTLEGROUND",G306&lt;&gt;"LIBSETS_SETTYPE_SPECIAL"),IF(AL306&lt;&gt;"",VLOOKUP(AL306,'ESO zones'!$D$5:$H$4957,5,FALSE),""),"")</f>
        <v/>
      </c>
      <c r="AP306" s="3" t="str">
        <f>IF(AND(G306&lt;&gt;"LIBSETS_SETTYPE_BATTLEGROUND",G306&lt;&gt;"LIBSETS_SETTYPE_SPECIAL"),IF(AQ306&lt;&gt;"",VLOOKUP(AQ306,'ESO zones'!$D$5:$H$4957,5,FALSE),""),"")</f>
        <v/>
      </c>
      <c r="AU306" s="3" t="str">
        <f>IF(AND(G306&lt;&gt;"LIBSETS_SETTYPE_BATTLEGROUND",G306&lt;&gt;"LIBSETS_SETTYPE_SPECIAL"),IF(AV306&lt;&gt;"",VLOOKUP(AV306,'ESO zones'!$D$5:$H$4957,5,FALSE),""),"")</f>
        <v/>
      </c>
      <c r="AZ306" s="49" t="s">
        <v>403</v>
      </c>
      <c r="BA306" s="49"/>
      <c r="BB306" s="49"/>
      <c r="BC306" s="49"/>
      <c r="BD306" s="49"/>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2">
        <v>354</v>
      </c>
      <c r="B307" t="s">
        <v>1112</v>
      </c>
      <c r="C307" t="s">
        <v>1113</v>
      </c>
      <c r="D307" s="3">
        <f t="shared" si="24"/>
        <v>354</v>
      </c>
      <c r="G307" s="9" t="s">
        <v>174</v>
      </c>
      <c r="I307" t="s">
        <v>401</v>
      </c>
      <c r="J307" t="s">
        <v>401</v>
      </c>
      <c r="K307">
        <v>338</v>
      </c>
      <c r="L307">
        <v>338</v>
      </c>
      <c r="M307">
        <v>338</v>
      </c>
      <c r="O307" s="5" t="s">
        <v>32</v>
      </c>
      <c r="Q307" s="3">
        <f>IF(AND(P307&lt;&gt;"",ISNUMBER(P307),NOT(ISNA(P307))),P307,IF(R307&lt;&gt;"",VLOOKUP(R307,'ESO zones'!$D$5:$H$10005,5,FALSE),""))</f>
        <v>980</v>
      </c>
      <c r="R307" t="str">
        <f>IF(AND(O307&lt;&gt;"",NOT(ISERROR(O307))),O307,IF(AND(P307&lt;&gt;"",ISNUMBER(P307),P307&gt;0,NOT(ISNA(P307))),VLOOKUP(P307,'ESO zones'!$A$5:$D$10003,4,FALSE),IF(AND(K307&lt;&gt;"",K307&gt;0,NOT(ISERROR(K307))),VLOOKUP(K307,'ESO wayshrines'!$K$3:$N$9972,4,FALSE),"")))</f>
        <v>Clockwork City</v>
      </c>
      <c r="T307" s="16" t="str">
        <f>IF(AND(S307&lt;&gt;"",NOT(ISERROR(S307))),S307,VLOOKUP(A307,'ESO Set&amp;DLCs'!$A$3:$D$99998,4,FALSE))</f>
        <v>DLC_CLOCKWORK_CITY</v>
      </c>
      <c r="U307" s="3" t="str">
        <f>IF(T307&lt;&gt;"",VLOOKUP(T307,ConstDLCIds!$B$4:$C$1000,2,FALSE),"")</f>
        <v>Clockwork City</v>
      </c>
      <c r="V307" s="4" t="s">
        <v>215</v>
      </c>
      <c r="Y307" s="5"/>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zones'!$A$5:$D$10003,4,FALSE),"")</f>
        <v>Clockwork City</v>
      </c>
      <c r="AB307" s="4"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zones'!$A$5:$D$10003,4,FALSE),"")</f>
        <v>Clockwork City</v>
      </c>
      <c r="AH307" s="4" t="s">
        <v>224</v>
      </c>
      <c r="AK307" s="3">
        <f>IF(AND(G307&lt;&gt;"LIBSETS_SETTYPE_BATTLEGROUND",G307&lt;&gt;"LIBSETS_SETTYPE_SPECIAL"),IF(AL307&lt;&gt;"",VLOOKUP(AL307,'ESO zones'!$D$5:$H$4957,5,FALSE),""),"")</f>
        <v>980</v>
      </c>
      <c r="AL307" t="s">
        <v>32</v>
      </c>
      <c r="AM307" s="4" t="s">
        <v>269</v>
      </c>
      <c r="AP307" s="3" t="str">
        <f>IF(AND(G307&lt;&gt;"LIBSETS_SETTYPE_BATTLEGROUND",G307&lt;&gt;"LIBSETS_SETTYPE_SPECIAL"),IF(AQ307&lt;&gt;"",VLOOKUP(AQ307,'ESO zones'!$D$5:$H$4957,5,FALSE),""),"")</f>
        <v/>
      </c>
      <c r="AR307" s="80"/>
      <c r="AU307" s="3" t="str">
        <f>IF(AND(G307&lt;&gt;"LIBSETS_SETTYPE_BATTLEGROUND",G307&lt;&gt;"LIBSETS_SETTYPE_SPECIAL"),IF(AV307&lt;&gt;"",VLOOKUP(AV307,'ESO zones'!$D$5:$H$4957,5,FALSE),""),"")</f>
        <v/>
      </c>
      <c r="AZ307" s="49" t="s">
        <v>403</v>
      </c>
      <c r="BA307" s="49"/>
      <c r="BB307" s="49"/>
      <c r="BC307" s="49"/>
      <c r="BD307" s="49"/>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2">
        <v>355</v>
      </c>
      <c r="B308" t="s">
        <v>1114</v>
      </c>
      <c r="C308" t="s">
        <v>1115</v>
      </c>
      <c r="D308" s="3">
        <f t="shared" si="24"/>
        <v>355</v>
      </c>
      <c r="G308" s="9" t="s">
        <v>174</v>
      </c>
      <c r="I308" t="s">
        <v>401</v>
      </c>
      <c r="J308" t="s">
        <v>401</v>
      </c>
      <c r="K308">
        <v>338</v>
      </c>
      <c r="L308">
        <v>338</v>
      </c>
      <c r="M308">
        <v>338</v>
      </c>
      <c r="O308" s="5" t="s">
        <v>32</v>
      </c>
      <c r="Q308" s="3">
        <f>IF(AND(P308&lt;&gt;"",ISNUMBER(P308),NOT(ISNA(P308))),P308,IF(R308&lt;&gt;"",VLOOKUP(R308,'ESO zones'!$D$5:$H$10005,5,FALSE),""))</f>
        <v>980</v>
      </c>
      <c r="R308" t="str">
        <f>IF(AND(O308&lt;&gt;"",NOT(ISERROR(O308))),O308,IF(AND(P308&lt;&gt;"",ISNUMBER(P308),P308&gt;0,NOT(ISNA(P308))),VLOOKUP(P308,'ESO zones'!$A$5:$D$10003,4,FALSE),IF(AND(K308&lt;&gt;"",K308&gt;0,NOT(ISERROR(K308))),VLOOKUP(K308,'ESO wayshrines'!$K$3:$N$9972,4,FALSE),"")))</f>
        <v>Clockwork City</v>
      </c>
      <c r="T308" s="16" t="str">
        <f>IF(AND(S308&lt;&gt;"",NOT(ISERROR(S308))),S308,VLOOKUP(A308,'ESO Set&amp;DLCs'!$A$3:$D$99998,4,FALSE))</f>
        <v>DLC_CLOCKWORK_CITY</v>
      </c>
      <c r="U308" s="3" t="str">
        <f>IF(T308&lt;&gt;"",VLOOKUP(T308,ConstDLCIds!$B$4:$C$1000,2,FALSE),"")</f>
        <v>Clockwork City</v>
      </c>
      <c r="V308" s="4" t="s">
        <v>215</v>
      </c>
      <c r="Y308" s="5"/>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zones'!$A$5:$D$10003,4,FALSE),"")</f>
        <v>Clockwork City</v>
      </c>
      <c r="AB308" s="4"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zones'!$A$5:$D$10003,4,FALSE),"")</f>
        <v>Clockwork City</v>
      </c>
      <c r="AH308" s="4" t="s">
        <v>224</v>
      </c>
      <c r="AK308" s="3">
        <f>IF(AND(G308&lt;&gt;"LIBSETS_SETTYPE_BATTLEGROUND",G308&lt;&gt;"LIBSETS_SETTYPE_SPECIAL"),IF(AL308&lt;&gt;"",VLOOKUP(AL308,'ESO zones'!$D$5:$H$4957,5,FALSE),""),"")</f>
        <v>980</v>
      </c>
      <c r="AL308" t="s">
        <v>32</v>
      </c>
      <c r="AM308" s="4" t="s">
        <v>269</v>
      </c>
      <c r="AP308" s="3" t="str">
        <f>IF(AND(G308&lt;&gt;"LIBSETS_SETTYPE_BATTLEGROUND",G308&lt;&gt;"LIBSETS_SETTYPE_SPECIAL"),IF(AQ308&lt;&gt;"",VLOOKUP(AQ308,'ESO zones'!$D$5:$H$4957,5,FALSE),""),"")</f>
        <v/>
      </c>
      <c r="AR308" s="80"/>
      <c r="AU308" s="3" t="str">
        <f>IF(AND(G308&lt;&gt;"LIBSETS_SETTYPE_BATTLEGROUND",G308&lt;&gt;"LIBSETS_SETTYPE_SPECIAL"),IF(AV308&lt;&gt;"",VLOOKUP(AV308,'ESO zones'!$D$5:$H$4957,5,FALSE),""),"")</f>
        <v/>
      </c>
      <c r="AZ308" s="49" t="s">
        <v>403</v>
      </c>
      <c r="BA308" s="49"/>
      <c r="BB308" s="49"/>
      <c r="BC308" s="49"/>
      <c r="BD308" s="49"/>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2">
        <v>356</v>
      </c>
      <c r="B309" t="s">
        <v>1116</v>
      </c>
      <c r="C309" t="s">
        <v>1117</v>
      </c>
      <c r="D309" s="3">
        <f t="shared" si="24"/>
        <v>356</v>
      </c>
      <c r="G309" s="9" t="s">
        <v>174</v>
      </c>
      <c r="I309" t="s">
        <v>401</v>
      </c>
      <c r="J309" t="s">
        <v>401</v>
      </c>
      <c r="K309">
        <v>338</v>
      </c>
      <c r="L309">
        <v>338</v>
      </c>
      <c r="M309">
        <v>338</v>
      </c>
      <c r="O309" s="5" t="s">
        <v>32</v>
      </c>
      <c r="Q309" s="3">
        <f>IF(AND(P309&lt;&gt;"",ISNUMBER(P309),NOT(ISNA(P309))),P309,IF(R309&lt;&gt;"",VLOOKUP(R309,'ESO zones'!$D$5:$H$10005,5,FALSE),""))</f>
        <v>980</v>
      </c>
      <c r="R309" t="str">
        <f>IF(AND(O309&lt;&gt;"",NOT(ISERROR(O309))),O309,IF(AND(P309&lt;&gt;"",ISNUMBER(P309),P309&gt;0,NOT(ISNA(P309))),VLOOKUP(P309,'ESO zones'!$A$5:$D$10003,4,FALSE),IF(AND(K309&lt;&gt;"",K309&gt;0,NOT(ISERROR(K309))),VLOOKUP(K309,'ESO wayshrines'!$K$3:$N$9972,4,FALSE),"")))</f>
        <v>Clockwork City</v>
      </c>
      <c r="T309" s="16" t="str">
        <f>IF(AND(S309&lt;&gt;"",NOT(ISERROR(S309))),S309,VLOOKUP(A309,'ESO Set&amp;DLCs'!$A$3:$D$99998,4,FALSE))</f>
        <v>DLC_CLOCKWORK_CITY</v>
      </c>
      <c r="U309" s="3" t="str">
        <f>IF(T309&lt;&gt;"",VLOOKUP(T309,ConstDLCIds!$B$4:$C$1000,2,FALSE),"")</f>
        <v>Clockwork City</v>
      </c>
      <c r="V309" s="4" t="s">
        <v>215</v>
      </c>
      <c r="Y309" s="5"/>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zones'!$A$5:$D$10003,4,FALSE),"")</f>
        <v>Clockwork City</v>
      </c>
      <c r="AB309" s="4"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zones'!$A$5:$D$10003,4,FALSE),"")</f>
        <v>Clockwork City</v>
      </c>
      <c r="AH309" s="4" t="s">
        <v>224</v>
      </c>
      <c r="AK309" s="3">
        <f>IF(AND(G309&lt;&gt;"LIBSETS_SETTYPE_BATTLEGROUND",G309&lt;&gt;"LIBSETS_SETTYPE_SPECIAL"),IF(AL309&lt;&gt;"",VLOOKUP(AL309,'ESO zones'!$D$5:$H$4957,5,FALSE),""),"")</f>
        <v>980</v>
      </c>
      <c r="AL309" t="s">
        <v>32</v>
      </c>
      <c r="AM309" s="4" t="s">
        <v>269</v>
      </c>
      <c r="AP309" s="3" t="str">
        <f>IF(AND(G309&lt;&gt;"LIBSETS_SETTYPE_BATTLEGROUND",G309&lt;&gt;"LIBSETS_SETTYPE_SPECIAL"),IF(AQ309&lt;&gt;"",VLOOKUP(AQ309,'ESO zones'!$D$5:$H$4957,5,FALSE),""),"")</f>
        <v/>
      </c>
      <c r="AR309" s="80"/>
      <c r="AU309" s="3" t="str">
        <f>IF(AND(G309&lt;&gt;"LIBSETS_SETTYPE_BATTLEGROUND",G309&lt;&gt;"LIBSETS_SETTYPE_SPECIAL"),IF(AV309&lt;&gt;"",VLOOKUP(AV309,'ESO zones'!$D$5:$H$4957,5,FALSE),""),"")</f>
        <v/>
      </c>
      <c r="AZ309" s="49" t="s">
        <v>403</v>
      </c>
      <c r="BA309" s="49"/>
      <c r="BB309" s="49"/>
      <c r="BC309" s="49"/>
      <c r="BD309" s="49"/>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2">
        <v>357</v>
      </c>
      <c r="B310" t="s">
        <v>1118</v>
      </c>
      <c r="C310" t="s">
        <v>1119</v>
      </c>
      <c r="D310" s="3">
        <f t="shared" si="24"/>
        <v>357</v>
      </c>
      <c r="G310" s="9" t="s">
        <v>178</v>
      </c>
      <c r="I310" t="s">
        <v>1120</v>
      </c>
      <c r="J310" t="s">
        <v>401</v>
      </c>
      <c r="K310">
        <v>346</v>
      </c>
      <c r="L310">
        <v>346</v>
      </c>
      <c r="M310">
        <v>346</v>
      </c>
      <c r="O310" s="5" t="s">
        <v>1121</v>
      </c>
      <c r="Q310" s="3">
        <f>IF(AND(P310&lt;&gt;"",ISNUMBER(P310),NOT(ISNA(P310))),P310,IF(R310&lt;&gt;"",VLOOKUP(R310,'ESO zones'!$D$5:$H$10005,5,FALSE),""))</f>
        <v>1000</v>
      </c>
      <c r="R310" t="str">
        <f>IF(AND(O310&lt;&gt;"",NOT(ISERROR(O310))),O310,IF(AND(P310&lt;&gt;"",ISNUMBER(P310),P310&gt;0,NOT(ISNA(P310))),VLOOKUP(P310,'ESO zones'!$A$5:$D$10003,4,FALSE),IF(AND(K310&lt;&gt;"",K310&gt;0,NOT(ISERROR(K310))),VLOOKUP(K310,'ESO wayshrines'!$K$3:$N$9972,4,FALSE),"")))</f>
        <v>Asylum Sanctorium</v>
      </c>
      <c r="T310" s="16" t="str">
        <f>IF(AND(S310&lt;&gt;"",NOT(ISERROR(S310))),S310,VLOOKUP(A310,'ESO Set&amp;DLCs'!$A$3:$D$99998,4,FALSE))</f>
        <v>DLC_CLOCKWORK_CITY</v>
      </c>
      <c r="U310" s="3" t="str">
        <f>IF(T310&lt;&gt;"",VLOOKUP(T310,ConstDLCIds!$B$4:$C$1000,2,FALSE),"")</f>
        <v>Clockwork City</v>
      </c>
      <c r="V310" s="4" t="s">
        <v>272</v>
      </c>
      <c r="Y310" s="5">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zones'!$A$5:$D$10003,4,FALSE),"")</f>
        <v>Asylum Sanctorium</v>
      </c>
      <c r="AB310" s="4" t="s">
        <v>272</v>
      </c>
      <c r="AE310" s="5">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zones'!$A$5:$D$10003,4,FALSE),"")</f>
        <v>Asylum Sanctorium</v>
      </c>
      <c r="AH310" s="4" t="s">
        <v>272</v>
      </c>
      <c r="AI310" s="29"/>
      <c r="AJ310" s="29"/>
      <c r="AK310" s="3" t="str">
        <f>IF(AND(G310&lt;&gt;"LIBSETS_SETTYPE_BATTLEGROUND",G310&lt;&gt;"LIBSETS_SETTYPE_SPECIAL"),IF(AL310&lt;&gt;"",VLOOKUP(AL310,'ESO zones'!$D$5:$H$4957,5,FALSE),""),"")</f>
        <v/>
      </c>
      <c r="AN310" s="29"/>
      <c r="AO310" s="29"/>
      <c r="AP310" s="3" t="str">
        <f>IF(AND(G310&lt;&gt;"LIBSETS_SETTYPE_BATTLEGROUND",G310&lt;&gt;"LIBSETS_SETTYPE_SPECIAL"),IF(AQ310&lt;&gt;"",VLOOKUP(AQ310,'ESO zones'!$D$5:$H$4957,5,FALSE),""),"")</f>
        <v/>
      </c>
      <c r="AS310" s="29"/>
      <c r="AT310" s="29"/>
      <c r="AU310" s="3" t="str">
        <f>IF(AND(G310&lt;&gt;"LIBSETS_SETTYPE_BATTLEGROUND",G310&lt;&gt;"LIBSETS_SETTYPE_SPECIAL"),IF(AV310&lt;&gt;"",VLOOKUP(AV310,'ESO zones'!$D$5:$H$4957,5,FALSE),""),"")</f>
        <v/>
      </c>
      <c r="AX310" s="29"/>
      <c r="AY310" s="29"/>
      <c r="AZ310" s="49" t="s">
        <v>403</v>
      </c>
      <c r="BA310" s="49"/>
      <c r="BB310" s="49"/>
      <c r="BC310" s="49"/>
      <c r="BD310" s="49" t="s">
        <v>1122</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2">
        <v>358</v>
      </c>
      <c r="B311" t="s">
        <v>1123</v>
      </c>
      <c r="C311" t="s">
        <v>1124</v>
      </c>
      <c r="D311" s="3">
        <f t="shared" si="24"/>
        <v>358</v>
      </c>
      <c r="G311" s="9" t="s">
        <v>178</v>
      </c>
      <c r="I311" t="s">
        <v>1120</v>
      </c>
      <c r="J311" t="s">
        <v>401</v>
      </c>
      <c r="K311">
        <v>346</v>
      </c>
      <c r="L311">
        <v>346</v>
      </c>
      <c r="M311">
        <v>346</v>
      </c>
      <c r="O311" s="5" t="s">
        <v>1121</v>
      </c>
      <c r="Q311" s="3">
        <f>IF(AND(P311&lt;&gt;"",ISNUMBER(P311),NOT(ISNA(P311))),P311,IF(R311&lt;&gt;"",VLOOKUP(R311,'ESO zones'!$D$5:$H$10005,5,FALSE),""))</f>
        <v>1000</v>
      </c>
      <c r="R311" t="str">
        <f>IF(AND(O311&lt;&gt;"",NOT(ISERROR(O311))),O311,IF(AND(P311&lt;&gt;"",ISNUMBER(P311),P311&gt;0,NOT(ISNA(P311))),VLOOKUP(P311,'ESO zones'!$A$5:$D$10003,4,FALSE),IF(AND(K311&lt;&gt;"",K311&gt;0,NOT(ISERROR(K311))),VLOOKUP(K311,'ESO wayshrines'!$K$3:$N$9972,4,FALSE),"")))</f>
        <v>Asylum Sanctorium</v>
      </c>
      <c r="T311" s="16" t="str">
        <f>IF(AND(S311&lt;&gt;"",NOT(ISERROR(S311))),S311,VLOOKUP(A311,'ESO Set&amp;DLCs'!$A$3:$D$99998,4,FALSE))</f>
        <v>DLC_CLOCKWORK_CITY</v>
      </c>
      <c r="U311" s="3" t="str">
        <f>IF(T311&lt;&gt;"",VLOOKUP(T311,ConstDLCIds!$B$4:$C$1000,2,FALSE),"")</f>
        <v>Clockwork City</v>
      </c>
      <c r="V311" s="4" t="s">
        <v>272</v>
      </c>
      <c r="Y311" s="5">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zones'!$A$5:$D$10003,4,FALSE),"")</f>
        <v>Asylum Sanctorium</v>
      </c>
      <c r="AB311" s="4" t="s">
        <v>272</v>
      </c>
      <c r="AE311" s="5">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zones'!$A$5:$D$10003,4,FALSE),"")</f>
        <v>Asylum Sanctorium</v>
      </c>
      <c r="AH311" s="4" t="s">
        <v>272</v>
      </c>
      <c r="AI311" s="29"/>
      <c r="AJ311" s="29"/>
      <c r="AK311" s="3" t="str">
        <f>IF(AND(G311&lt;&gt;"LIBSETS_SETTYPE_BATTLEGROUND",G311&lt;&gt;"LIBSETS_SETTYPE_SPECIAL"),IF(AL311&lt;&gt;"",VLOOKUP(AL311,'ESO zones'!$D$5:$H$4957,5,FALSE),""),"")</f>
        <v/>
      </c>
      <c r="AN311" s="29"/>
      <c r="AO311" s="29"/>
      <c r="AP311" s="3" t="str">
        <f>IF(AND(G311&lt;&gt;"LIBSETS_SETTYPE_BATTLEGROUND",G311&lt;&gt;"LIBSETS_SETTYPE_SPECIAL"),IF(AQ311&lt;&gt;"",VLOOKUP(AQ311,'ESO zones'!$D$5:$H$4957,5,FALSE),""),"")</f>
        <v/>
      </c>
      <c r="AS311" s="29"/>
      <c r="AT311" s="29"/>
      <c r="AU311" s="3" t="str">
        <f>IF(AND(G311&lt;&gt;"LIBSETS_SETTYPE_BATTLEGROUND",G311&lt;&gt;"LIBSETS_SETTYPE_SPECIAL"),IF(AV311&lt;&gt;"",VLOOKUP(AV311,'ESO zones'!$D$5:$H$4957,5,FALSE),""),"")</f>
        <v/>
      </c>
      <c r="AX311" s="29"/>
      <c r="AY311" s="29"/>
      <c r="AZ311" s="49" t="s">
        <v>403</v>
      </c>
      <c r="BA311" s="49"/>
      <c r="BB311" s="49"/>
      <c r="BC311" s="49"/>
      <c r="BD311" s="49" t="s">
        <v>1122</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2">
        <v>359</v>
      </c>
      <c r="B312" t="s">
        <v>1125</v>
      </c>
      <c r="C312" t="s">
        <v>1126</v>
      </c>
      <c r="D312" s="3">
        <f t="shared" si="24"/>
        <v>359</v>
      </c>
      <c r="G312" s="9" t="s">
        <v>178</v>
      </c>
      <c r="I312" t="s">
        <v>1120</v>
      </c>
      <c r="J312" t="s">
        <v>401</v>
      </c>
      <c r="K312">
        <v>346</v>
      </c>
      <c r="L312">
        <v>346</v>
      </c>
      <c r="M312">
        <v>346</v>
      </c>
      <c r="O312" s="5" t="s">
        <v>1121</v>
      </c>
      <c r="Q312" s="3">
        <f>IF(AND(P312&lt;&gt;"",ISNUMBER(P312),NOT(ISNA(P312))),P312,IF(R312&lt;&gt;"",VLOOKUP(R312,'ESO zones'!$D$5:$H$10005,5,FALSE),""))</f>
        <v>1000</v>
      </c>
      <c r="R312" t="str">
        <f>IF(AND(O312&lt;&gt;"",NOT(ISERROR(O312))),O312,IF(AND(P312&lt;&gt;"",ISNUMBER(P312),P312&gt;0,NOT(ISNA(P312))),VLOOKUP(P312,'ESO zones'!$A$5:$D$10003,4,FALSE),IF(AND(K312&lt;&gt;"",K312&gt;0,NOT(ISERROR(K312))),VLOOKUP(K312,'ESO wayshrines'!$K$3:$N$9972,4,FALSE),"")))</f>
        <v>Asylum Sanctorium</v>
      </c>
      <c r="T312" s="16" t="str">
        <f>IF(AND(S312&lt;&gt;"",NOT(ISERROR(S312))),S312,VLOOKUP(A312,'ESO Set&amp;DLCs'!$A$3:$D$99998,4,FALSE))</f>
        <v>DLC_CLOCKWORK_CITY</v>
      </c>
      <c r="U312" s="3" t="str">
        <f>IF(T312&lt;&gt;"",VLOOKUP(T312,ConstDLCIds!$B$4:$C$1000,2,FALSE),"")</f>
        <v>Clockwork City</v>
      </c>
      <c r="V312" s="4" t="s">
        <v>272</v>
      </c>
      <c r="Y312" s="5">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zones'!$A$5:$D$10003,4,FALSE),"")</f>
        <v>Asylum Sanctorium</v>
      </c>
      <c r="AB312" s="4" t="s">
        <v>272</v>
      </c>
      <c r="AE312" s="5">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zones'!$A$5:$D$10003,4,FALSE),"")</f>
        <v>Asylum Sanctorium</v>
      </c>
      <c r="AH312" s="4" t="s">
        <v>272</v>
      </c>
      <c r="AI312" s="29"/>
      <c r="AJ312" s="29"/>
      <c r="AK312" s="3" t="str">
        <f>IF(AND(G312&lt;&gt;"LIBSETS_SETTYPE_BATTLEGROUND",G312&lt;&gt;"LIBSETS_SETTYPE_SPECIAL"),IF(AL312&lt;&gt;"",VLOOKUP(AL312,'ESO zones'!$D$5:$H$4957,5,FALSE),""),"")</f>
        <v/>
      </c>
      <c r="AN312" s="29"/>
      <c r="AO312" s="29"/>
      <c r="AP312" s="3" t="str">
        <f>IF(AND(G312&lt;&gt;"LIBSETS_SETTYPE_BATTLEGROUND",G312&lt;&gt;"LIBSETS_SETTYPE_SPECIAL"),IF(AQ312&lt;&gt;"",VLOOKUP(AQ312,'ESO zones'!$D$5:$H$4957,5,FALSE),""),"")</f>
        <v/>
      </c>
      <c r="AS312" s="29"/>
      <c r="AT312" s="29"/>
      <c r="AU312" s="3" t="str">
        <f>IF(AND(G312&lt;&gt;"LIBSETS_SETTYPE_BATTLEGROUND",G312&lt;&gt;"LIBSETS_SETTYPE_SPECIAL"),IF(AV312&lt;&gt;"",VLOOKUP(AV312,'ESO zones'!$D$5:$H$4957,5,FALSE),""),"")</f>
        <v/>
      </c>
      <c r="AX312" s="29"/>
      <c r="AY312" s="29"/>
      <c r="AZ312" s="49" t="s">
        <v>403</v>
      </c>
      <c r="BA312" s="49"/>
      <c r="BB312" s="49"/>
      <c r="BC312" s="49"/>
      <c r="BD312" s="49" t="s">
        <v>1122</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2">
        <v>360</v>
      </c>
      <c r="B313" t="s">
        <v>1127</v>
      </c>
      <c r="C313" t="s">
        <v>1128</v>
      </c>
      <c r="D313" s="3">
        <f t="shared" si="24"/>
        <v>360</v>
      </c>
      <c r="G313" s="9" t="s">
        <v>178</v>
      </c>
      <c r="I313" t="s">
        <v>1120</v>
      </c>
      <c r="J313" t="s">
        <v>401</v>
      </c>
      <c r="K313">
        <v>346</v>
      </c>
      <c r="L313">
        <v>346</v>
      </c>
      <c r="M313">
        <v>346</v>
      </c>
      <c r="O313" s="5" t="s">
        <v>1121</v>
      </c>
      <c r="Q313" s="3">
        <f>IF(AND(P313&lt;&gt;"",ISNUMBER(P313),NOT(ISNA(P313))),P313,IF(R313&lt;&gt;"",VLOOKUP(R313,'ESO zones'!$D$5:$H$10005,5,FALSE),""))</f>
        <v>1000</v>
      </c>
      <c r="R313" t="str">
        <f>IF(AND(O313&lt;&gt;"",NOT(ISERROR(O313))),O313,IF(AND(P313&lt;&gt;"",ISNUMBER(P313),P313&gt;0,NOT(ISNA(P313))),VLOOKUP(P313,'ESO zones'!$A$5:$D$10003,4,FALSE),IF(AND(K313&lt;&gt;"",K313&gt;0,NOT(ISERROR(K313))),VLOOKUP(K313,'ESO wayshrines'!$K$3:$N$9972,4,FALSE),"")))</f>
        <v>Asylum Sanctorium</v>
      </c>
      <c r="T313" s="16" t="str">
        <f>IF(AND(S313&lt;&gt;"",NOT(ISERROR(S313))),S313,VLOOKUP(A313,'ESO Set&amp;DLCs'!$A$3:$D$99998,4,FALSE))</f>
        <v>DLC_CLOCKWORK_CITY</v>
      </c>
      <c r="U313" s="3" t="str">
        <f>IF(T313&lt;&gt;"",VLOOKUP(T313,ConstDLCIds!$B$4:$C$1000,2,FALSE),"")</f>
        <v>Clockwork City</v>
      </c>
      <c r="V313" s="4" t="s">
        <v>272</v>
      </c>
      <c r="Y313" s="5">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zones'!$A$5:$D$10003,4,FALSE),"")</f>
        <v>Asylum Sanctorium</v>
      </c>
      <c r="AB313" s="4" t="s">
        <v>272</v>
      </c>
      <c r="AE313" s="5">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zones'!$A$5:$D$10003,4,FALSE),"")</f>
        <v>Asylum Sanctorium</v>
      </c>
      <c r="AH313" s="4" t="s">
        <v>272</v>
      </c>
      <c r="AI313" s="29"/>
      <c r="AJ313" s="29"/>
      <c r="AK313" s="3" t="str">
        <f>IF(AND(G313&lt;&gt;"LIBSETS_SETTYPE_BATTLEGROUND",G313&lt;&gt;"LIBSETS_SETTYPE_SPECIAL"),IF(AL313&lt;&gt;"",VLOOKUP(AL313,'ESO zones'!$D$5:$H$4957,5,FALSE),""),"")</f>
        <v/>
      </c>
      <c r="AN313" s="29"/>
      <c r="AO313" s="29"/>
      <c r="AP313" s="3" t="str">
        <f>IF(AND(G313&lt;&gt;"LIBSETS_SETTYPE_BATTLEGROUND",G313&lt;&gt;"LIBSETS_SETTYPE_SPECIAL"),IF(AQ313&lt;&gt;"",VLOOKUP(AQ313,'ESO zones'!$D$5:$H$4957,5,FALSE),""),"")</f>
        <v/>
      </c>
      <c r="AS313" s="29"/>
      <c r="AT313" s="29"/>
      <c r="AU313" s="3" t="str">
        <f>IF(AND(G313&lt;&gt;"LIBSETS_SETTYPE_BATTLEGROUND",G313&lt;&gt;"LIBSETS_SETTYPE_SPECIAL"),IF(AV313&lt;&gt;"",VLOOKUP(AV313,'ESO zones'!$D$5:$H$4957,5,FALSE),""),"")</f>
        <v/>
      </c>
      <c r="AX313" s="29"/>
      <c r="AY313" s="29"/>
      <c r="AZ313" s="49" t="s">
        <v>403</v>
      </c>
      <c r="BA313" s="49"/>
      <c r="BB313" s="49"/>
      <c r="BC313" s="49"/>
      <c r="BD313" s="49" t="s">
        <v>1122</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2">
        <v>361</v>
      </c>
      <c r="B314" t="s">
        <v>1129</v>
      </c>
      <c r="C314" t="s">
        <v>1130</v>
      </c>
      <c r="D314" s="3">
        <f t="shared" si="24"/>
        <v>361</v>
      </c>
      <c r="G314" s="9" t="s">
        <v>178</v>
      </c>
      <c r="I314" t="s">
        <v>1120</v>
      </c>
      <c r="J314" t="s">
        <v>401</v>
      </c>
      <c r="K314">
        <v>346</v>
      </c>
      <c r="L314">
        <v>346</v>
      </c>
      <c r="M314">
        <v>346</v>
      </c>
      <c r="O314" s="5" t="s">
        <v>1121</v>
      </c>
      <c r="Q314" s="3">
        <f>IF(AND(P314&lt;&gt;"",ISNUMBER(P314),NOT(ISNA(P314))),P314,IF(R314&lt;&gt;"",VLOOKUP(R314,'ESO zones'!$D$5:$H$10005,5,FALSE),""))</f>
        <v>1000</v>
      </c>
      <c r="R314" t="str">
        <f>IF(AND(O314&lt;&gt;"",NOT(ISERROR(O314))),O314,IF(AND(P314&lt;&gt;"",ISNUMBER(P314),P314&gt;0,NOT(ISNA(P314))),VLOOKUP(P314,'ESO zones'!$A$5:$D$10003,4,FALSE),IF(AND(K314&lt;&gt;"",K314&gt;0,NOT(ISERROR(K314))),VLOOKUP(K314,'ESO wayshrines'!$K$3:$N$9972,4,FALSE),"")))</f>
        <v>Asylum Sanctorium</v>
      </c>
      <c r="T314" s="16" t="str">
        <f>IF(AND(S314&lt;&gt;"",NOT(ISERROR(S314))),S314,VLOOKUP(A314,'ESO Set&amp;DLCs'!$A$3:$D$99998,4,FALSE))</f>
        <v>DLC_CLOCKWORK_CITY</v>
      </c>
      <c r="U314" s="3" t="str">
        <f>IF(T314&lt;&gt;"",VLOOKUP(T314,ConstDLCIds!$B$4:$C$1000,2,FALSE),"")</f>
        <v>Clockwork City</v>
      </c>
      <c r="V314" s="4" t="s">
        <v>272</v>
      </c>
      <c r="Y314" s="5">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zones'!$A$5:$D$10003,4,FALSE),"")</f>
        <v>Asylum Sanctorium</v>
      </c>
      <c r="AB314" s="4" t="s">
        <v>272</v>
      </c>
      <c r="AE314" s="5">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zones'!$A$5:$D$10003,4,FALSE),"")</f>
        <v>Asylum Sanctorium</v>
      </c>
      <c r="AH314" s="4" t="s">
        <v>272</v>
      </c>
      <c r="AI314" s="29"/>
      <c r="AJ314" s="29"/>
      <c r="AK314" s="3" t="str">
        <f>IF(AND(G314&lt;&gt;"LIBSETS_SETTYPE_BATTLEGROUND",G314&lt;&gt;"LIBSETS_SETTYPE_SPECIAL"),IF(AL314&lt;&gt;"",VLOOKUP(AL314,'ESO zones'!$D$5:$H$4957,5,FALSE),""),"")</f>
        <v/>
      </c>
      <c r="AN314" s="29"/>
      <c r="AO314" s="29"/>
      <c r="AP314" s="3" t="str">
        <f>IF(AND(G314&lt;&gt;"LIBSETS_SETTYPE_BATTLEGROUND",G314&lt;&gt;"LIBSETS_SETTYPE_SPECIAL"),IF(AQ314&lt;&gt;"",VLOOKUP(AQ314,'ESO zones'!$D$5:$H$4957,5,FALSE),""),"")</f>
        <v/>
      </c>
      <c r="AS314" s="29"/>
      <c r="AT314" s="29"/>
      <c r="AU314" s="3" t="str">
        <f>IF(AND(G314&lt;&gt;"LIBSETS_SETTYPE_BATTLEGROUND",G314&lt;&gt;"LIBSETS_SETTYPE_SPECIAL"),IF(AV314&lt;&gt;"",VLOOKUP(AV314,'ESO zones'!$D$5:$H$4957,5,FALSE),""),"")</f>
        <v/>
      </c>
      <c r="AX314" s="29"/>
      <c r="AY314" s="29"/>
      <c r="AZ314" s="49" t="s">
        <v>403</v>
      </c>
      <c r="BA314" s="49"/>
      <c r="BB314" s="49"/>
      <c r="BC314" s="49"/>
      <c r="BD314" s="49" t="s">
        <v>1122</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2">
        <v>362</v>
      </c>
      <c r="B315" t="s">
        <v>1131</v>
      </c>
      <c r="C315" t="s">
        <v>1132</v>
      </c>
      <c r="D315" s="3">
        <f t="shared" si="24"/>
        <v>362</v>
      </c>
      <c r="G315" s="9" t="s">
        <v>178</v>
      </c>
      <c r="I315" t="s">
        <v>1120</v>
      </c>
      <c r="J315" t="s">
        <v>401</v>
      </c>
      <c r="K315">
        <v>346</v>
      </c>
      <c r="L315">
        <v>346</v>
      </c>
      <c r="M315">
        <v>346</v>
      </c>
      <c r="O315" s="5" t="s">
        <v>1121</v>
      </c>
      <c r="Q315" s="3">
        <f>IF(AND(P315&lt;&gt;"",ISNUMBER(P315),NOT(ISNA(P315))),P315,IF(R315&lt;&gt;"",VLOOKUP(R315,'ESO zones'!$D$5:$H$10005,5,FALSE),""))</f>
        <v>1000</v>
      </c>
      <c r="R315" t="str">
        <f>IF(AND(O315&lt;&gt;"",NOT(ISERROR(O315))),O315,IF(AND(P315&lt;&gt;"",ISNUMBER(P315),P315&gt;0,NOT(ISNA(P315))),VLOOKUP(P315,'ESO zones'!$A$5:$D$10003,4,FALSE),IF(AND(K315&lt;&gt;"",K315&gt;0,NOT(ISERROR(K315))),VLOOKUP(K315,'ESO wayshrines'!$K$3:$N$9972,4,FALSE),"")))</f>
        <v>Asylum Sanctorium</v>
      </c>
      <c r="T315" s="16" t="str">
        <f>IF(AND(S315&lt;&gt;"",NOT(ISERROR(S315))),S315,VLOOKUP(A315,'ESO Set&amp;DLCs'!$A$3:$D$99998,4,FALSE))</f>
        <v>DLC_CLOCKWORK_CITY</v>
      </c>
      <c r="U315" s="3" t="str">
        <f>IF(T315&lt;&gt;"",VLOOKUP(T315,ConstDLCIds!$B$4:$C$1000,2,FALSE),"")</f>
        <v>Clockwork City</v>
      </c>
      <c r="V315" s="4" t="s">
        <v>272</v>
      </c>
      <c r="Y315" s="5">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zones'!$A$5:$D$10003,4,FALSE),"")</f>
        <v>Asylum Sanctorium</v>
      </c>
      <c r="AB315" s="4" t="s">
        <v>272</v>
      </c>
      <c r="AE315" s="5">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zones'!$A$5:$D$10003,4,FALSE),"")</f>
        <v>Asylum Sanctorium</v>
      </c>
      <c r="AH315" s="4" t="s">
        <v>272</v>
      </c>
      <c r="AI315" s="29"/>
      <c r="AJ315" s="29"/>
      <c r="AK315" s="3" t="str">
        <f>IF(AND(G315&lt;&gt;"LIBSETS_SETTYPE_BATTLEGROUND",G315&lt;&gt;"LIBSETS_SETTYPE_SPECIAL"),IF(AL315&lt;&gt;"",VLOOKUP(AL315,'ESO zones'!$D$5:$H$4957,5,FALSE),""),"")</f>
        <v/>
      </c>
      <c r="AN315" s="29"/>
      <c r="AO315" s="29"/>
      <c r="AP315" s="3" t="str">
        <f>IF(AND(G315&lt;&gt;"LIBSETS_SETTYPE_BATTLEGROUND",G315&lt;&gt;"LIBSETS_SETTYPE_SPECIAL"),IF(AQ315&lt;&gt;"",VLOOKUP(AQ315,'ESO zones'!$D$5:$H$4957,5,FALSE),""),"")</f>
        <v/>
      </c>
      <c r="AS315" s="29"/>
      <c r="AT315" s="29"/>
      <c r="AU315" s="3" t="str">
        <f>IF(AND(G315&lt;&gt;"LIBSETS_SETTYPE_BATTLEGROUND",G315&lt;&gt;"LIBSETS_SETTYPE_SPECIAL"),IF(AV315&lt;&gt;"",VLOOKUP(AV315,'ESO zones'!$D$5:$H$4957,5,FALSE),""),"")</f>
        <v/>
      </c>
      <c r="AX315" s="29"/>
      <c r="AY315" s="29"/>
      <c r="AZ315" s="49" t="s">
        <v>403</v>
      </c>
      <c r="BA315" s="49"/>
      <c r="BB315" s="49"/>
      <c r="BC315" s="49"/>
      <c r="BD315" s="49" t="s">
        <v>1122</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2">
        <v>363</v>
      </c>
      <c r="B316" t="s">
        <v>1133</v>
      </c>
      <c r="C316" t="s">
        <v>1134</v>
      </c>
      <c r="D316" s="3">
        <f t="shared" si="24"/>
        <v>363</v>
      </c>
      <c r="G316" s="9" t="s">
        <v>178</v>
      </c>
      <c r="I316" t="s">
        <v>401</v>
      </c>
      <c r="J316" t="s">
        <v>401</v>
      </c>
      <c r="K316">
        <v>346</v>
      </c>
      <c r="L316">
        <v>346</v>
      </c>
      <c r="M316">
        <v>346</v>
      </c>
      <c r="O316" s="5" t="s">
        <v>1121</v>
      </c>
      <c r="Q316" s="3">
        <f>IF(AND(P316&lt;&gt;"",ISNUMBER(P316),NOT(ISNA(P316))),P316,IF(R316&lt;&gt;"",VLOOKUP(R316,'ESO zones'!$D$5:$H$10005,5,FALSE),""))</f>
        <v>1000</v>
      </c>
      <c r="R316" t="str">
        <f>IF(AND(O316&lt;&gt;"",NOT(ISERROR(O316))),O316,IF(AND(P316&lt;&gt;"",ISNUMBER(P316),P316&gt;0,NOT(ISNA(P316))),VLOOKUP(P316,'ESO zones'!$A$5:$D$10003,4,FALSE),IF(AND(K316&lt;&gt;"",K316&gt;0,NOT(ISERROR(K316))),VLOOKUP(K316,'ESO wayshrines'!$K$3:$N$9972,4,FALSE),"")))</f>
        <v>Asylum Sanctorium</v>
      </c>
      <c r="T316" s="16" t="str">
        <f>IF(AND(S316&lt;&gt;"",NOT(ISERROR(S316))),S316,VLOOKUP(A316,'ESO Set&amp;DLCs'!$A$3:$D$99998,4,FALSE))</f>
        <v>DLC_CLOCKWORK_CITY</v>
      </c>
      <c r="U316" s="3" t="str">
        <f>IF(T316&lt;&gt;"",VLOOKUP(T316,ConstDLCIds!$B$4:$C$1000,2,FALSE),"")</f>
        <v>Clockwork City</v>
      </c>
      <c r="V316" s="4" t="s">
        <v>272</v>
      </c>
      <c r="Y316" s="5">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zones'!$A$5:$D$10003,4,FALSE),"")</f>
        <v>Asylum Sanctorium</v>
      </c>
      <c r="AB316" s="4" t="s">
        <v>272</v>
      </c>
      <c r="AE316" s="5">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zones'!$A$5:$D$10003,4,FALSE),"")</f>
        <v>Asylum Sanctorium</v>
      </c>
      <c r="AH316" s="4" t="s">
        <v>272</v>
      </c>
      <c r="AI316" s="29"/>
      <c r="AJ316" s="29"/>
      <c r="AK316" s="3" t="str">
        <f>IF(AND(G316&lt;&gt;"LIBSETS_SETTYPE_BATTLEGROUND",G316&lt;&gt;"LIBSETS_SETTYPE_SPECIAL"),IF(AL316&lt;&gt;"",VLOOKUP(AL316,'ESO zones'!$D$5:$H$4957,5,FALSE),""),"")</f>
        <v/>
      </c>
      <c r="AN316" s="29"/>
      <c r="AO316" s="29"/>
      <c r="AP316" s="3" t="str">
        <f>IF(AND(G316&lt;&gt;"LIBSETS_SETTYPE_BATTLEGROUND",G316&lt;&gt;"LIBSETS_SETTYPE_SPECIAL"),IF(AQ316&lt;&gt;"",VLOOKUP(AQ316,'ESO zones'!$D$5:$H$4957,5,FALSE),""),"")</f>
        <v/>
      </c>
      <c r="AS316" s="29"/>
      <c r="AT316" s="29"/>
      <c r="AU316" s="3" t="str">
        <f>IF(AND(G316&lt;&gt;"LIBSETS_SETTYPE_BATTLEGROUND",G316&lt;&gt;"LIBSETS_SETTYPE_SPECIAL"),IF(AV316&lt;&gt;"",VLOOKUP(AV316,'ESO zones'!$D$5:$H$4957,5,FALSE),""),"")</f>
        <v/>
      </c>
      <c r="AX316" s="29"/>
      <c r="AY316" s="29"/>
      <c r="AZ316" s="49" t="s">
        <v>403</v>
      </c>
      <c r="BA316" s="49"/>
      <c r="BB316" s="49"/>
      <c r="BC316" s="49"/>
      <c r="BD316" s="49">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2">
        <v>364</v>
      </c>
      <c r="B317" t="s">
        <v>1135</v>
      </c>
      <c r="C317" t="s">
        <v>1135</v>
      </c>
      <c r="D317" s="3">
        <f t="shared" si="24"/>
        <v>364</v>
      </c>
      <c r="G317" s="9" t="s">
        <v>178</v>
      </c>
      <c r="I317" t="s">
        <v>401</v>
      </c>
      <c r="J317" t="s">
        <v>401</v>
      </c>
      <c r="K317">
        <v>346</v>
      </c>
      <c r="L317">
        <v>346</v>
      </c>
      <c r="M317">
        <v>346</v>
      </c>
      <c r="O317" s="5" t="s">
        <v>1121</v>
      </c>
      <c r="Q317" s="3">
        <f>IF(AND(P317&lt;&gt;"",ISNUMBER(P317),NOT(ISNA(P317))),P317,IF(R317&lt;&gt;"",VLOOKUP(R317,'ESO zones'!$D$5:$H$10005,5,FALSE),""))</f>
        <v>1000</v>
      </c>
      <c r="R317" t="str">
        <f>IF(AND(O317&lt;&gt;"",NOT(ISERROR(O317))),O317,IF(AND(P317&lt;&gt;"",ISNUMBER(P317),P317&gt;0,NOT(ISNA(P317))),VLOOKUP(P317,'ESO zones'!$A$5:$D$10003,4,FALSE),IF(AND(K317&lt;&gt;"",K317&gt;0,NOT(ISERROR(K317))),VLOOKUP(K317,'ESO wayshrines'!$K$3:$N$9972,4,FALSE),"")))</f>
        <v>Asylum Sanctorium</v>
      </c>
      <c r="T317" s="16" t="str">
        <f>IF(AND(S317&lt;&gt;"",NOT(ISERROR(S317))),S317,VLOOKUP(A317,'ESO Set&amp;DLCs'!$A$3:$D$99998,4,FALSE))</f>
        <v>DLC_CLOCKWORK_CITY</v>
      </c>
      <c r="U317" s="3" t="str">
        <f>IF(T317&lt;&gt;"",VLOOKUP(T317,ConstDLCIds!$B$4:$C$1000,2,FALSE),"")</f>
        <v>Clockwork City</v>
      </c>
      <c r="V317" s="4" t="s">
        <v>272</v>
      </c>
      <c r="Y317" s="5">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zones'!$A$5:$D$10003,4,FALSE),"")</f>
        <v>Asylum Sanctorium</v>
      </c>
      <c r="AB317" s="4" t="s">
        <v>272</v>
      </c>
      <c r="AE317" s="5">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zones'!$A$5:$D$10003,4,FALSE),"")</f>
        <v>Asylum Sanctorium</v>
      </c>
      <c r="AH317" s="4" t="s">
        <v>272</v>
      </c>
      <c r="AI317" s="29"/>
      <c r="AJ317" s="29"/>
      <c r="AK317" s="3" t="str">
        <f>IF(AND(G317&lt;&gt;"LIBSETS_SETTYPE_BATTLEGROUND",G317&lt;&gt;"LIBSETS_SETTYPE_SPECIAL"),IF(AL317&lt;&gt;"",VLOOKUP(AL317,'ESO zones'!$D$5:$H$4957,5,FALSE),""),"")</f>
        <v/>
      </c>
      <c r="AN317" s="29"/>
      <c r="AO317" s="29"/>
      <c r="AP317" s="3" t="str">
        <f>IF(AND(G317&lt;&gt;"LIBSETS_SETTYPE_BATTLEGROUND",G317&lt;&gt;"LIBSETS_SETTYPE_SPECIAL"),IF(AQ317&lt;&gt;"",VLOOKUP(AQ317,'ESO zones'!$D$5:$H$4957,5,FALSE),""),"")</f>
        <v/>
      </c>
      <c r="AS317" s="29"/>
      <c r="AT317" s="29"/>
      <c r="AU317" s="3" t="str">
        <f>IF(AND(G317&lt;&gt;"LIBSETS_SETTYPE_BATTLEGROUND",G317&lt;&gt;"LIBSETS_SETTYPE_SPECIAL"),IF(AV317&lt;&gt;"",VLOOKUP(AV317,'ESO zones'!$D$5:$H$4957,5,FALSE),""),"")</f>
        <v/>
      </c>
      <c r="AX317" s="29"/>
      <c r="AY317" s="29"/>
      <c r="AZ317" s="49" t="s">
        <v>403</v>
      </c>
      <c r="BA317" s="49"/>
      <c r="BB317" s="49"/>
      <c r="BC317" s="49"/>
      <c r="BD317" s="49">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2">
        <v>365</v>
      </c>
      <c r="B318" t="s">
        <v>1136</v>
      </c>
      <c r="C318" t="s">
        <v>1137</v>
      </c>
      <c r="D318" s="3">
        <f t="shared" si="24"/>
        <v>365</v>
      </c>
      <c r="G318" s="9" t="s">
        <v>178</v>
      </c>
      <c r="I318" t="s">
        <v>401</v>
      </c>
      <c r="J318" t="s">
        <v>401</v>
      </c>
      <c r="K318">
        <v>346</v>
      </c>
      <c r="L318">
        <v>346</v>
      </c>
      <c r="M318">
        <v>346</v>
      </c>
      <c r="O318" s="5" t="s">
        <v>1121</v>
      </c>
      <c r="Q318" s="3">
        <f>IF(AND(P318&lt;&gt;"",ISNUMBER(P318),NOT(ISNA(P318))),P318,IF(R318&lt;&gt;"",VLOOKUP(R318,'ESO zones'!$D$5:$H$10005,5,FALSE),""))</f>
        <v>1000</v>
      </c>
      <c r="R318" t="str">
        <f>IF(AND(O318&lt;&gt;"",NOT(ISERROR(O318))),O318,IF(AND(P318&lt;&gt;"",ISNUMBER(P318),P318&gt;0,NOT(ISNA(P318))),VLOOKUP(P318,'ESO zones'!$A$5:$D$10003,4,FALSE),IF(AND(K318&lt;&gt;"",K318&gt;0,NOT(ISERROR(K318))),VLOOKUP(K318,'ESO wayshrines'!$K$3:$N$9972,4,FALSE),"")))</f>
        <v>Asylum Sanctorium</v>
      </c>
      <c r="T318" s="16" t="str">
        <f>IF(AND(S318&lt;&gt;"",NOT(ISERROR(S318))),S318,VLOOKUP(A318,'ESO Set&amp;DLCs'!$A$3:$D$99998,4,FALSE))</f>
        <v>DLC_CLOCKWORK_CITY</v>
      </c>
      <c r="U318" s="3" t="str">
        <f>IF(T318&lt;&gt;"",VLOOKUP(T318,ConstDLCIds!$B$4:$C$1000,2,FALSE),"")</f>
        <v>Clockwork City</v>
      </c>
      <c r="V318" s="4" t="s">
        <v>272</v>
      </c>
      <c r="Y318" s="5">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zones'!$A$5:$D$10003,4,FALSE),"")</f>
        <v>Asylum Sanctorium</v>
      </c>
      <c r="AB318" s="4" t="s">
        <v>272</v>
      </c>
      <c r="AE318" s="5">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zones'!$A$5:$D$10003,4,FALSE),"")</f>
        <v>Asylum Sanctorium</v>
      </c>
      <c r="AH318" s="4" t="s">
        <v>272</v>
      </c>
      <c r="AI318" s="29"/>
      <c r="AJ318" s="29"/>
      <c r="AK318" s="3" t="str">
        <f>IF(AND(G318&lt;&gt;"LIBSETS_SETTYPE_BATTLEGROUND",G318&lt;&gt;"LIBSETS_SETTYPE_SPECIAL"),IF(AL318&lt;&gt;"",VLOOKUP(AL318,'ESO zones'!$D$5:$H$4957,5,FALSE),""),"")</f>
        <v/>
      </c>
      <c r="AN318" s="29"/>
      <c r="AO318" s="29"/>
      <c r="AP318" s="3" t="str">
        <f>IF(AND(G318&lt;&gt;"LIBSETS_SETTYPE_BATTLEGROUND",G318&lt;&gt;"LIBSETS_SETTYPE_SPECIAL"),IF(AQ318&lt;&gt;"",VLOOKUP(AQ318,'ESO zones'!$D$5:$H$4957,5,FALSE),""),"")</f>
        <v/>
      </c>
      <c r="AS318" s="29"/>
      <c r="AT318" s="29"/>
      <c r="AU318" s="3" t="str">
        <f>IF(AND(G318&lt;&gt;"LIBSETS_SETTYPE_BATTLEGROUND",G318&lt;&gt;"LIBSETS_SETTYPE_SPECIAL"),IF(AV318&lt;&gt;"",VLOOKUP(AV318,'ESO zones'!$D$5:$H$4957,5,FALSE),""),"")</f>
        <v/>
      </c>
      <c r="AX318" s="29"/>
      <c r="AY318" s="29"/>
      <c r="AZ318" s="49" t="s">
        <v>403</v>
      </c>
      <c r="BA318" s="49"/>
      <c r="BB318" s="49"/>
      <c r="BC318" s="49"/>
      <c r="BD318" s="49">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2">
        <v>366</v>
      </c>
      <c r="B319" t="s">
        <v>1138</v>
      </c>
      <c r="C319" t="s">
        <v>1139</v>
      </c>
      <c r="D319" s="3">
        <f t="shared" si="24"/>
        <v>366</v>
      </c>
      <c r="G319" s="9" t="s">
        <v>178</v>
      </c>
      <c r="I319" t="s">
        <v>401</v>
      </c>
      <c r="J319" t="s">
        <v>401</v>
      </c>
      <c r="K319">
        <v>346</v>
      </c>
      <c r="L319">
        <v>346</v>
      </c>
      <c r="M319">
        <v>346</v>
      </c>
      <c r="O319" s="5" t="s">
        <v>1121</v>
      </c>
      <c r="Q319" s="3">
        <f>IF(AND(P319&lt;&gt;"",ISNUMBER(P319),NOT(ISNA(P319))),P319,IF(R319&lt;&gt;"",VLOOKUP(R319,'ESO zones'!$D$5:$H$10005,5,FALSE),""))</f>
        <v>1000</v>
      </c>
      <c r="R319" t="str">
        <f>IF(AND(O319&lt;&gt;"",NOT(ISERROR(O319))),O319,IF(AND(P319&lt;&gt;"",ISNUMBER(P319),P319&gt;0,NOT(ISNA(P319))),VLOOKUP(P319,'ESO zones'!$A$5:$D$10003,4,FALSE),IF(AND(K319&lt;&gt;"",K319&gt;0,NOT(ISERROR(K319))),VLOOKUP(K319,'ESO wayshrines'!$K$3:$N$9972,4,FALSE),"")))</f>
        <v>Asylum Sanctorium</v>
      </c>
      <c r="T319" s="16" t="str">
        <f>IF(AND(S319&lt;&gt;"",NOT(ISERROR(S319))),S319,VLOOKUP(A319,'ESO Set&amp;DLCs'!$A$3:$D$99998,4,FALSE))</f>
        <v>DLC_CLOCKWORK_CITY</v>
      </c>
      <c r="U319" s="3" t="str">
        <f>IF(T319&lt;&gt;"",VLOOKUP(T319,ConstDLCIds!$B$4:$C$1000,2,FALSE),"")</f>
        <v>Clockwork City</v>
      </c>
      <c r="V319" s="4" t="s">
        <v>272</v>
      </c>
      <c r="Y319" s="5">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zones'!$A$5:$D$10003,4,FALSE),"")</f>
        <v>Asylum Sanctorium</v>
      </c>
      <c r="AB319" s="4" t="s">
        <v>272</v>
      </c>
      <c r="AE319" s="5">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zones'!$A$5:$D$10003,4,FALSE),"")</f>
        <v>Asylum Sanctorium</v>
      </c>
      <c r="AH319" s="4" t="s">
        <v>272</v>
      </c>
      <c r="AI319" s="29"/>
      <c r="AJ319" s="29"/>
      <c r="AK319" s="3" t="str">
        <f>IF(AND(G319&lt;&gt;"LIBSETS_SETTYPE_BATTLEGROUND",G319&lt;&gt;"LIBSETS_SETTYPE_SPECIAL"),IF(AL319&lt;&gt;"",VLOOKUP(AL319,'ESO zones'!$D$5:$H$4957,5,FALSE),""),"")</f>
        <v/>
      </c>
      <c r="AN319" s="29"/>
      <c r="AO319" s="29"/>
      <c r="AP319" s="3" t="str">
        <f>IF(AND(G319&lt;&gt;"LIBSETS_SETTYPE_BATTLEGROUND",G319&lt;&gt;"LIBSETS_SETTYPE_SPECIAL"),IF(AQ319&lt;&gt;"",VLOOKUP(AQ319,'ESO zones'!$D$5:$H$4957,5,FALSE),""),"")</f>
        <v/>
      </c>
      <c r="AS319" s="29"/>
      <c r="AT319" s="29"/>
      <c r="AU319" s="3" t="str">
        <f>IF(AND(G319&lt;&gt;"LIBSETS_SETTYPE_BATTLEGROUND",G319&lt;&gt;"LIBSETS_SETTYPE_SPECIAL"),IF(AV319&lt;&gt;"",VLOOKUP(AV319,'ESO zones'!$D$5:$H$4957,5,FALSE),""),"")</f>
        <v/>
      </c>
      <c r="AX319" s="29"/>
      <c r="AY319" s="29"/>
      <c r="AZ319" s="49" t="s">
        <v>403</v>
      </c>
      <c r="BA319" s="49"/>
      <c r="BB319" s="49"/>
      <c r="BC319" s="49"/>
      <c r="BD319" s="49">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2">
        <v>367</v>
      </c>
      <c r="B320" t="s">
        <v>1140</v>
      </c>
      <c r="C320" t="s">
        <v>1141</v>
      </c>
      <c r="D320" s="3">
        <f t="shared" si="24"/>
        <v>367</v>
      </c>
      <c r="G320" s="9" t="s">
        <v>178</v>
      </c>
      <c r="I320" t="s">
        <v>401</v>
      </c>
      <c r="J320" t="s">
        <v>401</v>
      </c>
      <c r="K320">
        <v>346</v>
      </c>
      <c r="L320">
        <v>346</v>
      </c>
      <c r="M320">
        <v>346</v>
      </c>
      <c r="O320" s="5" t="s">
        <v>1121</v>
      </c>
      <c r="Q320" s="3">
        <f>IF(AND(P320&lt;&gt;"",ISNUMBER(P320),NOT(ISNA(P320))),P320,IF(R320&lt;&gt;"",VLOOKUP(R320,'ESO zones'!$D$5:$H$10005,5,FALSE),""))</f>
        <v>1000</v>
      </c>
      <c r="R320" t="str">
        <f>IF(AND(O320&lt;&gt;"",NOT(ISERROR(O320))),O320,IF(AND(P320&lt;&gt;"",ISNUMBER(P320),P320&gt;0,NOT(ISNA(P320))),VLOOKUP(P320,'ESO zones'!$A$5:$D$10003,4,FALSE),IF(AND(K320&lt;&gt;"",K320&gt;0,NOT(ISERROR(K320))),VLOOKUP(K320,'ESO wayshrines'!$K$3:$N$9972,4,FALSE),"")))</f>
        <v>Asylum Sanctorium</v>
      </c>
      <c r="T320" s="16" t="str">
        <f>IF(AND(S320&lt;&gt;"",NOT(ISERROR(S320))),S320,VLOOKUP(A320,'ESO Set&amp;DLCs'!$A$3:$D$99998,4,FALSE))</f>
        <v>DLC_CLOCKWORK_CITY</v>
      </c>
      <c r="U320" s="3" t="str">
        <f>IF(T320&lt;&gt;"",VLOOKUP(T320,ConstDLCIds!$B$4:$C$1000,2,FALSE),"")</f>
        <v>Clockwork City</v>
      </c>
      <c r="V320" s="4" t="s">
        <v>272</v>
      </c>
      <c r="Y320" s="5">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zones'!$A$5:$D$10003,4,FALSE),"")</f>
        <v>Asylum Sanctorium</v>
      </c>
      <c r="AB320" s="4" t="s">
        <v>272</v>
      </c>
      <c r="AE320" s="5">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zones'!$A$5:$D$10003,4,FALSE),"")</f>
        <v>Asylum Sanctorium</v>
      </c>
      <c r="AH320" s="4" t="s">
        <v>272</v>
      </c>
      <c r="AI320" s="29"/>
      <c r="AJ320" s="29"/>
      <c r="AK320" s="3" t="str">
        <f>IF(AND(G320&lt;&gt;"LIBSETS_SETTYPE_BATTLEGROUND",G320&lt;&gt;"LIBSETS_SETTYPE_SPECIAL"),IF(AL320&lt;&gt;"",VLOOKUP(AL320,'ESO zones'!$D$5:$H$4957,5,FALSE),""),"")</f>
        <v/>
      </c>
      <c r="AN320" s="29"/>
      <c r="AO320" s="29"/>
      <c r="AP320" s="3" t="str">
        <f>IF(AND(G320&lt;&gt;"LIBSETS_SETTYPE_BATTLEGROUND",G320&lt;&gt;"LIBSETS_SETTYPE_SPECIAL"),IF(AQ320&lt;&gt;"",VLOOKUP(AQ320,'ESO zones'!$D$5:$H$4957,5,FALSE),""),"")</f>
        <v/>
      </c>
      <c r="AS320" s="29"/>
      <c r="AT320" s="29"/>
      <c r="AU320" s="3" t="str">
        <f>IF(AND(G320&lt;&gt;"LIBSETS_SETTYPE_BATTLEGROUND",G320&lt;&gt;"LIBSETS_SETTYPE_SPECIAL"),IF(AV320&lt;&gt;"",VLOOKUP(AV320,'ESO zones'!$D$5:$H$4957,5,FALSE),""),"")</f>
        <v/>
      </c>
      <c r="AX320" s="29"/>
      <c r="AY320" s="29"/>
      <c r="AZ320" s="49" t="s">
        <v>403</v>
      </c>
      <c r="BA320" s="49"/>
      <c r="BB320" s="49"/>
      <c r="BC320" s="49"/>
      <c r="BD320" s="49">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2">
        <v>368</v>
      </c>
      <c r="B321" t="s">
        <v>1142</v>
      </c>
      <c r="C321" t="s">
        <v>1143</v>
      </c>
      <c r="D321" s="3">
        <f t="shared" si="24"/>
        <v>368</v>
      </c>
      <c r="G321" s="9" t="s">
        <v>178</v>
      </c>
      <c r="I321" t="s">
        <v>401</v>
      </c>
      <c r="J321" t="s">
        <v>401</v>
      </c>
      <c r="K321">
        <v>346</v>
      </c>
      <c r="L321">
        <v>346</v>
      </c>
      <c r="M321">
        <v>346</v>
      </c>
      <c r="O321" s="5" t="s">
        <v>1121</v>
      </c>
      <c r="Q321" s="3">
        <f>IF(AND(P321&lt;&gt;"",ISNUMBER(P321),NOT(ISNA(P321))),P321,IF(R321&lt;&gt;"",VLOOKUP(R321,'ESO zones'!$D$5:$H$10005,5,FALSE),""))</f>
        <v>1000</v>
      </c>
      <c r="R321" t="str">
        <f>IF(AND(O321&lt;&gt;"",NOT(ISERROR(O321))),O321,IF(AND(P321&lt;&gt;"",ISNUMBER(P321),P321&gt;0,NOT(ISNA(P321))),VLOOKUP(P321,'ESO zones'!$A$5:$D$10003,4,FALSE),IF(AND(K321&lt;&gt;"",K321&gt;0,NOT(ISERROR(K321))),VLOOKUP(K321,'ESO wayshrines'!$K$3:$N$9972,4,FALSE),"")))</f>
        <v>Asylum Sanctorium</v>
      </c>
      <c r="T321" s="16" t="str">
        <f>IF(AND(S321&lt;&gt;"",NOT(ISERROR(S321))),S321,VLOOKUP(A321,'ESO Set&amp;DLCs'!$A$3:$D$99998,4,FALSE))</f>
        <v>DLC_CLOCKWORK_CITY</v>
      </c>
      <c r="U321" s="3" t="str">
        <f>IF(T321&lt;&gt;"",VLOOKUP(T321,ConstDLCIds!$B$4:$C$1000,2,FALSE),"")</f>
        <v>Clockwork City</v>
      </c>
      <c r="V321" s="4" t="s">
        <v>272</v>
      </c>
      <c r="Y321" s="5">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zones'!$A$5:$D$10003,4,FALSE),"")</f>
        <v>Asylum Sanctorium</v>
      </c>
      <c r="AB321" s="4" t="s">
        <v>272</v>
      </c>
      <c r="AE321" s="5">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zones'!$A$5:$D$10003,4,FALSE),"")</f>
        <v>Asylum Sanctorium</v>
      </c>
      <c r="AH321" s="4" t="s">
        <v>272</v>
      </c>
      <c r="AI321" s="29"/>
      <c r="AJ321" s="29"/>
      <c r="AK321" s="3" t="str">
        <f>IF(AND(G321&lt;&gt;"LIBSETS_SETTYPE_BATTLEGROUND",G321&lt;&gt;"LIBSETS_SETTYPE_SPECIAL"),IF(AL321&lt;&gt;"",VLOOKUP(AL321,'ESO zones'!$D$5:$H$4957,5,FALSE),""),"")</f>
        <v/>
      </c>
      <c r="AN321" s="29"/>
      <c r="AO321" s="29"/>
      <c r="AP321" s="3" t="str">
        <f>IF(AND(G321&lt;&gt;"LIBSETS_SETTYPE_BATTLEGROUND",G321&lt;&gt;"LIBSETS_SETTYPE_SPECIAL"),IF(AQ321&lt;&gt;"",VLOOKUP(AQ321,'ESO zones'!$D$5:$H$4957,5,FALSE),""),"")</f>
        <v/>
      </c>
      <c r="AS321" s="29"/>
      <c r="AT321" s="29"/>
      <c r="AU321" s="3" t="str">
        <f>IF(AND(G321&lt;&gt;"LIBSETS_SETTYPE_BATTLEGROUND",G321&lt;&gt;"LIBSETS_SETTYPE_SPECIAL"),IF(AV321&lt;&gt;"",VLOOKUP(AV321,'ESO zones'!$D$5:$H$4957,5,FALSE),""),"")</f>
        <v/>
      </c>
      <c r="AX321" s="29"/>
      <c r="AY321" s="29"/>
      <c r="AZ321" s="49" t="s">
        <v>403</v>
      </c>
      <c r="BA321" s="49"/>
      <c r="BB321" s="49"/>
      <c r="BC321" s="49"/>
      <c r="BD321" s="49">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2">
        <v>369</v>
      </c>
      <c r="B322" t="s">
        <v>1144</v>
      </c>
      <c r="C322" t="s">
        <v>1145</v>
      </c>
      <c r="D322" s="3">
        <f t="shared" si="24"/>
        <v>369</v>
      </c>
      <c r="G322" s="9" t="s">
        <v>159</v>
      </c>
      <c r="I322" t="s">
        <v>401</v>
      </c>
      <c r="J322" t="s">
        <v>401</v>
      </c>
      <c r="K322">
        <v>249</v>
      </c>
      <c r="L322">
        <v>249</v>
      </c>
      <c r="M322">
        <v>249</v>
      </c>
      <c r="O322" s="5" t="s">
        <v>818</v>
      </c>
      <c r="Q322" s="3">
        <f>IF(AND(P322&lt;&gt;"",ISNUMBER(P322),NOT(ISNA(P322))),P322,IF(R322&lt;&gt;"",VLOOKUP(R322,'ESO zones'!$D$5:$H$10005,5,FALSE),""))</f>
        <v>677</v>
      </c>
      <c r="R322" t="str">
        <f>IF(AND(O322&lt;&gt;"",NOT(ISERROR(O322))),O322,IF(AND(P322&lt;&gt;"",ISNUMBER(P322),P322&gt;0,NOT(ISNA(P322))),VLOOKUP(P322,'ESO zones'!$A$5:$D$10003,4,FALSE),IF(AND(K322&lt;&gt;"",K322&gt;0,NOT(ISERROR(K322))),VLOOKUP(K322,'ESO wayshrines'!$K$3:$N$9972,4,FALSE),"")))</f>
        <v>Maelstrom Arena</v>
      </c>
      <c r="T322" s="16" t="str">
        <f>IF(AND(S322&lt;&gt;"",NOT(ISERROR(S322))),S322,VLOOKUP(A322,'ESO Set&amp;DLCs'!$A$3:$D$99998,4,FALSE))</f>
        <v>DLC_ORSINIUM</v>
      </c>
      <c r="U322" s="3" t="str">
        <f>IF(T322&lt;&gt;"",VLOOKUP(T322,ConstDLCIds!$B$4:$C$1000,2,FALSE),"")</f>
        <v>Orsinium</v>
      </c>
      <c r="V322" s="4" t="s">
        <v>209</v>
      </c>
      <c r="Y322" s="5"/>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zones'!$A$5:$D$10003,4,FALSE),"")</f>
        <v>Wrothgar</v>
      </c>
      <c r="AB322" s="4"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zones'!$A$5:$D$10003,4,FALSE),"")</f>
        <v>Wrothgar</v>
      </c>
      <c r="AK322" s="3" t="str">
        <f>IF(AND(G322&lt;&gt;"LIBSETS_SETTYPE_BATTLEGROUND",G322&lt;&gt;"LIBSETS_SETTYPE_SPECIAL"),IF(AL322&lt;&gt;"",VLOOKUP(AL322,'ESO zones'!$D$5:$H$4957,5,FALSE),""),"")</f>
        <v/>
      </c>
      <c r="AP322" s="3" t="str">
        <f>IF(AND(G322&lt;&gt;"LIBSETS_SETTYPE_BATTLEGROUND",G322&lt;&gt;"LIBSETS_SETTYPE_SPECIAL"),IF(AQ322&lt;&gt;"",VLOOKUP(AQ322,'ESO zones'!$D$5:$H$4957,5,FALSE),""),"")</f>
        <v/>
      </c>
      <c r="AU322" s="3" t="str">
        <f>IF(AND(G322&lt;&gt;"LIBSETS_SETTYPE_BATTLEGROUND",G322&lt;&gt;"LIBSETS_SETTYPE_SPECIAL"),IF(AV322&lt;&gt;"",VLOOKUP(AV322,'ESO zones'!$D$5:$H$4957,5,FALSE),""),"")</f>
        <v/>
      </c>
      <c r="AZ322" s="49" t="s">
        <v>403</v>
      </c>
      <c r="BA322" s="49"/>
      <c r="BB322" s="49"/>
      <c r="BC322" s="49"/>
      <c r="BD322" s="49">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2">
        <v>370</v>
      </c>
      <c r="B323" t="s">
        <v>1146</v>
      </c>
      <c r="C323" t="s">
        <v>1147</v>
      </c>
      <c r="D323" s="3">
        <f t="shared" ref="D323:D386" si="30">A323</f>
        <v>370</v>
      </c>
      <c r="G323" s="9" t="s">
        <v>159</v>
      </c>
      <c r="I323" t="s">
        <v>401</v>
      </c>
      <c r="J323" t="s">
        <v>401</v>
      </c>
      <c r="K323">
        <v>249</v>
      </c>
      <c r="L323">
        <v>249</v>
      </c>
      <c r="M323">
        <v>249</v>
      </c>
      <c r="O323" s="5" t="s">
        <v>818</v>
      </c>
      <c r="Q323" s="3">
        <f>IF(AND(P323&lt;&gt;"",ISNUMBER(P323),NOT(ISNA(P323))),P323,IF(R323&lt;&gt;"",VLOOKUP(R323,'ESO zones'!$D$5:$H$10005,5,FALSE),""))</f>
        <v>677</v>
      </c>
      <c r="R323" t="str">
        <f>IF(AND(O323&lt;&gt;"",NOT(ISERROR(O323))),O323,IF(AND(P323&lt;&gt;"",ISNUMBER(P323),P323&gt;0,NOT(ISNA(P323))),VLOOKUP(P323,'ESO zones'!$A$5:$D$10003,4,FALSE),IF(AND(K323&lt;&gt;"",K323&gt;0,NOT(ISERROR(K323))),VLOOKUP(K323,'ESO wayshrines'!$K$3:$N$9972,4,FALSE),"")))</f>
        <v>Maelstrom Arena</v>
      </c>
      <c r="T323" s="16" t="str">
        <f>IF(AND(S323&lt;&gt;"",NOT(ISERROR(S323))),S323,VLOOKUP(A323,'ESO Set&amp;DLCs'!$A$3:$D$99998,4,FALSE))</f>
        <v>DLC_ORSINIUM</v>
      </c>
      <c r="U323" s="3" t="str">
        <f>IF(T323&lt;&gt;"",VLOOKUP(T323,ConstDLCIds!$B$4:$C$1000,2,FALSE),"")</f>
        <v>Orsinium</v>
      </c>
      <c r="V323" s="4" t="s">
        <v>209</v>
      </c>
      <c r="Y323" s="5"/>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zones'!$A$5:$D$10003,4,FALSE),"")</f>
        <v>Wrothgar</v>
      </c>
      <c r="AB323" s="4"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zones'!$A$5:$D$10003,4,FALSE),"")</f>
        <v>Wrothgar</v>
      </c>
      <c r="AK323" s="3" t="str">
        <f>IF(AND(G323&lt;&gt;"LIBSETS_SETTYPE_BATTLEGROUND",G323&lt;&gt;"LIBSETS_SETTYPE_SPECIAL"),IF(AL323&lt;&gt;"",VLOOKUP(AL323,'ESO zones'!$D$5:$H$4957,5,FALSE),""),"")</f>
        <v/>
      </c>
      <c r="AP323" s="3" t="str">
        <f>IF(AND(G323&lt;&gt;"LIBSETS_SETTYPE_BATTLEGROUND",G323&lt;&gt;"LIBSETS_SETTYPE_SPECIAL"),IF(AQ323&lt;&gt;"",VLOOKUP(AQ323,'ESO zones'!$D$5:$H$4957,5,FALSE),""),"")</f>
        <v/>
      </c>
      <c r="AU323" s="3" t="str">
        <f>IF(AND(G323&lt;&gt;"LIBSETS_SETTYPE_BATTLEGROUND",G323&lt;&gt;"LIBSETS_SETTYPE_SPECIAL"),IF(AV323&lt;&gt;"",VLOOKUP(AV323,'ESO zones'!$D$5:$H$4957,5,FALSE),""),"")</f>
        <v/>
      </c>
      <c r="AZ323" s="49" t="s">
        <v>403</v>
      </c>
      <c r="BA323" s="49"/>
      <c r="BB323" s="49"/>
      <c r="BC323" s="49"/>
      <c r="BD323" s="49">
        <v>523</v>
      </c>
      <c r="BE323" s="18"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8"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8" t="str">
        <f t="shared" ref="BG323:BG386" si="33">IF(A323&lt;&gt;"",IF(F323&lt;&gt;"Not in the game (anymore)",IF(A323&lt;&gt;"",", setType="&amp;G323,"")&amp;IF(G323="LIBSETS_SETTYPE_CLASS",", classId="&amp;BC323,"")&amp;IF(J323="true",", multiTrialSet=true",""),"")&amp;IF(AND(H323&lt;&gt;"",ISNUMBER(H323)),", undauntedChestId="&amp;H323,""),"")</f>
        <v>, setType=LIBSETS_SETTYPE_ARENA</v>
      </c>
      <c r="BH323" s="18" t="str">
        <f t="shared" ref="BH323:BH386" si="34">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8" t="str">
        <f t="shared" ref="BI323:BI386" si="35">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1148</v>
      </c>
      <c r="C324" t="s">
        <v>1149</v>
      </c>
      <c r="D324" s="3">
        <f t="shared" si="30"/>
        <v>371</v>
      </c>
      <c r="G324" s="9" t="s">
        <v>159</v>
      </c>
      <c r="I324" t="s">
        <v>401</v>
      </c>
      <c r="J324" t="s">
        <v>401</v>
      </c>
      <c r="K324">
        <v>249</v>
      </c>
      <c r="L324">
        <v>249</v>
      </c>
      <c r="M324">
        <v>249</v>
      </c>
      <c r="O324" s="5" t="s">
        <v>818</v>
      </c>
      <c r="Q324" s="3">
        <f>IF(AND(P324&lt;&gt;"",ISNUMBER(P324),NOT(ISNA(P324))),P324,IF(R324&lt;&gt;"",VLOOKUP(R324,'ESO zones'!$D$5:$H$10005,5,FALSE),""))</f>
        <v>677</v>
      </c>
      <c r="R324" t="str">
        <f>IF(AND(O324&lt;&gt;"",NOT(ISERROR(O324))),O324,IF(AND(P324&lt;&gt;"",ISNUMBER(P324),P324&gt;0,NOT(ISNA(P324))),VLOOKUP(P324,'ESO zones'!$A$5:$D$10003,4,FALSE),IF(AND(K324&lt;&gt;"",K324&gt;0,NOT(ISERROR(K324))),VLOOKUP(K324,'ESO wayshrines'!$K$3:$N$9972,4,FALSE),"")))</f>
        <v>Maelstrom Arena</v>
      </c>
      <c r="T324" s="16" t="str">
        <f>IF(AND(S324&lt;&gt;"",NOT(ISERROR(S324))),S324,VLOOKUP(A324,'ESO Set&amp;DLCs'!$A$3:$D$99998,4,FALSE))</f>
        <v>DLC_ORSINIUM</v>
      </c>
      <c r="U324" s="3" t="str">
        <f>IF(T324&lt;&gt;"",VLOOKUP(T324,ConstDLCIds!$B$4:$C$1000,2,FALSE),"")</f>
        <v>Orsinium</v>
      </c>
      <c r="V324" s="4" t="s">
        <v>209</v>
      </c>
      <c r="Y324" s="5"/>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zones'!$A$5:$D$10003,4,FALSE),"")</f>
        <v>Wrothgar</v>
      </c>
      <c r="AB324" s="4"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zones'!$A$5:$D$10003,4,FALSE),"")</f>
        <v>Wrothgar</v>
      </c>
      <c r="AK324" s="3" t="str">
        <f>IF(AND(G324&lt;&gt;"LIBSETS_SETTYPE_BATTLEGROUND",G324&lt;&gt;"LIBSETS_SETTYPE_SPECIAL"),IF(AL324&lt;&gt;"",VLOOKUP(AL324,'ESO zones'!$D$5:$H$4957,5,FALSE),""),"")</f>
        <v/>
      </c>
      <c r="AP324" s="3" t="str">
        <f>IF(AND(G324&lt;&gt;"LIBSETS_SETTYPE_BATTLEGROUND",G324&lt;&gt;"LIBSETS_SETTYPE_SPECIAL"),IF(AQ324&lt;&gt;"",VLOOKUP(AQ324,'ESO zones'!$D$5:$H$4957,5,FALSE),""),"")</f>
        <v/>
      </c>
      <c r="AU324" s="3" t="str">
        <f>IF(AND(G324&lt;&gt;"LIBSETS_SETTYPE_BATTLEGROUND",G324&lt;&gt;"LIBSETS_SETTYPE_SPECIAL"),IF(AV324&lt;&gt;"",VLOOKUP(AV324,'ESO zones'!$D$5:$H$4957,5,FALSE),""),"")</f>
        <v/>
      </c>
      <c r="AZ324" s="49" t="s">
        <v>403</v>
      </c>
      <c r="BA324" s="49"/>
      <c r="BB324" s="49"/>
      <c r="BC324" s="49"/>
      <c r="BD324" s="49">
        <v>524</v>
      </c>
      <c r="BE324" s="18" t="str">
        <f t="shared" si="31"/>
        <v>[371] = {wayshrines={249,249,249,}, dlcId=DLC_ORSINIUM</v>
      </c>
      <c r="BF324" s="18" t="str">
        <f t="shared" si="32"/>
        <v>, zoneIds={677,684,684}, veteran=false</v>
      </c>
      <c r="BG324" s="18" t="str">
        <f t="shared" si="33"/>
        <v>, setType=LIBSETS_SETTYPE_ARENA</v>
      </c>
      <c r="BH324" s="18" t="str">
        <f t="shared" si="34"/>
        <v>, dropMechanic={LIBSETS_DROP_MECHANIC_ARENA_STAGE_CHEST,LIBSETS_DROP_MECHANIC_ARENA_STAGE_CHEST}, perfectedSetId=524</v>
      </c>
      <c r="BI324" s="18" t="str">
        <f t="shared" si="35"/>
        <v>}, --Cruel Flurry / Grausamer Schlaghagel   [Maelstrom Arena, Wrothgar, Wrothgar]</v>
      </c>
    </row>
    <row r="325" spans="1:61" x14ac:dyDescent="0.25">
      <c r="A325" s="12">
        <v>372</v>
      </c>
      <c r="B325" t="s">
        <v>1150</v>
      </c>
      <c r="C325" t="s">
        <v>1151</v>
      </c>
      <c r="D325" s="3">
        <f t="shared" si="30"/>
        <v>372</v>
      </c>
      <c r="G325" s="9" t="s">
        <v>159</v>
      </c>
      <c r="I325" t="s">
        <v>401</v>
      </c>
      <c r="J325" t="s">
        <v>401</v>
      </c>
      <c r="K325">
        <v>249</v>
      </c>
      <c r="L325">
        <v>249</v>
      </c>
      <c r="M325">
        <v>249</v>
      </c>
      <c r="O325" s="5" t="s">
        <v>818</v>
      </c>
      <c r="Q325" s="3">
        <f>IF(AND(P325&lt;&gt;"",ISNUMBER(P325),NOT(ISNA(P325))),P325,IF(R325&lt;&gt;"",VLOOKUP(R325,'ESO zones'!$D$5:$H$10005,5,FALSE),""))</f>
        <v>677</v>
      </c>
      <c r="R325" t="str">
        <f>IF(AND(O325&lt;&gt;"",NOT(ISERROR(O325))),O325,IF(AND(P325&lt;&gt;"",ISNUMBER(P325),P325&gt;0,NOT(ISNA(P325))),VLOOKUP(P325,'ESO zones'!$A$5:$D$10003,4,FALSE),IF(AND(K325&lt;&gt;"",K325&gt;0,NOT(ISERROR(K325))),VLOOKUP(K325,'ESO wayshrines'!$K$3:$N$9972,4,FALSE),"")))</f>
        <v>Maelstrom Arena</v>
      </c>
      <c r="T325" s="16" t="str">
        <f>IF(AND(S325&lt;&gt;"",NOT(ISERROR(S325))),S325,VLOOKUP(A325,'ESO Set&amp;DLCs'!$A$3:$D$99998,4,FALSE))</f>
        <v>DLC_ORSINIUM</v>
      </c>
      <c r="U325" s="3" t="str">
        <f>IF(T325&lt;&gt;"",VLOOKUP(T325,ConstDLCIds!$B$4:$C$1000,2,FALSE),"")</f>
        <v>Orsinium</v>
      </c>
      <c r="V325" s="4" t="s">
        <v>209</v>
      </c>
      <c r="Y325" s="5"/>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zones'!$A$5:$D$10003,4,FALSE),"")</f>
        <v>Wrothgar</v>
      </c>
      <c r="AB325" s="4"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zones'!$A$5:$D$10003,4,FALSE),"")</f>
        <v>Wrothgar</v>
      </c>
      <c r="AK325" s="3" t="str">
        <f>IF(AND(G325&lt;&gt;"LIBSETS_SETTYPE_BATTLEGROUND",G325&lt;&gt;"LIBSETS_SETTYPE_SPECIAL"),IF(AL325&lt;&gt;"",VLOOKUP(AL325,'ESO zones'!$D$5:$H$4957,5,FALSE),""),"")</f>
        <v/>
      </c>
      <c r="AP325" s="3" t="str">
        <f>IF(AND(G325&lt;&gt;"LIBSETS_SETTYPE_BATTLEGROUND",G325&lt;&gt;"LIBSETS_SETTYPE_SPECIAL"),IF(AQ325&lt;&gt;"",VLOOKUP(AQ325,'ESO zones'!$D$5:$H$4957,5,FALSE),""),"")</f>
        <v/>
      </c>
      <c r="AU325" s="3" t="str">
        <f>IF(AND(G325&lt;&gt;"LIBSETS_SETTYPE_BATTLEGROUND",G325&lt;&gt;"LIBSETS_SETTYPE_SPECIAL"),IF(AV325&lt;&gt;"",VLOOKUP(AV325,'ESO zones'!$D$5:$H$4957,5,FALSE),""),"")</f>
        <v/>
      </c>
      <c r="AZ325" s="49" t="s">
        <v>403</v>
      </c>
      <c r="BA325" s="49"/>
      <c r="BB325" s="49"/>
      <c r="BC325" s="49"/>
      <c r="BD325" s="49">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2">
        <v>373</v>
      </c>
      <c r="B326" t="s">
        <v>1152</v>
      </c>
      <c r="C326" t="s">
        <v>1153</v>
      </c>
      <c r="D326" s="3">
        <f t="shared" si="30"/>
        <v>373</v>
      </c>
      <c r="G326" s="9" t="s">
        <v>159</v>
      </c>
      <c r="I326" t="s">
        <v>401</v>
      </c>
      <c r="J326" t="s">
        <v>401</v>
      </c>
      <c r="K326">
        <v>249</v>
      </c>
      <c r="L326">
        <v>249</v>
      </c>
      <c r="M326">
        <v>249</v>
      </c>
      <c r="O326" s="5" t="s">
        <v>818</v>
      </c>
      <c r="Q326" s="3">
        <f>IF(AND(P326&lt;&gt;"",ISNUMBER(P326),NOT(ISNA(P326))),P326,IF(R326&lt;&gt;"",VLOOKUP(R326,'ESO zones'!$D$5:$H$10005,5,FALSE),""))</f>
        <v>677</v>
      </c>
      <c r="R326" t="str">
        <f>IF(AND(O326&lt;&gt;"",NOT(ISERROR(O326))),O326,IF(AND(P326&lt;&gt;"",ISNUMBER(P326),P326&gt;0,NOT(ISNA(P326))),VLOOKUP(P326,'ESO zones'!$A$5:$D$10003,4,FALSE),IF(AND(K326&lt;&gt;"",K326&gt;0,NOT(ISERROR(K326))),VLOOKUP(K326,'ESO wayshrines'!$K$3:$N$9972,4,FALSE),"")))</f>
        <v>Maelstrom Arena</v>
      </c>
      <c r="T326" s="16" t="str">
        <f>IF(AND(S326&lt;&gt;"",NOT(ISERROR(S326))),S326,VLOOKUP(A326,'ESO Set&amp;DLCs'!$A$3:$D$99998,4,FALSE))</f>
        <v>DLC_ORSINIUM</v>
      </c>
      <c r="U326" s="3" t="str">
        <f>IF(T326&lt;&gt;"",VLOOKUP(T326,ConstDLCIds!$B$4:$C$1000,2,FALSE),"")</f>
        <v>Orsinium</v>
      </c>
      <c r="V326" s="4" t="s">
        <v>209</v>
      </c>
      <c r="Y326" s="5"/>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zones'!$A$5:$D$10003,4,FALSE),"")</f>
        <v>Wrothgar</v>
      </c>
      <c r="AB326" s="4"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zones'!$A$5:$D$10003,4,FALSE),"")</f>
        <v>Wrothgar</v>
      </c>
      <c r="AK326" s="3" t="str">
        <f>IF(AND(G326&lt;&gt;"LIBSETS_SETTYPE_BATTLEGROUND",G326&lt;&gt;"LIBSETS_SETTYPE_SPECIAL"),IF(AL326&lt;&gt;"",VLOOKUP(AL326,'ESO zones'!$D$5:$H$4957,5,FALSE),""),"")</f>
        <v/>
      </c>
      <c r="AP326" s="3" t="str">
        <f>IF(AND(G326&lt;&gt;"LIBSETS_SETTYPE_BATTLEGROUND",G326&lt;&gt;"LIBSETS_SETTYPE_SPECIAL"),IF(AQ326&lt;&gt;"",VLOOKUP(AQ326,'ESO zones'!$D$5:$H$4957,5,FALSE),""),"")</f>
        <v/>
      </c>
      <c r="AU326" s="3" t="str">
        <f>IF(AND(G326&lt;&gt;"LIBSETS_SETTYPE_BATTLEGROUND",G326&lt;&gt;"LIBSETS_SETTYPE_SPECIAL"),IF(AV326&lt;&gt;"",VLOOKUP(AV326,'ESO zones'!$D$5:$H$4957,5,FALSE),""),"")</f>
        <v/>
      </c>
      <c r="AZ326" s="49" t="s">
        <v>410</v>
      </c>
      <c r="BA326" s="49"/>
      <c r="BB326" s="49"/>
      <c r="BC326" s="49"/>
      <c r="BD326" s="49">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2">
        <v>374</v>
      </c>
      <c r="B327" t="s">
        <v>1154</v>
      </c>
      <c r="C327" t="s">
        <v>1155</v>
      </c>
      <c r="D327" s="3">
        <f t="shared" si="30"/>
        <v>374</v>
      </c>
      <c r="G327" s="9" t="s">
        <v>159</v>
      </c>
      <c r="I327" t="s">
        <v>401</v>
      </c>
      <c r="J327" t="s">
        <v>401</v>
      </c>
      <c r="K327">
        <v>249</v>
      </c>
      <c r="L327">
        <v>249</v>
      </c>
      <c r="M327">
        <v>249</v>
      </c>
      <c r="O327" s="5" t="s">
        <v>818</v>
      </c>
      <c r="Q327" s="3">
        <f>IF(AND(P327&lt;&gt;"",ISNUMBER(P327),NOT(ISNA(P327))),P327,IF(R327&lt;&gt;"",VLOOKUP(R327,'ESO zones'!$D$5:$H$10005,5,FALSE),""))</f>
        <v>677</v>
      </c>
      <c r="R327" t="str">
        <f>IF(AND(O327&lt;&gt;"",NOT(ISERROR(O327))),O327,IF(AND(P327&lt;&gt;"",ISNUMBER(P327),P327&gt;0,NOT(ISNA(P327))),VLOOKUP(P327,'ESO zones'!$A$5:$D$10003,4,FALSE),IF(AND(K327&lt;&gt;"",K327&gt;0,NOT(ISERROR(K327))),VLOOKUP(K327,'ESO wayshrines'!$K$3:$N$9972,4,FALSE),"")))</f>
        <v>Maelstrom Arena</v>
      </c>
      <c r="T327" s="16" t="str">
        <f>IF(AND(S327&lt;&gt;"",NOT(ISERROR(S327))),S327,VLOOKUP(A327,'ESO Set&amp;DLCs'!$A$3:$D$99998,4,FALSE))</f>
        <v>DLC_ORSINIUM</v>
      </c>
      <c r="U327" s="3" t="str">
        <f>IF(T327&lt;&gt;"",VLOOKUP(T327,ConstDLCIds!$B$4:$C$1000,2,FALSE),"")</f>
        <v>Orsinium</v>
      </c>
      <c r="V327" s="4" t="s">
        <v>209</v>
      </c>
      <c r="Y327" s="5"/>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zones'!$A$5:$D$10003,4,FALSE),"")</f>
        <v>Wrothgar</v>
      </c>
      <c r="AB327" s="4"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zones'!$A$5:$D$10003,4,FALSE),"")</f>
        <v>Wrothgar</v>
      </c>
      <c r="AK327" s="3" t="str">
        <f>IF(AND(G327&lt;&gt;"LIBSETS_SETTYPE_BATTLEGROUND",G327&lt;&gt;"LIBSETS_SETTYPE_SPECIAL"),IF(AL327&lt;&gt;"",VLOOKUP(AL327,'ESO zones'!$D$5:$H$4957,5,FALSE),""),"")</f>
        <v/>
      </c>
      <c r="AP327" s="3" t="str">
        <f>IF(AND(G327&lt;&gt;"LIBSETS_SETTYPE_BATTLEGROUND",G327&lt;&gt;"LIBSETS_SETTYPE_SPECIAL"),IF(AQ327&lt;&gt;"",VLOOKUP(AQ327,'ESO zones'!$D$5:$H$4957,5,FALSE),""),"")</f>
        <v/>
      </c>
      <c r="AU327" s="3" t="str">
        <f>IF(AND(G327&lt;&gt;"LIBSETS_SETTYPE_BATTLEGROUND",G327&lt;&gt;"LIBSETS_SETTYPE_SPECIAL"),IF(AV327&lt;&gt;"",VLOOKUP(AV327,'ESO zones'!$D$5:$H$4957,5,FALSE),""),"")</f>
        <v/>
      </c>
      <c r="AZ327" s="49" t="s">
        <v>403</v>
      </c>
      <c r="BA327" s="49"/>
      <c r="BB327" s="49"/>
      <c r="BC327" s="49"/>
      <c r="BD327" s="49">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2">
        <v>380</v>
      </c>
      <c r="B328" t="s">
        <v>1156</v>
      </c>
      <c r="C328" t="s">
        <v>1157</v>
      </c>
      <c r="D328" s="3">
        <f t="shared" si="30"/>
        <v>380</v>
      </c>
      <c r="E328" t="s">
        <v>1158</v>
      </c>
      <c r="F328" t="s">
        <v>1159</v>
      </c>
      <c r="G328" s="9" t="s">
        <v>176</v>
      </c>
      <c r="I328" t="s">
        <v>401</v>
      </c>
      <c r="J328" t="s">
        <v>401</v>
      </c>
      <c r="K328">
        <v>-1</v>
      </c>
      <c r="L328">
        <v>-1</v>
      </c>
      <c r="M328">
        <v>-1</v>
      </c>
      <c r="O328" s="5" t="s">
        <v>1160</v>
      </c>
      <c r="P328" s="5">
        <v>-99</v>
      </c>
      <c r="Q328" s="3">
        <f>IF(AND(P328&lt;&gt;"",ISNUMBER(P328),NOT(ISNA(P328))),P328,IF(R328&lt;&gt;"",VLOOKUP(R328,'ESO zones'!$D$5:$H$10005,5,FALSE),""))</f>
        <v>-99</v>
      </c>
      <c r="R328" t="str">
        <f>IF(AND(O328&lt;&gt;"",NOT(ISERROR(O328))),O328,IF(AND(P328&lt;&gt;"",ISNUMBER(P328),P328&gt;0,NOT(ISNA(P328))),VLOOKUP(P328,'ESO zones'!$A$5:$D$10003,4,FALSE),IF(AND(K328&lt;&gt;"",K328&gt;0,NOT(ISERROR(K328))),VLOOKUP(K328,'ESO wayshrines'!$K$3:$N$9972,4,FALSE),"")))</f>
        <v>!Level up advisor</v>
      </c>
      <c r="T328" s="16" t="str">
        <f>IF(AND(S328&lt;&gt;"",NOT(ISERROR(S328))),S328,VLOOKUP(A328,'ESO Set&amp;DLCs'!$A$3:$D$99998,4,FALSE))</f>
        <v>DLC_BASE_GAME</v>
      </c>
      <c r="U328" s="3" t="str">
        <f>IF(T328&lt;&gt;"",VLOOKUP(T328,ConstDLCIds!$B$4:$C$1000,2,FALSE),"")</f>
        <v>Included in base game</v>
      </c>
      <c r="V328" s="4" t="s">
        <v>236</v>
      </c>
      <c r="Y328" s="5"/>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zones'!$A$5:$D$10003,4,FALSE),"")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zones'!$A$5:$D$10003,4,FALSE),"")</f>
        <v/>
      </c>
      <c r="AK328" s="3" t="str">
        <f>IF(AND(G328&lt;&gt;"LIBSETS_SETTYPE_BATTLEGROUND",G328&lt;&gt;"LIBSETS_SETTYPE_SPECIAL"),IF(AL328&lt;&gt;"",VLOOKUP(AL328,'ESO zones'!$D$5:$H$4957,5,FALSE),""),"")</f>
        <v/>
      </c>
      <c r="AP328" s="3" t="str">
        <f>IF(AND(G328&lt;&gt;"LIBSETS_SETTYPE_BATTLEGROUND",G328&lt;&gt;"LIBSETS_SETTYPE_SPECIAL"),IF(AQ328&lt;&gt;"",VLOOKUP(AQ328,'ESO zones'!$D$5:$H$4957,5,FALSE),""),"")</f>
        <v/>
      </c>
      <c r="AU328" s="3" t="str">
        <f>IF(AND(G328&lt;&gt;"LIBSETS_SETTYPE_BATTLEGROUND",G328&lt;&gt;"LIBSETS_SETTYPE_SPECIAL"),IF(AV328&lt;&gt;"",VLOOKUP(AV328,'ESO zones'!$D$5:$H$4957,5,FALSE),""),"")</f>
        <v/>
      </c>
      <c r="AZ328" s="49" t="s">
        <v>403</v>
      </c>
      <c r="BA328" s="49"/>
      <c r="BB328" s="49"/>
      <c r="BC328" s="49"/>
      <c r="BD328" s="49"/>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2">
        <v>381</v>
      </c>
      <c r="B329" t="s">
        <v>1161</v>
      </c>
      <c r="C329" t="s">
        <v>1162</v>
      </c>
      <c r="D329" s="3">
        <f t="shared" si="30"/>
        <v>381</v>
      </c>
      <c r="E329" t="s">
        <v>1158</v>
      </c>
      <c r="F329" t="s">
        <v>1159</v>
      </c>
      <c r="G329" s="9" t="s">
        <v>176</v>
      </c>
      <c r="I329" t="s">
        <v>401</v>
      </c>
      <c r="J329" t="s">
        <v>401</v>
      </c>
      <c r="K329">
        <v>-1</v>
      </c>
      <c r="L329">
        <v>-1</v>
      </c>
      <c r="M329">
        <v>-1</v>
      </c>
      <c r="O329" s="5" t="s">
        <v>1160</v>
      </c>
      <c r="P329" s="5">
        <v>-99</v>
      </c>
      <c r="Q329" s="3">
        <f>IF(AND(P329&lt;&gt;"",ISNUMBER(P329),NOT(ISNA(P329))),P329,IF(R329&lt;&gt;"",VLOOKUP(R329,'ESO zones'!$D$5:$H$10005,5,FALSE),""))</f>
        <v>-99</v>
      </c>
      <c r="R329" t="str">
        <f>IF(AND(O329&lt;&gt;"",NOT(ISERROR(O329))),O329,IF(AND(P329&lt;&gt;"",ISNUMBER(P329),P329&gt;0,NOT(ISNA(P329))),VLOOKUP(P329,'ESO zones'!$A$5:$D$10003,4,FALSE),IF(AND(K329&lt;&gt;"",K329&gt;0,NOT(ISERROR(K329))),VLOOKUP(K329,'ESO wayshrines'!$K$3:$N$9972,4,FALSE),"")))</f>
        <v>!Level up advisor</v>
      </c>
      <c r="T329" s="16" t="str">
        <f>IF(AND(S329&lt;&gt;"",NOT(ISERROR(S329))),S329,VLOOKUP(A329,'ESO Set&amp;DLCs'!$A$3:$D$99998,4,FALSE))</f>
        <v>DLC_BASE_GAME</v>
      </c>
      <c r="U329" s="3" t="str">
        <f>IF(T329&lt;&gt;"",VLOOKUP(T329,ConstDLCIds!$B$4:$C$1000,2,FALSE),"")</f>
        <v>Included in base game</v>
      </c>
      <c r="V329" s="4" t="s">
        <v>236</v>
      </c>
      <c r="Y329" s="5"/>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zones'!$A$5:$D$10003,4,FALSE),"")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zones'!$A$5:$D$10003,4,FALSE),"")</f>
        <v/>
      </c>
      <c r="AK329" s="3" t="str">
        <f>IF(AND(G329&lt;&gt;"LIBSETS_SETTYPE_BATTLEGROUND",G329&lt;&gt;"LIBSETS_SETTYPE_SPECIAL"),IF(AL329&lt;&gt;"",VLOOKUP(AL329,'ESO zones'!$D$5:$H$4957,5,FALSE),""),"")</f>
        <v/>
      </c>
      <c r="AP329" s="3" t="str">
        <f>IF(AND(G329&lt;&gt;"LIBSETS_SETTYPE_BATTLEGROUND",G329&lt;&gt;"LIBSETS_SETTYPE_SPECIAL"),IF(AQ329&lt;&gt;"",VLOOKUP(AQ329,'ESO zones'!$D$5:$H$4957,5,FALSE),""),"")</f>
        <v/>
      </c>
      <c r="AU329" s="3" t="str">
        <f>IF(AND(G329&lt;&gt;"LIBSETS_SETTYPE_BATTLEGROUND",G329&lt;&gt;"LIBSETS_SETTYPE_SPECIAL"),IF(AV329&lt;&gt;"",VLOOKUP(AV329,'ESO zones'!$D$5:$H$4957,5,FALSE),""),"")</f>
        <v/>
      </c>
      <c r="AZ329" s="49" t="s">
        <v>403</v>
      </c>
      <c r="BA329" s="49"/>
      <c r="BB329" s="49"/>
      <c r="BC329" s="49"/>
      <c r="BD329" s="49"/>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2">
        <v>382</v>
      </c>
      <c r="B330" t="s">
        <v>1163</v>
      </c>
      <c r="C330" t="s">
        <v>1164</v>
      </c>
      <c r="D330" s="3">
        <f t="shared" si="30"/>
        <v>382</v>
      </c>
      <c r="G330" s="9" t="s">
        <v>174</v>
      </c>
      <c r="I330" t="s">
        <v>401</v>
      </c>
      <c r="J330" t="s">
        <v>401</v>
      </c>
      <c r="K330">
        <v>355</v>
      </c>
      <c r="L330">
        <v>355</v>
      </c>
      <c r="M330">
        <v>355</v>
      </c>
      <c r="O330" s="5" t="s">
        <v>38</v>
      </c>
      <c r="Q330" s="3">
        <f>IF(AND(P330&lt;&gt;"",ISNUMBER(P330),NOT(ISNA(P330))),P330,IF(R330&lt;&gt;"",VLOOKUP(R330,'ESO zones'!$D$5:$H$10005,5,FALSE),""))</f>
        <v>1011</v>
      </c>
      <c r="R330" t="str">
        <f>IF(AND(O330&lt;&gt;"",NOT(ISERROR(O330))),O330,IF(AND(P330&lt;&gt;"",ISNUMBER(P330),P330&gt;0,NOT(ISNA(P330))),VLOOKUP(P330,'ESO zones'!$A$5:$D$10003,4,FALSE),IF(AND(K330&lt;&gt;"",K330&gt;0,NOT(ISERROR(K330))),VLOOKUP(K330,'ESO wayshrines'!$K$3:$N$9972,4,FALSE),"")))</f>
        <v>Summerset</v>
      </c>
      <c r="T330" s="16" t="str">
        <f>IF(AND(S330&lt;&gt;"",NOT(ISERROR(S330))),S330,VLOOKUP(A330,'ESO Set&amp;DLCs'!$A$3:$D$99998,4,FALSE))</f>
        <v>DLC_SUMMERSET</v>
      </c>
      <c r="U330" s="3" t="str">
        <f>IF(T330&lt;&gt;"",VLOOKUP(T330,ConstDLCIds!$B$4:$C$1000,2,FALSE),"")</f>
        <v>Summerset</v>
      </c>
      <c r="V330" s="4" t="s">
        <v>215</v>
      </c>
      <c r="Y330" s="5"/>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zones'!$A$5:$D$10003,4,FALSE),"")</f>
        <v>Summerset</v>
      </c>
      <c r="AB330" s="4" t="s">
        <v>218</v>
      </c>
      <c r="AE330" s="3">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zones'!$A$5:$D$10003,4,FALSE),"")</f>
        <v>Karnwasten</v>
      </c>
      <c r="AH330" s="4" t="s">
        <v>221</v>
      </c>
      <c r="AK330" s="3">
        <f>IF(AND(G330&lt;&gt;"LIBSETS_SETTYPE_BATTLEGROUND",G330&lt;&gt;"LIBSETS_SETTYPE_SPECIAL"),IF(AL330&lt;&gt;"",VLOOKUP(AL330,'ESO zones'!$D$5:$H$4957,5,FALSE),""),"")</f>
        <v>1011</v>
      </c>
      <c r="AL330" t="s">
        <v>38</v>
      </c>
      <c r="AM330" s="4" t="s">
        <v>224</v>
      </c>
      <c r="AP330" s="3">
        <f>IF(AND(G330&lt;&gt;"LIBSETS_SETTYPE_BATTLEGROUND",G330&lt;&gt;"LIBSETS_SETTYPE_SPECIAL"),IF(AQ330&lt;&gt;"",VLOOKUP(AQ330,'ESO zones'!$D$5:$H$4957,5,FALSE),""),"")</f>
        <v>1021</v>
      </c>
      <c r="AQ330" t="s">
        <v>1165</v>
      </c>
      <c r="AR330" s="80" t="s">
        <v>221</v>
      </c>
      <c r="AU330" s="3">
        <f>IF(AND(G330&lt;&gt;"LIBSETS_SETTYPE_BATTLEGROUND",G330&lt;&gt;"LIBSETS_SETTYPE_SPECIAL"),IF(AV330&lt;&gt;"",VLOOKUP(AV330,'ESO zones'!$D$5:$H$4957,5,FALSE),""),"")</f>
        <v>1027</v>
      </c>
      <c r="AV330" t="s">
        <v>1166</v>
      </c>
      <c r="AW330" s="4" t="s">
        <v>215</v>
      </c>
      <c r="AZ330" s="49" t="s">
        <v>403</v>
      </c>
      <c r="BA330" s="49"/>
      <c r="BB330" s="49"/>
      <c r="BC330" s="49"/>
      <c r="BD330" s="49"/>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2">
        <v>383</v>
      </c>
      <c r="B331" t="s">
        <v>1167</v>
      </c>
      <c r="C331" t="s">
        <v>1168</v>
      </c>
      <c r="D331" s="3">
        <f t="shared" si="30"/>
        <v>383</v>
      </c>
      <c r="G331" s="9" t="s">
        <v>174</v>
      </c>
      <c r="I331" t="s">
        <v>401</v>
      </c>
      <c r="J331" t="s">
        <v>401</v>
      </c>
      <c r="K331">
        <v>355</v>
      </c>
      <c r="L331">
        <v>355</v>
      </c>
      <c r="M331">
        <v>355</v>
      </c>
      <c r="O331" s="5" t="s">
        <v>38</v>
      </c>
      <c r="Q331" s="3">
        <f>IF(AND(P331&lt;&gt;"",ISNUMBER(P331),NOT(ISNA(P331))),P331,IF(R331&lt;&gt;"",VLOOKUP(R331,'ESO zones'!$D$5:$H$10005,5,FALSE),""))</f>
        <v>1011</v>
      </c>
      <c r="R331" t="str">
        <f>IF(AND(O331&lt;&gt;"",NOT(ISERROR(O331))),O331,IF(AND(P331&lt;&gt;"",ISNUMBER(P331),P331&gt;0,NOT(ISNA(P331))),VLOOKUP(P331,'ESO zones'!$A$5:$D$10003,4,FALSE),IF(AND(K331&lt;&gt;"",K331&gt;0,NOT(ISERROR(K331))),VLOOKUP(K331,'ESO wayshrines'!$K$3:$N$9972,4,FALSE),"")))</f>
        <v>Summerset</v>
      </c>
      <c r="T331" s="16" t="str">
        <f>IF(AND(S331&lt;&gt;"",NOT(ISERROR(S331))),S331,VLOOKUP(A331,'ESO Set&amp;DLCs'!$A$3:$D$99998,4,FALSE))</f>
        <v>DLC_SUMMERSET</v>
      </c>
      <c r="U331" s="3" t="str">
        <f>IF(T331&lt;&gt;"",VLOOKUP(T331,ConstDLCIds!$B$4:$C$1000,2,FALSE),"")</f>
        <v>Summerset</v>
      </c>
      <c r="V331" s="4" t="s">
        <v>215</v>
      </c>
      <c r="Y331" s="5"/>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zones'!$A$5:$D$10003,4,FALSE),"")</f>
        <v>Summerset</v>
      </c>
      <c r="AB331" s="4" t="s">
        <v>218</v>
      </c>
      <c r="AE331" s="3">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zones'!$A$5:$D$10003,4,FALSE),"")</f>
        <v>Karnwasten</v>
      </c>
      <c r="AH331" s="4" t="s">
        <v>221</v>
      </c>
      <c r="AK331" s="3">
        <f>IF(AND(G331&lt;&gt;"LIBSETS_SETTYPE_BATTLEGROUND",G331&lt;&gt;"LIBSETS_SETTYPE_SPECIAL"),IF(AL331&lt;&gt;"",VLOOKUP(AL331,'ESO zones'!$D$5:$H$4957,5,FALSE),""),"")</f>
        <v>1011</v>
      </c>
      <c r="AL331" t="s">
        <v>38</v>
      </c>
      <c r="AM331" s="4" t="s">
        <v>224</v>
      </c>
      <c r="AP331" s="3">
        <f>IF(AND(G331&lt;&gt;"LIBSETS_SETTYPE_BATTLEGROUND",G331&lt;&gt;"LIBSETS_SETTYPE_SPECIAL"),IF(AQ331&lt;&gt;"",VLOOKUP(AQ331,'ESO zones'!$D$5:$H$4957,5,FALSE),""),"")</f>
        <v>1021</v>
      </c>
      <c r="AQ331" t="s">
        <v>1165</v>
      </c>
      <c r="AR331" s="80" t="s">
        <v>221</v>
      </c>
      <c r="AU331" s="3">
        <f>IF(AND(G331&lt;&gt;"LIBSETS_SETTYPE_BATTLEGROUND",G331&lt;&gt;"LIBSETS_SETTYPE_SPECIAL"),IF(AV331&lt;&gt;"",VLOOKUP(AV331,'ESO zones'!$D$5:$H$4957,5,FALSE),""),"")</f>
        <v>1027</v>
      </c>
      <c r="AV331" t="s">
        <v>1166</v>
      </c>
      <c r="AW331" s="4" t="s">
        <v>215</v>
      </c>
      <c r="AZ331" s="49" t="s">
        <v>403</v>
      </c>
      <c r="BA331" s="49"/>
      <c r="BB331" s="49"/>
      <c r="BC331" s="49"/>
      <c r="BD331" s="49"/>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2">
        <v>384</v>
      </c>
      <c r="B332" t="s">
        <v>1169</v>
      </c>
      <c r="C332" t="s">
        <v>1170</v>
      </c>
      <c r="D332" s="3">
        <f t="shared" si="30"/>
        <v>384</v>
      </c>
      <c r="G332" s="9" t="s">
        <v>174</v>
      </c>
      <c r="I332" t="s">
        <v>401</v>
      </c>
      <c r="J332" t="s">
        <v>401</v>
      </c>
      <c r="K332">
        <v>355</v>
      </c>
      <c r="L332">
        <v>355</v>
      </c>
      <c r="M332">
        <v>355</v>
      </c>
      <c r="O332" s="5" t="s">
        <v>38</v>
      </c>
      <c r="Q332" s="3">
        <f>IF(AND(P332&lt;&gt;"",ISNUMBER(P332),NOT(ISNA(P332))),P332,IF(R332&lt;&gt;"",VLOOKUP(R332,'ESO zones'!$D$5:$H$10005,5,FALSE),""))</f>
        <v>1011</v>
      </c>
      <c r="R332" t="str">
        <f>IF(AND(O332&lt;&gt;"",NOT(ISERROR(O332))),O332,IF(AND(P332&lt;&gt;"",ISNUMBER(P332),P332&gt;0,NOT(ISNA(P332))),VLOOKUP(P332,'ESO zones'!$A$5:$D$10003,4,FALSE),IF(AND(K332&lt;&gt;"",K332&gt;0,NOT(ISERROR(K332))),VLOOKUP(K332,'ESO wayshrines'!$K$3:$N$9972,4,FALSE),"")))</f>
        <v>Summerset</v>
      </c>
      <c r="T332" s="16" t="str">
        <f>IF(AND(S332&lt;&gt;"",NOT(ISERROR(S332))),S332,VLOOKUP(A332,'ESO Set&amp;DLCs'!$A$3:$D$99998,4,FALSE))</f>
        <v>DLC_SUMMERSET</v>
      </c>
      <c r="U332" s="3" t="str">
        <f>IF(T332&lt;&gt;"",VLOOKUP(T332,ConstDLCIds!$B$4:$C$1000,2,FALSE),"")</f>
        <v>Summerset</v>
      </c>
      <c r="V332" s="4" t="s">
        <v>215</v>
      </c>
      <c r="Y332" s="5"/>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zones'!$A$5:$D$10003,4,FALSE),"")</f>
        <v>Summerset</v>
      </c>
      <c r="AB332" s="4" t="s">
        <v>218</v>
      </c>
      <c r="AE332" s="3">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zones'!$A$5:$D$10003,4,FALSE),"")</f>
        <v>Karnwasten</v>
      </c>
      <c r="AH332" s="4" t="s">
        <v>221</v>
      </c>
      <c r="AK332" s="3">
        <f>IF(AND(G332&lt;&gt;"LIBSETS_SETTYPE_BATTLEGROUND",G332&lt;&gt;"LIBSETS_SETTYPE_SPECIAL"),IF(AL332&lt;&gt;"",VLOOKUP(AL332,'ESO zones'!$D$5:$H$4957,5,FALSE),""),"")</f>
        <v>1011</v>
      </c>
      <c r="AL332" t="s">
        <v>38</v>
      </c>
      <c r="AM332" s="4" t="s">
        <v>224</v>
      </c>
      <c r="AP332" s="3">
        <f>IF(AND(G332&lt;&gt;"LIBSETS_SETTYPE_BATTLEGROUND",G332&lt;&gt;"LIBSETS_SETTYPE_SPECIAL"),IF(AQ332&lt;&gt;"",VLOOKUP(AQ332,'ESO zones'!$D$5:$H$4957,5,FALSE),""),"")</f>
        <v>1021</v>
      </c>
      <c r="AQ332" t="s">
        <v>1165</v>
      </c>
      <c r="AR332" s="80" t="s">
        <v>221</v>
      </c>
      <c r="AU332" s="3">
        <f>IF(AND(G332&lt;&gt;"LIBSETS_SETTYPE_BATTLEGROUND",G332&lt;&gt;"LIBSETS_SETTYPE_SPECIAL"),IF(AV332&lt;&gt;"",VLOOKUP(AV332,'ESO zones'!$D$5:$H$4957,5,FALSE),""),"")</f>
        <v>1027</v>
      </c>
      <c r="AV332" t="s">
        <v>1166</v>
      </c>
      <c r="AW332" s="4" t="s">
        <v>215</v>
      </c>
      <c r="AZ332" s="49" t="s">
        <v>403</v>
      </c>
      <c r="BA332" s="49"/>
      <c r="BB332" s="49"/>
      <c r="BC332" s="49"/>
      <c r="BD332" s="49"/>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1">
        <v>385</v>
      </c>
      <c r="B333" t="s">
        <v>1171</v>
      </c>
      <c r="C333" t="s">
        <v>1172</v>
      </c>
      <c r="D333" s="3">
        <f t="shared" si="30"/>
        <v>385</v>
      </c>
      <c r="G333" s="9" t="s">
        <v>163</v>
      </c>
      <c r="I333" t="s">
        <v>401</v>
      </c>
      <c r="J333" t="s">
        <v>401</v>
      </c>
      <c r="K333">
        <v>359</v>
      </c>
      <c r="L333">
        <v>359</v>
      </c>
      <c r="M333">
        <v>359</v>
      </c>
      <c r="N333">
        <v>3</v>
      </c>
      <c r="Q333" s="3">
        <f>IF(AND(P333&lt;&gt;"",ISNUMBER(P333),NOT(ISNA(P333))),P333,IF(R333&lt;&gt;"",VLOOKUP(R333,'ESO zones'!$D$5:$H$10005,5,FALSE),""))</f>
        <v>1011</v>
      </c>
      <c r="R333" t="str">
        <f>IF(AND(O333&lt;&gt;"",NOT(ISERROR(O333))),O333,IF(AND(P333&lt;&gt;"",ISNUMBER(P333),P333&gt;0,NOT(ISNA(P333))),VLOOKUP(P333,'ESO zones'!$A$5:$D$10003,4,FALSE),IF(AND(K333&lt;&gt;"",K333&gt;0,NOT(ISERROR(K333))),VLOOKUP(K333,'ESO wayshrines'!$K$3:$N$9972,4,FALSE),"")))</f>
        <v>Summerset</v>
      </c>
      <c r="T333" s="16" t="str">
        <f>IF(AND(S333&lt;&gt;"",NOT(ISERROR(S333))),S333,VLOOKUP(A333,'ESO Set&amp;DLCs'!$A$3:$D$99998,4,FALSE))</f>
        <v>DLC_SUMMERSET</v>
      </c>
      <c r="U333" s="3" t="str">
        <f>IF(T333&lt;&gt;"",VLOOKUP(T333,ConstDLCIds!$B$4:$C$1000,2,FALSE),"")</f>
        <v>Summerset</v>
      </c>
      <c r="V333" s="4" t="s">
        <v>281</v>
      </c>
      <c r="W333" s="29"/>
      <c r="X333" s="29"/>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zones'!$A$5:$D$10003,4,FALSE),"")</f>
        <v>Summerset</v>
      </c>
      <c r="AB333" s="4"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zones'!$A$5:$D$10003,4,FALSE),"")</f>
        <v>Summerset</v>
      </c>
      <c r="AH333" s="4" t="s">
        <v>281</v>
      </c>
      <c r="AK333" s="3" t="str">
        <f>IF(AND(G333&lt;&gt;"LIBSETS_SETTYPE_BATTLEGROUND",G333&lt;&gt;"LIBSETS_SETTYPE_SPECIAL"),IF(AL333&lt;&gt;"",VLOOKUP(AL333,'ESO zones'!$D$5:$H$4957,5,FALSE),""),"")</f>
        <v/>
      </c>
      <c r="AP333" s="3" t="str">
        <f>IF(AND(G333&lt;&gt;"LIBSETS_SETTYPE_BATTLEGROUND",G333&lt;&gt;"LIBSETS_SETTYPE_SPECIAL"),IF(AQ333&lt;&gt;"",VLOOKUP(AQ333,'ESO zones'!$D$5:$H$4957,5,FALSE),""),"")</f>
        <v/>
      </c>
      <c r="AU333" s="3" t="str">
        <f>IF(AND(G333&lt;&gt;"LIBSETS_SETTYPE_BATTLEGROUND",G333&lt;&gt;"LIBSETS_SETTYPE_SPECIAL"),IF(AV333&lt;&gt;"",VLOOKUP(AV333,'ESO zones'!$D$5:$H$4957,5,FALSE),""),"")</f>
        <v/>
      </c>
      <c r="AZ333" s="49" t="s">
        <v>403</v>
      </c>
      <c r="BA333" s="49"/>
      <c r="BB333" s="49"/>
      <c r="BC333" s="49"/>
      <c r="BD333" s="49"/>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1">
        <v>386</v>
      </c>
      <c r="B334" t="s">
        <v>1173</v>
      </c>
      <c r="C334" t="s">
        <v>1174</v>
      </c>
      <c r="D334" s="3">
        <f t="shared" si="30"/>
        <v>386</v>
      </c>
      <c r="G334" s="9" t="s">
        <v>163</v>
      </c>
      <c r="I334" t="s">
        <v>401</v>
      </c>
      <c r="J334" t="s">
        <v>401</v>
      </c>
      <c r="K334">
        <v>360</v>
      </c>
      <c r="L334">
        <v>360</v>
      </c>
      <c r="M334">
        <v>360</v>
      </c>
      <c r="N334">
        <v>6</v>
      </c>
      <c r="Q334" s="3">
        <f>IF(AND(P334&lt;&gt;"",ISNUMBER(P334),NOT(ISNA(P334))),P334,IF(R334&lt;&gt;"",VLOOKUP(R334,'ESO zones'!$D$5:$H$10005,5,FALSE),""))</f>
        <v>1027</v>
      </c>
      <c r="R334" t="str">
        <f>IF(AND(O334&lt;&gt;"",NOT(ISERROR(O334))),O334,IF(AND(P334&lt;&gt;"",ISNUMBER(P334),P334&gt;0,NOT(ISNA(P334))),VLOOKUP(P334,'ESO zones'!$A$5:$D$10003,4,FALSE),IF(AND(K334&lt;&gt;"",K334&gt;0,NOT(ISERROR(K334))),VLOOKUP(K334,'ESO wayshrines'!$K$3:$N$9972,4,FALSE),"")))</f>
        <v>Artaeum</v>
      </c>
      <c r="T334" s="16" t="str">
        <f>IF(AND(S334&lt;&gt;"",NOT(ISERROR(S334))),S334,VLOOKUP(A334,'ESO Set&amp;DLCs'!$A$3:$D$99998,4,FALSE))</f>
        <v>DLC_SUMMERSET</v>
      </c>
      <c r="U334" s="3" t="str">
        <f>IF(T334&lt;&gt;"",VLOOKUP(T334,ConstDLCIds!$B$4:$C$1000,2,FALSE),"")</f>
        <v>Summerset</v>
      </c>
      <c r="V334" s="4" t="s">
        <v>281</v>
      </c>
      <c r="Y334" s="5"/>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zones'!$A$5:$D$10003,4,FALSE),"")</f>
        <v>Artaeum</v>
      </c>
      <c r="AB334" s="4"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zones'!$A$5:$D$10003,4,FALSE),"")</f>
        <v>Artaeum</v>
      </c>
      <c r="AH334" s="4" t="s">
        <v>281</v>
      </c>
      <c r="AK334" s="3" t="str">
        <f>IF(AND(G334&lt;&gt;"LIBSETS_SETTYPE_BATTLEGROUND",G334&lt;&gt;"LIBSETS_SETTYPE_SPECIAL"),IF(AL334&lt;&gt;"",VLOOKUP(AL334,'ESO zones'!$D$5:$H$4957,5,FALSE),""),"")</f>
        <v/>
      </c>
      <c r="AP334" s="3" t="str">
        <f>IF(AND(G334&lt;&gt;"LIBSETS_SETTYPE_BATTLEGROUND",G334&lt;&gt;"LIBSETS_SETTYPE_SPECIAL"),IF(AQ334&lt;&gt;"",VLOOKUP(AQ334,'ESO zones'!$D$5:$H$4957,5,FALSE),""),"")</f>
        <v/>
      </c>
      <c r="AU334" s="3" t="str">
        <f>IF(AND(G334&lt;&gt;"LIBSETS_SETTYPE_BATTLEGROUND",G334&lt;&gt;"LIBSETS_SETTYPE_SPECIAL"),IF(AV334&lt;&gt;"",VLOOKUP(AV334,'ESO zones'!$D$5:$H$4957,5,FALSE),""),"")</f>
        <v/>
      </c>
      <c r="AZ334" s="49" t="s">
        <v>403</v>
      </c>
      <c r="BA334" s="49"/>
      <c r="BB334" s="49"/>
      <c r="BC334" s="49"/>
      <c r="BD334" s="49"/>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1">
        <v>387</v>
      </c>
      <c r="B335" t="s">
        <v>1175</v>
      </c>
      <c r="C335" t="s">
        <v>1176</v>
      </c>
      <c r="D335" s="3">
        <f t="shared" si="30"/>
        <v>387</v>
      </c>
      <c r="G335" s="9" t="s">
        <v>163</v>
      </c>
      <c r="I335" t="s">
        <v>401</v>
      </c>
      <c r="J335" t="s">
        <v>401</v>
      </c>
      <c r="K335">
        <v>354</v>
      </c>
      <c r="L335">
        <v>354</v>
      </c>
      <c r="M335">
        <v>354</v>
      </c>
      <c r="N335">
        <v>9</v>
      </c>
      <c r="Q335" s="3">
        <f>IF(AND(P335&lt;&gt;"",ISNUMBER(P335),NOT(ISNA(P335))),P335,IF(R335&lt;&gt;"",VLOOKUP(R335,'ESO zones'!$D$5:$H$10005,5,FALSE),""))</f>
        <v>1011</v>
      </c>
      <c r="R335" t="str">
        <f>IF(AND(O335&lt;&gt;"",NOT(ISERROR(O335))),O335,IF(AND(P335&lt;&gt;"",ISNUMBER(P335),P335&gt;0,NOT(ISNA(P335))),VLOOKUP(P335,'ESO zones'!$A$5:$D$10003,4,FALSE),IF(AND(K335&lt;&gt;"",K335&gt;0,NOT(ISERROR(K335))),VLOOKUP(K335,'ESO wayshrines'!$K$3:$N$9972,4,FALSE),"")))</f>
        <v>Summerset</v>
      </c>
      <c r="T335" s="16" t="str">
        <f>IF(AND(S335&lt;&gt;"",NOT(ISERROR(S335))),S335,VLOOKUP(A335,'ESO Set&amp;DLCs'!$A$3:$D$99998,4,FALSE))</f>
        <v>DLC_SUMMERSET</v>
      </c>
      <c r="U335" s="3" t="str">
        <f>IF(T335&lt;&gt;"",VLOOKUP(T335,ConstDLCIds!$B$4:$C$1000,2,FALSE),"")</f>
        <v>Summerset</v>
      </c>
      <c r="V335" s="4" t="s">
        <v>281</v>
      </c>
      <c r="Y335" s="5"/>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zones'!$A$5:$D$10003,4,FALSE),"")</f>
        <v>Summerset</v>
      </c>
      <c r="AB335" s="4"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zones'!$A$5:$D$10003,4,FALSE),"")</f>
        <v>Summerset</v>
      </c>
      <c r="AH335" s="4" t="s">
        <v>281</v>
      </c>
      <c r="AK335" s="3" t="str">
        <f>IF(AND(G335&lt;&gt;"LIBSETS_SETTYPE_BATTLEGROUND",G335&lt;&gt;"LIBSETS_SETTYPE_SPECIAL"),IF(AL335&lt;&gt;"",VLOOKUP(AL335,'ESO zones'!$D$5:$H$4957,5,FALSE),""),"")</f>
        <v/>
      </c>
      <c r="AP335" s="3" t="str">
        <f>IF(AND(G335&lt;&gt;"LIBSETS_SETTYPE_BATTLEGROUND",G335&lt;&gt;"LIBSETS_SETTYPE_SPECIAL"),IF(AQ335&lt;&gt;"",VLOOKUP(AQ335,'ESO zones'!$D$5:$H$4957,5,FALSE),""),"")</f>
        <v/>
      </c>
      <c r="AU335" s="3" t="str">
        <f>IF(AND(G335&lt;&gt;"LIBSETS_SETTYPE_BATTLEGROUND",G335&lt;&gt;"LIBSETS_SETTYPE_SPECIAL"),IF(AV335&lt;&gt;"",VLOOKUP(AV335,'ESO zones'!$D$5:$H$4957,5,FALSE),""),"")</f>
        <v/>
      </c>
      <c r="AZ335" s="49" t="s">
        <v>403</v>
      </c>
      <c r="BA335" s="49"/>
      <c r="BB335" s="49"/>
      <c r="BC335" s="49"/>
      <c r="BD335" s="49"/>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2">
        <v>388</v>
      </c>
      <c r="B336" t="s">
        <v>1177</v>
      </c>
      <c r="C336" t="s">
        <v>1178</v>
      </c>
      <c r="D336" s="3">
        <f t="shared" si="30"/>
        <v>388</v>
      </c>
      <c r="G336" s="9" t="s">
        <v>178</v>
      </c>
      <c r="I336" t="s">
        <v>401</v>
      </c>
      <c r="J336" t="s">
        <v>401</v>
      </c>
      <c r="K336">
        <v>364</v>
      </c>
      <c r="L336">
        <v>364</v>
      </c>
      <c r="M336">
        <v>364</v>
      </c>
      <c r="O336" s="5" t="s">
        <v>1179</v>
      </c>
      <c r="Q336" s="3">
        <f>IF(AND(P336&lt;&gt;"",ISNUMBER(P336),NOT(ISNA(P336))),P336,IF(R336&lt;&gt;"",VLOOKUP(R336,'ESO zones'!$D$5:$H$10005,5,FALSE),""))</f>
        <v>1051</v>
      </c>
      <c r="R336" t="str">
        <f>IF(AND(O336&lt;&gt;"",NOT(ISERROR(O336))),O336,IF(AND(P336&lt;&gt;"",ISNUMBER(P336),P336&gt;0,NOT(ISNA(P336))),VLOOKUP(P336,'ESO zones'!$A$5:$D$10003,4,FALSE),IF(AND(K336&lt;&gt;"",K336&gt;0,NOT(ISERROR(K336))),VLOOKUP(K336,'ESO wayshrines'!$K$3:$N$9972,4,FALSE),"")))</f>
        <v>Cloudrest</v>
      </c>
      <c r="T336" s="16" t="str">
        <f>IF(AND(S336&lt;&gt;"",NOT(ISERROR(S336))),S336,VLOOKUP(A336,'ESO Set&amp;DLCs'!$A$3:$D$99998,4,FALSE))</f>
        <v>DLC_SUMMERSET</v>
      </c>
      <c r="U336" s="3" t="str">
        <f>IF(T336&lt;&gt;"",VLOOKUP(T336,ConstDLCIds!$B$4:$C$1000,2,FALSE),"")</f>
        <v>Summerset</v>
      </c>
      <c r="V336" s="4" t="s">
        <v>272</v>
      </c>
      <c r="W336" s="29"/>
      <c r="X336" s="29"/>
      <c r="Y336" s="43">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zones'!$A$5:$D$10003,4,FALSE),"")</f>
        <v>Cloudrest</v>
      </c>
      <c r="AB336" s="4" t="s">
        <v>272</v>
      </c>
      <c r="AE336" s="43">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zones'!$A$5:$D$10003,4,FALSE),"")</f>
        <v>Cloudrest</v>
      </c>
      <c r="AH336" s="4" t="s">
        <v>272</v>
      </c>
      <c r="AI336" s="29"/>
      <c r="AJ336" s="29"/>
      <c r="AK336" s="3" t="str">
        <f>IF(AND(G336&lt;&gt;"LIBSETS_SETTYPE_BATTLEGROUND",G336&lt;&gt;"LIBSETS_SETTYPE_SPECIAL"),IF(AL336&lt;&gt;"",VLOOKUP(AL336,'ESO zones'!$D$5:$H$4957,5,FALSE),""),"")</f>
        <v/>
      </c>
      <c r="AN336" s="29"/>
      <c r="AO336" s="29"/>
      <c r="AP336" s="3" t="str">
        <f>IF(AND(G336&lt;&gt;"LIBSETS_SETTYPE_BATTLEGROUND",G336&lt;&gt;"LIBSETS_SETTYPE_SPECIAL"),IF(AQ336&lt;&gt;"",VLOOKUP(AQ336,'ESO zones'!$D$5:$H$4957,5,FALSE),""),"")</f>
        <v/>
      </c>
      <c r="AS336" s="29"/>
      <c r="AT336" s="29"/>
      <c r="AU336" s="3" t="str">
        <f>IF(AND(G336&lt;&gt;"LIBSETS_SETTYPE_BATTLEGROUND",G336&lt;&gt;"LIBSETS_SETTYPE_SPECIAL"),IF(AV336&lt;&gt;"",VLOOKUP(AV336,'ESO zones'!$D$5:$H$4957,5,FALSE),""),"")</f>
        <v/>
      </c>
      <c r="AX336" s="29"/>
      <c r="AY336" s="29"/>
      <c r="AZ336" s="49" t="s">
        <v>403</v>
      </c>
      <c r="BA336" s="49"/>
      <c r="BB336" s="49"/>
      <c r="BC336" s="49"/>
      <c r="BD336" s="49">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2">
        <v>389</v>
      </c>
      <c r="B337" t="s">
        <v>1180</v>
      </c>
      <c r="C337" t="s">
        <v>1181</v>
      </c>
      <c r="D337" s="3">
        <f t="shared" si="30"/>
        <v>389</v>
      </c>
      <c r="G337" s="9" t="s">
        <v>178</v>
      </c>
      <c r="I337" t="s">
        <v>401</v>
      </c>
      <c r="J337" t="s">
        <v>401</v>
      </c>
      <c r="K337">
        <v>364</v>
      </c>
      <c r="L337">
        <v>364</v>
      </c>
      <c r="M337">
        <v>364</v>
      </c>
      <c r="O337" s="5" t="s">
        <v>1179</v>
      </c>
      <c r="Q337" s="3">
        <f>IF(AND(P337&lt;&gt;"",ISNUMBER(P337),NOT(ISNA(P337))),P337,IF(R337&lt;&gt;"",VLOOKUP(R337,'ESO zones'!$D$5:$H$10005,5,FALSE),""))</f>
        <v>1051</v>
      </c>
      <c r="R337" t="str">
        <f>IF(AND(O337&lt;&gt;"",NOT(ISERROR(O337))),O337,IF(AND(P337&lt;&gt;"",ISNUMBER(P337),P337&gt;0,NOT(ISNA(P337))),VLOOKUP(P337,'ESO zones'!$A$5:$D$10003,4,FALSE),IF(AND(K337&lt;&gt;"",K337&gt;0,NOT(ISERROR(K337))),VLOOKUP(K337,'ESO wayshrines'!$K$3:$N$9972,4,FALSE),"")))</f>
        <v>Cloudrest</v>
      </c>
      <c r="T337" s="16" t="str">
        <f>IF(AND(S337&lt;&gt;"",NOT(ISERROR(S337))),S337,VLOOKUP(A337,'ESO Set&amp;DLCs'!$A$3:$D$99998,4,FALSE))</f>
        <v>DLC_SUMMERSET</v>
      </c>
      <c r="U337" s="3" t="str">
        <f>IF(T337&lt;&gt;"",VLOOKUP(T337,ConstDLCIds!$B$4:$C$1000,2,FALSE),"")</f>
        <v>Summerset</v>
      </c>
      <c r="V337" s="4" t="s">
        <v>272</v>
      </c>
      <c r="Y337" s="43">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zones'!$A$5:$D$10003,4,FALSE),"")</f>
        <v>Cloudrest</v>
      </c>
      <c r="AB337" s="4" t="s">
        <v>272</v>
      </c>
      <c r="AE337" s="43">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zones'!$A$5:$D$10003,4,FALSE),"")</f>
        <v>Cloudrest</v>
      </c>
      <c r="AH337" s="4" t="s">
        <v>272</v>
      </c>
      <c r="AI337" s="29"/>
      <c r="AJ337" s="29"/>
      <c r="AK337" s="3" t="str">
        <f>IF(AND(G337&lt;&gt;"LIBSETS_SETTYPE_BATTLEGROUND",G337&lt;&gt;"LIBSETS_SETTYPE_SPECIAL"),IF(AL337&lt;&gt;"",VLOOKUP(AL337,'ESO zones'!$D$5:$H$4957,5,FALSE),""),"")</f>
        <v/>
      </c>
      <c r="AN337" s="29"/>
      <c r="AO337" s="29"/>
      <c r="AP337" s="3" t="str">
        <f>IF(AND(G337&lt;&gt;"LIBSETS_SETTYPE_BATTLEGROUND",G337&lt;&gt;"LIBSETS_SETTYPE_SPECIAL"),IF(AQ337&lt;&gt;"",VLOOKUP(AQ337,'ESO zones'!$D$5:$H$4957,5,FALSE),""),"")</f>
        <v/>
      </c>
      <c r="AS337" s="29"/>
      <c r="AT337" s="29"/>
      <c r="AU337" s="3" t="str">
        <f>IF(AND(G337&lt;&gt;"LIBSETS_SETTYPE_BATTLEGROUND",G337&lt;&gt;"LIBSETS_SETTYPE_SPECIAL"),IF(AV337&lt;&gt;"",VLOOKUP(AV337,'ESO zones'!$D$5:$H$4957,5,FALSE),""),"")</f>
        <v/>
      </c>
      <c r="AX337" s="29"/>
      <c r="AY337" s="29"/>
      <c r="AZ337" s="49" t="s">
        <v>403</v>
      </c>
      <c r="BA337" s="49"/>
      <c r="BB337" s="49"/>
      <c r="BC337" s="49"/>
      <c r="BD337" s="49">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2">
        <v>390</v>
      </c>
      <c r="B338" t="s">
        <v>1182</v>
      </c>
      <c r="C338" t="s">
        <v>1183</v>
      </c>
      <c r="D338" s="3">
        <f t="shared" si="30"/>
        <v>390</v>
      </c>
      <c r="G338" s="9" t="s">
        <v>178</v>
      </c>
      <c r="I338" t="s">
        <v>401</v>
      </c>
      <c r="J338" t="s">
        <v>401</v>
      </c>
      <c r="K338">
        <v>364</v>
      </c>
      <c r="L338">
        <v>364</v>
      </c>
      <c r="M338">
        <v>364</v>
      </c>
      <c r="O338" s="5" t="s">
        <v>1179</v>
      </c>
      <c r="Q338" s="3">
        <f>IF(AND(P338&lt;&gt;"",ISNUMBER(P338),NOT(ISNA(P338))),P338,IF(R338&lt;&gt;"",VLOOKUP(R338,'ESO zones'!$D$5:$H$10005,5,FALSE),""))</f>
        <v>1051</v>
      </c>
      <c r="R338" t="str">
        <f>IF(AND(O338&lt;&gt;"",NOT(ISERROR(O338))),O338,IF(AND(P338&lt;&gt;"",ISNUMBER(P338),P338&gt;0,NOT(ISNA(P338))),VLOOKUP(P338,'ESO zones'!$A$5:$D$10003,4,FALSE),IF(AND(K338&lt;&gt;"",K338&gt;0,NOT(ISERROR(K338))),VLOOKUP(K338,'ESO wayshrines'!$K$3:$N$9972,4,FALSE),"")))</f>
        <v>Cloudrest</v>
      </c>
      <c r="T338" s="16" t="str">
        <f>IF(AND(S338&lt;&gt;"",NOT(ISERROR(S338))),S338,VLOOKUP(A338,'ESO Set&amp;DLCs'!$A$3:$D$99998,4,FALSE))</f>
        <v>DLC_SUMMERSET</v>
      </c>
      <c r="U338" s="3" t="str">
        <f>IF(T338&lt;&gt;"",VLOOKUP(T338,ConstDLCIds!$B$4:$C$1000,2,FALSE),"")</f>
        <v>Summerset</v>
      </c>
      <c r="V338" s="4" t="s">
        <v>272</v>
      </c>
      <c r="Y338" s="43">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zones'!$A$5:$D$10003,4,FALSE),"")</f>
        <v>Cloudrest</v>
      </c>
      <c r="AB338" s="4" t="s">
        <v>272</v>
      </c>
      <c r="AE338" s="43">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zones'!$A$5:$D$10003,4,FALSE),"")</f>
        <v>Cloudrest</v>
      </c>
      <c r="AH338" s="4" t="s">
        <v>272</v>
      </c>
      <c r="AI338" s="29"/>
      <c r="AJ338" s="29"/>
      <c r="AK338" s="3" t="str">
        <f>IF(AND(G338&lt;&gt;"LIBSETS_SETTYPE_BATTLEGROUND",G338&lt;&gt;"LIBSETS_SETTYPE_SPECIAL"),IF(AL338&lt;&gt;"",VLOOKUP(AL338,'ESO zones'!$D$5:$H$4957,5,FALSE),""),"")</f>
        <v/>
      </c>
      <c r="AN338" s="29"/>
      <c r="AO338" s="29"/>
      <c r="AP338" s="3" t="str">
        <f>IF(AND(G338&lt;&gt;"LIBSETS_SETTYPE_BATTLEGROUND",G338&lt;&gt;"LIBSETS_SETTYPE_SPECIAL"),IF(AQ338&lt;&gt;"",VLOOKUP(AQ338,'ESO zones'!$D$5:$H$4957,5,FALSE),""),"")</f>
        <v/>
      </c>
      <c r="AS338" s="29"/>
      <c r="AT338" s="29"/>
      <c r="AU338" s="3" t="str">
        <f>IF(AND(G338&lt;&gt;"LIBSETS_SETTYPE_BATTLEGROUND",G338&lt;&gt;"LIBSETS_SETTYPE_SPECIAL"),IF(AV338&lt;&gt;"",VLOOKUP(AV338,'ESO zones'!$D$5:$H$4957,5,FALSE),""),"")</f>
        <v/>
      </c>
      <c r="AX338" s="29"/>
      <c r="AY338" s="29"/>
      <c r="AZ338" s="49" t="s">
        <v>403</v>
      </c>
      <c r="BA338" s="49"/>
      <c r="BB338" s="49"/>
      <c r="BC338" s="49"/>
      <c r="BD338" s="49">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2">
        <v>391</v>
      </c>
      <c r="B339" t="s">
        <v>1184</v>
      </c>
      <c r="C339" t="s">
        <v>1185</v>
      </c>
      <c r="D339" s="3">
        <f t="shared" si="30"/>
        <v>391</v>
      </c>
      <c r="G339" s="9" t="s">
        <v>178</v>
      </c>
      <c r="I339" t="s">
        <v>401</v>
      </c>
      <c r="J339" t="s">
        <v>401</v>
      </c>
      <c r="K339">
        <v>364</v>
      </c>
      <c r="L339">
        <v>364</v>
      </c>
      <c r="M339">
        <v>364</v>
      </c>
      <c r="O339" s="5" t="s">
        <v>1179</v>
      </c>
      <c r="Q339" s="3">
        <f>IF(AND(P339&lt;&gt;"",ISNUMBER(P339),NOT(ISNA(P339))),P339,IF(R339&lt;&gt;"",VLOOKUP(R339,'ESO zones'!$D$5:$H$10005,5,FALSE),""))</f>
        <v>1051</v>
      </c>
      <c r="R339" t="str">
        <f>IF(AND(O339&lt;&gt;"",NOT(ISERROR(O339))),O339,IF(AND(P339&lt;&gt;"",ISNUMBER(P339),P339&gt;0,NOT(ISNA(P339))),VLOOKUP(P339,'ESO zones'!$A$5:$D$10003,4,FALSE),IF(AND(K339&lt;&gt;"",K339&gt;0,NOT(ISERROR(K339))),VLOOKUP(K339,'ESO wayshrines'!$K$3:$N$9972,4,FALSE),"")))</f>
        <v>Cloudrest</v>
      </c>
      <c r="T339" s="16" t="str">
        <f>IF(AND(S339&lt;&gt;"",NOT(ISERROR(S339))),S339,VLOOKUP(A339,'ESO Set&amp;DLCs'!$A$3:$D$99998,4,FALSE))</f>
        <v>DLC_SUMMERSET</v>
      </c>
      <c r="U339" s="3" t="str">
        <f>IF(T339&lt;&gt;"",VLOOKUP(T339,ConstDLCIds!$B$4:$C$1000,2,FALSE),"")</f>
        <v>Summerset</v>
      </c>
      <c r="V339" s="4" t="s">
        <v>272</v>
      </c>
      <c r="Y339" s="43">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zones'!$A$5:$D$10003,4,FALSE),"")</f>
        <v>Cloudrest</v>
      </c>
      <c r="AB339" s="4" t="s">
        <v>272</v>
      </c>
      <c r="AE339" s="43">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zones'!$A$5:$D$10003,4,FALSE),"")</f>
        <v>Cloudrest</v>
      </c>
      <c r="AH339" s="4" t="s">
        <v>272</v>
      </c>
      <c r="AI339" s="29"/>
      <c r="AJ339" s="29"/>
      <c r="AK339" s="3" t="str">
        <f>IF(AND(G339&lt;&gt;"LIBSETS_SETTYPE_BATTLEGROUND",G339&lt;&gt;"LIBSETS_SETTYPE_SPECIAL"),IF(AL339&lt;&gt;"",VLOOKUP(AL339,'ESO zones'!$D$5:$H$4957,5,FALSE),""),"")</f>
        <v/>
      </c>
      <c r="AN339" s="29"/>
      <c r="AO339" s="29"/>
      <c r="AP339" s="3" t="str">
        <f>IF(AND(G339&lt;&gt;"LIBSETS_SETTYPE_BATTLEGROUND",G339&lt;&gt;"LIBSETS_SETTYPE_SPECIAL"),IF(AQ339&lt;&gt;"",VLOOKUP(AQ339,'ESO zones'!$D$5:$H$4957,5,FALSE),""),"")</f>
        <v/>
      </c>
      <c r="AS339" s="29"/>
      <c r="AT339" s="29"/>
      <c r="AU339" s="3" t="str">
        <f>IF(AND(G339&lt;&gt;"LIBSETS_SETTYPE_BATTLEGROUND",G339&lt;&gt;"LIBSETS_SETTYPE_SPECIAL"),IF(AV339&lt;&gt;"",VLOOKUP(AV339,'ESO zones'!$D$5:$H$4957,5,FALSE),""),"")</f>
        <v/>
      </c>
      <c r="AX339" s="29"/>
      <c r="AY339" s="29"/>
      <c r="AZ339" s="49" t="s">
        <v>403</v>
      </c>
      <c r="BA339" s="49"/>
      <c r="BB339" s="49"/>
      <c r="BC339" s="49"/>
      <c r="BD339" s="49">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2">
        <v>392</v>
      </c>
      <c r="B340" t="s">
        <v>1186</v>
      </c>
      <c r="C340" t="s">
        <v>1187</v>
      </c>
      <c r="D340" s="3">
        <f t="shared" si="30"/>
        <v>392</v>
      </c>
      <c r="G340" s="9" t="s">
        <v>178</v>
      </c>
      <c r="I340" t="s">
        <v>1120</v>
      </c>
      <c r="J340" t="s">
        <v>401</v>
      </c>
      <c r="K340">
        <v>364</v>
      </c>
      <c r="L340">
        <v>364</v>
      </c>
      <c r="M340">
        <v>364</v>
      </c>
      <c r="O340" s="5" t="s">
        <v>1179</v>
      </c>
      <c r="Q340" s="3">
        <f>IF(AND(P340&lt;&gt;"",ISNUMBER(P340),NOT(ISNA(P340))),P340,IF(R340&lt;&gt;"",VLOOKUP(R340,'ESO zones'!$D$5:$H$10005,5,FALSE),""))</f>
        <v>1051</v>
      </c>
      <c r="R340" t="str">
        <f>IF(AND(O340&lt;&gt;"",NOT(ISERROR(O340))),O340,IF(AND(P340&lt;&gt;"",ISNUMBER(P340),P340&gt;0,NOT(ISNA(P340))),VLOOKUP(P340,'ESO zones'!$A$5:$D$10003,4,FALSE),IF(AND(K340&lt;&gt;"",K340&gt;0,NOT(ISERROR(K340))),VLOOKUP(K340,'ESO wayshrines'!$K$3:$N$9972,4,FALSE),"")))</f>
        <v>Cloudrest</v>
      </c>
      <c r="T340" s="16" t="str">
        <f>IF(AND(S340&lt;&gt;"",NOT(ISERROR(S340))),S340,VLOOKUP(A340,'ESO Set&amp;DLCs'!$A$3:$D$99998,4,FALSE))</f>
        <v>DLC_SUMMERSET</v>
      </c>
      <c r="U340" s="3" t="str">
        <f>IF(T340&lt;&gt;"",VLOOKUP(T340,ConstDLCIds!$B$4:$C$1000,2,FALSE),"")</f>
        <v>Summerset</v>
      </c>
      <c r="V340" s="4" t="s">
        <v>272</v>
      </c>
      <c r="Y340" s="43">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zones'!$A$5:$D$10003,4,FALSE),"")</f>
        <v>Cloudrest</v>
      </c>
      <c r="AB340" s="4" t="s">
        <v>272</v>
      </c>
      <c r="AE340" s="43">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zones'!$A$5:$D$10003,4,FALSE),"")</f>
        <v>Cloudrest</v>
      </c>
      <c r="AH340" s="4" t="s">
        <v>272</v>
      </c>
      <c r="AI340" s="29"/>
      <c r="AJ340" s="29"/>
      <c r="AK340" s="3" t="str">
        <f>IF(AND(G340&lt;&gt;"LIBSETS_SETTYPE_BATTLEGROUND",G340&lt;&gt;"LIBSETS_SETTYPE_SPECIAL"),IF(AL340&lt;&gt;"",VLOOKUP(AL340,'ESO zones'!$D$5:$H$4957,5,FALSE),""),"")</f>
        <v/>
      </c>
      <c r="AN340" s="29"/>
      <c r="AO340" s="29"/>
      <c r="AP340" s="3" t="str">
        <f>IF(AND(G340&lt;&gt;"LIBSETS_SETTYPE_BATTLEGROUND",G340&lt;&gt;"LIBSETS_SETTYPE_SPECIAL"),IF(AQ340&lt;&gt;"",VLOOKUP(AQ340,'ESO zones'!$D$5:$H$4957,5,FALSE),""),"")</f>
        <v/>
      </c>
      <c r="AS340" s="29"/>
      <c r="AT340" s="29"/>
      <c r="AU340" s="3" t="str">
        <f>IF(AND(G340&lt;&gt;"LIBSETS_SETTYPE_BATTLEGROUND",G340&lt;&gt;"LIBSETS_SETTYPE_SPECIAL"),IF(AV340&lt;&gt;"",VLOOKUP(AV340,'ESO zones'!$D$5:$H$4957,5,FALSE),""),"")</f>
        <v/>
      </c>
      <c r="AX340" s="29"/>
      <c r="AY340" s="29"/>
      <c r="AZ340" s="49" t="s">
        <v>403</v>
      </c>
      <c r="BA340" s="49"/>
      <c r="BB340" s="49"/>
      <c r="BC340" s="49"/>
      <c r="BD340" s="49" t="s">
        <v>1122</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12">
        <v>393</v>
      </c>
      <c r="B341" t="s">
        <v>1188</v>
      </c>
      <c r="C341" t="s">
        <v>1189</v>
      </c>
      <c r="D341" s="3">
        <f t="shared" si="30"/>
        <v>393</v>
      </c>
      <c r="G341" s="9" t="s">
        <v>178</v>
      </c>
      <c r="I341" t="s">
        <v>1120</v>
      </c>
      <c r="J341" t="s">
        <v>401</v>
      </c>
      <c r="K341">
        <v>364</v>
      </c>
      <c r="L341">
        <v>364</v>
      </c>
      <c r="M341">
        <v>364</v>
      </c>
      <c r="O341" s="5" t="s">
        <v>1179</v>
      </c>
      <c r="Q341" s="3">
        <f>IF(AND(P341&lt;&gt;"",ISNUMBER(P341),NOT(ISNA(P341))),P341,IF(R341&lt;&gt;"",VLOOKUP(R341,'ESO zones'!$D$5:$H$10005,5,FALSE),""))</f>
        <v>1051</v>
      </c>
      <c r="R341" t="str">
        <f>IF(AND(O341&lt;&gt;"",NOT(ISERROR(O341))),O341,IF(AND(P341&lt;&gt;"",ISNUMBER(P341),P341&gt;0,NOT(ISNA(P341))),VLOOKUP(P341,'ESO zones'!$A$5:$D$10003,4,FALSE),IF(AND(K341&lt;&gt;"",K341&gt;0,NOT(ISERROR(K341))),VLOOKUP(K341,'ESO wayshrines'!$K$3:$N$9972,4,FALSE),"")))</f>
        <v>Cloudrest</v>
      </c>
      <c r="T341" s="16" t="str">
        <f>IF(AND(S341&lt;&gt;"",NOT(ISERROR(S341))),S341,VLOOKUP(A341,'ESO Set&amp;DLCs'!$A$3:$D$99998,4,FALSE))</f>
        <v>DLC_SUMMERSET</v>
      </c>
      <c r="U341" s="3" t="str">
        <f>IF(T341&lt;&gt;"",VLOOKUP(T341,ConstDLCIds!$B$4:$C$1000,2,FALSE),"")</f>
        <v>Summerset</v>
      </c>
      <c r="V341" s="4" t="s">
        <v>272</v>
      </c>
      <c r="Y341" s="43">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zones'!$A$5:$D$10003,4,FALSE),"")</f>
        <v>Cloudrest</v>
      </c>
      <c r="AB341" s="4" t="s">
        <v>272</v>
      </c>
      <c r="AE341" s="43">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zones'!$A$5:$D$10003,4,FALSE),"")</f>
        <v>Cloudrest</v>
      </c>
      <c r="AH341" s="4" t="s">
        <v>272</v>
      </c>
      <c r="AI341" s="29"/>
      <c r="AJ341" s="29"/>
      <c r="AK341" s="3" t="str">
        <f>IF(AND(G341&lt;&gt;"LIBSETS_SETTYPE_BATTLEGROUND",G341&lt;&gt;"LIBSETS_SETTYPE_SPECIAL"),IF(AL341&lt;&gt;"",VLOOKUP(AL341,'ESO zones'!$D$5:$H$4957,5,FALSE),""),"")</f>
        <v/>
      </c>
      <c r="AN341" s="29"/>
      <c r="AO341" s="29"/>
      <c r="AP341" s="3" t="str">
        <f>IF(AND(G341&lt;&gt;"LIBSETS_SETTYPE_BATTLEGROUND",G341&lt;&gt;"LIBSETS_SETTYPE_SPECIAL"),IF(AQ341&lt;&gt;"",VLOOKUP(AQ341,'ESO zones'!$D$5:$H$4957,5,FALSE),""),"")</f>
        <v/>
      </c>
      <c r="AS341" s="29"/>
      <c r="AT341" s="29"/>
      <c r="AU341" s="3" t="str">
        <f>IF(AND(G341&lt;&gt;"LIBSETS_SETTYPE_BATTLEGROUND",G341&lt;&gt;"LIBSETS_SETTYPE_SPECIAL"),IF(AV341&lt;&gt;"",VLOOKUP(AV341,'ESO zones'!$D$5:$H$4957,5,FALSE),""),"")</f>
        <v/>
      </c>
      <c r="AX341" s="29"/>
      <c r="AY341" s="29"/>
      <c r="AZ341" s="49" t="s">
        <v>403</v>
      </c>
      <c r="BA341" s="49"/>
      <c r="BB341" s="49"/>
      <c r="BC341" s="49"/>
      <c r="BD341" s="49" t="s">
        <v>1122</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2">
        <v>394</v>
      </c>
      <c r="B342" t="s">
        <v>1190</v>
      </c>
      <c r="C342" t="s">
        <v>1191</v>
      </c>
      <c r="D342" s="3">
        <f t="shared" si="30"/>
        <v>394</v>
      </c>
      <c r="G342" s="9" t="s">
        <v>178</v>
      </c>
      <c r="I342" t="s">
        <v>1120</v>
      </c>
      <c r="J342" t="s">
        <v>401</v>
      </c>
      <c r="K342">
        <v>364</v>
      </c>
      <c r="L342">
        <v>364</v>
      </c>
      <c r="M342">
        <v>364</v>
      </c>
      <c r="O342" s="5" t="s">
        <v>1179</v>
      </c>
      <c r="Q342" s="3">
        <f>IF(AND(P342&lt;&gt;"",ISNUMBER(P342),NOT(ISNA(P342))),P342,IF(R342&lt;&gt;"",VLOOKUP(R342,'ESO zones'!$D$5:$H$10005,5,FALSE),""))</f>
        <v>1051</v>
      </c>
      <c r="R342" t="str">
        <f>IF(AND(O342&lt;&gt;"",NOT(ISERROR(O342))),O342,IF(AND(P342&lt;&gt;"",ISNUMBER(P342),P342&gt;0,NOT(ISNA(P342))),VLOOKUP(P342,'ESO zones'!$A$5:$D$10003,4,FALSE),IF(AND(K342&lt;&gt;"",K342&gt;0,NOT(ISERROR(K342))),VLOOKUP(K342,'ESO wayshrines'!$K$3:$N$9972,4,FALSE),"")))</f>
        <v>Cloudrest</v>
      </c>
      <c r="T342" s="16" t="str">
        <f>IF(AND(S342&lt;&gt;"",NOT(ISERROR(S342))),S342,VLOOKUP(A342,'ESO Set&amp;DLCs'!$A$3:$D$99998,4,FALSE))</f>
        <v>DLC_SUMMERSET</v>
      </c>
      <c r="U342" s="3" t="str">
        <f>IF(T342&lt;&gt;"",VLOOKUP(T342,ConstDLCIds!$B$4:$C$1000,2,FALSE),"")</f>
        <v>Summerset</v>
      </c>
      <c r="V342" s="4" t="s">
        <v>272</v>
      </c>
      <c r="Y342" s="43">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zones'!$A$5:$D$10003,4,FALSE),"")</f>
        <v>Cloudrest</v>
      </c>
      <c r="AB342" s="4" t="s">
        <v>272</v>
      </c>
      <c r="AE342" s="43">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zones'!$A$5:$D$10003,4,FALSE),"")</f>
        <v>Cloudrest</v>
      </c>
      <c r="AH342" s="4" t="s">
        <v>272</v>
      </c>
      <c r="AI342" s="29"/>
      <c r="AJ342" s="29"/>
      <c r="AK342" s="3" t="str">
        <f>IF(AND(G342&lt;&gt;"LIBSETS_SETTYPE_BATTLEGROUND",G342&lt;&gt;"LIBSETS_SETTYPE_SPECIAL"),IF(AL342&lt;&gt;"",VLOOKUP(AL342,'ESO zones'!$D$5:$H$4957,5,FALSE),""),"")</f>
        <v/>
      </c>
      <c r="AN342" s="29"/>
      <c r="AO342" s="29"/>
      <c r="AP342" s="3" t="str">
        <f>IF(AND(G342&lt;&gt;"LIBSETS_SETTYPE_BATTLEGROUND",G342&lt;&gt;"LIBSETS_SETTYPE_SPECIAL"),IF(AQ342&lt;&gt;"",VLOOKUP(AQ342,'ESO zones'!$D$5:$H$4957,5,FALSE),""),"")</f>
        <v/>
      </c>
      <c r="AS342" s="29"/>
      <c r="AT342" s="29"/>
      <c r="AU342" s="3" t="str">
        <f>IF(AND(G342&lt;&gt;"LIBSETS_SETTYPE_BATTLEGROUND",G342&lt;&gt;"LIBSETS_SETTYPE_SPECIAL"),IF(AV342&lt;&gt;"",VLOOKUP(AV342,'ESO zones'!$D$5:$H$4957,5,FALSE),""),"")</f>
        <v/>
      </c>
      <c r="AX342" s="29"/>
      <c r="AY342" s="29"/>
      <c r="AZ342" s="49" t="s">
        <v>403</v>
      </c>
      <c r="BA342" s="49"/>
      <c r="BB342" s="49"/>
      <c r="BC342" s="49"/>
      <c r="BD342" s="49" t="s">
        <v>1122</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2">
        <v>395</v>
      </c>
      <c r="B343" t="s">
        <v>1192</v>
      </c>
      <c r="C343" t="s">
        <v>1193</v>
      </c>
      <c r="D343" s="3">
        <f t="shared" si="30"/>
        <v>395</v>
      </c>
      <c r="G343" s="9" t="s">
        <v>178</v>
      </c>
      <c r="I343" t="s">
        <v>1120</v>
      </c>
      <c r="J343" t="s">
        <v>401</v>
      </c>
      <c r="K343">
        <v>364</v>
      </c>
      <c r="L343">
        <v>364</v>
      </c>
      <c r="M343">
        <v>364</v>
      </c>
      <c r="O343" s="5" t="s">
        <v>1179</v>
      </c>
      <c r="Q343" s="3">
        <f>IF(AND(P343&lt;&gt;"",ISNUMBER(P343),NOT(ISNA(P343))),P343,IF(R343&lt;&gt;"",VLOOKUP(R343,'ESO zones'!$D$5:$H$10005,5,FALSE),""))</f>
        <v>1051</v>
      </c>
      <c r="R343" t="str">
        <f>IF(AND(O343&lt;&gt;"",NOT(ISERROR(O343))),O343,IF(AND(P343&lt;&gt;"",ISNUMBER(P343),P343&gt;0,NOT(ISNA(P343))),VLOOKUP(P343,'ESO zones'!$A$5:$D$10003,4,FALSE),IF(AND(K343&lt;&gt;"",K343&gt;0,NOT(ISERROR(K343))),VLOOKUP(K343,'ESO wayshrines'!$K$3:$N$9972,4,FALSE),"")))</f>
        <v>Cloudrest</v>
      </c>
      <c r="T343" s="16" t="str">
        <f>IF(AND(S343&lt;&gt;"",NOT(ISERROR(S343))),S343,VLOOKUP(A343,'ESO Set&amp;DLCs'!$A$3:$D$99998,4,FALSE))</f>
        <v>DLC_SUMMERSET</v>
      </c>
      <c r="U343" s="3" t="str">
        <f>IF(T343&lt;&gt;"",VLOOKUP(T343,ConstDLCIds!$B$4:$C$1000,2,FALSE),"")</f>
        <v>Summerset</v>
      </c>
      <c r="V343" s="4" t="s">
        <v>272</v>
      </c>
      <c r="Y343" s="43">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zones'!$A$5:$D$10003,4,FALSE),"")</f>
        <v>Cloudrest</v>
      </c>
      <c r="AB343" s="4" t="s">
        <v>272</v>
      </c>
      <c r="AE343" s="43">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zones'!$A$5:$D$10003,4,FALSE),"")</f>
        <v>Cloudrest</v>
      </c>
      <c r="AH343" s="4" t="s">
        <v>272</v>
      </c>
      <c r="AI343" s="29"/>
      <c r="AJ343" s="29"/>
      <c r="AK343" s="3" t="str">
        <f>IF(AND(G343&lt;&gt;"LIBSETS_SETTYPE_BATTLEGROUND",G343&lt;&gt;"LIBSETS_SETTYPE_SPECIAL"),IF(AL343&lt;&gt;"",VLOOKUP(AL343,'ESO zones'!$D$5:$H$4957,5,FALSE),""),"")</f>
        <v/>
      </c>
      <c r="AN343" s="29"/>
      <c r="AO343" s="29"/>
      <c r="AP343" s="3" t="str">
        <f>IF(AND(G343&lt;&gt;"LIBSETS_SETTYPE_BATTLEGROUND",G343&lt;&gt;"LIBSETS_SETTYPE_SPECIAL"),IF(AQ343&lt;&gt;"",VLOOKUP(AQ343,'ESO zones'!$D$5:$H$4957,5,FALSE),""),"")</f>
        <v/>
      </c>
      <c r="AS343" s="29"/>
      <c r="AT343" s="29"/>
      <c r="AU343" s="3" t="str">
        <f>IF(AND(G343&lt;&gt;"LIBSETS_SETTYPE_BATTLEGROUND",G343&lt;&gt;"LIBSETS_SETTYPE_SPECIAL"),IF(AV343&lt;&gt;"",VLOOKUP(AV343,'ESO zones'!$D$5:$H$4957,5,FALSE),""),"")</f>
        <v/>
      </c>
      <c r="AX343" s="29"/>
      <c r="AY343" s="29"/>
      <c r="AZ343" s="49" t="s">
        <v>403</v>
      </c>
      <c r="BA343" s="49"/>
      <c r="BB343" s="49"/>
      <c r="BC343" s="49"/>
      <c r="BD343" s="49" t="s">
        <v>1122</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1">
        <v>397</v>
      </c>
      <c r="B344" t="s">
        <v>1194</v>
      </c>
      <c r="C344" t="s">
        <v>1194</v>
      </c>
      <c r="D344" s="3">
        <f t="shared" si="30"/>
        <v>397</v>
      </c>
      <c r="G344" s="9" t="s">
        <v>172</v>
      </c>
      <c r="H344">
        <v>3</v>
      </c>
      <c r="I344" t="s">
        <v>712</v>
      </c>
      <c r="J344" t="s">
        <v>401</v>
      </c>
      <c r="K344">
        <v>370</v>
      </c>
      <c r="L344">
        <v>370</v>
      </c>
      <c r="M344">
        <v>370</v>
      </c>
      <c r="O344" s="5" t="s">
        <v>1195</v>
      </c>
      <c r="Q344" s="3">
        <f>IF(AND(P344&lt;&gt;"",ISNUMBER(P344),NOT(ISNA(P344))),P344,IF(R344&lt;&gt;"",VLOOKUP(R344,'ESO zones'!$D$5:$H$10005,5,FALSE),""))</f>
        <v>1055</v>
      </c>
      <c r="R344" t="str">
        <f>IF(AND(O344&lt;&gt;"",NOT(ISERROR(O344))),O344,IF(AND(P344&lt;&gt;"",ISNUMBER(P344),P344&gt;0,NOT(ISNA(P344))),VLOOKUP(P344,'ESO zones'!$A$5:$D$10003,4,FALSE),IF(AND(K344&lt;&gt;"",K344&gt;0,NOT(ISERROR(K344))),VLOOKUP(K344,'ESO wayshrines'!$K$3:$N$9972,4,FALSE),"")))</f>
        <v>March of Sacrifices</v>
      </c>
      <c r="T344" s="16" t="str">
        <f>IF(AND(S344&lt;&gt;"",NOT(ISERROR(S344))),S344,VLOOKUP(A344,'ESO Set&amp;DLCs'!$A$3:$D$99998,4,FALSE))</f>
        <v>DLC_WOLFHUNTER</v>
      </c>
      <c r="U344" s="3" t="str">
        <f>IF(T344&lt;&gt;"",VLOOKUP(T344,ConstDLCIds!$B$4:$C$1000,2,FALSE),"")</f>
        <v>Wolfhunter</v>
      </c>
      <c r="V344" s="4" t="s">
        <v>212</v>
      </c>
      <c r="W344" s="3" t="s">
        <v>1194</v>
      </c>
      <c r="X344" s="3" t="s">
        <v>1194</v>
      </c>
      <c r="Y344" s="5"/>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zones'!$A$5:$D$10003,4,FALSE),"")</f>
        <v>Greenshade</v>
      </c>
      <c r="AC344" s="3" t="str">
        <f>IF(AB344&lt;&gt;"",IF(AB344&lt;&gt;"LIBSETS_DROP_MECHANIC_MONSTER_NAME",VLOOKUP(AB344,ConstDropMechs!$B$4:$C$1001,2,FALSE),""),"")</f>
        <v/>
      </c>
      <c r="AD344" s="3" t="str">
        <f>IF(AB344&lt;&gt;"",IF(AB344&lt;&gt;"LIBSETS_DROP_MECHANIC_MONSTER_NAME",VLOOKUP(AB344,ConstDropMechs!$B$4:$D$1001,3,FALSE),""),"")</f>
        <v/>
      </c>
      <c r="AE344" s="29"/>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zones'!$A$5:$D$10003,4,FALSE),"")</f>
        <v>Greenshade</v>
      </c>
      <c r="AI344" s="29"/>
      <c r="AJ344" s="29"/>
      <c r="AK344" s="3" t="str">
        <f>IF(AND(G344&lt;&gt;"LIBSETS_SETTYPE_BATTLEGROUND",G344&lt;&gt;"LIBSETS_SETTYPE_SPECIAL"),IF(AL344&lt;&gt;"",VLOOKUP(AL344,'ESO zones'!$D$5:$H$4957,5,FALSE),""),"")</f>
        <v/>
      </c>
      <c r="AN344" s="29"/>
      <c r="AO344" s="29"/>
      <c r="AP344" s="3" t="str">
        <f>IF(AND(G344&lt;&gt;"LIBSETS_SETTYPE_BATTLEGROUND",G344&lt;&gt;"LIBSETS_SETTYPE_SPECIAL"),IF(AQ344&lt;&gt;"",VLOOKUP(AQ344,'ESO zones'!$D$5:$H$4957,5,FALSE),""),"")</f>
        <v/>
      </c>
      <c r="AS344" s="29"/>
      <c r="AT344" s="29"/>
      <c r="AU344" s="3" t="str">
        <f>IF(AND(G344&lt;&gt;"LIBSETS_SETTYPE_BATTLEGROUND",G344&lt;&gt;"LIBSETS_SETTYPE_SPECIAL"),IF(AV344&lt;&gt;"",VLOOKUP(AV344,'ESO zones'!$D$5:$H$4957,5,FALSE),""),"")</f>
        <v/>
      </c>
      <c r="AX344" s="29"/>
      <c r="AZ344" s="49" t="s">
        <v>403</v>
      </c>
      <c r="BA344" s="49"/>
      <c r="BB344" s="49"/>
      <c r="BC344" s="49"/>
      <c r="BD344" s="49"/>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1">
        <v>398</v>
      </c>
      <c r="B345" t="s">
        <v>1196</v>
      </c>
      <c r="C345" t="s">
        <v>1196</v>
      </c>
      <c r="D345" s="3">
        <f t="shared" si="30"/>
        <v>398</v>
      </c>
      <c r="G345" s="9" t="s">
        <v>172</v>
      </c>
      <c r="H345">
        <v>3</v>
      </c>
      <c r="I345" t="s">
        <v>712</v>
      </c>
      <c r="J345" t="s">
        <v>401</v>
      </c>
      <c r="K345">
        <v>371</v>
      </c>
      <c r="L345">
        <v>371</v>
      </c>
      <c r="M345">
        <v>371</v>
      </c>
      <c r="O345" s="5" t="s">
        <v>1197</v>
      </c>
      <c r="Q345" s="3">
        <f>IF(AND(P345&lt;&gt;"",ISNUMBER(P345),NOT(ISNA(P345))),P345,IF(R345&lt;&gt;"",VLOOKUP(R345,'ESO zones'!$D$5:$H$10005,5,FALSE),""))</f>
        <v>1052</v>
      </c>
      <c r="R345" t="str">
        <f>IF(AND(O345&lt;&gt;"",NOT(ISERROR(O345))),O345,IF(AND(P345&lt;&gt;"",ISNUMBER(P345),P345&gt;0,NOT(ISNA(P345))),VLOOKUP(P345,'ESO zones'!$A$5:$D$10003,4,FALSE),IF(AND(K345&lt;&gt;"",K345&gt;0,NOT(ISERROR(K345))),VLOOKUP(K345,'ESO wayshrines'!$K$3:$N$9972,4,FALSE),"")))</f>
        <v>Moon Hunter Keep</v>
      </c>
      <c r="T345" s="16" t="str">
        <f>IF(AND(S345&lt;&gt;"",NOT(ISERROR(S345))),S345,VLOOKUP(A345,'ESO Set&amp;DLCs'!$A$3:$D$99998,4,FALSE))</f>
        <v>DLC_WOLFHUNTER</v>
      </c>
      <c r="U345" s="3" t="str">
        <f>IF(T345&lt;&gt;"",VLOOKUP(T345,ConstDLCIds!$B$4:$C$1000,2,FALSE),"")</f>
        <v>Wolfhunter</v>
      </c>
      <c r="V345" s="4" t="s">
        <v>212</v>
      </c>
      <c r="W345" s="3" t="s">
        <v>1196</v>
      </c>
      <c r="X345" s="3" t="s">
        <v>1196</v>
      </c>
      <c r="Y345" s="5"/>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zones'!$A$5:$D$10003,4,FALSE),"")</f>
        <v>Reaper's March</v>
      </c>
      <c r="AC345" s="3" t="str">
        <f>IF(AB345&lt;&gt;"",IF(AB345&lt;&gt;"LIBSETS_DROP_MECHANIC_MONSTER_NAME",VLOOKUP(AB345,ConstDropMechs!$B$4:$C$1001,2,FALSE),""),"")</f>
        <v/>
      </c>
      <c r="AD345" s="3" t="str">
        <f>IF(AB345&lt;&gt;"",IF(AB345&lt;&gt;"LIBSETS_DROP_MECHANIC_MONSTER_NAME",VLOOKUP(AB345,ConstDropMechs!$B$4:$D$1001,3,FALSE),""),"")</f>
        <v/>
      </c>
      <c r="AE345" s="29"/>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zones'!$A$5:$D$10003,4,FALSE),"")</f>
        <v>Reaper's March</v>
      </c>
      <c r="AI345" s="29"/>
      <c r="AJ345" s="29"/>
      <c r="AK345" s="3" t="str">
        <f>IF(AND(G345&lt;&gt;"LIBSETS_SETTYPE_BATTLEGROUND",G345&lt;&gt;"LIBSETS_SETTYPE_SPECIAL"),IF(AL345&lt;&gt;"",VLOOKUP(AL345,'ESO zones'!$D$5:$H$4957,5,FALSE),""),"")</f>
        <v/>
      </c>
      <c r="AN345" s="29"/>
      <c r="AO345" s="29"/>
      <c r="AP345" s="3" t="str">
        <f>IF(AND(G345&lt;&gt;"LIBSETS_SETTYPE_BATTLEGROUND",G345&lt;&gt;"LIBSETS_SETTYPE_SPECIAL"),IF(AQ345&lt;&gt;"",VLOOKUP(AQ345,'ESO zones'!$D$5:$H$4957,5,FALSE),""),"")</f>
        <v/>
      </c>
      <c r="AS345" s="29"/>
      <c r="AT345" s="29"/>
      <c r="AU345" s="3" t="str">
        <f>IF(AND(G345&lt;&gt;"LIBSETS_SETTYPE_BATTLEGROUND",G345&lt;&gt;"LIBSETS_SETTYPE_SPECIAL"),IF(AV345&lt;&gt;"",VLOOKUP(AV345,'ESO zones'!$D$5:$H$4957,5,FALSE),""),"")</f>
        <v/>
      </c>
      <c r="AX345" s="29"/>
      <c r="AZ345" s="49" t="s">
        <v>403</v>
      </c>
      <c r="BA345" s="49"/>
      <c r="BB345" s="49"/>
      <c r="BC345" s="49"/>
      <c r="BD345" s="49"/>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2">
        <v>399</v>
      </c>
      <c r="B346" t="s">
        <v>1198</v>
      </c>
      <c r="C346" t="s">
        <v>1199</v>
      </c>
      <c r="D346" s="3">
        <f t="shared" si="30"/>
        <v>399</v>
      </c>
      <c r="G346" s="9" t="s">
        <v>169</v>
      </c>
      <c r="I346" t="s">
        <v>401</v>
      </c>
      <c r="J346" t="s">
        <v>401</v>
      </c>
      <c r="K346">
        <v>370</v>
      </c>
      <c r="L346">
        <v>370</v>
      </c>
      <c r="M346">
        <v>370</v>
      </c>
      <c r="O346" s="5" t="s">
        <v>1195</v>
      </c>
      <c r="Q346" s="3">
        <f>IF(AND(P346&lt;&gt;"",ISNUMBER(P346),NOT(ISNA(P346))),P346,IF(R346&lt;&gt;"",VLOOKUP(R346,'ESO zones'!$D$5:$H$10005,5,FALSE),""))</f>
        <v>1055</v>
      </c>
      <c r="R346" t="str">
        <f>IF(AND(O346&lt;&gt;"",NOT(ISERROR(O346))),O346,IF(AND(P346&lt;&gt;"",ISNUMBER(P346),P346&gt;0,NOT(ISNA(P346))),VLOOKUP(P346,'ESO zones'!$A$5:$D$10003,4,FALSE),IF(AND(K346&lt;&gt;"",K346&gt;0,NOT(ISERROR(K346))),VLOOKUP(K346,'ESO wayshrines'!$K$3:$N$9972,4,FALSE),"")))</f>
        <v>March of Sacrifices</v>
      </c>
      <c r="T346" s="16" t="str">
        <f>IF(AND(S346&lt;&gt;"",NOT(ISERROR(S346))),S346,VLOOKUP(A346,'ESO Set&amp;DLCs'!$A$3:$D$99998,4,FALSE))</f>
        <v>DLC_WOLFHUNTER</v>
      </c>
      <c r="U346" s="3" t="str">
        <f>IF(T346&lt;&gt;"",VLOOKUP(T346,ConstDLCIds!$B$4:$C$1000,2,FALSE),"")</f>
        <v>Wolfhunter</v>
      </c>
      <c r="V346" s="4" t="s">
        <v>278</v>
      </c>
      <c r="Y346" s="5"/>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zones'!$A$5:$D$10003,4,FALSE),"")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zones'!$A$5:$D$10003,4,FALSE),"")</f>
        <v>Greenshade</v>
      </c>
      <c r="AK346" s="3" t="str">
        <f>IF(AND(G346&lt;&gt;"LIBSETS_SETTYPE_BATTLEGROUND",G346&lt;&gt;"LIBSETS_SETTYPE_SPECIAL"),IF(AL346&lt;&gt;"",VLOOKUP(AL346,'ESO zones'!$D$5:$H$4957,5,FALSE),""),"")</f>
        <v/>
      </c>
      <c r="AP346" s="3" t="str">
        <f>IF(AND(G346&lt;&gt;"LIBSETS_SETTYPE_BATTLEGROUND",G346&lt;&gt;"LIBSETS_SETTYPE_SPECIAL"),IF(AQ346&lt;&gt;"",VLOOKUP(AQ346,'ESO zones'!$D$5:$H$4957,5,FALSE),""),"")</f>
        <v/>
      </c>
      <c r="AU346" s="3" t="str">
        <f>IF(AND(G346&lt;&gt;"LIBSETS_SETTYPE_BATTLEGROUND",G346&lt;&gt;"LIBSETS_SETTYPE_SPECIAL"),IF(AV346&lt;&gt;"",VLOOKUP(AV346,'ESO zones'!$D$5:$H$4957,5,FALSE),""),"")</f>
        <v/>
      </c>
      <c r="AZ346" s="49" t="s">
        <v>403</v>
      </c>
      <c r="BA346" s="49"/>
      <c r="BB346" s="49"/>
      <c r="BC346" s="49"/>
      <c r="BD346" s="49"/>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2">
        <v>400</v>
      </c>
      <c r="B347" t="s">
        <v>1200</v>
      </c>
      <c r="C347" t="s">
        <v>1201</v>
      </c>
      <c r="D347" s="3">
        <f t="shared" si="30"/>
        <v>400</v>
      </c>
      <c r="G347" s="9" t="s">
        <v>169</v>
      </c>
      <c r="I347" t="s">
        <v>401</v>
      </c>
      <c r="J347" t="s">
        <v>401</v>
      </c>
      <c r="K347">
        <v>370</v>
      </c>
      <c r="L347">
        <v>370</v>
      </c>
      <c r="M347">
        <v>370</v>
      </c>
      <c r="O347" s="5" t="s">
        <v>1195</v>
      </c>
      <c r="Q347" s="3">
        <f>IF(AND(P347&lt;&gt;"",ISNUMBER(P347),NOT(ISNA(P347))),P347,IF(R347&lt;&gt;"",VLOOKUP(R347,'ESO zones'!$D$5:$H$10005,5,FALSE),""))</f>
        <v>1055</v>
      </c>
      <c r="R347" t="str">
        <f>IF(AND(O347&lt;&gt;"",NOT(ISERROR(O347))),O347,IF(AND(P347&lt;&gt;"",ISNUMBER(P347),P347&gt;0,NOT(ISNA(P347))),VLOOKUP(P347,'ESO zones'!$A$5:$D$10003,4,FALSE),IF(AND(K347&lt;&gt;"",K347&gt;0,NOT(ISERROR(K347))),VLOOKUP(K347,'ESO wayshrines'!$K$3:$N$9972,4,FALSE),"")))</f>
        <v>March of Sacrifices</v>
      </c>
      <c r="T347" s="16" t="str">
        <f>IF(AND(S347&lt;&gt;"",NOT(ISERROR(S347))),S347,VLOOKUP(A347,'ESO Set&amp;DLCs'!$A$3:$D$99998,4,FALSE))</f>
        <v>DLC_WOLFHUNTER</v>
      </c>
      <c r="U347" s="3" t="str">
        <f>IF(T347&lt;&gt;"",VLOOKUP(T347,ConstDLCIds!$B$4:$C$1000,2,FALSE),"")</f>
        <v>Wolfhunter</v>
      </c>
      <c r="V347" s="4" t="s">
        <v>278</v>
      </c>
      <c r="Y347" s="5"/>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zones'!$A$5:$D$10003,4,FALSE),"")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zones'!$A$5:$D$10003,4,FALSE),"")</f>
        <v>Greenshade</v>
      </c>
      <c r="AK347" s="3" t="str">
        <f>IF(AND(G347&lt;&gt;"LIBSETS_SETTYPE_BATTLEGROUND",G347&lt;&gt;"LIBSETS_SETTYPE_SPECIAL"),IF(AL347&lt;&gt;"",VLOOKUP(AL347,'ESO zones'!$D$5:$H$4957,5,FALSE),""),"")</f>
        <v/>
      </c>
      <c r="AP347" s="3" t="str">
        <f>IF(AND(G347&lt;&gt;"LIBSETS_SETTYPE_BATTLEGROUND",G347&lt;&gt;"LIBSETS_SETTYPE_SPECIAL"),IF(AQ347&lt;&gt;"",VLOOKUP(AQ347,'ESO zones'!$D$5:$H$4957,5,FALSE),""),"")</f>
        <v/>
      </c>
      <c r="AU347" s="3" t="str">
        <f>IF(AND(G347&lt;&gt;"LIBSETS_SETTYPE_BATTLEGROUND",G347&lt;&gt;"LIBSETS_SETTYPE_SPECIAL"),IF(AV347&lt;&gt;"",VLOOKUP(AV347,'ESO zones'!$D$5:$H$4957,5,FALSE),""),"")</f>
        <v/>
      </c>
      <c r="AZ347" s="49" t="s">
        <v>403</v>
      </c>
      <c r="BA347" s="49"/>
      <c r="BB347" s="49"/>
      <c r="BC347" s="49"/>
      <c r="BD347" s="49"/>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2">
        <v>401</v>
      </c>
      <c r="B348" t="s">
        <v>1202</v>
      </c>
      <c r="C348" t="s">
        <v>1203</v>
      </c>
      <c r="D348" s="3">
        <f t="shared" si="30"/>
        <v>401</v>
      </c>
      <c r="G348" s="9" t="s">
        <v>169</v>
      </c>
      <c r="I348" t="s">
        <v>401</v>
      </c>
      <c r="J348" t="s">
        <v>401</v>
      </c>
      <c r="K348">
        <v>370</v>
      </c>
      <c r="L348">
        <v>370</v>
      </c>
      <c r="M348">
        <v>370</v>
      </c>
      <c r="O348" s="5" t="s">
        <v>1195</v>
      </c>
      <c r="Q348" s="3">
        <f>IF(AND(P348&lt;&gt;"",ISNUMBER(P348),NOT(ISNA(P348))),P348,IF(R348&lt;&gt;"",VLOOKUP(R348,'ESO zones'!$D$5:$H$10005,5,FALSE),""))</f>
        <v>1055</v>
      </c>
      <c r="R348" t="str">
        <f>IF(AND(O348&lt;&gt;"",NOT(ISERROR(O348))),O348,IF(AND(P348&lt;&gt;"",ISNUMBER(P348),P348&gt;0,NOT(ISNA(P348))),VLOOKUP(P348,'ESO zones'!$A$5:$D$10003,4,FALSE),IF(AND(K348&lt;&gt;"",K348&gt;0,NOT(ISERROR(K348))),VLOOKUP(K348,'ESO wayshrines'!$K$3:$N$9972,4,FALSE),"")))</f>
        <v>March of Sacrifices</v>
      </c>
      <c r="T348" s="16" t="str">
        <f>IF(AND(S348&lt;&gt;"",NOT(ISERROR(S348))),S348,VLOOKUP(A348,'ESO Set&amp;DLCs'!$A$3:$D$99998,4,FALSE))</f>
        <v>DLC_WOLFHUNTER</v>
      </c>
      <c r="U348" s="3" t="str">
        <f>IF(T348&lt;&gt;"",VLOOKUP(T348,ConstDLCIds!$B$4:$C$1000,2,FALSE),"")</f>
        <v>Wolfhunter</v>
      </c>
      <c r="V348" s="4" t="s">
        <v>278</v>
      </c>
      <c r="Y348" s="5"/>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zones'!$A$5:$D$10003,4,FALSE),"")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zones'!$A$5:$D$10003,4,FALSE),"")</f>
        <v>Greenshade</v>
      </c>
      <c r="AK348" s="3" t="str">
        <f>IF(AND(G348&lt;&gt;"LIBSETS_SETTYPE_BATTLEGROUND",G348&lt;&gt;"LIBSETS_SETTYPE_SPECIAL"),IF(AL348&lt;&gt;"",VLOOKUP(AL348,'ESO zones'!$D$5:$H$4957,5,FALSE),""),"")</f>
        <v/>
      </c>
      <c r="AP348" s="3" t="str">
        <f>IF(AND(G348&lt;&gt;"LIBSETS_SETTYPE_BATTLEGROUND",G348&lt;&gt;"LIBSETS_SETTYPE_SPECIAL"),IF(AQ348&lt;&gt;"",VLOOKUP(AQ348,'ESO zones'!$D$5:$H$4957,5,FALSE),""),"")</f>
        <v/>
      </c>
      <c r="AU348" s="3" t="str">
        <f>IF(AND(G348&lt;&gt;"LIBSETS_SETTYPE_BATTLEGROUND",G348&lt;&gt;"LIBSETS_SETTYPE_SPECIAL"),IF(AV348&lt;&gt;"",VLOOKUP(AV348,'ESO zones'!$D$5:$H$4957,5,FALSE),""),"")</f>
        <v/>
      </c>
      <c r="AZ348" s="49" t="s">
        <v>403</v>
      </c>
      <c r="BA348" s="49"/>
      <c r="BB348" s="49"/>
      <c r="BC348" s="49"/>
      <c r="BD348" s="49"/>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2">
        <v>402</v>
      </c>
      <c r="B349" t="s">
        <v>1204</v>
      </c>
      <c r="C349" t="s">
        <v>1205</v>
      </c>
      <c r="D349" s="3">
        <f t="shared" si="30"/>
        <v>402</v>
      </c>
      <c r="G349" s="9" t="s">
        <v>169</v>
      </c>
      <c r="I349" t="s">
        <v>401</v>
      </c>
      <c r="J349" t="s">
        <v>401</v>
      </c>
      <c r="K349">
        <v>371</v>
      </c>
      <c r="L349">
        <v>371</v>
      </c>
      <c r="M349">
        <v>371</v>
      </c>
      <c r="O349" s="5" t="s">
        <v>1197</v>
      </c>
      <c r="Q349" s="3">
        <f>IF(AND(P349&lt;&gt;"",ISNUMBER(P349),NOT(ISNA(P349))),P349,IF(R349&lt;&gt;"",VLOOKUP(R349,'ESO zones'!$D$5:$H$10005,5,FALSE),""))</f>
        <v>1052</v>
      </c>
      <c r="R349" t="str">
        <f>IF(AND(O349&lt;&gt;"",NOT(ISERROR(O349))),O349,IF(AND(P349&lt;&gt;"",ISNUMBER(P349),P349&gt;0,NOT(ISNA(P349))),VLOOKUP(P349,'ESO zones'!$A$5:$D$10003,4,FALSE),IF(AND(K349&lt;&gt;"",K349&gt;0,NOT(ISERROR(K349))),VLOOKUP(K349,'ESO wayshrines'!$K$3:$N$9972,4,FALSE),"")))</f>
        <v>Moon Hunter Keep</v>
      </c>
      <c r="T349" s="16" t="str">
        <f>IF(AND(S349&lt;&gt;"",NOT(ISERROR(S349))),S349,VLOOKUP(A349,'ESO Set&amp;DLCs'!$A$3:$D$99998,4,FALSE))</f>
        <v>DLC_WOLFHUNTER</v>
      </c>
      <c r="U349" s="3" t="str">
        <f>IF(T349&lt;&gt;"",VLOOKUP(T349,ConstDLCIds!$B$4:$C$1000,2,FALSE),"")</f>
        <v>Wolfhunter</v>
      </c>
      <c r="V349" s="4" t="s">
        <v>278</v>
      </c>
      <c r="Y349" s="5"/>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zones'!$A$5:$D$10003,4,FALSE),"")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zones'!$A$5:$D$10003,4,FALSE),"")</f>
        <v>Reaper's March</v>
      </c>
      <c r="AK349" s="3" t="str">
        <f>IF(AND(G349&lt;&gt;"LIBSETS_SETTYPE_BATTLEGROUND",G349&lt;&gt;"LIBSETS_SETTYPE_SPECIAL"),IF(AL349&lt;&gt;"",VLOOKUP(AL349,'ESO zones'!$D$5:$H$4957,5,FALSE),""),"")</f>
        <v/>
      </c>
      <c r="AP349" s="3" t="str">
        <f>IF(AND(G349&lt;&gt;"LIBSETS_SETTYPE_BATTLEGROUND",G349&lt;&gt;"LIBSETS_SETTYPE_SPECIAL"),IF(AQ349&lt;&gt;"",VLOOKUP(AQ349,'ESO zones'!$D$5:$H$4957,5,FALSE),""),"")</f>
        <v/>
      </c>
      <c r="AU349" s="3" t="str">
        <f>IF(AND(G349&lt;&gt;"LIBSETS_SETTYPE_BATTLEGROUND",G349&lt;&gt;"LIBSETS_SETTYPE_SPECIAL"),IF(AV349&lt;&gt;"",VLOOKUP(AV349,'ESO zones'!$D$5:$H$4957,5,FALSE),""),"")</f>
        <v/>
      </c>
      <c r="AZ349" s="49" t="s">
        <v>403</v>
      </c>
      <c r="BA349" s="49"/>
      <c r="BB349" s="49"/>
      <c r="BC349" s="49"/>
      <c r="BD349" s="49"/>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2">
        <v>403</v>
      </c>
      <c r="B350" t="s">
        <v>1206</v>
      </c>
      <c r="C350" t="s">
        <v>1207</v>
      </c>
      <c r="D350" s="3">
        <f t="shared" si="30"/>
        <v>403</v>
      </c>
      <c r="G350" s="9" t="s">
        <v>169</v>
      </c>
      <c r="I350" t="s">
        <v>401</v>
      </c>
      <c r="J350" t="s">
        <v>401</v>
      </c>
      <c r="K350">
        <v>371</v>
      </c>
      <c r="L350">
        <v>371</v>
      </c>
      <c r="M350">
        <v>371</v>
      </c>
      <c r="O350" s="5" t="s">
        <v>1197</v>
      </c>
      <c r="Q350" s="3">
        <f>IF(AND(P350&lt;&gt;"",ISNUMBER(P350),NOT(ISNA(P350))),P350,IF(R350&lt;&gt;"",VLOOKUP(R350,'ESO zones'!$D$5:$H$10005,5,FALSE),""))</f>
        <v>1052</v>
      </c>
      <c r="R350" t="str">
        <f>IF(AND(O350&lt;&gt;"",NOT(ISERROR(O350))),O350,IF(AND(P350&lt;&gt;"",ISNUMBER(P350),P350&gt;0,NOT(ISNA(P350))),VLOOKUP(P350,'ESO zones'!$A$5:$D$10003,4,FALSE),IF(AND(K350&lt;&gt;"",K350&gt;0,NOT(ISERROR(K350))),VLOOKUP(K350,'ESO wayshrines'!$K$3:$N$9972,4,FALSE),"")))</f>
        <v>Moon Hunter Keep</v>
      </c>
      <c r="T350" s="16" t="str">
        <f>IF(AND(S350&lt;&gt;"",NOT(ISERROR(S350))),S350,VLOOKUP(A350,'ESO Set&amp;DLCs'!$A$3:$D$99998,4,FALSE))</f>
        <v>DLC_WOLFHUNTER</v>
      </c>
      <c r="U350" s="3" t="str">
        <f>IF(T350&lt;&gt;"",VLOOKUP(T350,ConstDLCIds!$B$4:$C$1000,2,FALSE),"")</f>
        <v>Wolfhunter</v>
      </c>
      <c r="V350" s="4" t="s">
        <v>278</v>
      </c>
      <c r="Y350" s="5"/>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zones'!$A$5:$D$10003,4,FALSE),"")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zones'!$A$5:$D$10003,4,FALSE),"")</f>
        <v>Reaper's March</v>
      </c>
      <c r="AK350" s="3" t="str">
        <f>IF(AND(G350&lt;&gt;"LIBSETS_SETTYPE_BATTLEGROUND",G350&lt;&gt;"LIBSETS_SETTYPE_SPECIAL"),IF(AL350&lt;&gt;"",VLOOKUP(AL350,'ESO zones'!$D$5:$H$4957,5,FALSE),""),"")</f>
        <v/>
      </c>
      <c r="AP350" s="3" t="str">
        <f>IF(AND(G350&lt;&gt;"LIBSETS_SETTYPE_BATTLEGROUND",G350&lt;&gt;"LIBSETS_SETTYPE_SPECIAL"),IF(AQ350&lt;&gt;"",VLOOKUP(AQ350,'ESO zones'!$D$5:$H$4957,5,FALSE),""),"")</f>
        <v/>
      </c>
      <c r="AU350" s="3" t="str">
        <f>IF(AND(G350&lt;&gt;"LIBSETS_SETTYPE_BATTLEGROUND",G350&lt;&gt;"LIBSETS_SETTYPE_SPECIAL"),IF(AV350&lt;&gt;"",VLOOKUP(AV350,'ESO zones'!$D$5:$H$4957,5,FALSE),""),"")</f>
        <v/>
      </c>
      <c r="AZ350" s="49" t="s">
        <v>403</v>
      </c>
      <c r="BA350" s="49"/>
      <c r="BB350" s="49"/>
      <c r="BC350" s="49"/>
      <c r="BD350" s="49"/>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2">
        <v>404</v>
      </c>
      <c r="B351" t="s">
        <v>1208</v>
      </c>
      <c r="C351" t="s">
        <v>1209</v>
      </c>
      <c r="D351" s="3">
        <f t="shared" si="30"/>
        <v>404</v>
      </c>
      <c r="G351" s="9" t="s">
        <v>169</v>
      </c>
      <c r="I351" t="s">
        <v>401</v>
      </c>
      <c r="J351" t="s">
        <v>401</v>
      </c>
      <c r="K351">
        <v>371</v>
      </c>
      <c r="L351">
        <v>371</v>
      </c>
      <c r="M351">
        <v>371</v>
      </c>
      <c r="O351" s="5" t="s">
        <v>1197</v>
      </c>
      <c r="Q351" s="3">
        <f>IF(AND(P351&lt;&gt;"",ISNUMBER(P351),NOT(ISNA(P351))),P351,IF(R351&lt;&gt;"",VLOOKUP(R351,'ESO zones'!$D$5:$H$10005,5,FALSE),""))</f>
        <v>1052</v>
      </c>
      <c r="R351" t="str">
        <f>IF(AND(O351&lt;&gt;"",NOT(ISERROR(O351))),O351,IF(AND(P351&lt;&gt;"",ISNUMBER(P351),P351&gt;0,NOT(ISNA(P351))),VLOOKUP(P351,'ESO zones'!$A$5:$D$10003,4,FALSE),IF(AND(K351&lt;&gt;"",K351&gt;0,NOT(ISERROR(K351))),VLOOKUP(K351,'ESO wayshrines'!$K$3:$N$9972,4,FALSE),"")))</f>
        <v>Moon Hunter Keep</v>
      </c>
      <c r="T351" s="16" t="str">
        <f>IF(AND(S351&lt;&gt;"",NOT(ISERROR(S351))),S351,VLOOKUP(A351,'ESO Set&amp;DLCs'!$A$3:$D$99998,4,FALSE))</f>
        <v>DLC_WOLFHUNTER</v>
      </c>
      <c r="U351" s="3" t="str">
        <f>IF(T351&lt;&gt;"",VLOOKUP(T351,ConstDLCIds!$B$4:$C$1000,2,FALSE),"")</f>
        <v>Wolfhunter</v>
      </c>
      <c r="V351" s="4" t="s">
        <v>278</v>
      </c>
      <c r="Y351" s="5"/>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zones'!$A$5:$D$10003,4,FALSE),"")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zones'!$A$5:$D$10003,4,FALSE),"")</f>
        <v>Reaper's March</v>
      </c>
      <c r="AK351" s="3" t="str">
        <f>IF(AND(G351&lt;&gt;"LIBSETS_SETTYPE_BATTLEGROUND",G351&lt;&gt;"LIBSETS_SETTYPE_SPECIAL"),IF(AL351&lt;&gt;"",VLOOKUP(AL351,'ESO zones'!$D$5:$H$4957,5,FALSE),""),"")</f>
        <v/>
      </c>
      <c r="AP351" s="3" t="str">
        <f>IF(AND(G351&lt;&gt;"LIBSETS_SETTYPE_BATTLEGROUND",G351&lt;&gt;"LIBSETS_SETTYPE_SPECIAL"),IF(AQ351&lt;&gt;"",VLOOKUP(AQ351,'ESO zones'!$D$5:$H$4957,5,FALSE),""),"")</f>
        <v/>
      </c>
      <c r="AU351" s="3" t="str">
        <f>IF(AND(G351&lt;&gt;"LIBSETS_SETTYPE_BATTLEGROUND",G351&lt;&gt;"LIBSETS_SETTYPE_SPECIAL"),IF(AV351&lt;&gt;"",VLOOKUP(AV351,'ESO zones'!$D$5:$H$4957,5,FALSE),""),"")</f>
        <v/>
      </c>
      <c r="AZ351" s="49" t="s">
        <v>403</v>
      </c>
      <c r="BA351" s="49"/>
      <c r="BB351" s="49"/>
      <c r="BC351" s="49"/>
      <c r="BD351" s="49"/>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2">
        <v>405</v>
      </c>
      <c r="B352" t="s">
        <v>1210</v>
      </c>
      <c r="C352" t="s">
        <v>1211</v>
      </c>
      <c r="D352" s="3">
        <f t="shared" si="30"/>
        <v>405</v>
      </c>
      <c r="G352" s="9" t="s">
        <v>174</v>
      </c>
      <c r="I352" t="s">
        <v>401</v>
      </c>
      <c r="J352" t="s">
        <v>401</v>
      </c>
      <c r="K352">
        <v>374</v>
      </c>
      <c r="L352">
        <v>374</v>
      </c>
      <c r="M352">
        <v>374</v>
      </c>
      <c r="O352" s="5" t="s">
        <v>44</v>
      </c>
      <c r="Q352" s="3">
        <f>IF(AND(P352&lt;&gt;"",ISNUMBER(P352),NOT(ISNA(P352))),P352,IF(R352&lt;&gt;"",VLOOKUP(R352,'ESO zones'!$D$5:$H$10005,5,FALSE),""))</f>
        <v>726</v>
      </c>
      <c r="R352" t="str">
        <f>IF(AND(O352&lt;&gt;"",NOT(ISERROR(O352))),O352,IF(AND(P352&lt;&gt;"",ISNUMBER(P352),P352&gt;0,NOT(ISNA(P352))),VLOOKUP(P352,'ESO zones'!$A$5:$D$10003,4,FALSE),IF(AND(K352&lt;&gt;"",K352&gt;0,NOT(ISERROR(K352))),VLOOKUP(K352,'ESO wayshrines'!$K$3:$N$9972,4,FALSE),"")))</f>
        <v>Murkmire</v>
      </c>
      <c r="T352" s="16" t="str">
        <f>IF(AND(S352&lt;&gt;"",NOT(ISERROR(S352))),S352,VLOOKUP(A352,'ESO Set&amp;DLCs'!$A$3:$D$99998,4,FALSE))</f>
        <v>DLC_MURKMIRE</v>
      </c>
      <c r="U352" s="3" t="str">
        <f>IF(T352&lt;&gt;"",VLOOKUP(T352,ConstDLCIds!$B$4:$C$1000,2,FALSE),"")</f>
        <v>Murkmire</v>
      </c>
      <c r="V352" s="4" t="s">
        <v>215</v>
      </c>
      <c r="Y352" s="5"/>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zones'!$A$5:$D$10003,4,FALSE),"")</f>
        <v>Murkmire</v>
      </c>
      <c r="AB352" s="4"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zones'!$A$5:$D$10003,4,FALSE),"")</f>
        <v>Murkmire</v>
      </c>
      <c r="AH352" s="4" t="s">
        <v>224</v>
      </c>
      <c r="AK352" s="3">
        <f>IF(AND(G352&lt;&gt;"LIBSETS_SETTYPE_BATTLEGROUND",G352&lt;&gt;"LIBSETS_SETTYPE_SPECIAL"),IF(AL352&lt;&gt;"",VLOOKUP(AL352,'ESO zones'!$D$5:$H$4957,5,FALSE),""),"")</f>
        <v>726</v>
      </c>
      <c r="AL352" t="s">
        <v>44</v>
      </c>
      <c r="AM352" s="4" t="s">
        <v>269</v>
      </c>
      <c r="AP352" s="3" t="str">
        <f>IF(AND(G352&lt;&gt;"LIBSETS_SETTYPE_BATTLEGROUND",G352&lt;&gt;"LIBSETS_SETTYPE_SPECIAL"),IF(AQ352&lt;&gt;"",VLOOKUP(AQ352,'ESO zones'!$D$5:$H$4957,5,FALSE),""),"")</f>
        <v/>
      </c>
      <c r="AU352" s="3" t="str">
        <f>IF(AND(G352&lt;&gt;"LIBSETS_SETTYPE_BATTLEGROUND",G352&lt;&gt;"LIBSETS_SETTYPE_SPECIAL"),IF(AV352&lt;&gt;"",VLOOKUP(AV352,'ESO zones'!$D$5:$H$4957,5,FALSE),""),"")</f>
        <v/>
      </c>
      <c r="AZ352" s="49" t="s">
        <v>403</v>
      </c>
      <c r="BA352" s="49"/>
      <c r="BB352" s="49"/>
      <c r="BC352" s="49"/>
      <c r="BD352" s="49"/>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2">
        <v>406</v>
      </c>
      <c r="B353" t="s">
        <v>1212</v>
      </c>
      <c r="C353" t="s">
        <v>1213</v>
      </c>
      <c r="D353" s="3">
        <f t="shared" si="30"/>
        <v>406</v>
      </c>
      <c r="G353" s="9" t="s">
        <v>174</v>
      </c>
      <c r="I353" t="s">
        <v>401</v>
      </c>
      <c r="J353" t="s">
        <v>401</v>
      </c>
      <c r="K353">
        <v>374</v>
      </c>
      <c r="L353">
        <v>374</v>
      </c>
      <c r="M353">
        <v>374</v>
      </c>
      <c r="O353" s="5" t="s">
        <v>44</v>
      </c>
      <c r="Q353" s="3">
        <f>IF(AND(P353&lt;&gt;"",ISNUMBER(P353),NOT(ISNA(P353))),P353,IF(R353&lt;&gt;"",VLOOKUP(R353,'ESO zones'!$D$5:$H$10005,5,FALSE),""))</f>
        <v>726</v>
      </c>
      <c r="R353" t="str">
        <f>IF(AND(O353&lt;&gt;"",NOT(ISERROR(O353))),O353,IF(AND(P353&lt;&gt;"",ISNUMBER(P353),P353&gt;0,NOT(ISNA(P353))),VLOOKUP(P353,'ESO zones'!$A$5:$D$10003,4,FALSE),IF(AND(K353&lt;&gt;"",K353&gt;0,NOT(ISERROR(K353))),VLOOKUP(K353,'ESO wayshrines'!$K$3:$N$9972,4,FALSE),"")))</f>
        <v>Murkmire</v>
      </c>
      <c r="T353" s="16" t="str">
        <f>IF(AND(S353&lt;&gt;"",NOT(ISERROR(S353))),S353,VLOOKUP(A353,'ESO Set&amp;DLCs'!$A$3:$D$99998,4,FALSE))</f>
        <v>DLC_MURKMIRE</v>
      </c>
      <c r="U353" s="3" t="str">
        <f>IF(T353&lt;&gt;"",VLOOKUP(T353,ConstDLCIds!$B$4:$C$1000,2,FALSE),"")</f>
        <v>Murkmire</v>
      </c>
      <c r="V353" s="4" t="s">
        <v>215</v>
      </c>
      <c r="Y353" s="5"/>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zones'!$A$5:$D$10003,4,FALSE),"")</f>
        <v>Murkmire</v>
      </c>
      <c r="AB353" s="4"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zones'!$A$5:$D$10003,4,FALSE),"")</f>
        <v>Murkmire</v>
      </c>
      <c r="AH353" s="4" t="s">
        <v>224</v>
      </c>
      <c r="AK353" s="3">
        <f>IF(AND(G353&lt;&gt;"LIBSETS_SETTYPE_BATTLEGROUND",G353&lt;&gt;"LIBSETS_SETTYPE_SPECIAL"),IF(AL353&lt;&gt;"",VLOOKUP(AL353,'ESO zones'!$D$5:$H$4957,5,FALSE),""),"")</f>
        <v>726</v>
      </c>
      <c r="AL353" t="s">
        <v>44</v>
      </c>
      <c r="AM353" s="4" t="s">
        <v>269</v>
      </c>
      <c r="AP353" s="3" t="str">
        <f>IF(AND(G353&lt;&gt;"LIBSETS_SETTYPE_BATTLEGROUND",G353&lt;&gt;"LIBSETS_SETTYPE_SPECIAL"),IF(AQ353&lt;&gt;"",VLOOKUP(AQ353,'ESO zones'!$D$5:$H$4957,5,FALSE),""),"")</f>
        <v/>
      </c>
      <c r="AU353" s="3" t="str">
        <f>IF(AND(G353&lt;&gt;"LIBSETS_SETTYPE_BATTLEGROUND",G353&lt;&gt;"LIBSETS_SETTYPE_SPECIAL"),IF(AV353&lt;&gt;"",VLOOKUP(AV353,'ESO zones'!$D$5:$H$4957,5,FALSE),""),"")</f>
        <v/>
      </c>
      <c r="AZ353" s="49" t="s">
        <v>403</v>
      </c>
      <c r="BA353" s="49"/>
      <c r="BB353" s="49"/>
      <c r="BC353" s="49"/>
      <c r="BD353" s="49"/>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2">
        <v>407</v>
      </c>
      <c r="B354" t="s">
        <v>1214</v>
      </c>
      <c r="C354" t="s">
        <v>1215</v>
      </c>
      <c r="D354" s="3">
        <f t="shared" si="30"/>
        <v>407</v>
      </c>
      <c r="G354" s="9" t="s">
        <v>174</v>
      </c>
      <c r="I354" t="s">
        <v>401</v>
      </c>
      <c r="J354" t="s">
        <v>401</v>
      </c>
      <c r="K354">
        <v>374</v>
      </c>
      <c r="L354">
        <v>374</v>
      </c>
      <c r="M354">
        <v>374</v>
      </c>
      <c r="O354" s="5" t="s">
        <v>44</v>
      </c>
      <c r="Q354" s="3">
        <f>IF(AND(P354&lt;&gt;"",ISNUMBER(P354),NOT(ISNA(P354))),P354,IF(R354&lt;&gt;"",VLOOKUP(R354,'ESO zones'!$D$5:$H$10005,5,FALSE),""))</f>
        <v>726</v>
      </c>
      <c r="R354" t="str">
        <f>IF(AND(O354&lt;&gt;"",NOT(ISERROR(O354))),O354,IF(AND(P354&lt;&gt;"",ISNUMBER(P354),P354&gt;0,NOT(ISNA(P354))),VLOOKUP(P354,'ESO zones'!$A$5:$D$10003,4,FALSE),IF(AND(K354&lt;&gt;"",K354&gt;0,NOT(ISERROR(K354))),VLOOKUP(K354,'ESO wayshrines'!$K$3:$N$9972,4,FALSE),"")))</f>
        <v>Murkmire</v>
      </c>
      <c r="T354" s="16" t="str">
        <f>IF(AND(S354&lt;&gt;"",NOT(ISERROR(S354))),S354,VLOOKUP(A354,'ESO Set&amp;DLCs'!$A$3:$D$99998,4,FALSE))</f>
        <v>DLC_MURKMIRE</v>
      </c>
      <c r="U354" s="3" t="str">
        <f>IF(T354&lt;&gt;"",VLOOKUP(T354,ConstDLCIds!$B$4:$C$1000,2,FALSE),"")</f>
        <v>Murkmire</v>
      </c>
      <c r="V354" s="4" t="s">
        <v>215</v>
      </c>
      <c r="Y354" s="5"/>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zones'!$A$5:$D$10003,4,FALSE),"")</f>
        <v>Murkmire</v>
      </c>
      <c r="AB354" s="4"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zones'!$A$5:$D$10003,4,FALSE),"")</f>
        <v>Murkmire</v>
      </c>
      <c r="AH354" s="4" t="s">
        <v>224</v>
      </c>
      <c r="AK354" s="3">
        <f>IF(AND(G354&lt;&gt;"LIBSETS_SETTYPE_BATTLEGROUND",G354&lt;&gt;"LIBSETS_SETTYPE_SPECIAL"),IF(AL354&lt;&gt;"",VLOOKUP(AL354,'ESO zones'!$D$5:$H$4957,5,FALSE),""),"")</f>
        <v>726</v>
      </c>
      <c r="AL354" t="s">
        <v>44</v>
      </c>
      <c r="AM354" s="4" t="s">
        <v>269</v>
      </c>
      <c r="AP354" s="3" t="str">
        <f>IF(AND(G354&lt;&gt;"LIBSETS_SETTYPE_BATTLEGROUND",G354&lt;&gt;"LIBSETS_SETTYPE_SPECIAL"),IF(AQ354&lt;&gt;"",VLOOKUP(AQ354,'ESO zones'!$D$5:$H$4957,5,FALSE),""),"")</f>
        <v/>
      </c>
      <c r="AU354" s="3" t="str">
        <f>IF(AND(G354&lt;&gt;"LIBSETS_SETTYPE_BATTLEGROUND",G354&lt;&gt;"LIBSETS_SETTYPE_SPECIAL"),IF(AV354&lt;&gt;"",VLOOKUP(AV354,'ESO zones'!$D$5:$H$4957,5,FALSE),""),"")</f>
        <v/>
      </c>
      <c r="AZ354" s="49" t="s">
        <v>403</v>
      </c>
      <c r="BA354" s="49"/>
      <c r="BB354" s="49"/>
      <c r="BC354" s="49"/>
      <c r="BD354" s="49"/>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1">
        <v>408</v>
      </c>
      <c r="B355" t="s">
        <v>1216</v>
      </c>
      <c r="C355" t="s">
        <v>1217</v>
      </c>
      <c r="D355" s="3">
        <f t="shared" si="30"/>
        <v>408</v>
      </c>
      <c r="G355" s="9" t="s">
        <v>163</v>
      </c>
      <c r="I355" t="s">
        <v>401</v>
      </c>
      <c r="J355" t="s">
        <v>401</v>
      </c>
      <c r="K355">
        <v>375</v>
      </c>
      <c r="L355">
        <v>375</v>
      </c>
      <c r="M355">
        <v>375</v>
      </c>
      <c r="N355">
        <v>7</v>
      </c>
      <c r="Q355" s="3">
        <f>IF(AND(P355&lt;&gt;"",ISNUMBER(P355),NOT(ISNA(P355))),P355,IF(R355&lt;&gt;"",VLOOKUP(R355,'ESO zones'!$D$5:$H$10005,5,FALSE),""))</f>
        <v>726</v>
      </c>
      <c r="R355" t="str">
        <f>IF(AND(O355&lt;&gt;"",NOT(ISERROR(O355))),O355,IF(AND(P355&lt;&gt;"",ISNUMBER(P355),P355&gt;0,NOT(ISNA(P355))),VLOOKUP(P355,'ESO zones'!$A$5:$D$10003,4,FALSE),IF(AND(K355&lt;&gt;"",K355&gt;0,NOT(ISERROR(K355))),VLOOKUP(K355,'ESO wayshrines'!$K$3:$N$9972,4,FALSE),"")))</f>
        <v>Murkmire</v>
      </c>
      <c r="T355" s="16" t="str">
        <f>IF(AND(S355&lt;&gt;"",NOT(ISERROR(S355))),S355,VLOOKUP(A355,'ESO Set&amp;DLCs'!$A$3:$D$99998,4,FALSE))</f>
        <v>DLC_MURKMIRE</v>
      </c>
      <c r="U355" s="3" t="str">
        <f>IF(T355&lt;&gt;"",VLOOKUP(T355,ConstDLCIds!$B$4:$C$1000,2,FALSE),"")</f>
        <v>Murkmire</v>
      </c>
      <c r="V355" s="4" t="s">
        <v>281</v>
      </c>
      <c r="Y355" s="5"/>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zones'!$A$5:$D$10003,4,FALSE),"")</f>
        <v>Murkmire</v>
      </c>
      <c r="AB355" s="4"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zones'!$A$5:$D$10003,4,FALSE),"")</f>
        <v>Murkmire</v>
      </c>
      <c r="AK355" s="3" t="str">
        <f>IF(AND(G355&lt;&gt;"LIBSETS_SETTYPE_BATTLEGROUND",G355&lt;&gt;"LIBSETS_SETTYPE_SPECIAL"),IF(AL355&lt;&gt;"",VLOOKUP(AL355,'ESO zones'!$D$5:$H$4957,5,FALSE),""),"")</f>
        <v/>
      </c>
      <c r="AP355" s="3" t="str">
        <f>IF(AND(G355&lt;&gt;"LIBSETS_SETTYPE_BATTLEGROUND",G355&lt;&gt;"LIBSETS_SETTYPE_SPECIAL"),IF(AQ355&lt;&gt;"",VLOOKUP(AQ355,'ESO zones'!$D$5:$H$4957,5,FALSE),""),"")</f>
        <v/>
      </c>
      <c r="AU355" s="3" t="str">
        <f>IF(AND(G355&lt;&gt;"LIBSETS_SETTYPE_BATTLEGROUND",G355&lt;&gt;"LIBSETS_SETTYPE_SPECIAL"),IF(AV355&lt;&gt;"",VLOOKUP(AV355,'ESO zones'!$D$5:$H$4957,5,FALSE),""),"")</f>
        <v/>
      </c>
      <c r="AZ355" s="49" t="s">
        <v>403</v>
      </c>
      <c r="BA355" s="49"/>
      <c r="BB355" s="49"/>
      <c r="BC355" s="49"/>
      <c r="BD355" s="49"/>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1">
        <v>409</v>
      </c>
      <c r="B356" t="s">
        <v>1218</v>
      </c>
      <c r="C356" t="s">
        <v>1219</v>
      </c>
      <c r="D356" s="3">
        <f t="shared" si="30"/>
        <v>409</v>
      </c>
      <c r="G356" s="9" t="s">
        <v>163</v>
      </c>
      <c r="I356" t="s">
        <v>401</v>
      </c>
      <c r="J356" t="s">
        <v>401</v>
      </c>
      <c r="K356">
        <v>379</v>
      </c>
      <c r="L356">
        <v>379</v>
      </c>
      <c r="M356">
        <v>379</v>
      </c>
      <c r="N356">
        <v>2</v>
      </c>
      <c r="Q356" s="3">
        <f>IF(AND(P356&lt;&gt;"",ISNUMBER(P356),NOT(ISNA(P356))),P356,IF(R356&lt;&gt;"",VLOOKUP(R356,'ESO zones'!$D$5:$H$10005,5,FALSE),""))</f>
        <v>726</v>
      </c>
      <c r="R356" t="str">
        <f>IF(AND(O356&lt;&gt;"",NOT(ISERROR(O356))),O356,IF(AND(P356&lt;&gt;"",ISNUMBER(P356),P356&gt;0,NOT(ISNA(P356))),VLOOKUP(P356,'ESO zones'!$A$5:$D$10003,4,FALSE),IF(AND(K356&lt;&gt;"",K356&gt;0,NOT(ISERROR(K356))),VLOOKUP(K356,'ESO wayshrines'!$K$3:$N$9972,4,FALSE),"")))</f>
        <v>Murkmire</v>
      </c>
      <c r="T356" s="16" t="str">
        <f>IF(AND(S356&lt;&gt;"",NOT(ISERROR(S356))),S356,VLOOKUP(A356,'ESO Set&amp;DLCs'!$A$3:$D$99998,4,FALSE))</f>
        <v>DLC_MURKMIRE</v>
      </c>
      <c r="U356" s="3" t="str">
        <f>IF(T356&lt;&gt;"",VLOOKUP(T356,ConstDLCIds!$B$4:$C$1000,2,FALSE),"")</f>
        <v>Murkmire</v>
      </c>
      <c r="V356" s="4" t="s">
        <v>281</v>
      </c>
      <c r="Y356" s="5"/>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zones'!$A$5:$D$10003,4,FALSE),"")</f>
        <v>Murkmire</v>
      </c>
      <c r="AB356" s="4"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zones'!$A$5:$D$10003,4,FALSE),"")</f>
        <v>Murkmire</v>
      </c>
      <c r="AK356" s="3" t="str">
        <f>IF(AND(G356&lt;&gt;"LIBSETS_SETTYPE_BATTLEGROUND",G356&lt;&gt;"LIBSETS_SETTYPE_SPECIAL"),IF(AL356&lt;&gt;"",VLOOKUP(AL356,'ESO zones'!$D$5:$H$4957,5,FALSE),""),"")</f>
        <v/>
      </c>
      <c r="AP356" s="3" t="str">
        <f>IF(AND(G356&lt;&gt;"LIBSETS_SETTYPE_BATTLEGROUND",G356&lt;&gt;"LIBSETS_SETTYPE_SPECIAL"),IF(AQ356&lt;&gt;"",VLOOKUP(AQ356,'ESO zones'!$D$5:$H$4957,5,FALSE),""),"")</f>
        <v/>
      </c>
      <c r="AU356" s="3" t="str">
        <f>IF(AND(G356&lt;&gt;"LIBSETS_SETTYPE_BATTLEGROUND",G356&lt;&gt;"LIBSETS_SETTYPE_SPECIAL"),IF(AV356&lt;&gt;"",VLOOKUP(AV356,'ESO zones'!$D$5:$H$4957,5,FALSE),""),"")</f>
        <v/>
      </c>
      <c r="AZ356" s="49" t="s">
        <v>403</v>
      </c>
      <c r="BA356" s="49"/>
      <c r="BB356" s="49"/>
      <c r="BC356" s="49"/>
      <c r="BD356" s="49"/>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1">
        <v>410</v>
      </c>
      <c r="B357" t="s">
        <v>1220</v>
      </c>
      <c r="C357" t="s">
        <v>1221</v>
      </c>
      <c r="D357" s="3">
        <f t="shared" si="30"/>
        <v>410</v>
      </c>
      <c r="G357" s="9" t="s">
        <v>163</v>
      </c>
      <c r="I357" t="s">
        <v>401</v>
      </c>
      <c r="J357" t="s">
        <v>401</v>
      </c>
      <c r="K357">
        <v>379</v>
      </c>
      <c r="L357">
        <v>379</v>
      </c>
      <c r="M357">
        <v>379</v>
      </c>
      <c r="N357">
        <v>4</v>
      </c>
      <c r="Q357" s="3">
        <f>IF(AND(P357&lt;&gt;"",ISNUMBER(P357),NOT(ISNA(P357))),P357,IF(R357&lt;&gt;"",VLOOKUP(R357,'ESO zones'!$D$5:$H$10005,5,FALSE),""))</f>
        <v>726</v>
      </c>
      <c r="R357" t="str">
        <f>IF(AND(O357&lt;&gt;"",NOT(ISERROR(O357))),O357,IF(AND(P357&lt;&gt;"",ISNUMBER(P357),P357&gt;0,NOT(ISNA(P357))),VLOOKUP(P357,'ESO zones'!$A$5:$D$10003,4,FALSE),IF(AND(K357&lt;&gt;"",K357&gt;0,NOT(ISERROR(K357))),VLOOKUP(K357,'ESO wayshrines'!$K$3:$N$9972,4,FALSE),"")))</f>
        <v>Murkmire</v>
      </c>
      <c r="T357" s="16" t="str">
        <f>IF(AND(S357&lt;&gt;"",NOT(ISERROR(S357))),S357,VLOOKUP(A357,'ESO Set&amp;DLCs'!$A$3:$D$99998,4,FALSE))</f>
        <v>DLC_MURKMIRE</v>
      </c>
      <c r="U357" s="3" t="str">
        <f>IF(T357&lt;&gt;"",VLOOKUP(T357,ConstDLCIds!$B$4:$C$1000,2,FALSE),"")</f>
        <v>Murkmire</v>
      </c>
      <c r="V357" s="4" t="s">
        <v>281</v>
      </c>
      <c r="Y357" s="5"/>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zones'!$A$5:$D$10003,4,FALSE),"")</f>
        <v>Murkmire</v>
      </c>
      <c r="AB357" s="4"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zones'!$A$5:$D$10003,4,FALSE),"")</f>
        <v>Murkmire</v>
      </c>
      <c r="AK357" s="3" t="str">
        <f>IF(AND(G357&lt;&gt;"LIBSETS_SETTYPE_BATTLEGROUND",G357&lt;&gt;"LIBSETS_SETTYPE_SPECIAL"),IF(AL357&lt;&gt;"",VLOOKUP(AL357,'ESO zones'!$D$5:$H$4957,5,FALSE),""),"")</f>
        <v/>
      </c>
      <c r="AP357" s="3" t="str">
        <f>IF(AND(G357&lt;&gt;"LIBSETS_SETTYPE_BATTLEGROUND",G357&lt;&gt;"LIBSETS_SETTYPE_SPECIAL"),IF(AQ357&lt;&gt;"",VLOOKUP(AQ357,'ESO zones'!$D$5:$H$4957,5,FALSE),""),"")</f>
        <v/>
      </c>
      <c r="AU357" s="3" t="str">
        <f>IF(AND(G357&lt;&gt;"LIBSETS_SETTYPE_BATTLEGROUND",G357&lt;&gt;"LIBSETS_SETTYPE_SPECIAL"),IF(AV357&lt;&gt;"",VLOOKUP(AV357,'ESO zones'!$D$5:$H$4957,5,FALSE),""),"")</f>
        <v/>
      </c>
      <c r="AZ357" s="49" t="s">
        <v>403</v>
      </c>
      <c r="BA357" s="49"/>
      <c r="BB357" s="49"/>
      <c r="BC357" s="49"/>
      <c r="BD357" s="49"/>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2">
        <v>411</v>
      </c>
      <c r="B358" t="s">
        <v>1222</v>
      </c>
      <c r="C358" t="s">
        <v>1223</v>
      </c>
      <c r="D358" s="3">
        <f t="shared" si="30"/>
        <v>411</v>
      </c>
      <c r="G358" s="9" t="s">
        <v>159</v>
      </c>
      <c r="I358" t="s">
        <v>401</v>
      </c>
      <c r="J358" t="s">
        <v>401</v>
      </c>
      <c r="K358">
        <v>378</v>
      </c>
      <c r="L358">
        <v>378</v>
      </c>
      <c r="M358">
        <v>378</v>
      </c>
      <c r="O358" s="5" t="s">
        <v>1224</v>
      </c>
      <c r="Q358" s="3">
        <f>IF(AND(P358&lt;&gt;"",ISNUMBER(P358),NOT(ISNA(P358))),P358,IF(R358&lt;&gt;"",VLOOKUP(R358,'ESO zones'!$D$5:$H$10005,5,FALSE),""))</f>
        <v>1082</v>
      </c>
      <c r="R358" t="str">
        <f>IF(AND(O358&lt;&gt;"",NOT(ISERROR(O358))),O358,IF(AND(P358&lt;&gt;"",ISNUMBER(P358),P358&gt;0,NOT(ISNA(P358))),VLOOKUP(P358,'ESO zones'!$A$5:$D$10003,4,FALSE),IF(AND(K358&lt;&gt;"",K358&gt;0,NOT(ISERROR(K358))),VLOOKUP(K358,'ESO wayshrines'!$K$3:$N$9972,4,FALSE),"")))</f>
        <v>Blackrose Prison</v>
      </c>
      <c r="T358" s="16" t="str">
        <f>IF(AND(S358&lt;&gt;"",NOT(ISERROR(S358))),S358,VLOOKUP(A358,'ESO Set&amp;DLCs'!$A$3:$D$99998,4,FALSE))</f>
        <v>DLC_MURKMIRE</v>
      </c>
      <c r="U358" s="3" t="str">
        <f>IF(T358&lt;&gt;"",VLOOKUP(T358,ConstDLCIds!$B$4:$C$1000,2,FALSE),"")</f>
        <v>Murkmire</v>
      </c>
      <c r="V358" s="4" t="s">
        <v>209</v>
      </c>
      <c r="Y358" s="5"/>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zones'!$A$5:$D$10003,4,FALSE),"")</f>
        <v>Murkmire</v>
      </c>
      <c r="AB358" s="4"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zones'!$A$5:$D$10003,4,FALSE),"")</f>
        <v>Murkmire</v>
      </c>
      <c r="AK358" s="3" t="str">
        <f>IF(AND(G358&lt;&gt;"LIBSETS_SETTYPE_BATTLEGROUND",G358&lt;&gt;"LIBSETS_SETTYPE_SPECIAL"),IF(AL358&lt;&gt;"",VLOOKUP(AL358,'ESO zones'!$D$5:$H$4957,5,FALSE),""),"")</f>
        <v/>
      </c>
      <c r="AP358" s="3" t="str">
        <f>IF(AND(G358&lt;&gt;"LIBSETS_SETTYPE_BATTLEGROUND",G358&lt;&gt;"LIBSETS_SETTYPE_SPECIAL"),IF(AQ358&lt;&gt;"",VLOOKUP(AQ358,'ESO zones'!$D$5:$H$4957,5,FALSE),""),"")</f>
        <v/>
      </c>
      <c r="AU358" s="3" t="str">
        <f>IF(AND(G358&lt;&gt;"LIBSETS_SETTYPE_BATTLEGROUND",G358&lt;&gt;"LIBSETS_SETTYPE_SPECIAL"),IF(AV358&lt;&gt;"",VLOOKUP(AV358,'ESO zones'!$D$5:$H$4957,5,FALSE),""),"")</f>
        <v/>
      </c>
      <c r="AZ358" s="49" t="s">
        <v>403</v>
      </c>
      <c r="BA358" s="49"/>
      <c r="BB358" s="49"/>
      <c r="BC358" s="49"/>
      <c r="BD358" s="49">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2">
        <v>412</v>
      </c>
      <c r="B359" t="s">
        <v>1225</v>
      </c>
      <c r="C359" t="s">
        <v>1226</v>
      </c>
      <c r="D359" s="3">
        <f t="shared" si="30"/>
        <v>412</v>
      </c>
      <c r="G359" s="9" t="s">
        <v>159</v>
      </c>
      <c r="I359" t="s">
        <v>401</v>
      </c>
      <c r="J359" t="s">
        <v>401</v>
      </c>
      <c r="K359">
        <v>378</v>
      </c>
      <c r="L359">
        <v>378</v>
      </c>
      <c r="M359">
        <v>378</v>
      </c>
      <c r="O359" s="5" t="s">
        <v>1224</v>
      </c>
      <c r="Q359" s="3">
        <f>IF(AND(P359&lt;&gt;"",ISNUMBER(P359),NOT(ISNA(P359))),P359,IF(R359&lt;&gt;"",VLOOKUP(R359,'ESO zones'!$D$5:$H$10005,5,FALSE),""))</f>
        <v>1082</v>
      </c>
      <c r="R359" t="str">
        <f>IF(AND(O359&lt;&gt;"",NOT(ISERROR(O359))),O359,IF(AND(P359&lt;&gt;"",ISNUMBER(P359),P359&gt;0,NOT(ISNA(P359))),VLOOKUP(P359,'ESO zones'!$A$5:$D$10003,4,FALSE),IF(AND(K359&lt;&gt;"",K359&gt;0,NOT(ISERROR(K359))),VLOOKUP(K359,'ESO wayshrines'!$K$3:$N$9972,4,FALSE),"")))</f>
        <v>Blackrose Prison</v>
      </c>
      <c r="T359" s="16" t="str">
        <f>IF(AND(S359&lt;&gt;"",NOT(ISERROR(S359))),S359,VLOOKUP(A359,'ESO Set&amp;DLCs'!$A$3:$D$99998,4,FALSE))</f>
        <v>DLC_MURKMIRE</v>
      </c>
      <c r="U359" s="3" t="str">
        <f>IF(T359&lt;&gt;"",VLOOKUP(T359,ConstDLCIds!$B$4:$C$1000,2,FALSE),"")</f>
        <v>Murkmire</v>
      </c>
      <c r="V359" s="4" t="s">
        <v>209</v>
      </c>
      <c r="Y359" s="5"/>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zones'!$A$5:$D$10003,4,FALSE),"")</f>
        <v>Murkmire</v>
      </c>
      <c r="AB359" s="4"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zones'!$A$5:$D$10003,4,FALSE),"")</f>
        <v>Murkmire</v>
      </c>
      <c r="AK359" s="3" t="str">
        <f>IF(AND(G359&lt;&gt;"LIBSETS_SETTYPE_BATTLEGROUND",G359&lt;&gt;"LIBSETS_SETTYPE_SPECIAL"),IF(AL359&lt;&gt;"",VLOOKUP(AL359,'ESO zones'!$D$5:$H$4957,5,FALSE),""),"")</f>
        <v/>
      </c>
      <c r="AP359" s="3" t="str">
        <f>IF(AND(G359&lt;&gt;"LIBSETS_SETTYPE_BATTLEGROUND",G359&lt;&gt;"LIBSETS_SETTYPE_SPECIAL"),IF(AQ359&lt;&gt;"",VLOOKUP(AQ359,'ESO zones'!$D$5:$H$4957,5,FALSE),""),"")</f>
        <v/>
      </c>
      <c r="AU359" s="3" t="str">
        <f>IF(AND(G359&lt;&gt;"LIBSETS_SETTYPE_BATTLEGROUND",G359&lt;&gt;"LIBSETS_SETTYPE_SPECIAL"),IF(AV359&lt;&gt;"",VLOOKUP(AV359,'ESO zones'!$D$5:$H$4957,5,FALSE),""),"")</f>
        <v/>
      </c>
      <c r="AZ359" s="49" t="s">
        <v>403</v>
      </c>
      <c r="BA359" s="49"/>
      <c r="BB359" s="49"/>
      <c r="BC359" s="49"/>
      <c r="BD359" s="49">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2">
        <v>413</v>
      </c>
      <c r="B360" t="s">
        <v>1227</v>
      </c>
      <c r="C360" t="s">
        <v>1228</v>
      </c>
      <c r="D360" s="3">
        <f t="shared" si="30"/>
        <v>413</v>
      </c>
      <c r="G360" s="9" t="s">
        <v>159</v>
      </c>
      <c r="I360" t="s">
        <v>401</v>
      </c>
      <c r="J360" t="s">
        <v>401</v>
      </c>
      <c r="K360">
        <v>378</v>
      </c>
      <c r="L360">
        <v>378</v>
      </c>
      <c r="M360">
        <v>378</v>
      </c>
      <c r="O360" s="5" t="s">
        <v>1224</v>
      </c>
      <c r="Q360" s="3">
        <f>IF(AND(P360&lt;&gt;"",ISNUMBER(P360),NOT(ISNA(P360))),P360,IF(R360&lt;&gt;"",VLOOKUP(R360,'ESO zones'!$D$5:$H$10005,5,FALSE),""))</f>
        <v>1082</v>
      </c>
      <c r="R360" t="str">
        <f>IF(AND(O360&lt;&gt;"",NOT(ISERROR(O360))),O360,IF(AND(P360&lt;&gt;"",ISNUMBER(P360),P360&gt;0,NOT(ISNA(P360))),VLOOKUP(P360,'ESO zones'!$A$5:$D$10003,4,FALSE),IF(AND(K360&lt;&gt;"",K360&gt;0,NOT(ISERROR(K360))),VLOOKUP(K360,'ESO wayshrines'!$K$3:$N$9972,4,FALSE),"")))</f>
        <v>Blackrose Prison</v>
      </c>
      <c r="T360" s="16" t="str">
        <f>IF(AND(S360&lt;&gt;"",NOT(ISERROR(S360))),S360,VLOOKUP(A360,'ESO Set&amp;DLCs'!$A$3:$D$99998,4,FALSE))</f>
        <v>DLC_MURKMIRE</v>
      </c>
      <c r="U360" s="3" t="str">
        <f>IF(T360&lt;&gt;"",VLOOKUP(T360,ConstDLCIds!$B$4:$C$1000,2,FALSE),"")</f>
        <v>Murkmire</v>
      </c>
      <c r="V360" s="4" t="s">
        <v>209</v>
      </c>
      <c r="Y360" s="5"/>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zones'!$A$5:$D$10003,4,FALSE),"")</f>
        <v>Murkmire</v>
      </c>
      <c r="AB360" s="4"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zones'!$A$5:$D$10003,4,FALSE),"")</f>
        <v>Murkmire</v>
      </c>
      <c r="AK360" s="3" t="str">
        <f>IF(AND(G360&lt;&gt;"LIBSETS_SETTYPE_BATTLEGROUND",G360&lt;&gt;"LIBSETS_SETTYPE_SPECIAL"),IF(AL360&lt;&gt;"",VLOOKUP(AL360,'ESO zones'!$D$5:$H$4957,5,FALSE),""),"")</f>
        <v/>
      </c>
      <c r="AP360" s="3" t="str">
        <f>IF(AND(G360&lt;&gt;"LIBSETS_SETTYPE_BATTLEGROUND",G360&lt;&gt;"LIBSETS_SETTYPE_SPECIAL"),IF(AQ360&lt;&gt;"",VLOOKUP(AQ360,'ESO zones'!$D$5:$H$4957,5,FALSE),""),"")</f>
        <v/>
      </c>
      <c r="AU360" s="3" t="str">
        <f>IF(AND(G360&lt;&gt;"LIBSETS_SETTYPE_BATTLEGROUND",G360&lt;&gt;"LIBSETS_SETTYPE_SPECIAL"),IF(AV360&lt;&gt;"",VLOOKUP(AV360,'ESO zones'!$D$5:$H$4957,5,FALSE),""),"")</f>
        <v/>
      </c>
      <c r="AZ360" s="49" t="s">
        <v>403</v>
      </c>
      <c r="BA360" s="49"/>
      <c r="BB360" s="49"/>
      <c r="BC360" s="49"/>
      <c r="BD360" s="49">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2">
        <v>414</v>
      </c>
      <c r="B361" t="s">
        <v>1229</v>
      </c>
      <c r="C361" t="s">
        <v>1230</v>
      </c>
      <c r="D361" s="3">
        <f t="shared" si="30"/>
        <v>414</v>
      </c>
      <c r="G361" s="9" t="s">
        <v>159</v>
      </c>
      <c r="I361" t="s">
        <v>401</v>
      </c>
      <c r="J361" t="s">
        <v>401</v>
      </c>
      <c r="K361">
        <v>378</v>
      </c>
      <c r="L361">
        <v>378</v>
      </c>
      <c r="M361">
        <v>378</v>
      </c>
      <c r="O361" s="5" t="s">
        <v>1224</v>
      </c>
      <c r="Q361" s="3">
        <f>IF(AND(P361&lt;&gt;"",ISNUMBER(P361),NOT(ISNA(P361))),P361,IF(R361&lt;&gt;"",VLOOKUP(R361,'ESO zones'!$D$5:$H$10005,5,FALSE),""))</f>
        <v>1082</v>
      </c>
      <c r="R361" t="str">
        <f>IF(AND(O361&lt;&gt;"",NOT(ISERROR(O361))),O361,IF(AND(P361&lt;&gt;"",ISNUMBER(P361),P361&gt;0,NOT(ISNA(P361))),VLOOKUP(P361,'ESO zones'!$A$5:$D$10003,4,FALSE),IF(AND(K361&lt;&gt;"",K361&gt;0,NOT(ISERROR(K361))),VLOOKUP(K361,'ESO wayshrines'!$K$3:$N$9972,4,FALSE),"")))</f>
        <v>Blackrose Prison</v>
      </c>
      <c r="T361" s="16" t="str">
        <f>IF(AND(S361&lt;&gt;"",NOT(ISERROR(S361))),S361,VLOOKUP(A361,'ESO Set&amp;DLCs'!$A$3:$D$99998,4,FALSE))</f>
        <v>DLC_MURKMIRE</v>
      </c>
      <c r="U361" s="3" t="str">
        <f>IF(T361&lt;&gt;"",VLOOKUP(T361,ConstDLCIds!$B$4:$C$1000,2,FALSE),"")</f>
        <v>Murkmire</v>
      </c>
      <c r="V361" s="4" t="s">
        <v>209</v>
      </c>
      <c r="Y361" s="5"/>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zones'!$A$5:$D$10003,4,FALSE),"")</f>
        <v>Murkmire</v>
      </c>
      <c r="AB361" s="4"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zones'!$A$5:$D$10003,4,FALSE),"")</f>
        <v>Murkmire</v>
      </c>
      <c r="AK361" s="3" t="str">
        <f>IF(AND(G361&lt;&gt;"LIBSETS_SETTYPE_BATTLEGROUND",G361&lt;&gt;"LIBSETS_SETTYPE_SPECIAL"),IF(AL361&lt;&gt;"",VLOOKUP(AL361,'ESO zones'!$D$5:$H$4957,5,FALSE),""),"")</f>
        <v/>
      </c>
      <c r="AP361" s="3" t="str">
        <f>IF(AND(G361&lt;&gt;"LIBSETS_SETTYPE_BATTLEGROUND",G361&lt;&gt;"LIBSETS_SETTYPE_SPECIAL"),IF(AQ361&lt;&gt;"",VLOOKUP(AQ361,'ESO zones'!$D$5:$H$4957,5,FALSE),""),"")</f>
        <v/>
      </c>
      <c r="AU361" s="3" t="str">
        <f>IF(AND(G361&lt;&gt;"LIBSETS_SETTYPE_BATTLEGROUND",G361&lt;&gt;"LIBSETS_SETTYPE_SPECIAL"),IF(AV361&lt;&gt;"",VLOOKUP(AV361,'ESO zones'!$D$5:$H$4957,5,FALSE),""),"")</f>
        <v/>
      </c>
      <c r="AZ361" s="49" t="s">
        <v>403</v>
      </c>
      <c r="BA361" s="49"/>
      <c r="BB361" s="49"/>
      <c r="BC361" s="49"/>
      <c r="BD361" s="49">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2">
        <v>415</v>
      </c>
      <c r="B362" t="s">
        <v>1231</v>
      </c>
      <c r="C362" t="s">
        <v>1232</v>
      </c>
      <c r="D362" s="3">
        <f t="shared" si="30"/>
        <v>415</v>
      </c>
      <c r="G362" s="9" t="s">
        <v>159</v>
      </c>
      <c r="I362" t="s">
        <v>401</v>
      </c>
      <c r="J362" t="s">
        <v>401</v>
      </c>
      <c r="K362">
        <v>378</v>
      </c>
      <c r="L362">
        <v>378</v>
      </c>
      <c r="M362">
        <v>378</v>
      </c>
      <c r="O362" s="5" t="s">
        <v>1224</v>
      </c>
      <c r="Q362" s="3">
        <f>IF(AND(P362&lt;&gt;"",ISNUMBER(P362),NOT(ISNA(P362))),P362,IF(R362&lt;&gt;"",VLOOKUP(R362,'ESO zones'!$D$5:$H$10005,5,FALSE),""))</f>
        <v>1082</v>
      </c>
      <c r="R362" t="str">
        <f>IF(AND(O362&lt;&gt;"",NOT(ISERROR(O362))),O362,IF(AND(P362&lt;&gt;"",ISNUMBER(P362),P362&gt;0,NOT(ISNA(P362))),VLOOKUP(P362,'ESO zones'!$A$5:$D$10003,4,FALSE),IF(AND(K362&lt;&gt;"",K362&gt;0,NOT(ISERROR(K362))),VLOOKUP(K362,'ESO wayshrines'!$K$3:$N$9972,4,FALSE),"")))</f>
        <v>Blackrose Prison</v>
      </c>
      <c r="T362" s="16" t="str">
        <f>IF(AND(S362&lt;&gt;"",NOT(ISERROR(S362))),S362,VLOOKUP(A362,'ESO Set&amp;DLCs'!$A$3:$D$99998,4,FALSE))</f>
        <v>DLC_MURKMIRE</v>
      </c>
      <c r="U362" s="3" t="str">
        <f>IF(T362&lt;&gt;"",VLOOKUP(T362,ConstDLCIds!$B$4:$C$1000,2,FALSE),"")</f>
        <v>Murkmire</v>
      </c>
      <c r="V362" s="4" t="s">
        <v>209</v>
      </c>
      <c r="Y362" s="5"/>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zones'!$A$5:$D$10003,4,FALSE),"")</f>
        <v>Murkmire</v>
      </c>
      <c r="AB362" s="4"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zones'!$A$5:$D$10003,4,FALSE),"")</f>
        <v>Murkmire</v>
      </c>
      <c r="AK362" s="3" t="str">
        <f>IF(AND(G362&lt;&gt;"LIBSETS_SETTYPE_BATTLEGROUND",G362&lt;&gt;"LIBSETS_SETTYPE_SPECIAL"),IF(AL362&lt;&gt;"",VLOOKUP(AL362,'ESO zones'!$D$5:$H$4957,5,FALSE),""),"")</f>
        <v/>
      </c>
      <c r="AP362" s="3" t="str">
        <f>IF(AND(G362&lt;&gt;"LIBSETS_SETTYPE_BATTLEGROUND",G362&lt;&gt;"LIBSETS_SETTYPE_SPECIAL"),IF(AQ362&lt;&gt;"",VLOOKUP(AQ362,'ESO zones'!$D$5:$H$4957,5,FALSE),""),"")</f>
        <v/>
      </c>
      <c r="AU362" s="3" t="str">
        <f>IF(AND(G362&lt;&gt;"LIBSETS_SETTYPE_BATTLEGROUND",G362&lt;&gt;"LIBSETS_SETTYPE_SPECIAL"),IF(AV362&lt;&gt;"",VLOOKUP(AV362,'ESO zones'!$D$5:$H$4957,5,FALSE),""),"")</f>
        <v/>
      </c>
      <c r="AZ362" s="49" t="s">
        <v>403</v>
      </c>
      <c r="BA362" s="49"/>
      <c r="BB362" s="49"/>
      <c r="BC362" s="49"/>
      <c r="BD362" s="49">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2">
        <v>416</v>
      </c>
      <c r="B363" t="s">
        <v>1233</v>
      </c>
      <c r="C363" t="s">
        <v>1234</v>
      </c>
      <c r="D363" s="3">
        <f t="shared" si="30"/>
        <v>416</v>
      </c>
      <c r="G363" s="9" t="s">
        <v>159</v>
      </c>
      <c r="I363" t="s">
        <v>401</v>
      </c>
      <c r="J363" t="s">
        <v>401</v>
      </c>
      <c r="K363">
        <v>378</v>
      </c>
      <c r="L363">
        <v>378</v>
      </c>
      <c r="M363">
        <v>378</v>
      </c>
      <c r="O363" s="5" t="s">
        <v>1224</v>
      </c>
      <c r="Q363" s="3">
        <f>IF(AND(P363&lt;&gt;"",ISNUMBER(P363),NOT(ISNA(P363))),P363,IF(R363&lt;&gt;"",VLOOKUP(R363,'ESO zones'!$D$5:$H$10005,5,FALSE),""))</f>
        <v>1082</v>
      </c>
      <c r="R363" t="str">
        <f>IF(AND(O363&lt;&gt;"",NOT(ISERROR(O363))),O363,IF(AND(P363&lt;&gt;"",ISNUMBER(P363),P363&gt;0,NOT(ISNA(P363))),VLOOKUP(P363,'ESO zones'!$A$5:$D$10003,4,FALSE),IF(AND(K363&lt;&gt;"",K363&gt;0,NOT(ISERROR(K363))),VLOOKUP(K363,'ESO wayshrines'!$K$3:$N$9972,4,FALSE),"")))</f>
        <v>Blackrose Prison</v>
      </c>
      <c r="T363" s="16" t="str">
        <f>IF(AND(S363&lt;&gt;"",NOT(ISERROR(S363))),S363,VLOOKUP(A363,'ESO Set&amp;DLCs'!$A$3:$D$99998,4,FALSE))</f>
        <v>DLC_MURKMIRE</v>
      </c>
      <c r="U363" s="3" t="str">
        <f>IF(T363&lt;&gt;"",VLOOKUP(T363,ConstDLCIds!$B$4:$C$1000,2,FALSE),"")</f>
        <v>Murkmire</v>
      </c>
      <c r="V363" s="4" t="s">
        <v>209</v>
      </c>
      <c r="Y363" s="5"/>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zones'!$A$5:$D$10003,4,FALSE),"")</f>
        <v>Murkmire</v>
      </c>
      <c r="AB363" s="4"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zones'!$A$5:$D$10003,4,FALSE),"")</f>
        <v>Murkmire</v>
      </c>
      <c r="AK363" s="3" t="str">
        <f>IF(AND(G363&lt;&gt;"LIBSETS_SETTYPE_BATTLEGROUND",G363&lt;&gt;"LIBSETS_SETTYPE_SPECIAL"),IF(AL363&lt;&gt;"",VLOOKUP(AL363,'ESO zones'!$D$5:$H$4957,5,FALSE),""),"")</f>
        <v/>
      </c>
      <c r="AP363" s="3" t="str">
        <f>IF(AND(G363&lt;&gt;"LIBSETS_SETTYPE_BATTLEGROUND",G363&lt;&gt;"LIBSETS_SETTYPE_SPECIAL"),IF(AQ363&lt;&gt;"",VLOOKUP(AQ363,'ESO zones'!$D$5:$H$4957,5,FALSE),""),"")</f>
        <v/>
      </c>
      <c r="AU363" s="3" t="str">
        <f>IF(AND(G363&lt;&gt;"LIBSETS_SETTYPE_BATTLEGROUND",G363&lt;&gt;"LIBSETS_SETTYPE_SPECIAL"),IF(AV363&lt;&gt;"",VLOOKUP(AV363,'ESO zones'!$D$5:$H$4957,5,FALSE),""),"")</f>
        <v/>
      </c>
      <c r="AZ363" s="49" t="s">
        <v>403</v>
      </c>
      <c r="BA363" s="49"/>
      <c r="BB363" s="49"/>
      <c r="BC363" s="49"/>
      <c r="BD363" s="49">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2">
        <v>417</v>
      </c>
      <c r="B364" t="s">
        <v>1235</v>
      </c>
      <c r="C364" t="s">
        <v>1236</v>
      </c>
      <c r="D364" s="3">
        <f t="shared" si="30"/>
        <v>417</v>
      </c>
      <c r="G364" s="9" t="s">
        <v>165</v>
      </c>
      <c r="I364" t="s">
        <v>401</v>
      </c>
      <c r="J364" t="s">
        <v>401</v>
      </c>
      <c r="K364">
        <v>-1</v>
      </c>
      <c r="L364">
        <v>-1</v>
      </c>
      <c r="M364">
        <v>-1</v>
      </c>
      <c r="O364" s="5" t="s">
        <v>166</v>
      </c>
      <c r="Q364" s="3">
        <f>IF(AND(P364&lt;&gt;"",ISNUMBER(P364),NOT(ISNA(P364))),P364,IF(R364&lt;&gt;"",VLOOKUP(R364,'ESO zones'!$D$5:$H$10005,5,FALSE),""))</f>
        <v>181</v>
      </c>
      <c r="R364" t="str">
        <f>IF(AND(O364&lt;&gt;"",NOT(ISERROR(O364))),O364,IF(AND(P364&lt;&gt;"",ISNUMBER(P364),P364&gt;0,NOT(ISNA(P364))),VLOOKUP(P364,'ESO zones'!$A$5:$D$10003,4,FALSE),IF(AND(K364&lt;&gt;"",K364&gt;0,NOT(ISERROR(K364))),VLOOKUP(K364,'ESO wayshrines'!$K$3:$N$9972,4,FALSE),"")))</f>
        <v>Cyrodiil</v>
      </c>
      <c r="T364" s="16" t="str">
        <f>IF(AND(S364&lt;&gt;"",NOT(ISERROR(S364))),S364,VLOOKUP(A364,'ESO Set&amp;DLCs'!$A$3:$D$99998,4,FALSE))</f>
        <v>DLC_BASE_GAME</v>
      </c>
      <c r="U364" s="3" t="str">
        <f>IF(T364&lt;&gt;"",VLOOKUP(T364,ConstDLCIds!$B$4:$C$1000,2,FALSE),"")</f>
        <v>Included in base game</v>
      </c>
      <c r="V364" s="4" t="s">
        <v>197</v>
      </c>
      <c r="Y364" s="5">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zones'!$A$5:$D$10003,4,FALSE),"")</f>
        <v>Cyrodiil</v>
      </c>
      <c r="AB364" s="4" t="s">
        <v>301</v>
      </c>
      <c r="AE364" s="5">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zones'!$A$5:$D$10003,4,FALSE),"")</f>
        <v>Cyrodiil</v>
      </c>
      <c r="AH364" s="4" t="s">
        <v>248</v>
      </c>
      <c r="AK364" s="3">
        <f>IF(AND(G364&lt;&gt;"LIBSETS_SETTYPE_BATTLEGROUND",G364&lt;&gt;"LIBSETS_SETTYPE_SPECIAL"),IF(AL364&lt;&gt;"",VLOOKUP(AL364,'ESO zones'!$D$5:$H$4957,5,FALSE),""),"")</f>
        <v>181</v>
      </c>
      <c r="AL364" t="s">
        <v>166</v>
      </c>
      <c r="AM364" s="4" t="s">
        <v>298</v>
      </c>
      <c r="AP364" s="3">
        <f>IF(AND(G364&lt;&gt;"LIBSETS_SETTYPE_BATTLEGROUND",G364&lt;&gt;"LIBSETS_SETTYPE_SPECIAL"),IF(AQ364&lt;&gt;"",VLOOKUP(AQ364,'ESO zones'!$D$5:$H$4957,5,FALSE),""),"")</f>
        <v>181</v>
      </c>
      <c r="AQ364" t="s">
        <v>166</v>
      </c>
      <c r="AR364" s="4" t="s">
        <v>215</v>
      </c>
      <c r="AU364" s="3">
        <f>IF(AND(G364&lt;&gt;"LIBSETS_SETTYPE_BATTLEGROUND",G364&lt;&gt;"LIBSETS_SETTYPE_SPECIAL"),IF(AV364&lt;&gt;"",VLOOKUP(AV364,'ESO zones'!$D$5:$H$4957,5,FALSE),""),"")</f>
        <v>181</v>
      </c>
      <c r="AV364" t="s">
        <v>166</v>
      </c>
      <c r="AW364" s="4" t="s">
        <v>257</v>
      </c>
      <c r="AZ364" s="49" t="s">
        <v>403</v>
      </c>
      <c r="BA364" s="49"/>
      <c r="BB364" s="49"/>
      <c r="BC364" s="49"/>
      <c r="BD364" s="49"/>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2">
        <v>418</v>
      </c>
      <c r="B365" t="s">
        <v>1237</v>
      </c>
      <c r="C365" t="s">
        <v>1238</v>
      </c>
      <c r="D365" s="3">
        <f t="shared" si="30"/>
        <v>418</v>
      </c>
      <c r="G365" s="9" t="s">
        <v>165</v>
      </c>
      <c r="I365" t="s">
        <v>401</v>
      </c>
      <c r="J365" t="s">
        <v>401</v>
      </c>
      <c r="K365">
        <v>-1</v>
      </c>
      <c r="L365">
        <v>-1</v>
      </c>
      <c r="M365">
        <v>-1</v>
      </c>
      <c r="O365" s="5" t="s">
        <v>166</v>
      </c>
      <c r="Q365" s="3">
        <f>IF(AND(P365&lt;&gt;"",ISNUMBER(P365),NOT(ISNA(P365))),P365,IF(R365&lt;&gt;"",VLOOKUP(R365,'ESO zones'!$D$5:$H$10005,5,FALSE),""))</f>
        <v>181</v>
      </c>
      <c r="R365" t="str">
        <f>IF(AND(O365&lt;&gt;"",NOT(ISERROR(O365))),O365,IF(AND(P365&lt;&gt;"",ISNUMBER(P365),P365&gt;0,NOT(ISNA(P365))),VLOOKUP(P365,'ESO zones'!$A$5:$D$10003,4,FALSE),IF(AND(K365&lt;&gt;"",K365&gt;0,NOT(ISERROR(K365))),VLOOKUP(K365,'ESO wayshrines'!$K$3:$N$9972,4,FALSE),"")))</f>
        <v>Cyrodiil</v>
      </c>
      <c r="T365" s="16" t="str">
        <f>IF(AND(S365&lt;&gt;"",NOT(ISERROR(S365))),S365,VLOOKUP(A365,'ESO Set&amp;DLCs'!$A$3:$D$99998,4,FALSE))</f>
        <v>DLC_BASE_GAME</v>
      </c>
      <c r="U365" s="3" t="str">
        <f>IF(T365&lt;&gt;"",VLOOKUP(T365,ConstDLCIds!$B$4:$C$1000,2,FALSE),"")</f>
        <v>Included in base game</v>
      </c>
      <c r="V365" s="4" t="s">
        <v>197</v>
      </c>
      <c r="Y365" s="5">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zones'!$A$5:$D$10003,4,FALSE),"")</f>
        <v>Cyrodiil</v>
      </c>
      <c r="AB365" s="4" t="s">
        <v>301</v>
      </c>
      <c r="AE365" s="5">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zones'!$A$5:$D$10003,4,FALSE),"")</f>
        <v>Cyrodiil</v>
      </c>
      <c r="AH365" s="4" t="s">
        <v>248</v>
      </c>
      <c r="AK365" s="3">
        <f>IF(AND(G365&lt;&gt;"LIBSETS_SETTYPE_BATTLEGROUND",G365&lt;&gt;"LIBSETS_SETTYPE_SPECIAL"),IF(AL365&lt;&gt;"",VLOOKUP(AL365,'ESO zones'!$D$5:$H$4957,5,FALSE),""),"")</f>
        <v>181</v>
      </c>
      <c r="AL365" t="s">
        <v>166</v>
      </c>
      <c r="AM365" s="4" t="s">
        <v>298</v>
      </c>
      <c r="AP365" s="3">
        <f>IF(AND(G365&lt;&gt;"LIBSETS_SETTYPE_BATTLEGROUND",G365&lt;&gt;"LIBSETS_SETTYPE_SPECIAL"),IF(AQ365&lt;&gt;"",VLOOKUP(AQ365,'ESO zones'!$D$5:$H$4957,5,FALSE),""),"")</f>
        <v>181</v>
      </c>
      <c r="AQ365" t="s">
        <v>166</v>
      </c>
      <c r="AR365" s="4" t="s">
        <v>215</v>
      </c>
      <c r="AU365" s="3">
        <f>IF(AND(G365&lt;&gt;"LIBSETS_SETTYPE_BATTLEGROUND",G365&lt;&gt;"LIBSETS_SETTYPE_SPECIAL"),IF(AV365&lt;&gt;"",VLOOKUP(AV365,'ESO zones'!$D$5:$H$4957,5,FALSE),""),"")</f>
        <v>181</v>
      </c>
      <c r="AV365" t="s">
        <v>166</v>
      </c>
      <c r="AW365" s="4" t="s">
        <v>257</v>
      </c>
      <c r="AZ365" s="49" t="s">
        <v>403</v>
      </c>
      <c r="BA365" s="49"/>
      <c r="BB365" s="49"/>
      <c r="BC365" s="49"/>
      <c r="BD365" s="49"/>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2">
        <v>419</v>
      </c>
      <c r="B366" t="s">
        <v>1239</v>
      </c>
      <c r="C366" t="s">
        <v>1240</v>
      </c>
      <c r="D366" s="3">
        <f t="shared" si="30"/>
        <v>419</v>
      </c>
      <c r="G366" s="9" t="s">
        <v>165</v>
      </c>
      <c r="I366" t="s">
        <v>401</v>
      </c>
      <c r="J366" t="s">
        <v>401</v>
      </c>
      <c r="K366">
        <v>-1</v>
      </c>
      <c r="L366">
        <v>-1</v>
      </c>
      <c r="M366">
        <v>-1</v>
      </c>
      <c r="O366" s="5" t="s">
        <v>166</v>
      </c>
      <c r="Q366" s="3">
        <f>IF(AND(P366&lt;&gt;"",ISNUMBER(P366),NOT(ISNA(P366))),P366,IF(R366&lt;&gt;"",VLOOKUP(R366,'ESO zones'!$D$5:$H$10005,5,FALSE),""))</f>
        <v>181</v>
      </c>
      <c r="R366" t="str">
        <f>IF(AND(O366&lt;&gt;"",NOT(ISERROR(O366))),O366,IF(AND(P366&lt;&gt;"",ISNUMBER(P366),P366&gt;0,NOT(ISNA(P366))),VLOOKUP(P366,'ESO zones'!$A$5:$D$10003,4,FALSE),IF(AND(K366&lt;&gt;"",K366&gt;0,NOT(ISERROR(K366))),VLOOKUP(K366,'ESO wayshrines'!$K$3:$N$9972,4,FALSE),"")))</f>
        <v>Cyrodiil</v>
      </c>
      <c r="T366" s="16" t="str">
        <f>IF(AND(S366&lt;&gt;"",NOT(ISERROR(S366))),S366,VLOOKUP(A366,'ESO Set&amp;DLCs'!$A$3:$D$99998,4,FALSE))</f>
        <v>DLC_BASE_GAME</v>
      </c>
      <c r="U366" s="3" t="str">
        <f>IF(T366&lt;&gt;"",VLOOKUP(T366,ConstDLCIds!$B$4:$C$1000,2,FALSE),"")</f>
        <v>Included in base game</v>
      </c>
      <c r="V366" s="4" t="s">
        <v>197</v>
      </c>
      <c r="Y366" s="5">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zones'!$A$5:$D$10003,4,FALSE),"")</f>
        <v>Cyrodiil</v>
      </c>
      <c r="AB366" s="4" t="s">
        <v>301</v>
      </c>
      <c r="AE366" s="5">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zones'!$A$5:$D$10003,4,FALSE),"")</f>
        <v>Cyrodiil</v>
      </c>
      <c r="AH366" s="4" t="s">
        <v>248</v>
      </c>
      <c r="AK366" s="3">
        <f>IF(AND(G366&lt;&gt;"LIBSETS_SETTYPE_BATTLEGROUND",G366&lt;&gt;"LIBSETS_SETTYPE_SPECIAL"),IF(AL366&lt;&gt;"",VLOOKUP(AL366,'ESO zones'!$D$5:$H$4957,5,FALSE),""),"")</f>
        <v>181</v>
      </c>
      <c r="AL366" t="s">
        <v>166</v>
      </c>
      <c r="AM366" s="4" t="s">
        <v>298</v>
      </c>
      <c r="AP366" s="3">
        <f>IF(AND(G366&lt;&gt;"LIBSETS_SETTYPE_BATTLEGROUND",G366&lt;&gt;"LIBSETS_SETTYPE_SPECIAL"),IF(AQ366&lt;&gt;"",VLOOKUP(AQ366,'ESO zones'!$D$5:$H$4957,5,FALSE),""),"")</f>
        <v>181</v>
      </c>
      <c r="AQ366" t="s">
        <v>166</v>
      </c>
      <c r="AR366" s="4" t="s">
        <v>215</v>
      </c>
      <c r="AU366" s="3">
        <f>IF(AND(G366&lt;&gt;"LIBSETS_SETTYPE_BATTLEGROUND",G366&lt;&gt;"LIBSETS_SETTYPE_SPECIAL"),IF(AV366&lt;&gt;"",VLOOKUP(AV366,'ESO zones'!$D$5:$H$4957,5,FALSE),""),"")</f>
        <v>181</v>
      </c>
      <c r="AV366" t="s">
        <v>166</v>
      </c>
      <c r="AW366" s="4" t="s">
        <v>257</v>
      </c>
      <c r="AZ366" s="49" t="s">
        <v>410</v>
      </c>
      <c r="BA366" s="49"/>
      <c r="BB366" s="49"/>
      <c r="BC366" s="49"/>
      <c r="BD366" s="49"/>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2">
        <v>420</v>
      </c>
      <c r="B367" t="s">
        <v>1241</v>
      </c>
      <c r="C367" t="s">
        <v>1242</v>
      </c>
      <c r="D367" s="3">
        <f t="shared" si="30"/>
        <v>420</v>
      </c>
      <c r="G367" s="9" t="s">
        <v>165</v>
      </c>
      <c r="I367" t="s">
        <v>401</v>
      </c>
      <c r="J367" t="s">
        <v>401</v>
      </c>
      <c r="K367">
        <v>-1</v>
      </c>
      <c r="L367">
        <v>-1</v>
      </c>
      <c r="M367">
        <v>-1</v>
      </c>
      <c r="O367" s="5" t="s">
        <v>166</v>
      </c>
      <c r="Q367" s="3">
        <f>IF(AND(P367&lt;&gt;"",ISNUMBER(P367),NOT(ISNA(P367))),P367,IF(R367&lt;&gt;"",VLOOKUP(R367,'ESO zones'!$D$5:$H$10005,5,FALSE),""))</f>
        <v>181</v>
      </c>
      <c r="R367" t="str">
        <f>IF(AND(O367&lt;&gt;"",NOT(ISERROR(O367))),O367,IF(AND(P367&lt;&gt;"",ISNUMBER(P367),P367&gt;0,NOT(ISNA(P367))),VLOOKUP(P367,'ESO zones'!$A$5:$D$10003,4,FALSE),IF(AND(K367&lt;&gt;"",K367&gt;0,NOT(ISERROR(K367))),VLOOKUP(K367,'ESO wayshrines'!$K$3:$N$9972,4,FALSE),"")))</f>
        <v>Cyrodiil</v>
      </c>
      <c r="T367" s="16" t="str">
        <f>IF(AND(S367&lt;&gt;"",NOT(ISERROR(S367))),S367,VLOOKUP(A367,'ESO Set&amp;DLCs'!$A$3:$D$99998,4,FALSE))</f>
        <v>DLC_BASE_GAME</v>
      </c>
      <c r="U367" s="3" t="str">
        <f>IF(T367&lt;&gt;"",VLOOKUP(T367,ConstDLCIds!$B$4:$C$1000,2,FALSE),"")</f>
        <v>Included in base game</v>
      </c>
      <c r="V367" s="4" t="s">
        <v>197</v>
      </c>
      <c r="Y367" s="5">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zones'!$A$5:$D$10003,4,FALSE),"")</f>
        <v>Cyrodiil</v>
      </c>
      <c r="AB367" s="4" t="s">
        <v>301</v>
      </c>
      <c r="AE367" s="5">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zones'!$A$5:$D$10003,4,FALSE),"")</f>
        <v>Cyrodiil</v>
      </c>
      <c r="AH367" s="4" t="s">
        <v>248</v>
      </c>
      <c r="AK367" s="3">
        <f>IF(AND(G367&lt;&gt;"LIBSETS_SETTYPE_BATTLEGROUND",G367&lt;&gt;"LIBSETS_SETTYPE_SPECIAL"),IF(AL367&lt;&gt;"",VLOOKUP(AL367,'ESO zones'!$D$5:$H$4957,5,FALSE),""),"")</f>
        <v>181</v>
      </c>
      <c r="AL367" t="s">
        <v>166</v>
      </c>
      <c r="AM367" s="4" t="s">
        <v>298</v>
      </c>
      <c r="AP367" s="3">
        <f>IF(AND(G367&lt;&gt;"LIBSETS_SETTYPE_BATTLEGROUND",G367&lt;&gt;"LIBSETS_SETTYPE_SPECIAL"),IF(AQ367&lt;&gt;"",VLOOKUP(AQ367,'ESO zones'!$D$5:$H$4957,5,FALSE),""),"")</f>
        <v>181</v>
      </c>
      <c r="AQ367" t="s">
        <v>166</v>
      </c>
      <c r="AR367" s="4" t="s">
        <v>215</v>
      </c>
      <c r="AU367" s="3">
        <f>IF(AND(G367&lt;&gt;"LIBSETS_SETTYPE_BATTLEGROUND",G367&lt;&gt;"LIBSETS_SETTYPE_SPECIAL"),IF(AV367&lt;&gt;"",VLOOKUP(AV367,'ESO zones'!$D$5:$H$4957,5,FALSE),""),"")</f>
        <v>181</v>
      </c>
      <c r="AV367" t="s">
        <v>166</v>
      </c>
      <c r="AW367" s="4" t="s">
        <v>257</v>
      </c>
      <c r="AZ367" s="49" t="s">
        <v>403</v>
      </c>
      <c r="BA367" s="49"/>
      <c r="BB367" s="49"/>
      <c r="BC367" s="49"/>
      <c r="BD367" s="49"/>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2">
        <v>421</v>
      </c>
      <c r="B368" t="s">
        <v>1243</v>
      </c>
      <c r="C368" t="s">
        <v>1244</v>
      </c>
      <c r="D368" s="3">
        <f t="shared" si="30"/>
        <v>421</v>
      </c>
      <c r="G368" s="9" t="s">
        <v>165</v>
      </c>
      <c r="I368" t="s">
        <v>401</v>
      </c>
      <c r="J368" t="s">
        <v>401</v>
      </c>
      <c r="K368">
        <v>-1</v>
      </c>
      <c r="L368">
        <v>-1</v>
      </c>
      <c r="M368">
        <v>-1</v>
      </c>
      <c r="O368" s="5" t="s">
        <v>166</v>
      </c>
      <c r="Q368" s="3">
        <f>IF(AND(P368&lt;&gt;"",ISNUMBER(P368),NOT(ISNA(P368))),P368,IF(R368&lt;&gt;"",VLOOKUP(R368,'ESO zones'!$D$5:$H$10005,5,FALSE),""))</f>
        <v>181</v>
      </c>
      <c r="R368" t="str">
        <f>IF(AND(O368&lt;&gt;"",NOT(ISERROR(O368))),O368,IF(AND(P368&lt;&gt;"",ISNUMBER(P368),P368&gt;0,NOT(ISNA(P368))),VLOOKUP(P368,'ESO zones'!$A$5:$D$10003,4,FALSE),IF(AND(K368&lt;&gt;"",K368&gt;0,NOT(ISERROR(K368))),VLOOKUP(K368,'ESO wayshrines'!$K$3:$N$9972,4,FALSE),"")))</f>
        <v>Cyrodiil</v>
      </c>
      <c r="T368" s="16" t="str">
        <f>IF(AND(S368&lt;&gt;"",NOT(ISERROR(S368))),S368,VLOOKUP(A368,'ESO Set&amp;DLCs'!$A$3:$D$99998,4,FALSE))</f>
        <v>DLC_BASE_GAME</v>
      </c>
      <c r="U368" s="3" t="str">
        <f>IF(T368&lt;&gt;"",VLOOKUP(T368,ConstDLCIds!$B$4:$C$1000,2,FALSE),"")</f>
        <v>Included in base game</v>
      </c>
      <c r="V368" s="4" t="s">
        <v>197</v>
      </c>
      <c r="Y368" s="5">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zones'!$A$5:$D$10003,4,FALSE),"")</f>
        <v>Cyrodiil</v>
      </c>
      <c r="AB368" s="4" t="s">
        <v>301</v>
      </c>
      <c r="AE368" s="5">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zones'!$A$5:$D$10003,4,FALSE),"")</f>
        <v>Cyrodiil</v>
      </c>
      <c r="AH368" s="4" t="s">
        <v>248</v>
      </c>
      <c r="AK368" s="3">
        <f>IF(AND(G368&lt;&gt;"LIBSETS_SETTYPE_BATTLEGROUND",G368&lt;&gt;"LIBSETS_SETTYPE_SPECIAL"),IF(AL368&lt;&gt;"",VLOOKUP(AL368,'ESO zones'!$D$5:$H$4957,5,FALSE),""),"")</f>
        <v>181</v>
      </c>
      <c r="AL368" t="s">
        <v>166</v>
      </c>
      <c r="AM368" s="4" t="s">
        <v>298</v>
      </c>
      <c r="AP368" s="3">
        <f>IF(AND(G368&lt;&gt;"LIBSETS_SETTYPE_BATTLEGROUND",G368&lt;&gt;"LIBSETS_SETTYPE_SPECIAL"),IF(AQ368&lt;&gt;"",VLOOKUP(AQ368,'ESO zones'!$D$5:$H$4957,5,FALSE),""),"")</f>
        <v>181</v>
      </c>
      <c r="AQ368" t="s">
        <v>166</v>
      </c>
      <c r="AR368" s="4" t="s">
        <v>215</v>
      </c>
      <c r="AU368" s="3">
        <f>IF(AND(G368&lt;&gt;"LIBSETS_SETTYPE_BATTLEGROUND",G368&lt;&gt;"LIBSETS_SETTYPE_SPECIAL"),IF(AV368&lt;&gt;"",VLOOKUP(AV368,'ESO zones'!$D$5:$H$4957,5,FALSE),""),"")</f>
        <v>181</v>
      </c>
      <c r="AV368" t="s">
        <v>166</v>
      </c>
      <c r="AW368" s="4" t="s">
        <v>257</v>
      </c>
      <c r="AZ368" s="49" t="s">
        <v>403</v>
      </c>
      <c r="BA368" s="49"/>
      <c r="BB368" s="49"/>
      <c r="BC368" s="49"/>
      <c r="BD368" s="49"/>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2">
        <v>422</v>
      </c>
      <c r="B369" t="s">
        <v>1245</v>
      </c>
      <c r="C369" t="s">
        <v>1246</v>
      </c>
      <c r="D369" s="3">
        <f t="shared" si="30"/>
        <v>422</v>
      </c>
      <c r="G369" s="9" t="s">
        <v>165</v>
      </c>
      <c r="I369" t="s">
        <v>401</v>
      </c>
      <c r="J369" t="s">
        <v>401</v>
      </c>
      <c r="K369">
        <v>-1</v>
      </c>
      <c r="L369">
        <v>-1</v>
      </c>
      <c r="M369">
        <v>-1</v>
      </c>
      <c r="O369" s="5" t="s">
        <v>166</v>
      </c>
      <c r="Q369" s="3">
        <f>IF(AND(P369&lt;&gt;"",ISNUMBER(P369),NOT(ISNA(P369))),P369,IF(R369&lt;&gt;"",VLOOKUP(R369,'ESO zones'!$D$5:$H$10005,5,FALSE),""))</f>
        <v>181</v>
      </c>
      <c r="R369" t="str">
        <f>IF(AND(O369&lt;&gt;"",NOT(ISERROR(O369))),O369,IF(AND(P369&lt;&gt;"",ISNUMBER(P369),P369&gt;0,NOT(ISNA(P369))),VLOOKUP(P369,'ESO zones'!$A$5:$D$10003,4,FALSE),IF(AND(K369&lt;&gt;"",K369&gt;0,NOT(ISERROR(K369))),VLOOKUP(K369,'ESO wayshrines'!$K$3:$N$9972,4,FALSE),"")))</f>
        <v>Cyrodiil</v>
      </c>
      <c r="T369" s="16" t="str">
        <f>IF(AND(S369&lt;&gt;"",NOT(ISERROR(S369))),S369,VLOOKUP(A369,'ESO Set&amp;DLCs'!$A$3:$D$99998,4,FALSE))</f>
        <v>DLC_BASE_GAME</v>
      </c>
      <c r="U369" s="3" t="str">
        <f>IF(T369&lt;&gt;"",VLOOKUP(T369,ConstDLCIds!$B$4:$C$1000,2,FALSE),"")</f>
        <v>Included in base game</v>
      </c>
      <c r="V369" s="4" t="s">
        <v>197</v>
      </c>
      <c r="Y369" s="5">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zones'!$A$5:$D$10003,4,FALSE),"")</f>
        <v>Cyrodiil</v>
      </c>
      <c r="AB369" s="4" t="s">
        <v>301</v>
      </c>
      <c r="AE369" s="5">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zones'!$A$5:$D$10003,4,FALSE),"")</f>
        <v>Cyrodiil</v>
      </c>
      <c r="AH369" s="4" t="s">
        <v>248</v>
      </c>
      <c r="AK369" s="3">
        <f>IF(AND(G369&lt;&gt;"LIBSETS_SETTYPE_BATTLEGROUND",G369&lt;&gt;"LIBSETS_SETTYPE_SPECIAL"),IF(AL369&lt;&gt;"",VLOOKUP(AL369,'ESO zones'!$D$5:$H$4957,5,FALSE),""),"")</f>
        <v>181</v>
      </c>
      <c r="AL369" t="s">
        <v>166</v>
      </c>
      <c r="AM369" s="4" t="s">
        <v>298</v>
      </c>
      <c r="AP369" s="3">
        <f>IF(AND(G369&lt;&gt;"LIBSETS_SETTYPE_BATTLEGROUND",G369&lt;&gt;"LIBSETS_SETTYPE_SPECIAL"),IF(AQ369&lt;&gt;"",VLOOKUP(AQ369,'ESO zones'!$D$5:$H$4957,5,FALSE),""),"")</f>
        <v>181</v>
      </c>
      <c r="AQ369" t="s">
        <v>166</v>
      </c>
      <c r="AR369" s="4" t="s">
        <v>215</v>
      </c>
      <c r="AU369" s="3">
        <f>IF(AND(G369&lt;&gt;"LIBSETS_SETTYPE_BATTLEGROUND",G369&lt;&gt;"LIBSETS_SETTYPE_SPECIAL"),IF(AV369&lt;&gt;"",VLOOKUP(AV369,'ESO zones'!$D$5:$H$4957,5,FALSE),""),"")</f>
        <v>181</v>
      </c>
      <c r="AV369" t="s">
        <v>166</v>
      </c>
      <c r="AW369" s="4" t="s">
        <v>257</v>
      </c>
      <c r="AZ369" s="49" t="s">
        <v>403</v>
      </c>
      <c r="BA369" s="49"/>
      <c r="BB369" s="49"/>
      <c r="BC369" s="49"/>
      <c r="BD369" s="49"/>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2">
        <v>423</v>
      </c>
      <c r="B370" t="s">
        <v>1247</v>
      </c>
      <c r="C370" t="s">
        <v>1248</v>
      </c>
      <c r="D370" s="3">
        <f t="shared" si="30"/>
        <v>423</v>
      </c>
      <c r="G370" s="9" t="s">
        <v>159</v>
      </c>
      <c r="I370" t="s">
        <v>1120</v>
      </c>
      <c r="J370" t="s">
        <v>401</v>
      </c>
      <c r="K370">
        <v>378</v>
      </c>
      <c r="L370">
        <v>378</v>
      </c>
      <c r="M370">
        <v>378</v>
      </c>
      <c r="O370" s="5" t="s">
        <v>1224</v>
      </c>
      <c r="Q370" s="3">
        <f>IF(AND(P370&lt;&gt;"",ISNUMBER(P370),NOT(ISNA(P370))),P370,IF(R370&lt;&gt;"",VLOOKUP(R370,'ESO zones'!$D$5:$H$10005,5,FALSE),""))</f>
        <v>1082</v>
      </c>
      <c r="R370" t="str">
        <f>IF(AND(O370&lt;&gt;"",NOT(ISERROR(O370))),O370,IF(AND(P370&lt;&gt;"",ISNUMBER(P370),P370&gt;0,NOT(ISNA(P370))),VLOOKUP(P370,'ESO zones'!$A$5:$D$10003,4,FALSE),IF(AND(K370&lt;&gt;"",K370&gt;0,NOT(ISERROR(K370))),VLOOKUP(K370,'ESO wayshrines'!$K$3:$N$9972,4,FALSE),"")))</f>
        <v>Blackrose Prison</v>
      </c>
      <c r="T370" s="16" t="str">
        <f>IF(AND(S370&lt;&gt;"",NOT(ISERROR(S370))),S370,VLOOKUP(A370,'ESO Set&amp;DLCs'!$A$3:$D$99998,4,FALSE))</f>
        <v>DLC_MURKMIRE</v>
      </c>
      <c r="U370" s="3" t="str">
        <f>IF(T370&lt;&gt;"",VLOOKUP(T370,ConstDLCIds!$B$4:$C$1000,2,FALSE),"")</f>
        <v>Murkmire</v>
      </c>
      <c r="V370" s="4" t="s">
        <v>209</v>
      </c>
      <c r="Y370" s="5"/>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zones'!$A$5:$D$10003,4,FALSE),"")</f>
        <v>Murkmire</v>
      </c>
      <c r="AB370" s="4"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zones'!$A$5:$D$10003,4,FALSE),"")</f>
        <v>Murkmire</v>
      </c>
      <c r="AK370" s="3" t="str">
        <f>IF(AND(G370&lt;&gt;"LIBSETS_SETTYPE_BATTLEGROUND",G370&lt;&gt;"LIBSETS_SETTYPE_SPECIAL"),IF(AL370&lt;&gt;"",VLOOKUP(AL370,'ESO zones'!$D$5:$H$4957,5,FALSE),""),"")</f>
        <v/>
      </c>
      <c r="AP370" s="3" t="str">
        <f>IF(AND(G370&lt;&gt;"LIBSETS_SETTYPE_BATTLEGROUND",G370&lt;&gt;"LIBSETS_SETTYPE_SPECIAL"),IF(AQ370&lt;&gt;"",VLOOKUP(AQ370,'ESO zones'!$D$5:$H$4957,5,FALSE),""),"")</f>
        <v/>
      </c>
      <c r="AU370" s="3" t="str">
        <f>IF(AND(G370&lt;&gt;"LIBSETS_SETTYPE_BATTLEGROUND",G370&lt;&gt;"LIBSETS_SETTYPE_SPECIAL"),IF(AV370&lt;&gt;"",VLOOKUP(AV370,'ESO zones'!$D$5:$H$4957,5,FALSE),""),"")</f>
        <v/>
      </c>
      <c r="AZ370" s="49" t="s">
        <v>403</v>
      </c>
      <c r="BA370" s="49"/>
      <c r="BB370" s="49"/>
      <c r="BC370" s="49"/>
      <c r="BD370" s="49" t="s">
        <v>1122</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2">
        <v>424</v>
      </c>
      <c r="B371" t="s">
        <v>1249</v>
      </c>
      <c r="C371" t="s">
        <v>1250</v>
      </c>
      <c r="D371" s="3">
        <f t="shared" si="30"/>
        <v>424</v>
      </c>
      <c r="G371" s="9" t="s">
        <v>159</v>
      </c>
      <c r="I371" t="s">
        <v>1120</v>
      </c>
      <c r="J371" t="s">
        <v>401</v>
      </c>
      <c r="K371">
        <v>378</v>
      </c>
      <c r="L371">
        <v>378</v>
      </c>
      <c r="M371">
        <v>378</v>
      </c>
      <c r="O371" s="5" t="s">
        <v>1224</v>
      </c>
      <c r="Q371" s="3">
        <f>IF(AND(P371&lt;&gt;"",ISNUMBER(P371),NOT(ISNA(P371))),P371,IF(R371&lt;&gt;"",VLOOKUP(R371,'ESO zones'!$D$5:$H$10005,5,FALSE),""))</f>
        <v>1082</v>
      </c>
      <c r="R371" t="str">
        <f>IF(AND(O371&lt;&gt;"",NOT(ISERROR(O371))),O371,IF(AND(P371&lt;&gt;"",ISNUMBER(P371),P371&gt;0,NOT(ISNA(P371))),VLOOKUP(P371,'ESO zones'!$A$5:$D$10003,4,FALSE),IF(AND(K371&lt;&gt;"",K371&gt;0,NOT(ISERROR(K371))),VLOOKUP(K371,'ESO wayshrines'!$K$3:$N$9972,4,FALSE),"")))</f>
        <v>Blackrose Prison</v>
      </c>
      <c r="T371" s="16" t="str">
        <f>IF(AND(S371&lt;&gt;"",NOT(ISERROR(S371))),S371,VLOOKUP(A371,'ESO Set&amp;DLCs'!$A$3:$D$99998,4,FALSE))</f>
        <v>DLC_MURKMIRE</v>
      </c>
      <c r="U371" s="3" t="str">
        <f>IF(T371&lt;&gt;"",VLOOKUP(T371,ConstDLCIds!$B$4:$C$1000,2,FALSE),"")</f>
        <v>Murkmire</v>
      </c>
      <c r="V371" s="4" t="s">
        <v>209</v>
      </c>
      <c r="Y371" s="5"/>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zones'!$A$5:$D$10003,4,FALSE),"")</f>
        <v>Murkmire</v>
      </c>
      <c r="AB371" s="4"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zones'!$A$5:$D$10003,4,FALSE),"")</f>
        <v>Murkmire</v>
      </c>
      <c r="AK371" s="3" t="str">
        <f>IF(AND(G371&lt;&gt;"LIBSETS_SETTYPE_BATTLEGROUND",G371&lt;&gt;"LIBSETS_SETTYPE_SPECIAL"),IF(AL371&lt;&gt;"",VLOOKUP(AL371,'ESO zones'!$D$5:$H$4957,5,FALSE),""),"")</f>
        <v/>
      </c>
      <c r="AP371" s="3" t="str">
        <f>IF(AND(G371&lt;&gt;"LIBSETS_SETTYPE_BATTLEGROUND",G371&lt;&gt;"LIBSETS_SETTYPE_SPECIAL"),IF(AQ371&lt;&gt;"",VLOOKUP(AQ371,'ESO zones'!$D$5:$H$4957,5,FALSE),""),"")</f>
        <v/>
      </c>
      <c r="AU371" s="3" t="str">
        <f>IF(AND(G371&lt;&gt;"LIBSETS_SETTYPE_BATTLEGROUND",G371&lt;&gt;"LIBSETS_SETTYPE_SPECIAL"),IF(AV371&lt;&gt;"",VLOOKUP(AV371,'ESO zones'!$D$5:$H$4957,5,FALSE),""),"")</f>
        <v/>
      </c>
      <c r="AZ371" s="49" t="s">
        <v>403</v>
      </c>
      <c r="BA371" s="49"/>
      <c r="BB371" s="49"/>
      <c r="BC371" s="49"/>
      <c r="BD371" s="49" t="s">
        <v>1122</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2">
        <v>425</v>
      </c>
      <c r="B372" t="s">
        <v>1251</v>
      </c>
      <c r="C372" t="s">
        <v>1252</v>
      </c>
      <c r="D372" s="3">
        <f t="shared" si="30"/>
        <v>425</v>
      </c>
      <c r="G372" s="9" t="s">
        <v>159</v>
      </c>
      <c r="I372" t="s">
        <v>1120</v>
      </c>
      <c r="J372" t="s">
        <v>401</v>
      </c>
      <c r="K372">
        <v>378</v>
      </c>
      <c r="L372">
        <v>378</v>
      </c>
      <c r="M372">
        <v>378</v>
      </c>
      <c r="O372" s="5" t="s">
        <v>1224</v>
      </c>
      <c r="Q372" s="3">
        <f>IF(AND(P372&lt;&gt;"",ISNUMBER(P372),NOT(ISNA(P372))),P372,IF(R372&lt;&gt;"",VLOOKUP(R372,'ESO zones'!$D$5:$H$10005,5,FALSE),""))</f>
        <v>1082</v>
      </c>
      <c r="R372" t="str">
        <f>IF(AND(O372&lt;&gt;"",NOT(ISERROR(O372))),O372,IF(AND(P372&lt;&gt;"",ISNUMBER(P372),P372&gt;0,NOT(ISNA(P372))),VLOOKUP(P372,'ESO zones'!$A$5:$D$10003,4,FALSE),IF(AND(K372&lt;&gt;"",K372&gt;0,NOT(ISERROR(K372))),VLOOKUP(K372,'ESO wayshrines'!$K$3:$N$9972,4,FALSE),"")))</f>
        <v>Blackrose Prison</v>
      </c>
      <c r="T372" s="16" t="str">
        <f>IF(AND(S372&lt;&gt;"",NOT(ISERROR(S372))),S372,VLOOKUP(A372,'ESO Set&amp;DLCs'!$A$3:$D$99998,4,FALSE))</f>
        <v>DLC_MURKMIRE</v>
      </c>
      <c r="U372" s="3" t="str">
        <f>IF(T372&lt;&gt;"",VLOOKUP(T372,ConstDLCIds!$B$4:$C$1000,2,FALSE),"")</f>
        <v>Murkmire</v>
      </c>
      <c r="V372" s="4" t="s">
        <v>209</v>
      </c>
      <c r="Y372" s="5"/>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zones'!$A$5:$D$10003,4,FALSE),"")</f>
        <v>Murkmire</v>
      </c>
      <c r="AB372" s="4"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zones'!$A$5:$D$10003,4,FALSE),"")</f>
        <v>Murkmire</v>
      </c>
      <c r="AK372" s="3" t="str">
        <f>IF(AND(G372&lt;&gt;"LIBSETS_SETTYPE_BATTLEGROUND",G372&lt;&gt;"LIBSETS_SETTYPE_SPECIAL"),IF(AL372&lt;&gt;"",VLOOKUP(AL372,'ESO zones'!$D$5:$H$4957,5,FALSE),""),"")</f>
        <v/>
      </c>
      <c r="AP372" s="3" t="str">
        <f>IF(AND(G372&lt;&gt;"LIBSETS_SETTYPE_BATTLEGROUND",G372&lt;&gt;"LIBSETS_SETTYPE_SPECIAL"),IF(AQ372&lt;&gt;"",VLOOKUP(AQ372,'ESO zones'!$D$5:$H$4957,5,FALSE),""),"")</f>
        <v/>
      </c>
      <c r="AU372" s="3" t="str">
        <f>IF(AND(G372&lt;&gt;"LIBSETS_SETTYPE_BATTLEGROUND",G372&lt;&gt;"LIBSETS_SETTYPE_SPECIAL"),IF(AV372&lt;&gt;"",VLOOKUP(AV372,'ESO zones'!$D$5:$H$4957,5,FALSE),""),"")</f>
        <v/>
      </c>
      <c r="AZ372" s="49" t="s">
        <v>403</v>
      </c>
      <c r="BA372" s="49"/>
      <c r="BB372" s="49"/>
      <c r="BC372" s="49"/>
      <c r="BD372" s="49" t="s">
        <v>1122</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2">
        <v>426</v>
      </c>
      <c r="B373" t="s">
        <v>1253</v>
      </c>
      <c r="C373" t="s">
        <v>1254</v>
      </c>
      <c r="D373" s="3">
        <f t="shared" si="30"/>
        <v>426</v>
      </c>
      <c r="G373" s="9" t="s">
        <v>159</v>
      </c>
      <c r="I373" t="s">
        <v>1120</v>
      </c>
      <c r="J373" t="s">
        <v>401</v>
      </c>
      <c r="K373">
        <v>378</v>
      </c>
      <c r="L373">
        <v>378</v>
      </c>
      <c r="M373">
        <v>378</v>
      </c>
      <c r="O373" s="5" t="s">
        <v>1224</v>
      </c>
      <c r="Q373" s="3">
        <f>IF(AND(P373&lt;&gt;"",ISNUMBER(P373),NOT(ISNA(P373))),P373,IF(R373&lt;&gt;"",VLOOKUP(R373,'ESO zones'!$D$5:$H$10005,5,FALSE),""))</f>
        <v>1082</v>
      </c>
      <c r="R373" t="str">
        <f>IF(AND(O373&lt;&gt;"",NOT(ISERROR(O373))),O373,IF(AND(P373&lt;&gt;"",ISNUMBER(P373),P373&gt;0,NOT(ISNA(P373))),VLOOKUP(P373,'ESO zones'!$A$5:$D$10003,4,FALSE),IF(AND(K373&lt;&gt;"",K373&gt;0,NOT(ISERROR(K373))),VLOOKUP(K373,'ESO wayshrines'!$K$3:$N$9972,4,FALSE),"")))</f>
        <v>Blackrose Prison</v>
      </c>
      <c r="T373" s="16" t="str">
        <f>IF(AND(S373&lt;&gt;"",NOT(ISERROR(S373))),S373,VLOOKUP(A373,'ESO Set&amp;DLCs'!$A$3:$D$99998,4,FALSE))</f>
        <v>DLC_MURKMIRE</v>
      </c>
      <c r="U373" s="3" t="str">
        <f>IF(T373&lt;&gt;"",VLOOKUP(T373,ConstDLCIds!$B$4:$C$1000,2,FALSE),"")</f>
        <v>Murkmire</v>
      </c>
      <c r="V373" s="4" t="s">
        <v>209</v>
      </c>
      <c r="Y373" s="5"/>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zones'!$A$5:$D$10003,4,FALSE),"")</f>
        <v>Murkmire</v>
      </c>
      <c r="AB373" s="4"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zones'!$A$5:$D$10003,4,FALSE),"")</f>
        <v>Murkmire</v>
      </c>
      <c r="AK373" s="3" t="str">
        <f>IF(AND(G373&lt;&gt;"LIBSETS_SETTYPE_BATTLEGROUND",G373&lt;&gt;"LIBSETS_SETTYPE_SPECIAL"),IF(AL373&lt;&gt;"",VLOOKUP(AL373,'ESO zones'!$D$5:$H$4957,5,FALSE),""),"")</f>
        <v/>
      </c>
      <c r="AP373" s="3" t="str">
        <f>IF(AND(G373&lt;&gt;"LIBSETS_SETTYPE_BATTLEGROUND",G373&lt;&gt;"LIBSETS_SETTYPE_SPECIAL"),IF(AQ373&lt;&gt;"",VLOOKUP(AQ373,'ESO zones'!$D$5:$H$4957,5,FALSE),""),"")</f>
        <v/>
      </c>
      <c r="AU373" s="3" t="str">
        <f>IF(AND(G373&lt;&gt;"LIBSETS_SETTYPE_BATTLEGROUND",G373&lt;&gt;"LIBSETS_SETTYPE_SPECIAL"),IF(AV373&lt;&gt;"",VLOOKUP(AV373,'ESO zones'!$D$5:$H$4957,5,FALSE),""),"")</f>
        <v/>
      </c>
      <c r="AZ373" s="49" t="s">
        <v>403</v>
      </c>
      <c r="BA373" s="49"/>
      <c r="BB373" s="49"/>
      <c r="BC373" s="49"/>
      <c r="BD373" s="49" t="s">
        <v>1122</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2">
        <v>427</v>
      </c>
      <c r="B374" t="s">
        <v>1255</v>
      </c>
      <c r="C374" t="s">
        <v>1256</v>
      </c>
      <c r="D374" s="3">
        <f t="shared" si="30"/>
        <v>427</v>
      </c>
      <c r="G374" s="9" t="s">
        <v>159</v>
      </c>
      <c r="I374" t="s">
        <v>1120</v>
      </c>
      <c r="J374" t="s">
        <v>401</v>
      </c>
      <c r="K374">
        <v>378</v>
      </c>
      <c r="L374">
        <v>378</v>
      </c>
      <c r="M374">
        <v>378</v>
      </c>
      <c r="O374" s="5" t="s">
        <v>1224</v>
      </c>
      <c r="Q374" s="3">
        <f>IF(AND(P374&lt;&gt;"",ISNUMBER(P374),NOT(ISNA(P374))),P374,IF(R374&lt;&gt;"",VLOOKUP(R374,'ESO zones'!$D$5:$H$10005,5,FALSE),""))</f>
        <v>1082</v>
      </c>
      <c r="R374" t="str">
        <f>IF(AND(O374&lt;&gt;"",NOT(ISERROR(O374))),O374,IF(AND(P374&lt;&gt;"",ISNUMBER(P374),P374&gt;0,NOT(ISNA(P374))),VLOOKUP(P374,'ESO zones'!$A$5:$D$10003,4,FALSE),IF(AND(K374&lt;&gt;"",K374&gt;0,NOT(ISERROR(K374))),VLOOKUP(K374,'ESO wayshrines'!$K$3:$N$9972,4,FALSE),"")))</f>
        <v>Blackrose Prison</v>
      </c>
      <c r="T374" s="16" t="str">
        <f>IF(AND(S374&lt;&gt;"",NOT(ISERROR(S374))),S374,VLOOKUP(A374,'ESO Set&amp;DLCs'!$A$3:$D$99998,4,FALSE))</f>
        <v>DLC_MURKMIRE</v>
      </c>
      <c r="U374" s="3" t="str">
        <f>IF(T374&lt;&gt;"",VLOOKUP(T374,ConstDLCIds!$B$4:$C$1000,2,FALSE),"")</f>
        <v>Murkmire</v>
      </c>
      <c r="V374" s="4" t="s">
        <v>209</v>
      </c>
      <c r="Y374" s="5"/>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zones'!$A$5:$D$10003,4,FALSE),"")</f>
        <v>Murkmire</v>
      </c>
      <c r="AB374" s="4"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zones'!$A$5:$D$10003,4,FALSE),"")</f>
        <v>Murkmire</v>
      </c>
      <c r="AK374" s="3" t="str">
        <f>IF(AND(G374&lt;&gt;"LIBSETS_SETTYPE_BATTLEGROUND",G374&lt;&gt;"LIBSETS_SETTYPE_SPECIAL"),IF(AL374&lt;&gt;"",VLOOKUP(AL374,'ESO zones'!$D$5:$H$4957,5,FALSE),""),"")</f>
        <v/>
      </c>
      <c r="AP374" s="3" t="str">
        <f>IF(AND(G374&lt;&gt;"LIBSETS_SETTYPE_BATTLEGROUND",G374&lt;&gt;"LIBSETS_SETTYPE_SPECIAL"),IF(AQ374&lt;&gt;"",VLOOKUP(AQ374,'ESO zones'!$D$5:$H$4957,5,FALSE),""),"")</f>
        <v/>
      </c>
      <c r="AU374" s="3" t="str">
        <f>IF(AND(G374&lt;&gt;"LIBSETS_SETTYPE_BATTLEGROUND",G374&lt;&gt;"LIBSETS_SETTYPE_SPECIAL"),IF(AV374&lt;&gt;"",VLOOKUP(AV374,'ESO zones'!$D$5:$H$4957,5,FALSE),""),"")</f>
        <v/>
      </c>
      <c r="AZ374" s="49" t="s">
        <v>403</v>
      </c>
      <c r="BA374" s="49"/>
      <c r="BB374" s="49"/>
      <c r="BC374" s="49"/>
      <c r="BD374" s="49" t="s">
        <v>1122</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2">
        <v>428</v>
      </c>
      <c r="B375" t="s">
        <v>1257</v>
      </c>
      <c r="C375" t="s">
        <v>1258</v>
      </c>
      <c r="D375" s="3">
        <f t="shared" si="30"/>
        <v>428</v>
      </c>
      <c r="G375" s="9" t="s">
        <v>159</v>
      </c>
      <c r="I375" t="s">
        <v>1120</v>
      </c>
      <c r="J375" t="s">
        <v>401</v>
      </c>
      <c r="K375">
        <v>378</v>
      </c>
      <c r="L375">
        <v>378</v>
      </c>
      <c r="M375">
        <v>378</v>
      </c>
      <c r="O375" s="5" t="s">
        <v>1224</v>
      </c>
      <c r="Q375" s="3">
        <f>IF(AND(P375&lt;&gt;"",ISNUMBER(P375),NOT(ISNA(P375))),P375,IF(R375&lt;&gt;"",VLOOKUP(R375,'ESO zones'!$D$5:$H$10005,5,FALSE),""))</f>
        <v>1082</v>
      </c>
      <c r="R375" t="str">
        <f>IF(AND(O375&lt;&gt;"",NOT(ISERROR(O375))),O375,IF(AND(P375&lt;&gt;"",ISNUMBER(P375),P375&gt;0,NOT(ISNA(P375))),VLOOKUP(P375,'ESO zones'!$A$5:$D$10003,4,FALSE),IF(AND(K375&lt;&gt;"",K375&gt;0,NOT(ISERROR(K375))),VLOOKUP(K375,'ESO wayshrines'!$K$3:$N$9972,4,FALSE),"")))</f>
        <v>Blackrose Prison</v>
      </c>
      <c r="T375" s="16" t="str">
        <f>IF(AND(S375&lt;&gt;"",NOT(ISERROR(S375))),S375,VLOOKUP(A375,'ESO Set&amp;DLCs'!$A$3:$D$99998,4,FALSE))</f>
        <v>DLC_MURKMIRE</v>
      </c>
      <c r="U375" s="3" t="str">
        <f>IF(T375&lt;&gt;"",VLOOKUP(T375,ConstDLCIds!$B$4:$C$1000,2,FALSE),"")</f>
        <v>Murkmire</v>
      </c>
      <c r="V375" s="4" t="s">
        <v>209</v>
      </c>
      <c r="Y375" s="5"/>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zones'!$A$5:$D$10003,4,FALSE),"")</f>
        <v>Murkmire</v>
      </c>
      <c r="AB375" s="4"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zones'!$A$5:$D$10003,4,FALSE),"")</f>
        <v>Murkmire</v>
      </c>
      <c r="AK375" s="3" t="str">
        <f>IF(AND(G375&lt;&gt;"LIBSETS_SETTYPE_BATTLEGROUND",G375&lt;&gt;"LIBSETS_SETTYPE_SPECIAL"),IF(AL375&lt;&gt;"",VLOOKUP(AL375,'ESO zones'!$D$5:$H$4957,5,FALSE),""),"")</f>
        <v/>
      </c>
      <c r="AP375" s="3" t="str">
        <f>IF(AND(G375&lt;&gt;"LIBSETS_SETTYPE_BATTLEGROUND",G375&lt;&gt;"LIBSETS_SETTYPE_SPECIAL"),IF(AQ375&lt;&gt;"",VLOOKUP(AQ375,'ESO zones'!$D$5:$H$4957,5,FALSE),""),"")</f>
        <v/>
      </c>
      <c r="AU375" s="3" t="str">
        <f>IF(AND(G375&lt;&gt;"LIBSETS_SETTYPE_BATTLEGROUND",G375&lt;&gt;"LIBSETS_SETTYPE_SPECIAL"),IF(AV375&lt;&gt;"",VLOOKUP(AV375,'ESO zones'!$D$5:$H$4957,5,FALSE),""),"")</f>
        <v/>
      </c>
      <c r="AZ375" s="49" t="s">
        <v>403</v>
      </c>
      <c r="BA375" s="49"/>
      <c r="BB375" s="49"/>
      <c r="BC375" s="49"/>
      <c r="BD375" s="49" t="s">
        <v>1122</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2">
        <v>429</v>
      </c>
      <c r="B376" t="s">
        <v>1259</v>
      </c>
      <c r="C376" t="s">
        <v>1260</v>
      </c>
      <c r="D376" s="3">
        <f t="shared" si="30"/>
        <v>429</v>
      </c>
      <c r="G376" s="9" t="s">
        <v>169</v>
      </c>
      <c r="I376" t="s">
        <v>401</v>
      </c>
      <c r="J376" t="s">
        <v>401</v>
      </c>
      <c r="K376">
        <v>389</v>
      </c>
      <c r="L376">
        <v>389</v>
      </c>
      <c r="M376">
        <v>389</v>
      </c>
      <c r="O376" s="5" t="s">
        <v>1261</v>
      </c>
      <c r="Q376" s="3">
        <f>IF(AND(P376&lt;&gt;"",ISNUMBER(P376),NOT(ISNA(P376))),P376,IF(R376&lt;&gt;"",VLOOKUP(R376,'ESO zones'!$D$5:$H$10005,5,FALSE),""))</f>
        <v>1080</v>
      </c>
      <c r="R376" t="str">
        <f>IF(AND(O376&lt;&gt;"",NOT(ISERROR(O376))),O376,IF(AND(P376&lt;&gt;"",ISNUMBER(P376),P376&gt;0,NOT(ISNA(P376))),VLOOKUP(P376,'ESO zones'!$A$5:$D$10003,4,FALSE),IF(AND(K376&lt;&gt;"",K376&gt;0,NOT(ISERROR(K376))),VLOOKUP(K376,'ESO wayshrines'!$K$3:$N$9972,4,FALSE),"")))</f>
        <v>Frostvault</v>
      </c>
      <c r="T376" s="16" t="str">
        <f>IF(AND(S376&lt;&gt;"",NOT(ISERROR(S376))),S376,VLOOKUP(A376,'ESO Set&amp;DLCs'!$A$3:$D$99998,4,FALSE))</f>
        <v>DLC_WRATHSTONE</v>
      </c>
      <c r="U376" s="3" t="str">
        <f>IF(T376&lt;&gt;"",VLOOKUP(T376,ConstDLCIds!$B$4:$C$1000,2,FALSE),"")</f>
        <v>Wrathstone</v>
      </c>
      <c r="V376" s="4" t="s">
        <v>278</v>
      </c>
      <c r="Y376" s="5"/>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zones'!$A$5:$D$10003,4,FALSE),"")</f>
        <v>Eastmarch</v>
      </c>
      <c r="AE376" s="30"/>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zones'!$A$5:$D$10003,4,FALSE),"")</f>
        <v>Eastmarch</v>
      </c>
      <c r="AI376" s="30"/>
      <c r="AJ376" s="30"/>
      <c r="AK376" s="3" t="str">
        <f>IF(AND(G376&lt;&gt;"LIBSETS_SETTYPE_BATTLEGROUND",G376&lt;&gt;"LIBSETS_SETTYPE_SPECIAL"),IF(AL376&lt;&gt;"",VLOOKUP(AL376,'ESO zones'!$D$5:$H$4957,5,FALSE),""),"")</f>
        <v/>
      </c>
      <c r="AN376" s="30"/>
      <c r="AO376" s="30"/>
      <c r="AP376" s="3" t="str">
        <f>IF(AND(G376&lt;&gt;"LIBSETS_SETTYPE_BATTLEGROUND",G376&lt;&gt;"LIBSETS_SETTYPE_SPECIAL"),IF(AQ376&lt;&gt;"",VLOOKUP(AQ376,'ESO zones'!$D$5:$H$4957,5,FALSE),""),"")</f>
        <v/>
      </c>
      <c r="AS376" s="30"/>
      <c r="AT376" s="30"/>
      <c r="AU376" s="3" t="str">
        <f>IF(AND(G376&lt;&gt;"LIBSETS_SETTYPE_BATTLEGROUND",G376&lt;&gt;"LIBSETS_SETTYPE_SPECIAL"),IF(AV376&lt;&gt;"",VLOOKUP(AV376,'ESO zones'!$D$5:$H$4957,5,FALSE),""),"")</f>
        <v/>
      </c>
      <c r="AX376" s="30"/>
      <c r="AZ376" s="49" t="s">
        <v>403</v>
      </c>
      <c r="BA376" s="49"/>
      <c r="BB376" s="49"/>
      <c r="BC376" s="49"/>
      <c r="BD376" s="49"/>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2">
        <v>430</v>
      </c>
      <c r="B377" t="s">
        <v>1262</v>
      </c>
      <c r="C377" t="s">
        <v>1263</v>
      </c>
      <c r="D377" s="3">
        <f t="shared" si="30"/>
        <v>430</v>
      </c>
      <c r="G377" s="9" t="s">
        <v>169</v>
      </c>
      <c r="I377" t="s">
        <v>401</v>
      </c>
      <c r="J377" t="s">
        <v>401</v>
      </c>
      <c r="K377">
        <v>389</v>
      </c>
      <c r="L377">
        <v>389</v>
      </c>
      <c r="M377">
        <v>389</v>
      </c>
      <c r="O377" s="5" t="s">
        <v>1261</v>
      </c>
      <c r="Q377" s="3">
        <f>IF(AND(P377&lt;&gt;"",ISNUMBER(P377),NOT(ISNA(P377))),P377,IF(R377&lt;&gt;"",VLOOKUP(R377,'ESO zones'!$D$5:$H$10005,5,FALSE),""))</f>
        <v>1080</v>
      </c>
      <c r="R377" t="str">
        <f>IF(AND(O377&lt;&gt;"",NOT(ISERROR(O377))),O377,IF(AND(P377&lt;&gt;"",ISNUMBER(P377),P377&gt;0,NOT(ISNA(P377))),VLOOKUP(P377,'ESO zones'!$A$5:$D$10003,4,FALSE),IF(AND(K377&lt;&gt;"",K377&gt;0,NOT(ISERROR(K377))),VLOOKUP(K377,'ESO wayshrines'!$K$3:$N$9972,4,FALSE),"")))</f>
        <v>Frostvault</v>
      </c>
      <c r="T377" s="16" t="str">
        <f>IF(AND(S377&lt;&gt;"",NOT(ISERROR(S377))),S377,VLOOKUP(A377,'ESO Set&amp;DLCs'!$A$3:$D$99998,4,FALSE))</f>
        <v>DLC_WRATHSTONE</v>
      </c>
      <c r="U377" s="3" t="str">
        <f>IF(T377&lt;&gt;"",VLOOKUP(T377,ConstDLCIds!$B$4:$C$1000,2,FALSE),"")</f>
        <v>Wrathstone</v>
      </c>
      <c r="V377" s="4" t="s">
        <v>278</v>
      </c>
      <c r="Y377" s="5"/>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zones'!$A$5:$D$10003,4,FALSE),"")</f>
        <v>Eastmarch</v>
      </c>
      <c r="AE377" s="30"/>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zones'!$A$5:$D$10003,4,FALSE),"")</f>
        <v>Eastmarch</v>
      </c>
      <c r="AI377" s="30"/>
      <c r="AJ377" s="30"/>
      <c r="AK377" s="3" t="str">
        <f>IF(AND(G377&lt;&gt;"LIBSETS_SETTYPE_BATTLEGROUND",G377&lt;&gt;"LIBSETS_SETTYPE_SPECIAL"),IF(AL377&lt;&gt;"",VLOOKUP(AL377,'ESO zones'!$D$5:$H$4957,5,FALSE),""),"")</f>
        <v/>
      </c>
      <c r="AN377" s="30"/>
      <c r="AO377" s="30"/>
      <c r="AP377" s="3" t="str">
        <f>IF(AND(G377&lt;&gt;"LIBSETS_SETTYPE_BATTLEGROUND",G377&lt;&gt;"LIBSETS_SETTYPE_SPECIAL"),IF(AQ377&lt;&gt;"",VLOOKUP(AQ377,'ESO zones'!$D$5:$H$4957,5,FALSE),""),"")</f>
        <v/>
      </c>
      <c r="AS377" s="30"/>
      <c r="AT377" s="30"/>
      <c r="AU377" s="3" t="str">
        <f>IF(AND(G377&lt;&gt;"LIBSETS_SETTYPE_BATTLEGROUND",G377&lt;&gt;"LIBSETS_SETTYPE_SPECIAL"),IF(AV377&lt;&gt;"",VLOOKUP(AV377,'ESO zones'!$D$5:$H$4957,5,FALSE),""),"")</f>
        <v/>
      </c>
      <c r="AX377" s="30"/>
      <c r="AZ377" s="49" t="s">
        <v>403</v>
      </c>
      <c r="BA377" s="49"/>
      <c r="BB377" s="49"/>
      <c r="BC377" s="49"/>
      <c r="BD377" s="49"/>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2">
        <v>431</v>
      </c>
      <c r="B378" t="s">
        <v>1264</v>
      </c>
      <c r="C378" t="s">
        <v>1265</v>
      </c>
      <c r="D378" s="3">
        <f t="shared" si="30"/>
        <v>431</v>
      </c>
      <c r="G378" s="9" t="s">
        <v>169</v>
      </c>
      <c r="I378" t="s">
        <v>401</v>
      </c>
      <c r="J378" t="s">
        <v>401</v>
      </c>
      <c r="K378">
        <v>389</v>
      </c>
      <c r="L378">
        <v>389</v>
      </c>
      <c r="M378">
        <v>389</v>
      </c>
      <c r="O378" s="5" t="s">
        <v>1261</v>
      </c>
      <c r="Q378" s="3">
        <f>IF(AND(P378&lt;&gt;"",ISNUMBER(P378),NOT(ISNA(P378))),P378,IF(R378&lt;&gt;"",VLOOKUP(R378,'ESO zones'!$D$5:$H$10005,5,FALSE),""))</f>
        <v>1080</v>
      </c>
      <c r="R378" t="str">
        <f>IF(AND(O378&lt;&gt;"",NOT(ISERROR(O378))),O378,IF(AND(P378&lt;&gt;"",ISNUMBER(P378),P378&gt;0,NOT(ISNA(P378))),VLOOKUP(P378,'ESO zones'!$A$5:$D$10003,4,FALSE),IF(AND(K378&lt;&gt;"",K378&gt;0,NOT(ISERROR(K378))),VLOOKUP(K378,'ESO wayshrines'!$K$3:$N$9972,4,FALSE),"")))</f>
        <v>Frostvault</v>
      </c>
      <c r="T378" s="16" t="str">
        <f>IF(AND(S378&lt;&gt;"",NOT(ISERROR(S378))),S378,VLOOKUP(A378,'ESO Set&amp;DLCs'!$A$3:$D$99998,4,FALSE))</f>
        <v>DLC_WRATHSTONE</v>
      </c>
      <c r="U378" s="3" t="str">
        <f>IF(T378&lt;&gt;"",VLOOKUP(T378,ConstDLCIds!$B$4:$C$1000,2,FALSE),"")</f>
        <v>Wrathstone</v>
      </c>
      <c r="V378" s="4" t="s">
        <v>278</v>
      </c>
      <c r="Y378" s="5"/>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zones'!$A$5:$D$10003,4,FALSE),"")</f>
        <v>Eastmarch</v>
      </c>
      <c r="AE378" s="30"/>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zones'!$A$5:$D$10003,4,FALSE),"")</f>
        <v>Eastmarch</v>
      </c>
      <c r="AI378" s="30"/>
      <c r="AJ378" s="30"/>
      <c r="AK378" s="3" t="str">
        <f>IF(AND(G378&lt;&gt;"LIBSETS_SETTYPE_BATTLEGROUND",G378&lt;&gt;"LIBSETS_SETTYPE_SPECIAL"),IF(AL378&lt;&gt;"",VLOOKUP(AL378,'ESO zones'!$D$5:$H$4957,5,FALSE),""),"")</f>
        <v/>
      </c>
      <c r="AN378" s="30"/>
      <c r="AO378" s="30"/>
      <c r="AP378" s="3" t="str">
        <f>IF(AND(G378&lt;&gt;"LIBSETS_SETTYPE_BATTLEGROUND",G378&lt;&gt;"LIBSETS_SETTYPE_SPECIAL"),IF(AQ378&lt;&gt;"",VLOOKUP(AQ378,'ESO zones'!$D$5:$H$4957,5,FALSE),""),"")</f>
        <v/>
      </c>
      <c r="AS378" s="30"/>
      <c r="AT378" s="30"/>
      <c r="AU378" s="3" t="str">
        <f>IF(AND(G378&lt;&gt;"LIBSETS_SETTYPE_BATTLEGROUND",G378&lt;&gt;"LIBSETS_SETTYPE_SPECIAL"),IF(AV378&lt;&gt;"",VLOOKUP(AV378,'ESO zones'!$D$5:$H$4957,5,FALSE),""),"")</f>
        <v/>
      </c>
      <c r="AX378" s="30"/>
      <c r="AZ378" s="49" t="s">
        <v>403</v>
      </c>
      <c r="BA378" s="49"/>
      <c r="BB378" s="49"/>
      <c r="BC378" s="49"/>
      <c r="BD378" s="49"/>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1">
        <v>432</v>
      </c>
      <c r="B379" t="s">
        <v>1266</v>
      </c>
      <c r="C379" t="s">
        <v>1267</v>
      </c>
      <c r="D379" s="3">
        <f t="shared" si="30"/>
        <v>432</v>
      </c>
      <c r="G379" s="9" t="s">
        <v>172</v>
      </c>
      <c r="H379">
        <v>3</v>
      </c>
      <c r="I379" t="s">
        <v>712</v>
      </c>
      <c r="J379" t="s">
        <v>401</v>
      </c>
      <c r="K379">
        <v>389</v>
      </c>
      <c r="L379">
        <v>389</v>
      </c>
      <c r="M379">
        <v>389</v>
      </c>
      <c r="O379" s="5" t="s">
        <v>1261</v>
      </c>
      <c r="Q379" s="3">
        <f>IF(AND(P379&lt;&gt;"",ISNUMBER(P379),NOT(ISNA(P379))),P379,IF(R379&lt;&gt;"",VLOOKUP(R379,'ESO zones'!$D$5:$H$10005,5,FALSE),""))</f>
        <v>1080</v>
      </c>
      <c r="R379" t="str">
        <f>IF(AND(O379&lt;&gt;"",NOT(ISERROR(O379))),O379,IF(AND(P379&lt;&gt;"",ISNUMBER(P379),P379&gt;0,NOT(ISNA(P379))),VLOOKUP(P379,'ESO zones'!$A$5:$D$10003,4,FALSE),IF(AND(K379&lt;&gt;"",K379&gt;0,NOT(ISERROR(K379))),VLOOKUP(K379,'ESO wayshrines'!$K$3:$N$9972,4,FALSE),"")))</f>
        <v>Frostvault</v>
      </c>
      <c r="T379" s="16" t="str">
        <f>IF(AND(S379&lt;&gt;"",NOT(ISERROR(S379))),S379,VLOOKUP(A379,'ESO Set&amp;DLCs'!$A$3:$D$99998,4,FALSE))</f>
        <v>DLC_WRATHSTONE</v>
      </c>
      <c r="U379" s="3" t="str">
        <f>IF(T379&lt;&gt;"",VLOOKUP(T379,ConstDLCIds!$B$4:$C$1000,2,FALSE),"")</f>
        <v>Wrathstone</v>
      </c>
      <c r="V379" s="4" t="s">
        <v>212</v>
      </c>
      <c r="W379" s="3" t="s">
        <v>1268</v>
      </c>
      <c r="X379" s="3" t="s">
        <v>1269</v>
      </c>
      <c r="Y379" s="5"/>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zones'!$A$5:$D$10003,4,FALSE),"")</f>
        <v>Eastmarch</v>
      </c>
      <c r="AC379" s="3" t="str">
        <f>IF(AB379&lt;&gt;"",IF(AB379&lt;&gt;"LIBSETS_DROP_MECHANIC_MONSTER_NAME",VLOOKUP(AB379,ConstDropMechs!$B$4:$C$1001,2,FALSE),""),"")</f>
        <v/>
      </c>
      <c r="AD379" s="3" t="str">
        <f>IF(AB379&lt;&gt;"",IF(AB379&lt;&gt;"LIBSETS_DROP_MECHANIC_MONSTER_NAME",VLOOKUP(AB379,ConstDropMechs!$B$4:$D$1001,3,FALSE),""),"")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zones'!$A$5:$D$10003,4,FALSE),"")</f>
        <v>Eastmarch</v>
      </c>
      <c r="AI379"/>
      <c r="AJ379"/>
      <c r="AK379" s="3" t="str">
        <f>IF(AND(G379&lt;&gt;"LIBSETS_SETTYPE_BATTLEGROUND",G379&lt;&gt;"LIBSETS_SETTYPE_SPECIAL"),IF(AL379&lt;&gt;"",VLOOKUP(AL379,'ESO zones'!$D$5:$H$4957,5,FALSE),""),"")</f>
        <v/>
      </c>
      <c r="AN379"/>
      <c r="AO379"/>
      <c r="AP379" s="3" t="str">
        <f>IF(AND(G379&lt;&gt;"LIBSETS_SETTYPE_BATTLEGROUND",G379&lt;&gt;"LIBSETS_SETTYPE_SPECIAL"),IF(AQ379&lt;&gt;"",VLOOKUP(AQ379,'ESO zones'!$D$5:$H$4957,5,FALSE),""),"")</f>
        <v/>
      </c>
      <c r="AS379"/>
      <c r="AT379"/>
      <c r="AU379" s="3" t="str">
        <f>IF(AND(G379&lt;&gt;"LIBSETS_SETTYPE_BATTLEGROUND",G379&lt;&gt;"LIBSETS_SETTYPE_SPECIAL"),IF(AV379&lt;&gt;"",VLOOKUP(AV379,'ESO zones'!$D$5:$H$4957,5,FALSE),""),"")</f>
        <v/>
      </c>
      <c r="AX379"/>
      <c r="AZ379" s="49" t="s">
        <v>403</v>
      </c>
      <c r="BA379" s="49"/>
      <c r="BB379" s="49"/>
      <c r="BC379" s="49"/>
      <c r="BD379" s="49"/>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2">
        <v>433</v>
      </c>
      <c r="B380" t="s">
        <v>1270</v>
      </c>
      <c r="C380" t="s">
        <v>1271</v>
      </c>
      <c r="D380" s="3">
        <f t="shared" si="30"/>
        <v>433</v>
      </c>
      <c r="G380" s="9" t="s">
        <v>169</v>
      </c>
      <c r="I380" t="s">
        <v>401</v>
      </c>
      <c r="J380" t="s">
        <v>401</v>
      </c>
      <c r="K380">
        <v>390</v>
      </c>
      <c r="L380">
        <v>390</v>
      </c>
      <c r="M380">
        <v>390</v>
      </c>
      <c r="O380" s="5" t="s">
        <v>1272</v>
      </c>
      <c r="Q380" s="3">
        <f>IF(AND(P380&lt;&gt;"",ISNUMBER(P380),NOT(ISNA(P380))),P380,IF(R380&lt;&gt;"",VLOOKUP(R380,'ESO zones'!$D$5:$H$10005,5,FALSE),""))</f>
        <v>1081</v>
      </c>
      <c r="R380" t="str">
        <f>IF(AND(O380&lt;&gt;"",NOT(ISERROR(O380))),O380,IF(AND(P380&lt;&gt;"",ISNUMBER(P380),P380&gt;0,NOT(ISNA(P380))),VLOOKUP(P380,'ESO zones'!$A$5:$D$10003,4,FALSE),IF(AND(K380&lt;&gt;"",K380&gt;0,NOT(ISERROR(K380))),VLOOKUP(K380,'ESO wayshrines'!$K$3:$N$9972,4,FALSE),"")))</f>
        <v>Depths of Malatar</v>
      </c>
      <c r="T380" s="16" t="str">
        <f>IF(AND(S380&lt;&gt;"",NOT(ISERROR(S380))),S380,VLOOKUP(A380,'ESO Set&amp;DLCs'!$A$3:$D$99998,4,FALSE))</f>
        <v>DLC_WRATHSTONE</v>
      </c>
      <c r="U380" s="3" t="str">
        <f>IF(T380&lt;&gt;"",VLOOKUP(T380,ConstDLCIds!$B$4:$C$1000,2,FALSE),"")</f>
        <v>Wrathstone</v>
      </c>
      <c r="V380" s="4" t="s">
        <v>278</v>
      </c>
      <c r="Y380" s="5"/>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zones'!$A$5:$D$10003,4,FALSE),"")</f>
        <v>Gold Coast</v>
      </c>
      <c r="AE380" s="30"/>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zones'!$A$5:$D$10003,4,FALSE),"")</f>
        <v>Gold Coast</v>
      </c>
      <c r="AI380" s="30"/>
      <c r="AJ380" s="30"/>
      <c r="AK380" s="3" t="str">
        <f>IF(AND(G380&lt;&gt;"LIBSETS_SETTYPE_BATTLEGROUND",G380&lt;&gt;"LIBSETS_SETTYPE_SPECIAL"),IF(AL380&lt;&gt;"",VLOOKUP(AL380,'ESO zones'!$D$5:$H$4957,5,FALSE),""),"")</f>
        <v/>
      </c>
      <c r="AN380" s="30"/>
      <c r="AO380" s="30"/>
      <c r="AP380" s="3" t="str">
        <f>IF(AND(G380&lt;&gt;"LIBSETS_SETTYPE_BATTLEGROUND",G380&lt;&gt;"LIBSETS_SETTYPE_SPECIAL"),IF(AQ380&lt;&gt;"",VLOOKUP(AQ380,'ESO zones'!$D$5:$H$4957,5,FALSE),""),"")</f>
        <v/>
      </c>
      <c r="AS380" s="30"/>
      <c r="AT380" s="30"/>
      <c r="AU380" s="3" t="str">
        <f>IF(AND(G380&lt;&gt;"LIBSETS_SETTYPE_BATTLEGROUND",G380&lt;&gt;"LIBSETS_SETTYPE_SPECIAL"),IF(AV380&lt;&gt;"",VLOOKUP(AV380,'ESO zones'!$D$5:$H$4957,5,FALSE),""),"")</f>
        <v/>
      </c>
      <c r="AX380" s="30"/>
      <c r="AZ380" s="49" t="s">
        <v>403</v>
      </c>
      <c r="BA380" s="49"/>
      <c r="BB380" s="49"/>
      <c r="BC380" s="49"/>
      <c r="BD380" s="49"/>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2">
        <v>434</v>
      </c>
      <c r="B381" t="s">
        <v>1273</v>
      </c>
      <c r="C381" t="s">
        <v>1274</v>
      </c>
      <c r="D381" s="3">
        <f t="shared" si="30"/>
        <v>434</v>
      </c>
      <c r="G381" s="9" t="s">
        <v>169</v>
      </c>
      <c r="I381" t="s">
        <v>401</v>
      </c>
      <c r="J381" t="s">
        <v>401</v>
      </c>
      <c r="K381">
        <v>390</v>
      </c>
      <c r="L381">
        <v>390</v>
      </c>
      <c r="M381">
        <v>390</v>
      </c>
      <c r="O381" s="5" t="s">
        <v>1272</v>
      </c>
      <c r="Q381" s="3">
        <f>IF(AND(P381&lt;&gt;"",ISNUMBER(P381),NOT(ISNA(P381))),P381,IF(R381&lt;&gt;"",VLOOKUP(R381,'ESO zones'!$D$5:$H$10005,5,FALSE),""))</f>
        <v>1081</v>
      </c>
      <c r="R381" t="str">
        <f>IF(AND(O381&lt;&gt;"",NOT(ISERROR(O381))),O381,IF(AND(P381&lt;&gt;"",ISNUMBER(P381),P381&gt;0,NOT(ISNA(P381))),VLOOKUP(P381,'ESO zones'!$A$5:$D$10003,4,FALSE),IF(AND(K381&lt;&gt;"",K381&gt;0,NOT(ISERROR(K381))),VLOOKUP(K381,'ESO wayshrines'!$K$3:$N$9972,4,FALSE),"")))</f>
        <v>Depths of Malatar</v>
      </c>
      <c r="T381" s="16" t="str">
        <f>IF(AND(S381&lt;&gt;"",NOT(ISERROR(S381))),S381,VLOOKUP(A381,'ESO Set&amp;DLCs'!$A$3:$D$99998,4,FALSE))</f>
        <v>DLC_WRATHSTONE</v>
      </c>
      <c r="U381" s="3" t="str">
        <f>IF(T381&lt;&gt;"",VLOOKUP(T381,ConstDLCIds!$B$4:$C$1000,2,FALSE),"")</f>
        <v>Wrathstone</v>
      </c>
      <c r="V381" s="4" t="s">
        <v>278</v>
      </c>
      <c r="Y381" s="5"/>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zones'!$A$5:$D$10003,4,FALSE),"")</f>
        <v>Gold Coast</v>
      </c>
      <c r="AE381" s="30"/>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zones'!$A$5:$D$10003,4,FALSE),"")</f>
        <v>Gold Coast</v>
      </c>
      <c r="AI381" s="30"/>
      <c r="AJ381" s="30"/>
      <c r="AK381" s="3" t="str">
        <f>IF(AND(G381&lt;&gt;"LIBSETS_SETTYPE_BATTLEGROUND",G381&lt;&gt;"LIBSETS_SETTYPE_SPECIAL"),IF(AL381&lt;&gt;"",VLOOKUP(AL381,'ESO zones'!$D$5:$H$4957,5,FALSE),""),"")</f>
        <v/>
      </c>
      <c r="AN381" s="30"/>
      <c r="AO381" s="30"/>
      <c r="AP381" s="3" t="str">
        <f>IF(AND(G381&lt;&gt;"LIBSETS_SETTYPE_BATTLEGROUND",G381&lt;&gt;"LIBSETS_SETTYPE_SPECIAL"),IF(AQ381&lt;&gt;"",VLOOKUP(AQ381,'ESO zones'!$D$5:$H$4957,5,FALSE),""),"")</f>
        <v/>
      </c>
      <c r="AS381" s="30"/>
      <c r="AT381" s="30"/>
      <c r="AU381" s="3" t="str">
        <f>IF(AND(G381&lt;&gt;"LIBSETS_SETTYPE_BATTLEGROUND",G381&lt;&gt;"LIBSETS_SETTYPE_SPECIAL"),IF(AV381&lt;&gt;"",VLOOKUP(AV381,'ESO zones'!$D$5:$H$4957,5,FALSE),""),"")</f>
        <v/>
      </c>
      <c r="AX381" s="30"/>
      <c r="AZ381" s="49" t="s">
        <v>403</v>
      </c>
      <c r="BA381" s="49"/>
      <c r="BB381" s="49"/>
      <c r="BC381" s="49"/>
      <c r="BD381" s="49"/>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2">
        <v>435</v>
      </c>
      <c r="B382" t="s">
        <v>1275</v>
      </c>
      <c r="C382" t="s">
        <v>1276</v>
      </c>
      <c r="D382" s="3">
        <f t="shared" si="30"/>
        <v>435</v>
      </c>
      <c r="G382" s="9" t="s">
        <v>169</v>
      </c>
      <c r="I382" t="s">
        <v>401</v>
      </c>
      <c r="J382" t="s">
        <v>401</v>
      </c>
      <c r="K382">
        <v>390</v>
      </c>
      <c r="L382">
        <v>390</v>
      </c>
      <c r="M382">
        <v>390</v>
      </c>
      <c r="O382" s="5" t="s">
        <v>1272</v>
      </c>
      <c r="Q382" s="3">
        <f>IF(AND(P382&lt;&gt;"",ISNUMBER(P382),NOT(ISNA(P382))),P382,IF(R382&lt;&gt;"",VLOOKUP(R382,'ESO zones'!$D$5:$H$10005,5,FALSE),""))</f>
        <v>1081</v>
      </c>
      <c r="R382" t="str">
        <f>IF(AND(O382&lt;&gt;"",NOT(ISERROR(O382))),O382,IF(AND(P382&lt;&gt;"",ISNUMBER(P382),P382&gt;0,NOT(ISNA(P382))),VLOOKUP(P382,'ESO zones'!$A$5:$D$10003,4,FALSE),IF(AND(K382&lt;&gt;"",K382&gt;0,NOT(ISERROR(K382))),VLOOKUP(K382,'ESO wayshrines'!$K$3:$N$9972,4,FALSE),"")))</f>
        <v>Depths of Malatar</v>
      </c>
      <c r="T382" s="16" t="str">
        <f>IF(AND(S382&lt;&gt;"",NOT(ISERROR(S382))),S382,VLOOKUP(A382,'ESO Set&amp;DLCs'!$A$3:$D$99998,4,FALSE))</f>
        <v>DLC_WRATHSTONE</v>
      </c>
      <c r="U382" s="3" t="str">
        <f>IF(T382&lt;&gt;"",VLOOKUP(T382,ConstDLCIds!$B$4:$C$1000,2,FALSE),"")</f>
        <v>Wrathstone</v>
      </c>
      <c r="V382" s="4" t="s">
        <v>278</v>
      </c>
      <c r="Y382" s="5"/>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zones'!$A$5:$D$10003,4,FALSE),"")</f>
        <v>Gold Coast</v>
      </c>
      <c r="AE382" s="30"/>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zones'!$A$5:$D$10003,4,FALSE),"")</f>
        <v>Gold Coast</v>
      </c>
      <c r="AI382" s="30"/>
      <c r="AJ382" s="30"/>
      <c r="AK382" s="3" t="str">
        <f>IF(AND(G382&lt;&gt;"LIBSETS_SETTYPE_BATTLEGROUND",G382&lt;&gt;"LIBSETS_SETTYPE_SPECIAL"),IF(AL382&lt;&gt;"",VLOOKUP(AL382,'ESO zones'!$D$5:$H$4957,5,FALSE),""),"")</f>
        <v/>
      </c>
      <c r="AN382" s="30"/>
      <c r="AO382" s="30"/>
      <c r="AP382" s="3" t="str">
        <f>IF(AND(G382&lt;&gt;"LIBSETS_SETTYPE_BATTLEGROUND",G382&lt;&gt;"LIBSETS_SETTYPE_SPECIAL"),IF(AQ382&lt;&gt;"",VLOOKUP(AQ382,'ESO zones'!$D$5:$H$4957,5,FALSE),""),"")</f>
        <v/>
      </c>
      <c r="AS382" s="30"/>
      <c r="AT382" s="30"/>
      <c r="AU382" s="3" t="str">
        <f>IF(AND(G382&lt;&gt;"LIBSETS_SETTYPE_BATTLEGROUND",G382&lt;&gt;"LIBSETS_SETTYPE_SPECIAL"),IF(AV382&lt;&gt;"",VLOOKUP(AV382,'ESO zones'!$D$5:$H$4957,5,FALSE),""),"")</f>
        <v/>
      </c>
      <c r="AX382" s="30"/>
      <c r="AZ382" s="49" t="s">
        <v>403</v>
      </c>
      <c r="BA382" s="49"/>
      <c r="BB382" s="49"/>
      <c r="BC382" s="49"/>
      <c r="BD382" s="49"/>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1">
        <v>436</v>
      </c>
      <c r="B383" t="s">
        <v>1277</v>
      </c>
      <c r="C383" t="s">
        <v>1278</v>
      </c>
      <c r="D383" s="3">
        <f t="shared" si="30"/>
        <v>436</v>
      </c>
      <c r="G383" s="9" t="s">
        <v>172</v>
      </c>
      <c r="H383">
        <v>3</v>
      </c>
      <c r="I383" t="s">
        <v>712</v>
      </c>
      <c r="J383" t="s">
        <v>401</v>
      </c>
      <c r="K383">
        <v>390</v>
      </c>
      <c r="L383">
        <v>390</v>
      </c>
      <c r="M383">
        <v>390</v>
      </c>
      <c r="O383" s="5" t="s">
        <v>1272</v>
      </c>
      <c r="Q383" s="3">
        <f>IF(AND(P383&lt;&gt;"",ISNUMBER(P383),NOT(ISNA(P383))),P383,IF(R383&lt;&gt;"",VLOOKUP(R383,'ESO zones'!$D$5:$H$10005,5,FALSE),""))</f>
        <v>1081</v>
      </c>
      <c r="R383" t="str">
        <f>IF(AND(O383&lt;&gt;"",NOT(ISERROR(O383))),O383,IF(AND(P383&lt;&gt;"",ISNUMBER(P383),P383&gt;0,NOT(ISNA(P383))),VLOOKUP(P383,'ESO zones'!$A$5:$D$10003,4,FALSE),IF(AND(K383&lt;&gt;"",K383&gt;0,NOT(ISERROR(K383))),VLOOKUP(K383,'ESO wayshrines'!$K$3:$N$9972,4,FALSE),"")))</f>
        <v>Depths of Malatar</v>
      </c>
      <c r="T383" s="16" t="str">
        <f>IF(AND(S383&lt;&gt;"",NOT(ISERROR(S383))),S383,VLOOKUP(A383,'ESO Set&amp;DLCs'!$A$3:$D$99998,4,FALSE))</f>
        <v>DLC_WRATHSTONE</v>
      </c>
      <c r="U383" s="3" t="str">
        <f>IF(T383&lt;&gt;"",VLOOKUP(T383,ConstDLCIds!$B$4:$C$1000,2,FALSE),"")</f>
        <v>Wrathstone</v>
      </c>
      <c r="V383" s="4" t="s">
        <v>212</v>
      </c>
      <c r="W383" s="3" t="s">
        <v>1278</v>
      </c>
      <c r="X383" s="3" t="s">
        <v>1279</v>
      </c>
      <c r="Y383" s="5"/>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zones'!$A$5:$D$10003,4,FALSE),"")</f>
        <v>Gold Coast</v>
      </c>
      <c r="AC383" s="3" t="str">
        <f>IF(AB383&lt;&gt;"",IF(AB383&lt;&gt;"LIBSETS_DROP_MECHANIC_MONSTER_NAME",VLOOKUP(AB383,ConstDropMechs!$B$4:$C$1001,2,FALSE),""),"")</f>
        <v/>
      </c>
      <c r="AD383" s="3" t="str">
        <f>IF(AB383&lt;&gt;"",IF(AB383&lt;&gt;"LIBSETS_DROP_MECHANIC_MONSTER_NAME",VLOOKUP(AB383,ConstDropMechs!$B$4:$D$1001,3,FALSE),""),"")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zones'!$A$5:$D$10003,4,FALSE),"")</f>
        <v>Gold Coast</v>
      </c>
      <c r="AI383"/>
      <c r="AJ383"/>
      <c r="AK383" s="3" t="str">
        <f>IF(AND(G383&lt;&gt;"LIBSETS_SETTYPE_BATTLEGROUND",G383&lt;&gt;"LIBSETS_SETTYPE_SPECIAL"),IF(AL383&lt;&gt;"",VLOOKUP(AL383,'ESO zones'!$D$5:$H$4957,5,FALSE),""),"")</f>
        <v/>
      </c>
      <c r="AN383"/>
      <c r="AO383"/>
      <c r="AP383" s="3" t="str">
        <f>IF(AND(G383&lt;&gt;"LIBSETS_SETTYPE_BATTLEGROUND",G383&lt;&gt;"LIBSETS_SETTYPE_SPECIAL"),IF(AQ383&lt;&gt;"",VLOOKUP(AQ383,'ESO zones'!$D$5:$H$4957,5,FALSE),""),"")</f>
        <v/>
      </c>
      <c r="AS383"/>
      <c r="AT383"/>
      <c r="AU383" s="3" t="str">
        <f>IF(AND(G383&lt;&gt;"LIBSETS_SETTYPE_BATTLEGROUND",G383&lt;&gt;"LIBSETS_SETTYPE_SPECIAL"),IF(AV383&lt;&gt;"",VLOOKUP(AV383,'ESO zones'!$D$5:$H$4957,5,FALSE),""),"")</f>
        <v/>
      </c>
      <c r="AX383"/>
      <c r="AZ383" s="49" t="s">
        <v>403</v>
      </c>
      <c r="BA383" s="49"/>
      <c r="BB383" s="49"/>
      <c r="BC383" s="49"/>
      <c r="BD383" s="49"/>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2">
        <v>437</v>
      </c>
      <c r="B384" t="s">
        <v>1280</v>
      </c>
      <c r="C384" t="s">
        <v>1281</v>
      </c>
      <c r="D384" s="3">
        <f t="shared" si="30"/>
        <v>437</v>
      </c>
      <c r="G384" s="9" t="s">
        <v>163</v>
      </c>
      <c r="I384" t="s">
        <v>401</v>
      </c>
      <c r="J384" t="s">
        <v>401</v>
      </c>
      <c r="K384">
        <v>386</v>
      </c>
      <c r="L384">
        <v>386</v>
      </c>
      <c r="M384">
        <v>386</v>
      </c>
      <c r="N384">
        <v>8</v>
      </c>
      <c r="Q384" s="3">
        <f>IF(AND(P384&lt;&gt;"",ISNUMBER(P384),NOT(ISNA(P384))),P384,IF(R384&lt;&gt;"",VLOOKUP(R384,'ESO zones'!$D$5:$H$10005,5,FALSE),""))</f>
        <v>1086</v>
      </c>
      <c r="R384" t="str">
        <f>IF(AND(O384&lt;&gt;"",NOT(ISERROR(O384))),O384,IF(AND(P384&lt;&gt;"",ISNUMBER(P384),P384&gt;0,NOT(ISNA(P384))),VLOOKUP(P384,'ESO zones'!$A$5:$D$10003,4,FALSE),IF(AND(K384&lt;&gt;"",K384&gt;0,NOT(ISERROR(K384))),VLOOKUP(K384,'ESO wayshrines'!$K$3:$N$9972,4,FALSE),"")))</f>
        <v>Northern Elsweyr</v>
      </c>
      <c r="T384" s="16" t="str">
        <f>IF(AND(S384&lt;&gt;"",NOT(ISERROR(S384))),S384,VLOOKUP(A384,'ESO Set&amp;DLCs'!$A$3:$D$99998,4,FALSE))</f>
        <v>DLC_ELSWEYR</v>
      </c>
      <c r="U384" s="3" t="str">
        <f>IF(T384&lt;&gt;"",VLOOKUP(T384,ConstDLCIds!$B$4:$C$1000,2,FALSE),"")</f>
        <v>Elsweyr</v>
      </c>
      <c r="V384" s="4" t="s">
        <v>281</v>
      </c>
      <c r="Y384" s="5"/>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zones'!$A$5:$D$10003,4,FALSE),"")</f>
        <v>Northern Elsweyr</v>
      </c>
      <c r="AB384" s="4" t="s">
        <v>281</v>
      </c>
      <c r="AE384" s="30"/>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zones'!$A$5:$D$10003,4,FALSE),"")</f>
        <v>Northern Elsweyr</v>
      </c>
      <c r="AI384" s="30"/>
      <c r="AJ384" s="30"/>
      <c r="AK384" s="3" t="str">
        <f>IF(AND(G384&lt;&gt;"LIBSETS_SETTYPE_BATTLEGROUND",G384&lt;&gt;"LIBSETS_SETTYPE_SPECIAL"),IF(AL384&lt;&gt;"",VLOOKUP(AL384,'ESO zones'!$D$5:$H$4957,5,FALSE),""),"")</f>
        <v/>
      </c>
      <c r="AN384" s="30"/>
      <c r="AO384" s="30"/>
      <c r="AP384" s="3" t="str">
        <f>IF(AND(G384&lt;&gt;"LIBSETS_SETTYPE_BATTLEGROUND",G384&lt;&gt;"LIBSETS_SETTYPE_SPECIAL"),IF(AQ384&lt;&gt;"",VLOOKUP(AQ384,'ESO zones'!$D$5:$H$4957,5,FALSE),""),"")</f>
        <v/>
      </c>
      <c r="AS384" s="30"/>
      <c r="AT384" s="30"/>
      <c r="AU384" s="3" t="str">
        <f>IF(AND(G384&lt;&gt;"LIBSETS_SETTYPE_BATTLEGROUND",G384&lt;&gt;"LIBSETS_SETTYPE_SPECIAL"),IF(AV384&lt;&gt;"",VLOOKUP(AV384,'ESO zones'!$D$5:$H$4957,5,FALSE),""),"")</f>
        <v/>
      </c>
      <c r="AX384" s="30"/>
      <c r="AZ384" s="49" t="s">
        <v>403</v>
      </c>
      <c r="BA384" s="49"/>
      <c r="BB384" s="49"/>
      <c r="BC384" s="49"/>
      <c r="BD384" s="49"/>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2">
        <v>438</v>
      </c>
      <c r="B385" t="s">
        <v>1282</v>
      </c>
      <c r="C385" t="s">
        <v>1283</v>
      </c>
      <c r="D385" s="3">
        <f t="shared" si="30"/>
        <v>438</v>
      </c>
      <c r="G385" s="9" t="s">
        <v>163</v>
      </c>
      <c r="I385" t="s">
        <v>401</v>
      </c>
      <c r="J385" t="s">
        <v>401</v>
      </c>
      <c r="K385">
        <v>397</v>
      </c>
      <c r="L385">
        <v>397</v>
      </c>
      <c r="M385">
        <v>397</v>
      </c>
      <c r="N385">
        <v>5</v>
      </c>
      <c r="Q385" s="3">
        <f>IF(AND(P385&lt;&gt;"",ISNUMBER(P385),NOT(ISNA(P385))),P385,IF(R385&lt;&gt;"",VLOOKUP(R385,'ESO zones'!$D$5:$H$10005,5,FALSE),""))</f>
        <v>1086</v>
      </c>
      <c r="R385" t="str">
        <f>IF(AND(O385&lt;&gt;"",NOT(ISERROR(O385))),O385,IF(AND(P385&lt;&gt;"",ISNUMBER(P385),P385&gt;0,NOT(ISNA(P385))),VLOOKUP(P385,'ESO zones'!$A$5:$D$10003,4,FALSE),IF(AND(K385&lt;&gt;"",K385&gt;0,NOT(ISERROR(K385))),VLOOKUP(K385,'ESO wayshrines'!$K$3:$N$9972,4,FALSE),"")))</f>
        <v>Northern Elsweyr</v>
      </c>
      <c r="T385" s="16" t="str">
        <f>IF(AND(S385&lt;&gt;"",NOT(ISERROR(S385))),S385,VLOOKUP(A385,'ESO Set&amp;DLCs'!$A$3:$D$99998,4,FALSE))</f>
        <v>DLC_DARK_BROTHERHOOD</v>
      </c>
      <c r="U385" s="3" t="str">
        <f>IF(T385&lt;&gt;"",VLOOKUP(T385,ConstDLCIds!$B$4:$C$1000,2,FALSE),"")</f>
        <v>Dark Brotherhood</v>
      </c>
      <c r="V385" s="4" t="s">
        <v>281</v>
      </c>
      <c r="Y385" s="5"/>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zones'!$A$5:$D$10003,4,FALSE),"")</f>
        <v>Northern Elsweyr</v>
      </c>
      <c r="AB385" s="4" t="s">
        <v>281</v>
      </c>
      <c r="AE385" s="30"/>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zones'!$A$5:$D$10003,4,FALSE),"")</f>
        <v>Northern Elsweyr</v>
      </c>
      <c r="AI385" s="30"/>
      <c r="AJ385" s="30"/>
      <c r="AK385" s="3" t="str">
        <f>IF(AND(G385&lt;&gt;"LIBSETS_SETTYPE_BATTLEGROUND",G385&lt;&gt;"LIBSETS_SETTYPE_SPECIAL"),IF(AL385&lt;&gt;"",VLOOKUP(AL385,'ESO zones'!$D$5:$H$4957,5,FALSE),""),"")</f>
        <v/>
      </c>
      <c r="AN385" s="30"/>
      <c r="AO385" s="30"/>
      <c r="AP385" s="3" t="str">
        <f>IF(AND(G385&lt;&gt;"LIBSETS_SETTYPE_BATTLEGROUND",G385&lt;&gt;"LIBSETS_SETTYPE_SPECIAL"),IF(AQ385&lt;&gt;"",VLOOKUP(AQ385,'ESO zones'!$D$5:$H$4957,5,FALSE),""),"")</f>
        <v/>
      </c>
      <c r="AS385" s="30"/>
      <c r="AT385" s="30"/>
      <c r="AU385" s="3" t="str">
        <f>IF(AND(G385&lt;&gt;"LIBSETS_SETTYPE_BATTLEGROUND",G385&lt;&gt;"LIBSETS_SETTYPE_SPECIAL"),IF(AV385&lt;&gt;"",VLOOKUP(AV385,'ESO zones'!$D$5:$H$4957,5,FALSE),""),"")</f>
        <v/>
      </c>
      <c r="AX385" s="30"/>
      <c r="AZ385" s="49" t="s">
        <v>403</v>
      </c>
      <c r="BA385" s="49"/>
      <c r="BB385" s="49"/>
      <c r="BC385" s="49"/>
      <c r="BD385" s="49"/>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1">
        <v>439</v>
      </c>
      <c r="B386" t="s">
        <v>1284</v>
      </c>
      <c r="C386" t="s">
        <v>1285</v>
      </c>
      <c r="D386" s="3">
        <f t="shared" si="30"/>
        <v>439</v>
      </c>
      <c r="G386" s="9" t="s">
        <v>163</v>
      </c>
      <c r="I386" t="s">
        <v>401</v>
      </c>
      <c r="J386" t="s">
        <v>401</v>
      </c>
      <c r="K386">
        <v>382</v>
      </c>
      <c r="L386">
        <v>382</v>
      </c>
      <c r="M386">
        <v>382</v>
      </c>
      <c r="N386">
        <v>3</v>
      </c>
      <c r="Q386" s="3">
        <f>IF(AND(P386&lt;&gt;"",ISNUMBER(P386),NOT(ISNA(P386))),P386,IF(R386&lt;&gt;"",VLOOKUP(R386,'ESO zones'!$D$5:$H$10005,5,FALSE),""))</f>
        <v>1086</v>
      </c>
      <c r="R386" t="str">
        <f>IF(AND(O386&lt;&gt;"",NOT(ISERROR(O386))),O386,IF(AND(P386&lt;&gt;"",ISNUMBER(P386),P386&gt;0,NOT(ISNA(P386))),VLOOKUP(P386,'ESO zones'!$A$5:$D$10003,4,FALSE),IF(AND(K386&lt;&gt;"",K386&gt;0,NOT(ISERROR(K386))),VLOOKUP(K386,'ESO wayshrines'!$K$3:$N$9972,4,FALSE),"")))</f>
        <v>Northern Elsweyr</v>
      </c>
      <c r="T386" s="16" t="str">
        <f>IF(AND(S386&lt;&gt;"",NOT(ISERROR(S386))),S386,VLOOKUP(A386,'ESO Set&amp;DLCs'!$A$3:$D$99998,4,FALSE))</f>
        <v>DLC_ELSWEYR</v>
      </c>
      <c r="U386" s="3" t="str">
        <f>IF(T386&lt;&gt;"",VLOOKUP(T386,ConstDLCIds!$B$4:$C$1000,2,FALSE),"")</f>
        <v>Elsweyr</v>
      </c>
      <c r="V386" s="4" t="s">
        <v>281</v>
      </c>
      <c r="Y386" s="5"/>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zones'!$A$5:$D$10003,4,FALSE),"")</f>
        <v>Northern Elsweyr</v>
      </c>
      <c r="AB386" s="4" t="s">
        <v>281</v>
      </c>
      <c r="AE386" s="30"/>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zones'!$A$5:$D$10003,4,FALSE),"")</f>
        <v>Northern Elsweyr</v>
      </c>
      <c r="AI386" s="30"/>
      <c r="AJ386" s="30"/>
      <c r="AK386" s="3" t="str">
        <f>IF(AND(G386&lt;&gt;"LIBSETS_SETTYPE_BATTLEGROUND",G386&lt;&gt;"LIBSETS_SETTYPE_SPECIAL"),IF(AL386&lt;&gt;"",VLOOKUP(AL386,'ESO zones'!$D$5:$H$4957,5,FALSE),""),"")</f>
        <v/>
      </c>
      <c r="AN386" s="30"/>
      <c r="AO386" s="30"/>
      <c r="AP386" s="3" t="str">
        <f>IF(AND(G386&lt;&gt;"LIBSETS_SETTYPE_BATTLEGROUND",G386&lt;&gt;"LIBSETS_SETTYPE_SPECIAL"),IF(AQ386&lt;&gt;"",VLOOKUP(AQ386,'ESO zones'!$D$5:$H$4957,5,FALSE),""),"")</f>
        <v/>
      </c>
      <c r="AS386" s="30"/>
      <c r="AT386" s="30"/>
      <c r="AU386" s="3" t="str">
        <f>IF(AND(G386&lt;&gt;"LIBSETS_SETTYPE_BATTLEGROUND",G386&lt;&gt;"LIBSETS_SETTYPE_SPECIAL"),IF(AV386&lt;&gt;"",VLOOKUP(AV386,'ESO zones'!$D$5:$H$4957,5,FALSE),""),"")</f>
        <v/>
      </c>
      <c r="AX386" s="30"/>
      <c r="AZ386" s="49" t="s">
        <v>403</v>
      </c>
      <c r="BA386" s="49"/>
      <c r="BB386" s="49"/>
      <c r="BC386" s="49"/>
      <c r="BD386" s="49"/>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1">
        <v>440</v>
      </c>
      <c r="B387" t="s">
        <v>1286</v>
      </c>
      <c r="C387" t="s">
        <v>1287</v>
      </c>
      <c r="D387" s="3">
        <f t="shared" ref="D387:D450" si="36">A387</f>
        <v>440</v>
      </c>
      <c r="G387" s="9" t="s">
        <v>174</v>
      </c>
      <c r="I387" t="s">
        <v>401</v>
      </c>
      <c r="J387" t="s">
        <v>401</v>
      </c>
      <c r="K387">
        <v>382</v>
      </c>
      <c r="L387">
        <v>382</v>
      </c>
      <c r="M387">
        <v>382</v>
      </c>
      <c r="O387" s="5" t="s">
        <v>1288</v>
      </c>
      <c r="Q387" s="3">
        <f>IF(AND(P387&lt;&gt;"",ISNUMBER(P387),NOT(ISNA(P387))),P387,IF(R387&lt;&gt;"",VLOOKUP(R387,'ESO zones'!$D$5:$H$10005,5,FALSE),""))</f>
        <v>1086</v>
      </c>
      <c r="R387" t="str">
        <f>IF(AND(O387&lt;&gt;"",NOT(ISERROR(O387))),O387,IF(AND(P387&lt;&gt;"",ISNUMBER(P387),P387&gt;0,NOT(ISNA(P387))),VLOOKUP(P387,'ESO zones'!$A$5:$D$10003,4,FALSE),IF(AND(K387&lt;&gt;"",K387&gt;0,NOT(ISERROR(K387))),VLOOKUP(K387,'ESO wayshrines'!$K$3:$N$9972,4,FALSE),"")))</f>
        <v>Northern Elsweyr</v>
      </c>
      <c r="T387" s="16" t="str">
        <f>IF(AND(S387&lt;&gt;"",NOT(ISERROR(S387))),S387,VLOOKUP(A387,'ESO Set&amp;DLCs'!$A$3:$D$99998,4,FALSE))</f>
        <v>DLC_ELSWEYR</v>
      </c>
      <c r="U387" s="3" t="str">
        <f>IF(T387&lt;&gt;"",VLOOKUP(T387,ConstDLCIds!$B$4:$C$1000,2,FALSE),"")</f>
        <v>Elsweyr</v>
      </c>
      <c r="V387" s="4" t="s">
        <v>215</v>
      </c>
      <c r="Y387" s="5"/>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zones'!$A$5:$D$10003,4,FALSE),"")</f>
        <v>Northern Elsweyr</v>
      </c>
      <c r="AB387" s="4" t="s">
        <v>218</v>
      </c>
      <c r="AE387" s="30">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zones'!$A$5:$D$10003,4,FALSE),"")</f>
        <v>Orcrest</v>
      </c>
      <c r="AH387" s="4" t="s">
        <v>221</v>
      </c>
      <c r="AI387" s="30"/>
      <c r="AJ387" s="30"/>
      <c r="AK387" s="3">
        <f>IF(AND(G387&lt;&gt;"LIBSETS_SETTYPE_BATTLEGROUND",G387&lt;&gt;"LIBSETS_SETTYPE_SPECIAL"),IF(AL387&lt;&gt;"",VLOOKUP(AL387,'ESO zones'!$D$5:$H$4957,5,FALSE),""),"")</f>
        <v>1086</v>
      </c>
      <c r="AL387" t="s">
        <v>1288</v>
      </c>
      <c r="AM387" s="4" t="s">
        <v>224</v>
      </c>
      <c r="AN387" s="30"/>
      <c r="AO387" s="30"/>
      <c r="AP387" s="3">
        <f>IF(AND(G387&lt;&gt;"LIBSETS_SETTYPE_BATTLEGROUND",G387&lt;&gt;"LIBSETS_SETTYPE_SPECIAL"),IF(AQ387&lt;&gt;"",VLOOKUP(AQ387,'ESO zones'!$D$5:$H$4957,5,FALSE),""),"")</f>
        <v>1089</v>
      </c>
      <c r="AQ387" t="s">
        <v>1289</v>
      </c>
      <c r="AR387" s="4" t="s">
        <v>221</v>
      </c>
      <c r="AS387" s="30"/>
      <c r="AT387" s="30"/>
      <c r="AU387" s="3">
        <f>IF(AND(G387&lt;&gt;"LIBSETS_SETTYPE_BATTLEGROUND",G387&lt;&gt;"LIBSETS_SETTYPE_SPECIAL"),IF(AV387&lt;&gt;"",VLOOKUP(AV387,'ESO zones'!$D$5:$H$4957,5,FALSE),""),"")</f>
        <v>1086</v>
      </c>
      <c r="AV387" t="s">
        <v>1288</v>
      </c>
      <c r="AW387" s="4" t="s">
        <v>269</v>
      </c>
      <c r="AX387" s="30"/>
      <c r="AZ387" s="49" t="s">
        <v>410</v>
      </c>
      <c r="BA387" s="49"/>
      <c r="BB387" s="49"/>
      <c r="BC387" s="49"/>
      <c r="BD387" s="49"/>
      <c r="BE387" s="18"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8"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8" t="str">
        <f t="shared" ref="BG387:BG450" si="39">IF(A387&lt;&gt;"",IF(F387&lt;&gt;"Not in the game (anymore)",IF(A387&lt;&gt;"",", setType="&amp;G387,"")&amp;IF(G387="LIBSETS_SETTYPE_CLASS",", classId="&amp;BC387,"")&amp;IF(J387="true",", multiTrialSet=true",""),"")&amp;IF(AND(H387&lt;&gt;"",ISNUMBER(H387)),", undauntedChestId="&amp;H387,""),"")</f>
        <v>, setType=LIBSETS_SETTYPE_OVERLAND</v>
      </c>
      <c r="BH387" s="18" t="str">
        <f t="shared" ref="BH387:BH450" si="40">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ref="BI387:BI450" si="41">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row>
    <row r="388" spans="1:61" x14ac:dyDescent="0.25">
      <c r="A388" s="1">
        <v>441</v>
      </c>
      <c r="B388" t="s">
        <v>1290</v>
      </c>
      <c r="C388" t="s">
        <v>1291</v>
      </c>
      <c r="D388" s="3">
        <f t="shared" si="36"/>
        <v>441</v>
      </c>
      <c r="G388" s="9" t="s">
        <v>174</v>
      </c>
      <c r="I388" t="s">
        <v>401</v>
      </c>
      <c r="J388" t="s">
        <v>401</v>
      </c>
      <c r="K388">
        <v>382</v>
      </c>
      <c r="L388">
        <v>382</v>
      </c>
      <c r="M388">
        <v>382</v>
      </c>
      <c r="O388" s="5" t="s">
        <v>1288</v>
      </c>
      <c r="Q388" s="3">
        <f>IF(AND(P388&lt;&gt;"",ISNUMBER(P388),NOT(ISNA(P388))),P388,IF(R388&lt;&gt;"",VLOOKUP(R388,'ESO zones'!$D$5:$H$10005,5,FALSE),""))</f>
        <v>1086</v>
      </c>
      <c r="R388" t="str">
        <f>IF(AND(O388&lt;&gt;"",NOT(ISERROR(O388))),O388,IF(AND(P388&lt;&gt;"",ISNUMBER(P388),P388&gt;0,NOT(ISNA(P388))),VLOOKUP(P388,'ESO zones'!$A$5:$D$10003,4,FALSE),IF(AND(K388&lt;&gt;"",K388&gt;0,NOT(ISERROR(K388))),VLOOKUP(K388,'ESO wayshrines'!$K$3:$N$9972,4,FALSE),"")))</f>
        <v>Northern Elsweyr</v>
      </c>
      <c r="T388" s="16" t="str">
        <f>IF(AND(S388&lt;&gt;"",NOT(ISERROR(S388))),S388,VLOOKUP(A388,'ESO Set&amp;DLCs'!$A$3:$D$99998,4,FALSE))</f>
        <v>DLC_ELSWEYR</v>
      </c>
      <c r="U388" s="3" t="str">
        <f>IF(T388&lt;&gt;"",VLOOKUP(T388,ConstDLCIds!$B$4:$C$1000,2,FALSE),"")</f>
        <v>Elsweyr</v>
      </c>
      <c r="V388" s="4" t="s">
        <v>215</v>
      </c>
      <c r="Y388" s="5"/>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zones'!$A$5:$D$10003,4,FALSE),"")</f>
        <v>Northern Elsweyr</v>
      </c>
      <c r="AB388" s="4" t="s">
        <v>218</v>
      </c>
      <c r="AE388" s="30">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zones'!$A$5:$D$10003,4,FALSE),"")</f>
        <v>Orcrest</v>
      </c>
      <c r="AH388" s="4" t="s">
        <v>221</v>
      </c>
      <c r="AI388" s="30"/>
      <c r="AJ388" s="30"/>
      <c r="AK388" s="3">
        <f>IF(AND(G388&lt;&gt;"LIBSETS_SETTYPE_BATTLEGROUND",G388&lt;&gt;"LIBSETS_SETTYPE_SPECIAL"),IF(AL388&lt;&gt;"",VLOOKUP(AL388,'ESO zones'!$D$5:$H$4957,5,FALSE),""),"")</f>
        <v>1086</v>
      </c>
      <c r="AL388" t="s">
        <v>1288</v>
      </c>
      <c r="AM388" s="4" t="s">
        <v>224</v>
      </c>
      <c r="AN388" s="30"/>
      <c r="AO388" s="30"/>
      <c r="AP388" s="3">
        <f>IF(AND(G388&lt;&gt;"LIBSETS_SETTYPE_BATTLEGROUND",G388&lt;&gt;"LIBSETS_SETTYPE_SPECIAL"),IF(AQ388&lt;&gt;"",VLOOKUP(AQ388,'ESO zones'!$D$5:$H$4957,5,FALSE),""),"")</f>
        <v>1089</v>
      </c>
      <c r="AQ388" t="s">
        <v>1289</v>
      </c>
      <c r="AR388" s="4" t="s">
        <v>221</v>
      </c>
      <c r="AS388" s="30"/>
      <c r="AT388" s="30"/>
      <c r="AU388" s="3">
        <f>IF(AND(G388&lt;&gt;"LIBSETS_SETTYPE_BATTLEGROUND",G388&lt;&gt;"LIBSETS_SETTYPE_SPECIAL"),IF(AV388&lt;&gt;"",VLOOKUP(AV388,'ESO zones'!$D$5:$H$4957,5,FALSE),""),"")</f>
        <v>1086</v>
      </c>
      <c r="AV388" t="s">
        <v>1288</v>
      </c>
      <c r="AW388" s="4" t="s">
        <v>269</v>
      </c>
      <c r="AX388" s="30"/>
      <c r="AZ388" s="49" t="s">
        <v>410</v>
      </c>
      <c r="BA388" s="49"/>
      <c r="BB388" s="49"/>
      <c r="BC388" s="49"/>
      <c r="BD388" s="49"/>
      <c r="BE388" s="18" t="str">
        <f t="shared" si="37"/>
        <v>[441] = {wayshrines={382,382,382,}, dlcId=DLC_ELSWEYR</v>
      </c>
      <c r="BF388" s="18" t="str">
        <f t="shared" si="38"/>
        <v>, zoneIds={1086,1086,1090,1086,1089,1086}, veteran=false</v>
      </c>
      <c r="BG388" s="18" t="str">
        <f t="shared" si="39"/>
        <v>, setType=LIBSETS_SETTYPE_OVERLAND</v>
      </c>
      <c r="BH388" s="18" t="str">
        <f t="shared" si="40"/>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si="41"/>
        <v>}, --Vesture of Darloc Brae / Gewandung von Darloc Brae   [Northern Elsweyr, Northern Elsweyr, Orcrest, Northern Elsweyr, Rimmen Necropolis, Northern Elsweyr]</v>
      </c>
    </row>
    <row r="389" spans="1:61" x14ac:dyDescent="0.25">
      <c r="A389" s="1">
        <v>442</v>
      </c>
      <c r="B389" t="s">
        <v>1292</v>
      </c>
      <c r="C389" t="s">
        <v>1293</v>
      </c>
      <c r="D389" s="3">
        <f t="shared" si="36"/>
        <v>442</v>
      </c>
      <c r="G389" s="9" t="s">
        <v>174</v>
      </c>
      <c r="I389" t="s">
        <v>401</v>
      </c>
      <c r="J389" t="s">
        <v>401</v>
      </c>
      <c r="K389">
        <v>382</v>
      </c>
      <c r="L389">
        <v>382</v>
      </c>
      <c r="M389">
        <v>382</v>
      </c>
      <c r="O389" s="5" t="s">
        <v>1288</v>
      </c>
      <c r="Q389" s="3">
        <f>IF(AND(P389&lt;&gt;"",ISNUMBER(P389),NOT(ISNA(P389))),P389,IF(R389&lt;&gt;"",VLOOKUP(R389,'ESO zones'!$D$5:$H$10005,5,FALSE),""))</f>
        <v>1086</v>
      </c>
      <c r="R389" t="str">
        <f>IF(AND(O389&lt;&gt;"",NOT(ISERROR(O389))),O389,IF(AND(P389&lt;&gt;"",ISNUMBER(P389),P389&gt;0,NOT(ISNA(P389))),VLOOKUP(P389,'ESO zones'!$A$5:$D$10003,4,FALSE),IF(AND(K389&lt;&gt;"",K389&gt;0,NOT(ISERROR(K389))),VLOOKUP(K389,'ESO wayshrines'!$K$3:$N$9972,4,FALSE),"")))</f>
        <v>Northern Elsweyr</v>
      </c>
      <c r="T389" s="16" t="str">
        <f>IF(AND(S389&lt;&gt;"",NOT(ISERROR(S389))),S389,VLOOKUP(A389,'ESO Set&amp;DLCs'!$A$3:$D$99998,4,FALSE))</f>
        <v>DLC_ELSWEYR</v>
      </c>
      <c r="U389" s="3" t="str">
        <f>IF(T389&lt;&gt;"",VLOOKUP(T389,ConstDLCIds!$B$4:$C$1000,2,FALSE),"")</f>
        <v>Elsweyr</v>
      </c>
      <c r="V389" s="4" t="s">
        <v>215</v>
      </c>
      <c r="Y389" s="5"/>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zones'!$A$5:$D$10003,4,FALSE),"")</f>
        <v>Northern Elsweyr</v>
      </c>
      <c r="AB389" s="4" t="s">
        <v>218</v>
      </c>
      <c r="AE389" s="30">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zones'!$A$5:$D$10003,4,FALSE),"")</f>
        <v>Orcrest</v>
      </c>
      <c r="AH389" s="4" t="s">
        <v>221</v>
      </c>
      <c r="AI389" s="30"/>
      <c r="AJ389" s="30"/>
      <c r="AK389" s="3">
        <f>IF(AND(G389&lt;&gt;"LIBSETS_SETTYPE_BATTLEGROUND",G389&lt;&gt;"LIBSETS_SETTYPE_SPECIAL"),IF(AL389&lt;&gt;"",VLOOKUP(AL389,'ESO zones'!$D$5:$H$4957,5,FALSE),""),"")</f>
        <v>1086</v>
      </c>
      <c r="AL389" t="s">
        <v>1288</v>
      </c>
      <c r="AM389" s="4" t="s">
        <v>224</v>
      </c>
      <c r="AN389" s="30"/>
      <c r="AO389" s="30"/>
      <c r="AP389" s="3">
        <f>IF(AND(G389&lt;&gt;"LIBSETS_SETTYPE_BATTLEGROUND",G389&lt;&gt;"LIBSETS_SETTYPE_SPECIAL"),IF(AQ389&lt;&gt;"",VLOOKUP(AQ389,'ESO zones'!$D$5:$H$4957,5,FALSE),""),"")</f>
        <v>1089</v>
      </c>
      <c r="AQ389" t="s">
        <v>1289</v>
      </c>
      <c r="AR389" s="4" t="s">
        <v>221</v>
      </c>
      <c r="AS389" s="30"/>
      <c r="AT389" s="30"/>
      <c r="AU389" s="3">
        <f>IF(AND(G389&lt;&gt;"LIBSETS_SETTYPE_BATTLEGROUND",G389&lt;&gt;"LIBSETS_SETTYPE_SPECIAL"),IF(AV389&lt;&gt;"",VLOOKUP(AV389,'ESO zones'!$D$5:$H$4957,5,FALSE),""),"")</f>
        <v>1086</v>
      </c>
      <c r="AV389" t="s">
        <v>1288</v>
      </c>
      <c r="AW389" s="4" t="s">
        <v>269</v>
      </c>
      <c r="AX389" s="30"/>
      <c r="AZ389" s="49" t="s">
        <v>403</v>
      </c>
      <c r="BA389" s="49"/>
      <c r="BB389" s="49"/>
      <c r="BC389" s="49"/>
      <c r="BD389" s="49"/>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1">
        <v>443</v>
      </c>
      <c r="B390" t="s">
        <v>1294</v>
      </c>
      <c r="C390" t="s">
        <v>1295</v>
      </c>
      <c r="D390" s="3">
        <f t="shared" si="36"/>
        <v>443</v>
      </c>
      <c r="G390" s="9" t="s">
        <v>178</v>
      </c>
      <c r="I390" t="s">
        <v>401</v>
      </c>
      <c r="J390" t="s">
        <v>401</v>
      </c>
      <c r="K390">
        <v>399</v>
      </c>
      <c r="L390">
        <v>399</v>
      </c>
      <c r="M390">
        <v>399</v>
      </c>
      <c r="O390" s="5" t="s">
        <v>1296</v>
      </c>
      <c r="Q390" s="3">
        <f>IF(AND(P390&lt;&gt;"",ISNUMBER(P390),NOT(ISNA(P390))),P390,IF(R390&lt;&gt;"",VLOOKUP(R390,'ESO zones'!$D$5:$H$10005,5,FALSE),""))</f>
        <v>1121</v>
      </c>
      <c r="R390" t="str">
        <f>IF(AND(O390&lt;&gt;"",NOT(ISERROR(O390))),O390,IF(AND(P390&lt;&gt;"",ISNUMBER(P390),P390&gt;0,NOT(ISNA(P390))),VLOOKUP(P390,'ESO zones'!$A$5:$D$10003,4,FALSE),IF(AND(K390&lt;&gt;"",K390&gt;0,NOT(ISERROR(K390))),VLOOKUP(K390,'ESO wayshrines'!$K$3:$N$9972,4,FALSE),"")))</f>
        <v>Sunspire</v>
      </c>
      <c r="T390" s="16" t="str">
        <f>IF(AND(S390&lt;&gt;"",NOT(ISERROR(S390))),S390,VLOOKUP(A390,'ESO Set&amp;DLCs'!$A$3:$D$99998,4,FALSE))</f>
        <v>DLC_ELSWEYR</v>
      </c>
      <c r="U390" s="3" t="str">
        <f>IF(T390&lt;&gt;"",VLOOKUP(T390,ConstDLCIds!$B$4:$C$1000,2,FALSE),"")</f>
        <v>Elsweyr</v>
      </c>
      <c r="V390" s="4" t="s">
        <v>272</v>
      </c>
      <c r="Y390" s="5">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zones'!$A$5:$D$10003,4,FALSE),"")</f>
        <v>Sunspire</v>
      </c>
      <c r="AB390" s="4" t="s">
        <v>272</v>
      </c>
      <c r="AE390" s="5">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zones'!$A$5:$D$10003,4,FALSE),"")</f>
        <v>Sunspire</v>
      </c>
      <c r="AH390" s="4" t="s">
        <v>272</v>
      </c>
      <c r="AI390"/>
      <c r="AJ390"/>
      <c r="AK390" s="3" t="str">
        <f>IF(AND(G390&lt;&gt;"LIBSETS_SETTYPE_BATTLEGROUND",G390&lt;&gt;"LIBSETS_SETTYPE_SPECIAL"),IF(AL390&lt;&gt;"",VLOOKUP(AL390,'ESO zones'!$D$5:$H$4957,5,FALSE),""),"")</f>
        <v/>
      </c>
      <c r="AN390"/>
      <c r="AO390"/>
      <c r="AP390" s="3" t="str">
        <f>IF(AND(G390&lt;&gt;"LIBSETS_SETTYPE_BATTLEGROUND",G390&lt;&gt;"LIBSETS_SETTYPE_SPECIAL"),IF(AQ390&lt;&gt;"",VLOOKUP(AQ390,'ESO zones'!$D$5:$H$4957,5,FALSE),""),"")</f>
        <v/>
      </c>
      <c r="AS390"/>
      <c r="AT390"/>
      <c r="AU390" s="3" t="str">
        <f>IF(AND(G390&lt;&gt;"LIBSETS_SETTYPE_BATTLEGROUND",G390&lt;&gt;"LIBSETS_SETTYPE_SPECIAL"),IF(AV390&lt;&gt;"",VLOOKUP(AV390,'ESO zones'!$D$5:$H$4957,5,FALSE),""),"")</f>
        <v/>
      </c>
      <c r="AX390"/>
      <c r="AY390" s="29"/>
      <c r="AZ390" s="49" t="s">
        <v>403</v>
      </c>
      <c r="BA390" s="49"/>
      <c r="BB390" s="49"/>
      <c r="BC390" s="49"/>
      <c r="BD390" s="49">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1">
        <v>444</v>
      </c>
      <c r="B391" t="s">
        <v>1297</v>
      </c>
      <c r="C391" t="s">
        <v>1298</v>
      </c>
      <c r="D391" s="3">
        <f t="shared" si="36"/>
        <v>444</v>
      </c>
      <c r="G391" s="9" t="s">
        <v>178</v>
      </c>
      <c r="I391" t="s">
        <v>401</v>
      </c>
      <c r="J391" t="s">
        <v>401</v>
      </c>
      <c r="K391">
        <v>399</v>
      </c>
      <c r="L391">
        <v>399</v>
      </c>
      <c r="M391">
        <v>399</v>
      </c>
      <c r="O391" s="5" t="s">
        <v>1296</v>
      </c>
      <c r="Q391" s="3">
        <f>IF(AND(P391&lt;&gt;"",ISNUMBER(P391),NOT(ISNA(P391))),P391,IF(R391&lt;&gt;"",VLOOKUP(R391,'ESO zones'!$D$5:$H$10005,5,FALSE),""))</f>
        <v>1121</v>
      </c>
      <c r="R391" t="str">
        <f>IF(AND(O391&lt;&gt;"",NOT(ISERROR(O391))),O391,IF(AND(P391&lt;&gt;"",ISNUMBER(P391),P391&gt;0,NOT(ISNA(P391))),VLOOKUP(P391,'ESO zones'!$A$5:$D$10003,4,FALSE),IF(AND(K391&lt;&gt;"",K391&gt;0,NOT(ISERROR(K391))),VLOOKUP(K391,'ESO wayshrines'!$K$3:$N$9972,4,FALSE),"")))</f>
        <v>Sunspire</v>
      </c>
      <c r="T391" s="16" t="str">
        <f>IF(AND(S391&lt;&gt;"",NOT(ISERROR(S391))),S391,VLOOKUP(A391,'ESO Set&amp;DLCs'!$A$3:$D$99998,4,FALSE))</f>
        <v>DLC_ELSWEYR</v>
      </c>
      <c r="U391" s="3" t="str">
        <f>IF(T391&lt;&gt;"",VLOOKUP(T391,ConstDLCIds!$B$4:$C$1000,2,FALSE),"")</f>
        <v>Elsweyr</v>
      </c>
      <c r="V391" s="4" t="s">
        <v>272</v>
      </c>
      <c r="Y391" s="5">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zones'!$A$5:$D$10003,4,FALSE),"")</f>
        <v>Sunspire</v>
      </c>
      <c r="AB391" s="4" t="s">
        <v>272</v>
      </c>
      <c r="AE391" s="5">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zones'!$A$5:$D$10003,4,FALSE),"")</f>
        <v>Sunspire</v>
      </c>
      <c r="AH391" s="4" t="s">
        <v>272</v>
      </c>
      <c r="AI391"/>
      <c r="AJ391"/>
      <c r="AK391" s="3" t="str">
        <f>IF(AND(G391&lt;&gt;"LIBSETS_SETTYPE_BATTLEGROUND",G391&lt;&gt;"LIBSETS_SETTYPE_SPECIAL"),IF(AL391&lt;&gt;"",VLOOKUP(AL391,'ESO zones'!$D$5:$H$4957,5,FALSE),""),"")</f>
        <v/>
      </c>
      <c r="AN391"/>
      <c r="AO391"/>
      <c r="AP391" s="3" t="str">
        <f>IF(AND(G391&lt;&gt;"LIBSETS_SETTYPE_BATTLEGROUND",G391&lt;&gt;"LIBSETS_SETTYPE_SPECIAL"),IF(AQ391&lt;&gt;"",VLOOKUP(AQ391,'ESO zones'!$D$5:$H$4957,5,FALSE),""),"")</f>
        <v/>
      </c>
      <c r="AS391"/>
      <c r="AT391"/>
      <c r="AU391" s="3" t="str">
        <f>IF(AND(G391&lt;&gt;"LIBSETS_SETTYPE_BATTLEGROUND",G391&lt;&gt;"LIBSETS_SETTYPE_SPECIAL"),IF(AV391&lt;&gt;"",VLOOKUP(AV391,'ESO zones'!$D$5:$H$4957,5,FALSE),""),"")</f>
        <v/>
      </c>
      <c r="AX391"/>
      <c r="AY391" s="29"/>
      <c r="AZ391" s="49" t="s">
        <v>403</v>
      </c>
      <c r="BA391" s="49"/>
      <c r="BB391" s="49"/>
      <c r="BC391" s="49"/>
      <c r="BD391" s="49">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1">
        <v>445</v>
      </c>
      <c r="B392" t="s">
        <v>1299</v>
      </c>
      <c r="C392" t="s">
        <v>1300</v>
      </c>
      <c r="D392" s="3">
        <f t="shared" si="36"/>
        <v>445</v>
      </c>
      <c r="G392" s="9" t="s">
        <v>178</v>
      </c>
      <c r="I392" t="s">
        <v>401</v>
      </c>
      <c r="J392" t="s">
        <v>401</v>
      </c>
      <c r="K392">
        <v>399</v>
      </c>
      <c r="L392">
        <v>399</v>
      </c>
      <c r="M392">
        <v>399</v>
      </c>
      <c r="O392" s="5" t="s">
        <v>1296</v>
      </c>
      <c r="Q392" s="3">
        <f>IF(AND(P392&lt;&gt;"",ISNUMBER(P392),NOT(ISNA(P392))),P392,IF(R392&lt;&gt;"",VLOOKUP(R392,'ESO zones'!$D$5:$H$10005,5,FALSE),""))</f>
        <v>1121</v>
      </c>
      <c r="R392" t="str">
        <f>IF(AND(O392&lt;&gt;"",NOT(ISERROR(O392))),O392,IF(AND(P392&lt;&gt;"",ISNUMBER(P392),P392&gt;0,NOT(ISNA(P392))),VLOOKUP(P392,'ESO zones'!$A$5:$D$10003,4,FALSE),IF(AND(K392&lt;&gt;"",K392&gt;0,NOT(ISERROR(K392))),VLOOKUP(K392,'ESO wayshrines'!$K$3:$N$9972,4,FALSE),"")))</f>
        <v>Sunspire</v>
      </c>
      <c r="T392" s="16" t="str">
        <f>IF(AND(S392&lt;&gt;"",NOT(ISERROR(S392))),S392,VLOOKUP(A392,'ESO Set&amp;DLCs'!$A$3:$D$99998,4,FALSE))</f>
        <v>DLC_ELSWEYR</v>
      </c>
      <c r="U392" s="3" t="str">
        <f>IF(T392&lt;&gt;"",VLOOKUP(T392,ConstDLCIds!$B$4:$C$1000,2,FALSE),"")</f>
        <v>Elsweyr</v>
      </c>
      <c r="V392" s="4" t="s">
        <v>272</v>
      </c>
      <c r="Y392" s="5">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zones'!$A$5:$D$10003,4,FALSE),"")</f>
        <v>Sunspire</v>
      </c>
      <c r="AB392" s="4" t="s">
        <v>272</v>
      </c>
      <c r="AE392" s="5">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zones'!$A$5:$D$10003,4,FALSE),"")</f>
        <v>Sunspire</v>
      </c>
      <c r="AH392" s="4" t="s">
        <v>272</v>
      </c>
      <c r="AI392"/>
      <c r="AJ392"/>
      <c r="AK392" s="3" t="str">
        <f>IF(AND(G392&lt;&gt;"LIBSETS_SETTYPE_BATTLEGROUND",G392&lt;&gt;"LIBSETS_SETTYPE_SPECIAL"),IF(AL392&lt;&gt;"",VLOOKUP(AL392,'ESO zones'!$D$5:$H$4957,5,FALSE),""),"")</f>
        <v/>
      </c>
      <c r="AN392"/>
      <c r="AO392"/>
      <c r="AP392" s="3" t="str">
        <f>IF(AND(G392&lt;&gt;"LIBSETS_SETTYPE_BATTLEGROUND",G392&lt;&gt;"LIBSETS_SETTYPE_SPECIAL"),IF(AQ392&lt;&gt;"",VLOOKUP(AQ392,'ESO zones'!$D$5:$H$4957,5,FALSE),""),"")</f>
        <v/>
      </c>
      <c r="AS392"/>
      <c r="AT392"/>
      <c r="AU392" s="3" t="str">
        <f>IF(AND(G392&lt;&gt;"LIBSETS_SETTYPE_BATTLEGROUND",G392&lt;&gt;"LIBSETS_SETTYPE_SPECIAL"),IF(AV392&lt;&gt;"",VLOOKUP(AV392,'ESO zones'!$D$5:$H$4957,5,FALSE),""),"")</f>
        <v/>
      </c>
      <c r="AX392"/>
      <c r="AY392" s="29"/>
      <c r="AZ392" s="49" t="s">
        <v>403</v>
      </c>
      <c r="BA392" s="49"/>
      <c r="BB392" s="49"/>
      <c r="BC392" s="49"/>
      <c r="BD392" s="49">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2">
        <v>446</v>
      </c>
      <c r="B393" t="s">
        <v>1301</v>
      </c>
      <c r="C393" t="s">
        <v>1302</v>
      </c>
      <c r="D393" s="3">
        <f t="shared" si="36"/>
        <v>446</v>
      </c>
      <c r="G393" s="9" t="s">
        <v>178</v>
      </c>
      <c r="I393" t="s">
        <v>401</v>
      </c>
      <c r="J393" t="s">
        <v>401</v>
      </c>
      <c r="K393">
        <v>399</v>
      </c>
      <c r="L393">
        <v>399</v>
      </c>
      <c r="M393">
        <v>399</v>
      </c>
      <c r="O393" s="5" t="s">
        <v>1296</v>
      </c>
      <c r="Q393" s="3">
        <f>IF(AND(P393&lt;&gt;"",ISNUMBER(P393),NOT(ISNA(P393))),P393,IF(R393&lt;&gt;"",VLOOKUP(R393,'ESO zones'!$D$5:$H$10005,5,FALSE),""))</f>
        <v>1121</v>
      </c>
      <c r="R393" t="str">
        <f>IF(AND(O393&lt;&gt;"",NOT(ISERROR(O393))),O393,IF(AND(P393&lt;&gt;"",ISNUMBER(P393),P393&gt;0,NOT(ISNA(P393))),VLOOKUP(P393,'ESO zones'!$A$5:$D$10003,4,FALSE),IF(AND(K393&lt;&gt;"",K393&gt;0,NOT(ISERROR(K393))),VLOOKUP(K393,'ESO wayshrines'!$K$3:$N$9972,4,FALSE),"")))</f>
        <v>Sunspire</v>
      </c>
      <c r="T393" s="16" t="str">
        <f>IF(AND(S393&lt;&gt;"",NOT(ISERROR(S393))),S393,VLOOKUP(A393,'ESO Set&amp;DLCs'!$A$3:$D$99998,4,FALSE))</f>
        <v>DLC_ELSWEYR</v>
      </c>
      <c r="U393" s="3" t="str">
        <f>IF(T393&lt;&gt;"",VLOOKUP(T393,ConstDLCIds!$B$4:$C$1000,2,FALSE),"")</f>
        <v>Elsweyr</v>
      </c>
      <c r="V393" s="4" t="s">
        <v>272</v>
      </c>
      <c r="Y393" s="5">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zones'!$A$5:$D$10003,4,FALSE),"")</f>
        <v>Sunspire</v>
      </c>
      <c r="AB393" s="4" t="s">
        <v>272</v>
      </c>
      <c r="AE393" s="5">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zones'!$A$5:$D$10003,4,FALSE),"")</f>
        <v>Sunspire</v>
      </c>
      <c r="AH393" s="4" t="s">
        <v>272</v>
      </c>
      <c r="AI393"/>
      <c r="AJ393"/>
      <c r="AK393" s="3" t="str">
        <f>IF(AND(G393&lt;&gt;"LIBSETS_SETTYPE_BATTLEGROUND",G393&lt;&gt;"LIBSETS_SETTYPE_SPECIAL"),IF(AL393&lt;&gt;"",VLOOKUP(AL393,'ESO zones'!$D$5:$H$4957,5,FALSE),""),"")</f>
        <v/>
      </c>
      <c r="AN393"/>
      <c r="AO393"/>
      <c r="AP393" s="3" t="str">
        <f>IF(AND(G393&lt;&gt;"LIBSETS_SETTYPE_BATTLEGROUND",G393&lt;&gt;"LIBSETS_SETTYPE_SPECIAL"),IF(AQ393&lt;&gt;"",VLOOKUP(AQ393,'ESO zones'!$D$5:$H$4957,5,FALSE),""),"")</f>
        <v/>
      </c>
      <c r="AS393"/>
      <c r="AT393"/>
      <c r="AU393" s="3" t="str">
        <f>IF(AND(G393&lt;&gt;"LIBSETS_SETTYPE_BATTLEGROUND",G393&lt;&gt;"LIBSETS_SETTYPE_SPECIAL"),IF(AV393&lt;&gt;"",VLOOKUP(AV393,'ESO zones'!$D$5:$H$4957,5,FALSE),""),"")</f>
        <v/>
      </c>
      <c r="AX393"/>
      <c r="AY393" s="29"/>
      <c r="AZ393" s="49" t="s">
        <v>403</v>
      </c>
      <c r="BA393" s="49"/>
      <c r="BB393" s="49"/>
      <c r="BC393" s="49"/>
      <c r="BD393" s="49">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1">
        <v>448</v>
      </c>
      <c r="B394" t="s">
        <v>1303</v>
      </c>
      <c r="C394" t="s">
        <v>1304</v>
      </c>
      <c r="D394" s="3">
        <f t="shared" si="36"/>
        <v>448</v>
      </c>
      <c r="G394" s="9" t="s">
        <v>178</v>
      </c>
      <c r="I394" t="s">
        <v>1120</v>
      </c>
      <c r="J394" t="s">
        <v>401</v>
      </c>
      <c r="K394">
        <v>399</v>
      </c>
      <c r="L394">
        <v>399</v>
      </c>
      <c r="M394">
        <v>399</v>
      </c>
      <c r="O394" s="5" t="s">
        <v>1296</v>
      </c>
      <c r="Q394" s="3">
        <f>IF(AND(P394&lt;&gt;"",ISNUMBER(P394),NOT(ISNA(P394))),P394,IF(R394&lt;&gt;"",VLOOKUP(R394,'ESO zones'!$D$5:$H$10005,5,FALSE),""))</f>
        <v>1121</v>
      </c>
      <c r="R394" t="str">
        <f>IF(AND(O394&lt;&gt;"",NOT(ISERROR(O394))),O394,IF(AND(P394&lt;&gt;"",ISNUMBER(P394),P394&gt;0,NOT(ISNA(P394))),VLOOKUP(P394,'ESO zones'!$A$5:$D$10003,4,FALSE),IF(AND(K394&lt;&gt;"",K394&gt;0,NOT(ISERROR(K394))),VLOOKUP(K394,'ESO wayshrines'!$K$3:$N$9972,4,FALSE),"")))</f>
        <v>Sunspire</v>
      </c>
      <c r="T394" s="16" t="str">
        <f>IF(AND(S394&lt;&gt;"",NOT(ISERROR(S394))),S394,VLOOKUP(A394,'ESO Set&amp;DLCs'!$A$3:$D$99998,4,FALSE))</f>
        <v>DLC_ELSWEYR</v>
      </c>
      <c r="U394" s="3" t="str">
        <f>IF(T394&lt;&gt;"",VLOOKUP(T394,ConstDLCIds!$B$4:$C$1000,2,FALSE),"")</f>
        <v>Elsweyr</v>
      </c>
      <c r="V394" s="4" t="s">
        <v>272</v>
      </c>
      <c r="Y394" s="5">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zones'!$A$5:$D$10003,4,FALSE),"")</f>
        <v>Sunspire</v>
      </c>
      <c r="AB394" s="4" t="s">
        <v>272</v>
      </c>
      <c r="AE394" s="5">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zones'!$A$5:$D$10003,4,FALSE),"")</f>
        <v>Sunspire</v>
      </c>
      <c r="AH394" s="4" t="s">
        <v>272</v>
      </c>
      <c r="AI394"/>
      <c r="AJ394"/>
      <c r="AK394" s="3" t="str">
        <f>IF(AND(G394&lt;&gt;"LIBSETS_SETTYPE_BATTLEGROUND",G394&lt;&gt;"LIBSETS_SETTYPE_SPECIAL"),IF(AL394&lt;&gt;"",VLOOKUP(AL394,'ESO zones'!$D$5:$H$4957,5,FALSE),""),"")</f>
        <v/>
      </c>
      <c r="AN394"/>
      <c r="AO394"/>
      <c r="AP394" s="3" t="str">
        <f>IF(AND(G394&lt;&gt;"LIBSETS_SETTYPE_BATTLEGROUND",G394&lt;&gt;"LIBSETS_SETTYPE_SPECIAL"),IF(AQ394&lt;&gt;"",VLOOKUP(AQ394,'ESO zones'!$D$5:$H$4957,5,FALSE),""),"")</f>
        <v/>
      </c>
      <c r="AS394"/>
      <c r="AT394"/>
      <c r="AU394" s="3" t="str">
        <f>IF(AND(G394&lt;&gt;"LIBSETS_SETTYPE_BATTLEGROUND",G394&lt;&gt;"LIBSETS_SETTYPE_SPECIAL"),IF(AV394&lt;&gt;"",VLOOKUP(AV394,'ESO zones'!$D$5:$H$4957,5,FALSE),""),"")</f>
        <v/>
      </c>
      <c r="AX394"/>
      <c r="AY394" s="29"/>
      <c r="AZ394" s="49" t="s">
        <v>403</v>
      </c>
      <c r="BA394" s="49"/>
      <c r="BB394" s="49"/>
      <c r="BC394" s="49"/>
      <c r="BD394" s="49" t="s">
        <v>1122</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1">
        <v>449</v>
      </c>
      <c r="B395" t="s">
        <v>1305</v>
      </c>
      <c r="C395" t="s">
        <v>1306</v>
      </c>
      <c r="D395" s="3">
        <f t="shared" si="36"/>
        <v>449</v>
      </c>
      <c r="G395" s="9" t="s">
        <v>178</v>
      </c>
      <c r="I395" t="s">
        <v>1120</v>
      </c>
      <c r="J395" t="s">
        <v>401</v>
      </c>
      <c r="K395">
        <v>399</v>
      </c>
      <c r="L395">
        <v>399</v>
      </c>
      <c r="M395">
        <v>399</v>
      </c>
      <c r="O395" s="5" t="s">
        <v>1296</v>
      </c>
      <c r="Q395" s="3">
        <f>IF(AND(P395&lt;&gt;"",ISNUMBER(P395),NOT(ISNA(P395))),P395,IF(R395&lt;&gt;"",VLOOKUP(R395,'ESO zones'!$D$5:$H$10005,5,FALSE),""))</f>
        <v>1121</v>
      </c>
      <c r="R395" t="str">
        <f>IF(AND(O395&lt;&gt;"",NOT(ISERROR(O395))),O395,IF(AND(P395&lt;&gt;"",ISNUMBER(P395),P395&gt;0,NOT(ISNA(P395))),VLOOKUP(P395,'ESO zones'!$A$5:$D$10003,4,FALSE),IF(AND(K395&lt;&gt;"",K395&gt;0,NOT(ISERROR(K395))),VLOOKUP(K395,'ESO wayshrines'!$K$3:$N$9972,4,FALSE),"")))</f>
        <v>Sunspire</v>
      </c>
      <c r="T395" s="16" t="str">
        <f>IF(AND(S395&lt;&gt;"",NOT(ISERROR(S395))),S395,VLOOKUP(A395,'ESO Set&amp;DLCs'!$A$3:$D$99998,4,FALSE))</f>
        <v>DLC_ELSWEYR</v>
      </c>
      <c r="U395" s="3" t="str">
        <f>IF(T395&lt;&gt;"",VLOOKUP(T395,ConstDLCIds!$B$4:$C$1000,2,FALSE),"")</f>
        <v>Elsweyr</v>
      </c>
      <c r="V395" s="4" t="s">
        <v>272</v>
      </c>
      <c r="Y395" s="5">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zones'!$A$5:$D$10003,4,FALSE),"")</f>
        <v>Sunspire</v>
      </c>
      <c r="AB395" s="4" t="s">
        <v>272</v>
      </c>
      <c r="AE395" s="5">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zones'!$A$5:$D$10003,4,FALSE),"")</f>
        <v>Sunspire</v>
      </c>
      <c r="AH395" s="4" t="s">
        <v>272</v>
      </c>
      <c r="AI395"/>
      <c r="AJ395"/>
      <c r="AK395" s="3" t="str">
        <f>IF(AND(G395&lt;&gt;"LIBSETS_SETTYPE_BATTLEGROUND",G395&lt;&gt;"LIBSETS_SETTYPE_SPECIAL"),IF(AL395&lt;&gt;"",VLOOKUP(AL395,'ESO zones'!$D$5:$H$4957,5,FALSE),""),"")</f>
        <v/>
      </c>
      <c r="AN395"/>
      <c r="AO395"/>
      <c r="AP395" s="3" t="str">
        <f>IF(AND(G395&lt;&gt;"LIBSETS_SETTYPE_BATTLEGROUND",G395&lt;&gt;"LIBSETS_SETTYPE_SPECIAL"),IF(AQ395&lt;&gt;"",VLOOKUP(AQ395,'ESO zones'!$D$5:$H$4957,5,FALSE),""),"")</f>
        <v/>
      </c>
      <c r="AS395"/>
      <c r="AT395"/>
      <c r="AU395" s="3" t="str">
        <f>IF(AND(G395&lt;&gt;"LIBSETS_SETTYPE_BATTLEGROUND",G395&lt;&gt;"LIBSETS_SETTYPE_SPECIAL"),IF(AV395&lt;&gt;"",VLOOKUP(AV395,'ESO zones'!$D$5:$H$4957,5,FALSE),""),"")</f>
        <v/>
      </c>
      <c r="AX395"/>
      <c r="AY395" s="29"/>
      <c r="AZ395" s="49" t="s">
        <v>403</v>
      </c>
      <c r="BA395" s="49"/>
      <c r="BB395" s="49"/>
      <c r="BC395" s="49"/>
      <c r="BD395" s="49" t="s">
        <v>1122</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1">
        <v>450</v>
      </c>
      <c r="B396" t="s">
        <v>1307</v>
      </c>
      <c r="C396" t="s">
        <v>1308</v>
      </c>
      <c r="D396" s="3">
        <f t="shared" si="36"/>
        <v>450</v>
      </c>
      <c r="G396" s="9" t="s">
        <v>178</v>
      </c>
      <c r="I396" t="s">
        <v>1120</v>
      </c>
      <c r="J396" t="s">
        <v>401</v>
      </c>
      <c r="K396">
        <v>399</v>
      </c>
      <c r="L396">
        <v>399</v>
      </c>
      <c r="M396">
        <v>399</v>
      </c>
      <c r="O396" s="5" t="s">
        <v>1296</v>
      </c>
      <c r="Q396" s="3">
        <f>IF(AND(P396&lt;&gt;"",ISNUMBER(P396),NOT(ISNA(P396))),P396,IF(R396&lt;&gt;"",VLOOKUP(R396,'ESO zones'!$D$5:$H$10005,5,FALSE),""))</f>
        <v>1121</v>
      </c>
      <c r="R396" t="str">
        <f>IF(AND(O396&lt;&gt;"",NOT(ISERROR(O396))),O396,IF(AND(P396&lt;&gt;"",ISNUMBER(P396),P396&gt;0,NOT(ISNA(P396))),VLOOKUP(P396,'ESO zones'!$A$5:$D$10003,4,FALSE),IF(AND(K396&lt;&gt;"",K396&gt;0,NOT(ISERROR(K396))),VLOOKUP(K396,'ESO wayshrines'!$K$3:$N$9972,4,FALSE),"")))</f>
        <v>Sunspire</v>
      </c>
      <c r="T396" s="16" t="str">
        <f>IF(AND(S396&lt;&gt;"",NOT(ISERROR(S396))),S396,VLOOKUP(A396,'ESO Set&amp;DLCs'!$A$3:$D$99998,4,FALSE))</f>
        <v>DLC_ELSWEYR</v>
      </c>
      <c r="U396" s="3" t="str">
        <f>IF(T396&lt;&gt;"",VLOOKUP(T396,ConstDLCIds!$B$4:$C$1000,2,FALSE),"")</f>
        <v>Elsweyr</v>
      </c>
      <c r="V396" s="4" t="s">
        <v>272</v>
      </c>
      <c r="Y396" s="5">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zones'!$A$5:$D$10003,4,FALSE),"")</f>
        <v>Sunspire</v>
      </c>
      <c r="AB396" s="4" t="s">
        <v>272</v>
      </c>
      <c r="AE396" s="5">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zones'!$A$5:$D$10003,4,FALSE),"")</f>
        <v>Sunspire</v>
      </c>
      <c r="AH396" s="4" t="s">
        <v>272</v>
      </c>
      <c r="AI396"/>
      <c r="AJ396"/>
      <c r="AK396" s="3" t="str">
        <f>IF(AND(G396&lt;&gt;"LIBSETS_SETTYPE_BATTLEGROUND",G396&lt;&gt;"LIBSETS_SETTYPE_SPECIAL"),IF(AL396&lt;&gt;"",VLOOKUP(AL396,'ESO zones'!$D$5:$H$4957,5,FALSE),""),"")</f>
        <v/>
      </c>
      <c r="AN396"/>
      <c r="AO396"/>
      <c r="AP396" s="3" t="str">
        <f>IF(AND(G396&lt;&gt;"LIBSETS_SETTYPE_BATTLEGROUND",G396&lt;&gt;"LIBSETS_SETTYPE_SPECIAL"),IF(AQ396&lt;&gt;"",VLOOKUP(AQ396,'ESO zones'!$D$5:$H$4957,5,FALSE),""),"")</f>
        <v/>
      </c>
      <c r="AS396"/>
      <c r="AT396"/>
      <c r="AU396" s="3" t="str">
        <f>IF(AND(G396&lt;&gt;"LIBSETS_SETTYPE_BATTLEGROUND",G396&lt;&gt;"LIBSETS_SETTYPE_SPECIAL"),IF(AV396&lt;&gt;"",VLOOKUP(AV396,'ESO zones'!$D$5:$H$4957,5,FALSE),""),"")</f>
        <v/>
      </c>
      <c r="AX396"/>
      <c r="AY396" s="29"/>
      <c r="AZ396" s="49" t="s">
        <v>403</v>
      </c>
      <c r="BA396" s="49"/>
      <c r="BB396" s="49"/>
      <c r="BC396" s="49"/>
      <c r="BD396" s="49" t="s">
        <v>1122</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1">
        <v>451</v>
      </c>
      <c r="B397" t="s">
        <v>1309</v>
      </c>
      <c r="C397" t="s">
        <v>1310</v>
      </c>
      <c r="D397" s="3">
        <f t="shared" si="36"/>
        <v>451</v>
      </c>
      <c r="G397" s="9" t="s">
        <v>178</v>
      </c>
      <c r="I397" t="s">
        <v>1120</v>
      </c>
      <c r="J397" t="s">
        <v>401</v>
      </c>
      <c r="K397">
        <v>399</v>
      </c>
      <c r="L397">
        <v>399</v>
      </c>
      <c r="M397">
        <v>399</v>
      </c>
      <c r="O397" s="5" t="s">
        <v>1296</v>
      </c>
      <c r="Q397" s="3">
        <f>IF(AND(P397&lt;&gt;"",ISNUMBER(P397),NOT(ISNA(P397))),P397,IF(R397&lt;&gt;"",VLOOKUP(R397,'ESO zones'!$D$5:$H$10005,5,FALSE),""))</f>
        <v>1121</v>
      </c>
      <c r="R397" t="str">
        <f>IF(AND(O397&lt;&gt;"",NOT(ISERROR(O397))),O397,IF(AND(P397&lt;&gt;"",ISNUMBER(P397),P397&gt;0,NOT(ISNA(P397))),VLOOKUP(P397,'ESO zones'!$A$5:$D$10003,4,FALSE),IF(AND(K397&lt;&gt;"",K397&gt;0,NOT(ISERROR(K397))),VLOOKUP(K397,'ESO wayshrines'!$K$3:$N$9972,4,FALSE),"")))</f>
        <v>Sunspire</v>
      </c>
      <c r="T397" s="16" t="str">
        <f>IF(AND(S397&lt;&gt;"",NOT(ISERROR(S397))),S397,VLOOKUP(A397,'ESO Set&amp;DLCs'!$A$3:$D$99998,4,FALSE))</f>
        <v>DLC_ELSWEYR</v>
      </c>
      <c r="U397" s="3" t="str">
        <f>IF(T397&lt;&gt;"",VLOOKUP(T397,ConstDLCIds!$B$4:$C$1000,2,FALSE),"")</f>
        <v>Elsweyr</v>
      </c>
      <c r="V397" s="4" t="s">
        <v>272</v>
      </c>
      <c r="Y397" s="5">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zones'!$A$5:$D$10003,4,FALSE),"")</f>
        <v>Sunspire</v>
      </c>
      <c r="AB397" s="4" t="s">
        <v>272</v>
      </c>
      <c r="AE397" s="5">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zones'!$A$5:$D$10003,4,FALSE),"")</f>
        <v>Sunspire</v>
      </c>
      <c r="AH397" s="4" t="s">
        <v>272</v>
      </c>
      <c r="AI397"/>
      <c r="AJ397"/>
      <c r="AK397" s="3" t="str">
        <f>IF(AND(G397&lt;&gt;"LIBSETS_SETTYPE_BATTLEGROUND",G397&lt;&gt;"LIBSETS_SETTYPE_SPECIAL"),IF(AL397&lt;&gt;"",VLOOKUP(AL397,'ESO zones'!$D$5:$H$4957,5,FALSE),""),"")</f>
        <v/>
      </c>
      <c r="AN397"/>
      <c r="AO397"/>
      <c r="AP397" s="3" t="str">
        <f>IF(AND(G397&lt;&gt;"LIBSETS_SETTYPE_BATTLEGROUND",G397&lt;&gt;"LIBSETS_SETTYPE_SPECIAL"),IF(AQ397&lt;&gt;"",VLOOKUP(AQ397,'ESO zones'!$D$5:$H$4957,5,FALSE),""),"")</f>
        <v/>
      </c>
      <c r="AS397"/>
      <c r="AT397"/>
      <c r="AU397" s="3" t="str">
        <f>IF(AND(G397&lt;&gt;"LIBSETS_SETTYPE_BATTLEGROUND",G397&lt;&gt;"LIBSETS_SETTYPE_SPECIAL"),IF(AV397&lt;&gt;"",VLOOKUP(AV397,'ESO zones'!$D$5:$H$4957,5,FALSE),""),"")</f>
        <v/>
      </c>
      <c r="AX397"/>
      <c r="AY397" s="29"/>
      <c r="AZ397" s="49" t="s">
        <v>403</v>
      </c>
      <c r="BA397" s="49"/>
      <c r="BB397" s="49"/>
      <c r="BC397" s="49"/>
      <c r="BD397" s="49" t="s">
        <v>1122</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1">
        <v>452</v>
      </c>
      <c r="B398" t="s">
        <v>1311</v>
      </c>
      <c r="C398" t="s">
        <v>1312</v>
      </c>
      <c r="D398" s="3">
        <f t="shared" si="36"/>
        <v>452</v>
      </c>
      <c r="G398" s="3" t="s">
        <v>169</v>
      </c>
      <c r="I398" t="s">
        <v>401</v>
      </c>
      <c r="J398" t="s">
        <v>401</v>
      </c>
      <c r="K398">
        <v>391</v>
      </c>
      <c r="L398">
        <v>391</v>
      </c>
      <c r="M398">
        <v>391</v>
      </c>
      <c r="O398" s="5" t="s">
        <v>1313</v>
      </c>
      <c r="Q398" s="3">
        <f>IF(AND(P398&lt;&gt;"",ISNUMBER(P398),NOT(ISNA(P398))),P398,IF(R398&lt;&gt;"",VLOOKUP(R398,'ESO zones'!$D$5:$H$10005,5,FALSE),""))</f>
        <v>1122</v>
      </c>
      <c r="R398" t="str">
        <f>IF(AND(O398&lt;&gt;"",NOT(ISERROR(O398))),O398,IF(AND(P398&lt;&gt;"",ISNUMBER(P398),P398&gt;0,NOT(ISNA(P398))),VLOOKUP(P398,'ESO zones'!$A$5:$D$10003,4,FALSE),IF(AND(K398&lt;&gt;"",K398&gt;0,NOT(ISERROR(K398))),VLOOKUP(K398,'ESO wayshrines'!$K$3:$N$9972,4,FALSE),"")))</f>
        <v>Moongrave Fane</v>
      </c>
      <c r="T398" s="16" t="str">
        <f>IF(AND(S398&lt;&gt;"",NOT(ISERROR(S398))),S398,VLOOKUP(A398,'ESO Set&amp;DLCs'!$A$3:$D$99998,4,FALSE))</f>
        <v>DLC_SCALEBREAKER</v>
      </c>
      <c r="U398" s="3" t="str">
        <f>IF(T398&lt;&gt;"",VLOOKUP(T398,ConstDLCIds!$B$4:$C$1000,2,FALSE),"")</f>
        <v>Scalebraker</v>
      </c>
      <c r="V398" s="4" t="s">
        <v>278</v>
      </c>
      <c r="Y398" s="5"/>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zones'!$A$5:$D$10003,4,FALSE),"")</f>
        <v>Northern Elsweyr</v>
      </c>
      <c r="AE398" s="30"/>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zones'!$A$5:$D$10003,4,FALSE),"")</f>
        <v>Northern Elsweyr</v>
      </c>
      <c r="AI398" s="30"/>
      <c r="AJ398" s="30"/>
      <c r="AK398" s="3" t="str">
        <f>IF(AND(G398&lt;&gt;"LIBSETS_SETTYPE_BATTLEGROUND",G398&lt;&gt;"LIBSETS_SETTYPE_SPECIAL"),IF(AL398&lt;&gt;"",VLOOKUP(AL398,'ESO zones'!$D$5:$H$4957,5,FALSE),""),"")</f>
        <v/>
      </c>
      <c r="AN398" s="30"/>
      <c r="AO398" s="30"/>
      <c r="AP398" s="3" t="str">
        <f>IF(AND(G398&lt;&gt;"LIBSETS_SETTYPE_BATTLEGROUND",G398&lt;&gt;"LIBSETS_SETTYPE_SPECIAL"),IF(AQ398&lt;&gt;"",VLOOKUP(AQ398,'ESO zones'!$D$5:$H$4957,5,FALSE),""),"")</f>
        <v/>
      </c>
      <c r="AS398" s="30"/>
      <c r="AT398" s="30"/>
      <c r="AU398" s="3" t="str">
        <f>IF(AND(G398&lt;&gt;"LIBSETS_SETTYPE_BATTLEGROUND",G398&lt;&gt;"LIBSETS_SETTYPE_SPECIAL"),IF(AV398&lt;&gt;"",VLOOKUP(AV398,'ESO zones'!$D$5:$H$4957,5,FALSE),""),"")</f>
        <v/>
      </c>
      <c r="AX398" s="30"/>
      <c r="AZ398" s="49" t="s">
        <v>403</v>
      </c>
      <c r="BA398" s="49"/>
      <c r="BB398" s="49"/>
      <c r="BC398" s="49"/>
      <c r="BD398" s="49"/>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1">
        <v>453</v>
      </c>
      <c r="B399" t="s">
        <v>1314</v>
      </c>
      <c r="C399" t="s">
        <v>1315</v>
      </c>
      <c r="D399" s="3">
        <f t="shared" si="36"/>
        <v>453</v>
      </c>
      <c r="G399" s="3" t="s">
        <v>169</v>
      </c>
      <c r="I399" t="s">
        <v>401</v>
      </c>
      <c r="J399" t="s">
        <v>401</v>
      </c>
      <c r="K399">
        <v>391</v>
      </c>
      <c r="L399">
        <v>391</v>
      </c>
      <c r="M399">
        <v>391</v>
      </c>
      <c r="O399" s="5" t="s">
        <v>1313</v>
      </c>
      <c r="Q399" s="3">
        <f>IF(AND(P399&lt;&gt;"",ISNUMBER(P399),NOT(ISNA(P399))),P399,IF(R399&lt;&gt;"",VLOOKUP(R399,'ESO zones'!$D$5:$H$10005,5,FALSE),""))</f>
        <v>1122</v>
      </c>
      <c r="R399" t="str">
        <f>IF(AND(O399&lt;&gt;"",NOT(ISERROR(O399))),O399,IF(AND(P399&lt;&gt;"",ISNUMBER(P399),P399&gt;0,NOT(ISNA(P399))),VLOOKUP(P399,'ESO zones'!$A$5:$D$10003,4,FALSE),IF(AND(K399&lt;&gt;"",K399&gt;0,NOT(ISERROR(K399))),VLOOKUP(K399,'ESO wayshrines'!$K$3:$N$9972,4,FALSE),"")))</f>
        <v>Moongrave Fane</v>
      </c>
      <c r="T399" s="16" t="str">
        <f>IF(AND(S399&lt;&gt;"",NOT(ISERROR(S399))),S399,VLOOKUP(A399,'ESO Set&amp;DLCs'!$A$3:$D$99998,4,FALSE))</f>
        <v>DLC_SCALEBREAKER</v>
      </c>
      <c r="U399" s="3" t="str">
        <f>IF(T399&lt;&gt;"",VLOOKUP(T399,ConstDLCIds!$B$4:$C$1000,2,FALSE),"")</f>
        <v>Scalebraker</v>
      </c>
      <c r="V399" s="4" t="s">
        <v>278</v>
      </c>
      <c r="Y399" s="5"/>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zones'!$A$5:$D$10003,4,FALSE),"")</f>
        <v>Northern Elsweyr</v>
      </c>
      <c r="AE399" s="30"/>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zones'!$A$5:$D$10003,4,FALSE),"")</f>
        <v>Northern Elsweyr</v>
      </c>
      <c r="AI399" s="30"/>
      <c r="AJ399" s="30"/>
      <c r="AK399" s="3" t="str">
        <f>IF(AND(G399&lt;&gt;"LIBSETS_SETTYPE_BATTLEGROUND",G399&lt;&gt;"LIBSETS_SETTYPE_SPECIAL"),IF(AL399&lt;&gt;"",VLOOKUP(AL399,'ESO zones'!$D$5:$H$4957,5,FALSE),""),"")</f>
        <v/>
      </c>
      <c r="AN399" s="30"/>
      <c r="AO399" s="30"/>
      <c r="AP399" s="3" t="str">
        <f>IF(AND(G399&lt;&gt;"LIBSETS_SETTYPE_BATTLEGROUND",G399&lt;&gt;"LIBSETS_SETTYPE_SPECIAL"),IF(AQ399&lt;&gt;"",VLOOKUP(AQ399,'ESO zones'!$D$5:$H$4957,5,FALSE),""),"")</f>
        <v/>
      </c>
      <c r="AS399" s="30"/>
      <c r="AT399" s="30"/>
      <c r="AU399" s="3" t="str">
        <f>IF(AND(G399&lt;&gt;"LIBSETS_SETTYPE_BATTLEGROUND",G399&lt;&gt;"LIBSETS_SETTYPE_SPECIAL"),IF(AV399&lt;&gt;"",VLOOKUP(AV399,'ESO zones'!$D$5:$H$4957,5,FALSE),""),"")</f>
        <v/>
      </c>
      <c r="AX399" s="30"/>
      <c r="AZ399" s="49" t="s">
        <v>403</v>
      </c>
      <c r="BA399" s="49"/>
      <c r="BB399" s="49"/>
      <c r="BC399" s="49"/>
      <c r="BD399" s="49"/>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1">
        <v>454</v>
      </c>
      <c r="B400" t="s">
        <v>1316</v>
      </c>
      <c r="C400" t="s">
        <v>1317</v>
      </c>
      <c r="D400" s="3">
        <f t="shared" si="36"/>
        <v>454</v>
      </c>
      <c r="G400" s="3" t="s">
        <v>169</v>
      </c>
      <c r="I400" t="s">
        <v>401</v>
      </c>
      <c r="J400" t="s">
        <v>401</v>
      </c>
      <c r="K400">
        <v>391</v>
      </c>
      <c r="L400">
        <v>391</v>
      </c>
      <c r="M400">
        <v>391</v>
      </c>
      <c r="O400" s="5" t="s">
        <v>1313</v>
      </c>
      <c r="Q400" s="3">
        <f>IF(AND(P400&lt;&gt;"",ISNUMBER(P400),NOT(ISNA(P400))),P400,IF(R400&lt;&gt;"",VLOOKUP(R400,'ESO zones'!$D$5:$H$10005,5,FALSE),""))</f>
        <v>1122</v>
      </c>
      <c r="R400" t="str">
        <f>IF(AND(O400&lt;&gt;"",NOT(ISERROR(O400))),O400,IF(AND(P400&lt;&gt;"",ISNUMBER(P400),P400&gt;0,NOT(ISNA(P400))),VLOOKUP(P400,'ESO zones'!$A$5:$D$10003,4,FALSE),IF(AND(K400&lt;&gt;"",K400&gt;0,NOT(ISERROR(K400))),VLOOKUP(K400,'ESO wayshrines'!$K$3:$N$9972,4,FALSE),"")))</f>
        <v>Moongrave Fane</v>
      </c>
      <c r="T400" s="16" t="str">
        <f>IF(AND(S400&lt;&gt;"",NOT(ISERROR(S400))),S400,VLOOKUP(A400,'ESO Set&amp;DLCs'!$A$3:$D$99998,4,FALSE))</f>
        <v>DLC_SCALEBREAKER</v>
      </c>
      <c r="U400" s="3" t="str">
        <f>IF(T400&lt;&gt;"",VLOOKUP(T400,ConstDLCIds!$B$4:$C$1000,2,FALSE),"")</f>
        <v>Scalebraker</v>
      </c>
      <c r="V400" s="4" t="s">
        <v>278</v>
      </c>
      <c r="Y400" s="5"/>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zones'!$A$5:$D$10003,4,FALSE),"")</f>
        <v>Northern Elsweyr</v>
      </c>
      <c r="AE400" s="30"/>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zones'!$A$5:$D$10003,4,FALSE),"")</f>
        <v>Northern Elsweyr</v>
      </c>
      <c r="AI400" s="30"/>
      <c r="AJ400" s="30"/>
      <c r="AK400" s="3" t="str">
        <f>IF(AND(G400&lt;&gt;"LIBSETS_SETTYPE_BATTLEGROUND",G400&lt;&gt;"LIBSETS_SETTYPE_SPECIAL"),IF(AL400&lt;&gt;"",VLOOKUP(AL400,'ESO zones'!$D$5:$H$4957,5,FALSE),""),"")</f>
        <v/>
      </c>
      <c r="AN400" s="30"/>
      <c r="AO400" s="30"/>
      <c r="AP400" s="3" t="str">
        <f>IF(AND(G400&lt;&gt;"LIBSETS_SETTYPE_BATTLEGROUND",G400&lt;&gt;"LIBSETS_SETTYPE_SPECIAL"),IF(AQ400&lt;&gt;"",VLOOKUP(AQ400,'ESO zones'!$D$5:$H$4957,5,FALSE),""),"")</f>
        <v/>
      </c>
      <c r="AS400" s="30"/>
      <c r="AT400" s="30"/>
      <c r="AU400" s="3" t="str">
        <f>IF(AND(G400&lt;&gt;"LIBSETS_SETTYPE_BATTLEGROUND",G400&lt;&gt;"LIBSETS_SETTYPE_SPECIAL"),IF(AV400&lt;&gt;"",VLOOKUP(AV400,'ESO zones'!$D$5:$H$4957,5,FALSE),""),"")</f>
        <v/>
      </c>
      <c r="AX400" s="30"/>
      <c r="AZ400" s="49" t="s">
        <v>403</v>
      </c>
      <c r="BA400" s="49"/>
      <c r="BB400" s="49"/>
      <c r="BC400" s="49"/>
      <c r="BD400" s="49"/>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1">
        <v>455</v>
      </c>
      <c r="B401" t="s">
        <v>1318</v>
      </c>
      <c r="C401" t="s">
        <v>1319</v>
      </c>
      <c r="D401" s="3">
        <f t="shared" si="36"/>
        <v>455</v>
      </c>
      <c r="G401" s="3" t="s">
        <v>169</v>
      </c>
      <c r="I401" t="s">
        <v>401</v>
      </c>
      <c r="J401" t="s">
        <v>401</v>
      </c>
      <c r="K401">
        <v>398</v>
      </c>
      <c r="L401">
        <v>398</v>
      </c>
      <c r="M401">
        <v>398</v>
      </c>
      <c r="O401" s="5" t="s">
        <v>1320</v>
      </c>
      <c r="Q401" s="3">
        <f>IF(AND(P401&lt;&gt;"",ISNUMBER(P401),NOT(ISNA(P401))),P401,IF(R401&lt;&gt;"",VLOOKUP(R401,'ESO zones'!$D$5:$H$10005,5,FALSE),""))</f>
        <v>1123</v>
      </c>
      <c r="R401" t="str">
        <f>IF(AND(O401&lt;&gt;"",NOT(ISERROR(O401))),O401,IF(AND(P401&lt;&gt;"",ISNUMBER(P401),P401&gt;0,NOT(ISNA(P401))),VLOOKUP(P401,'ESO zones'!$A$5:$D$10003,4,FALSE),IF(AND(K401&lt;&gt;"",K401&gt;0,NOT(ISERROR(K401))),VLOOKUP(K401,'ESO wayshrines'!$K$3:$N$9972,4,FALSE),"")))</f>
        <v>Lair of Maarselok</v>
      </c>
      <c r="T401" s="16" t="str">
        <f>IF(AND(S401&lt;&gt;"",NOT(ISERROR(S401))),S401,VLOOKUP(A401,'ESO Set&amp;DLCs'!$A$3:$D$99998,4,FALSE))</f>
        <v>DLC_SCALEBREAKER</v>
      </c>
      <c r="U401" s="3" t="str">
        <f>IF(T401&lt;&gt;"",VLOOKUP(T401,ConstDLCIds!$B$4:$C$1000,2,FALSE),"")</f>
        <v>Scalebraker</v>
      </c>
      <c r="V401" s="4" t="s">
        <v>278</v>
      </c>
      <c r="W401" s="29"/>
      <c r="X401" s="29"/>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zones'!$A$5:$D$10003,4,FALSE),"")</f>
        <v>Grahtwood</v>
      </c>
      <c r="AE401" s="30"/>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zones'!$A$5:$D$10003,4,FALSE),"")</f>
        <v>Grahtwood</v>
      </c>
      <c r="AI401" s="30"/>
      <c r="AJ401" s="30"/>
      <c r="AK401" s="3" t="str">
        <f>IF(AND(G401&lt;&gt;"LIBSETS_SETTYPE_BATTLEGROUND",G401&lt;&gt;"LIBSETS_SETTYPE_SPECIAL"),IF(AL401&lt;&gt;"",VLOOKUP(AL401,'ESO zones'!$D$5:$H$4957,5,FALSE),""),"")</f>
        <v/>
      </c>
      <c r="AN401" s="30"/>
      <c r="AO401" s="30"/>
      <c r="AP401" s="3" t="str">
        <f>IF(AND(G401&lt;&gt;"LIBSETS_SETTYPE_BATTLEGROUND",G401&lt;&gt;"LIBSETS_SETTYPE_SPECIAL"),IF(AQ401&lt;&gt;"",VLOOKUP(AQ401,'ESO zones'!$D$5:$H$4957,5,FALSE),""),"")</f>
        <v/>
      </c>
      <c r="AS401" s="30"/>
      <c r="AT401" s="30"/>
      <c r="AU401" s="3" t="str">
        <f>IF(AND(G401&lt;&gt;"LIBSETS_SETTYPE_BATTLEGROUND",G401&lt;&gt;"LIBSETS_SETTYPE_SPECIAL"),IF(AV401&lt;&gt;"",VLOOKUP(AV401,'ESO zones'!$D$5:$H$4957,5,FALSE),""),"")</f>
        <v/>
      </c>
      <c r="AX401" s="30"/>
      <c r="AZ401" s="49" t="s">
        <v>403</v>
      </c>
      <c r="BA401" s="49"/>
      <c r="BB401" s="49"/>
      <c r="BC401" s="49"/>
      <c r="BD401" s="49"/>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1">
        <v>456</v>
      </c>
      <c r="B402" t="s">
        <v>1321</v>
      </c>
      <c r="C402" t="s">
        <v>1322</v>
      </c>
      <c r="D402" s="3">
        <f t="shared" si="36"/>
        <v>456</v>
      </c>
      <c r="G402" s="3" t="s">
        <v>169</v>
      </c>
      <c r="I402" t="s">
        <v>401</v>
      </c>
      <c r="J402" t="s">
        <v>401</v>
      </c>
      <c r="K402">
        <v>398</v>
      </c>
      <c r="L402">
        <v>398</v>
      </c>
      <c r="M402">
        <v>398</v>
      </c>
      <c r="O402" s="5" t="s">
        <v>1320</v>
      </c>
      <c r="Q402" s="3">
        <f>IF(AND(P402&lt;&gt;"",ISNUMBER(P402),NOT(ISNA(P402))),P402,IF(R402&lt;&gt;"",VLOOKUP(R402,'ESO zones'!$D$5:$H$10005,5,FALSE),""))</f>
        <v>1123</v>
      </c>
      <c r="R402" t="str">
        <f>IF(AND(O402&lt;&gt;"",NOT(ISERROR(O402))),O402,IF(AND(P402&lt;&gt;"",ISNUMBER(P402),P402&gt;0,NOT(ISNA(P402))),VLOOKUP(P402,'ESO zones'!$A$5:$D$10003,4,FALSE),IF(AND(K402&lt;&gt;"",K402&gt;0,NOT(ISERROR(K402))),VLOOKUP(K402,'ESO wayshrines'!$K$3:$N$9972,4,FALSE),"")))</f>
        <v>Lair of Maarselok</v>
      </c>
      <c r="T402" s="16" t="str">
        <f>IF(AND(S402&lt;&gt;"",NOT(ISERROR(S402))),S402,VLOOKUP(A402,'ESO Set&amp;DLCs'!$A$3:$D$99998,4,FALSE))</f>
        <v>DLC_SCALEBREAKER</v>
      </c>
      <c r="U402" s="3" t="str">
        <f>IF(T402&lt;&gt;"",VLOOKUP(T402,ConstDLCIds!$B$4:$C$1000,2,FALSE),"")</f>
        <v>Scalebraker</v>
      </c>
      <c r="V402" s="4" t="s">
        <v>278</v>
      </c>
      <c r="Y402" s="5"/>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zones'!$A$5:$D$10003,4,FALSE),"")</f>
        <v>Grahtwood</v>
      </c>
      <c r="AE402" s="30"/>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zones'!$A$5:$D$10003,4,FALSE),"")</f>
        <v>Grahtwood</v>
      </c>
      <c r="AI402" s="30"/>
      <c r="AJ402" s="30"/>
      <c r="AK402" s="3" t="str">
        <f>IF(AND(G402&lt;&gt;"LIBSETS_SETTYPE_BATTLEGROUND",G402&lt;&gt;"LIBSETS_SETTYPE_SPECIAL"),IF(AL402&lt;&gt;"",VLOOKUP(AL402,'ESO zones'!$D$5:$H$4957,5,FALSE),""),"")</f>
        <v/>
      </c>
      <c r="AN402" s="30"/>
      <c r="AO402" s="30"/>
      <c r="AP402" s="3" t="str">
        <f>IF(AND(G402&lt;&gt;"LIBSETS_SETTYPE_BATTLEGROUND",G402&lt;&gt;"LIBSETS_SETTYPE_SPECIAL"),IF(AQ402&lt;&gt;"",VLOOKUP(AQ402,'ESO zones'!$D$5:$H$4957,5,FALSE),""),"")</f>
        <v/>
      </c>
      <c r="AS402" s="30"/>
      <c r="AT402" s="30"/>
      <c r="AU402" s="3" t="str">
        <f>IF(AND(G402&lt;&gt;"LIBSETS_SETTYPE_BATTLEGROUND",G402&lt;&gt;"LIBSETS_SETTYPE_SPECIAL"),IF(AV402&lt;&gt;"",VLOOKUP(AV402,'ESO zones'!$D$5:$H$4957,5,FALSE),""),"")</f>
        <v/>
      </c>
      <c r="AX402" s="30"/>
      <c r="AZ402" s="49" t="s">
        <v>403</v>
      </c>
      <c r="BA402" s="49"/>
      <c r="BB402" s="49"/>
      <c r="BC402" s="49"/>
      <c r="BD402" s="49"/>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1">
        <v>457</v>
      </c>
      <c r="B403" t="s">
        <v>1323</v>
      </c>
      <c r="C403" t="s">
        <v>1324</v>
      </c>
      <c r="D403" s="3">
        <f t="shared" si="36"/>
        <v>457</v>
      </c>
      <c r="G403" s="3" t="s">
        <v>169</v>
      </c>
      <c r="I403" t="s">
        <v>401</v>
      </c>
      <c r="J403" t="s">
        <v>401</v>
      </c>
      <c r="K403">
        <v>398</v>
      </c>
      <c r="L403">
        <v>398</v>
      </c>
      <c r="M403">
        <v>398</v>
      </c>
      <c r="O403" s="5" t="s">
        <v>1320</v>
      </c>
      <c r="Q403" s="3">
        <f>IF(AND(P403&lt;&gt;"",ISNUMBER(P403),NOT(ISNA(P403))),P403,IF(R403&lt;&gt;"",VLOOKUP(R403,'ESO zones'!$D$5:$H$10005,5,FALSE),""))</f>
        <v>1123</v>
      </c>
      <c r="R403" t="str">
        <f>IF(AND(O403&lt;&gt;"",NOT(ISERROR(O403))),O403,IF(AND(P403&lt;&gt;"",ISNUMBER(P403),P403&gt;0,NOT(ISNA(P403))),VLOOKUP(P403,'ESO zones'!$A$5:$D$10003,4,FALSE),IF(AND(K403&lt;&gt;"",K403&gt;0,NOT(ISERROR(K403))),VLOOKUP(K403,'ESO wayshrines'!$K$3:$N$9972,4,FALSE),"")))</f>
        <v>Lair of Maarselok</v>
      </c>
      <c r="T403" s="16" t="str">
        <f>IF(AND(S403&lt;&gt;"",NOT(ISERROR(S403))),S403,VLOOKUP(A403,'ESO Set&amp;DLCs'!$A$3:$D$99998,4,FALSE))</f>
        <v>DLC_SCALEBREAKER</v>
      </c>
      <c r="U403" s="3" t="str">
        <f>IF(T403&lt;&gt;"",VLOOKUP(T403,ConstDLCIds!$B$4:$C$1000,2,FALSE),"")</f>
        <v>Scalebraker</v>
      </c>
      <c r="V403" s="4" t="s">
        <v>278</v>
      </c>
      <c r="Y403" s="5"/>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zones'!$A$5:$D$10003,4,FALSE),"")</f>
        <v>Grahtwood</v>
      </c>
      <c r="AE403" s="30"/>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zones'!$A$5:$D$10003,4,FALSE),"")</f>
        <v>Grahtwood</v>
      </c>
      <c r="AI403" s="30"/>
      <c r="AJ403" s="30"/>
      <c r="AK403" s="3" t="str">
        <f>IF(AND(G403&lt;&gt;"LIBSETS_SETTYPE_BATTLEGROUND",G403&lt;&gt;"LIBSETS_SETTYPE_SPECIAL"),IF(AL403&lt;&gt;"",VLOOKUP(AL403,'ESO zones'!$D$5:$H$4957,5,FALSE),""),"")</f>
        <v/>
      </c>
      <c r="AN403" s="30"/>
      <c r="AO403" s="30"/>
      <c r="AP403" s="3" t="str">
        <f>IF(AND(G403&lt;&gt;"LIBSETS_SETTYPE_BATTLEGROUND",G403&lt;&gt;"LIBSETS_SETTYPE_SPECIAL"),IF(AQ403&lt;&gt;"",VLOOKUP(AQ403,'ESO zones'!$D$5:$H$4957,5,FALSE),""),"")</f>
        <v/>
      </c>
      <c r="AS403" s="30"/>
      <c r="AT403" s="30"/>
      <c r="AU403" s="3" t="str">
        <f>IF(AND(G403&lt;&gt;"LIBSETS_SETTYPE_BATTLEGROUND",G403&lt;&gt;"LIBSETS_SETTYPE_SPECIAL"),IF(AV403&lt;&gt;"",VLOOKUP(AV403,'ESO zones'!$D$5:$H$4957,5,FALSE),""),"")</f>
        <v/>
      </c>
      <c r="AX403" s="30"/>
      <c r="AZ403" s="49" t="s">
        <v>403</v>
      </c>
      <c r="BA403" s="49"/>
      <c r="BB403" s="49"/>
      <c r="BC403" s="49"/>
      <c r="BD403" s="49"/>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1">
        <v>458</v>
      </c>
      <c r="B404" t="s">
        <v>1325</v>
      </c>
      <c r="C404" t="s">
        <v>1325</v>
      </c>
      <c r="D404" s="3">
        <f t="shared" si="36"/>
        <v>458</v>
      </c>
      <c r="G404" s="3" t="s">
        <v>172</v>
      </c>
      <c r="H404">
        <v>3</v>
      </c>
      <c r="I404" t="s">
        <v>712</v>
      </c>
      <c r="J404" t="s">
        <v>401</v>
      </c>
      <c r="K404">
        <v>391</v>
      </c>
      <c r="L404">
        <v>391</v>
      </c>
      <c r="M404">
        <v>391</v>
      </c>
      <c r="O404" s="5" t="s">
        <v>1313</v>
      </c>
      <c r="Q404" s="3">
        <f>IF(AND(P404&lt;&gt;"",ISNUMBER(P404),NOT(ISNA(P404))),P404,IF(R404&lt;&gt;"",VLOOKUP(R404,'ESO zones'!$D$5:$H$10005,5,FALSE),""))</f>
        <v>1122</v>
      </c>
      <c r="R404" t="str">
        <f>IF(AND(O404&lt;&gt;"",NOT(ISERROR(O404))),O404,IF(AND(P404&lt;&gt;"",ISNUMBER(P404),P404&gt;0,NOT(ISNA(P404))),VLOOKUP(P404,'ESO zones'!$A$5:$D$10003,4,FALSE),IF(AND(K404&lt;&gt;"",K404&gt;0,NOT(ISERROR(K404))),VLOOKUP(K404,'ESO wayshrines'!$K$3:$N$9972,4,FALSE),"")))</f>
        <v>Moongrave Fane</v>
      </c>
      <c r="T404" s="16" t="str">
        <f>IF(AND(S404&lt;&gt;"",NOT(ISERROR(S404))),S404,VLOOKUP(A404,'ESO Set&amp;DLCs'!$A$3:$D$99998,4,FALSE))</f>
        <v>DLC_SCALEBREAKER</v>
      </c>
      <c r="U404" s="3" t="str">
        <f>IF(T404&lt;&gt;"",VLOOKUP(T404,ConstDLCIds!$B$4:$C$1000,2,FALSE),"")</f>
        <v>Scalebraker</v>
      </c>
      <c r="V404" s="4" t="s">
        <v>212</v>
      </c>
      <c r="W404" s="3" t="s">
        <v>1325</v>
      </c>
      <c r="X404" s="3" t="s">
        <v>1325</v>
      </c>
      <c r="Y404" s="5"/>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zones'!$A$5:$D$10003,4,FALSE),"")</f>
        <v>Northern Elsweyr</v>
      </c>
      <c r="AC404" s="3" t="str">
        <f>IF(AB404&lt;&gt;"",IF(AB404&lt;&gt;"LIBSETS_DROP_MECHANIC_MONSTER_NAME",VLOOKUP(AB404,ConstDropMechs!$B$4:$C$1001,2,FALSE),""),"")</f>
        <v/>
      </c>
      <c r="AD404" s="3" t="str">
        <f>IF(AB404&lt;&gt;"",IF(AB404&lt;&gt;"LIBSETS_DROP_MECHANIC_MONSTER_NAME",VLOOKUP(AB404,ConstDropMechs!$B$4:$D$1001,3,FALSE),""),"")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zones'!$A$5:$D$10003,4,FALSE),"")</f>
        <v>Northern Elsweyr</v>
      </c>
      <c r="AI404"/>
      <c r="AJ404"/>
      <c r="AK404" s="3" t="str">
        <f>IF(AND(G404&lt;&gt;"LIBSETS_SETTYPE_BATTLEGROUND",G404&lt;&gt;"LIBSETS_SETTYPE_SPECIAL"),IF(AL404&lt;&gt;"",VLOOKUP(AL404,'ESO zones'!$D$5:$H$4957,5,FALSE),""),"")</f>
        <v/>
      </c>
      <c r="AN404"/>
      <c r="AO404"/>
      <c r="AP404" s="3" t="str">
        <f>IF(AND(G404&lt;&gt;"LIBSETS_SETTYPE_BATTLEGROUND",G404&lt;&gt;"LIBSETS_SETTYPE_SPECIAL"),IF(AQ404&lt;&gt;"",VLOOKUP(AQ404,'ESO zones'!$D$5:$H$4957,5,FALSE),""),"")</f>
        <v/>
      </c>
      <c r="AS404"/>
      <c r="AT404"/>
      <c r="AU404" s="3" t="str">
        <f>IF(AND(G404&lt;&gt;"LIBSETS_SETTYPE_BATTLEGROUND",G404&lt;&gt;"LIBSETS_SETTYPE_SPECIAL"),IF(AV404&lt;&gt;"",VLOOKUP(AV404,'ESO zones'!$D$5:$H$4957,5,FALSE),""),"")</f>
        <v/>
      </c>
      <c r="AX404"/>
      <c r="AZ404" s="49" t="s">
        <v>403</v>
      </c>
      <c r="BA404" s="49"/>
      <c r="BB404" s="49"/>
      <c r="BC404" s="49"/>
      <c r="BD404" s="49"/>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1">
        <v>459</v>
      </c>
      <c r="B405" t="s">
        <v>1326</v>
      </c>
      <c r="C405" t="s">
        <v>1326</v>
      </c>
      <c r="D405" s="3">
        <f t="shared" si="36"/>
        <v>459</v>
      </c>
      <c r="G405" s="3" t="s">
        <v>172</v>
      </c>
      <c r="H405">
        <v>3</v>
      </c>
      <c r="I405" t="s">
        <v>712</v>
      </c>
      <c r="J405" t="s">
        <v>401</v>
      </c>
      <c r="K405">
        <v>398</v>
      </c>
      <c r="L405">
        <v>398</v>
      </c>
      <c r="M405">
        <v>398</v>
      </c>
      <c r="O405" s="5" t="s">
        <v>1320</v>
      </c>
      <c r="Q405" s="3">
        <f>IF(AND(P405&lt;&gt;"",ISNUMBER(P405),NOT(ISNA(P405))),P405,IF(R405&lt;&gt;"",VLOOKUP(R405,'ESO zones'!$D$5:$H$10005,5,FALSE),""))</f>
        <v>1123</v>
      </c>
      <c r="R405" t="str">
        <f>IF(AND(O405&lt;&gt;"",NOT(ISERROR(O405))),O405,IF(AND(P405&lt;&gt;"",ISNUMBER(P405),P405&gt;0,NOT(ISNA(P405))),VLOOKUP(P405,'ESO zones'!$A$5:$D$10003,4,FALSE),IF(AND(K405&lt;&gt;"",K405&gt;0,NOT(ISERROR(K405))),VLOOKUP(K405,'ESO wayshrines'!$K$3:$N$9972,4,FALSE),"")))</f>
        <v>Lair of Maarselok</v>
      </c>
      <c r="T405" s="16" t="str">
        <f>IF(AND(S405&lt;&gt;"",NOT(ISERROR(S405))),S405,VLOOKUP(A405,'ESO Set&amp;DLCs'!$A$3:$D$99998,4,FALSE))</f>
        <v>DLC_SCALEBREAKER</v>
      </c>
      <c r="U405" s="3" t="str">
        <f>IF(T405&lt;&gt;"",VLOOKUP(T405,ConstDLCIds!$B$4:$C$1000,2,FALSE),"")</f>
        <v>Scalebraker</v>
      </c>
      <c r="V405" s="4" t="s">
        <v>212</v>
      </c>
      <c r="W405" s="3" t="s">
        <v>1326</v>
      </c>
      <c r="X405" s="3" t="s">
        <v>1326</v>
      </c>
      <c r="Y405" s="5"/>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zones'!$A$5:$D$10003,4,FALSE),"")</f>
        <v>Grahtwood</v>
      </c>
      <c r="AC405" s="3" t="str">
        <f>IF(AB405&lt;&gt;"",IF(AB405&lt;&gt;"LIBSETS_DROP_MECHANIC_MONSTER_NAME",VLOOKUP(AB405,ConstDropMechs!$B$4:$C$1001,2,FALSE),""),"")</f>
        <v/>
      </c>
      <c r="AD405" s="3" t="str">
        <f>IF(AB405&lt;&gt;"",IF(AB405&lt;&gt;"LIBSETS_DROP_MECHANIC_MONSTER_NAME",VLOOKUP(AB405,ConstDropMechs!$B$4:$D$1001,3,FALSE),""),"")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zones'!$A$5:$D$10003,4,FALSE),"")</f>
        <v>Grahtwood</v>
      </c>
      <c r="AI405"/>
      <c r="AJ405"/>
      <c r="AK405" s="3" t="str">
        <f>IF(AND(G405&lt;&gt;"LIBSETS_SETTYPE_BATTLEGROUND",G405&lt;&gt;"LIBSETS_SETTYPE_SPECIAL"),IF(AL405&lt;&gt;"",VLOOKUP(AL405,'ESO zones'!$D$5:$H$4957,5,FALSE),""),"")</f>
        <v/>
      </c>
      <c r="AN405"/>
      <c r="AO405"/>
      <c r="AP405" s="3" t="str">
        <f>IF(AND(G405&lt;&gt;"LIBSETS_SETTYPE_BATTLEGROUND",G405&lt;&gt;"LIBSETS_SETTYPE_SPECIAL"),IF(AQ405&lt;&gt;"",VLOOKUP(AQ405,'ESO zones'!$D$5:$H$4957,5,FALSE),""),"")</f>
        <v/>
      </c>
      <c r="AS405"/>
      <c r="AT405"/>
      <c r="AU405" s="3" t="str">
        <f>IF(AND(G405&lt;&gt;"LIBSETS_SETTYPE_BATTLEGROUND",G405&lt;&gt;"LIBSETS_SETTYPE_SPECIAL"),IF(AV405&lt;&gt;"",VLOOKUP(AV405,'ESO zones'!$D$5:$H$4957,5,FALSE),""),"")</f>
        <v/>
      </c>
      <c r="AX405"/>
      <c r="AZ405" s="49" t="s">
        <v>403</v>
      </c>
      <c r="BA405" s="49"/>
      <c r="BB405" s="49"/>
      <c r="BC405" s="49"/>
      <c r="BD405" s="49"/>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1">
        <v>465</v>
      </c>
      <c r="B406" t="s">
        <v>1327</v>
      </c>
      <c r="C406" t="s">
        <v>1328</v>
      </c>
      <c r="D406" s="3">
        <f t="shared" si="36"/>
        <v>465</v>
      </c>
      <c r="G406" s="9" t="s">
        <v>174</v>
      </c>
      <c r="I406" t="s">
        <v>401</v>
      </c>
      <c r="J406" t="s">
        <v>401</v>
      </c>
      <c r="K406">
        <v>402</v>
      </c>
      <c r="L406">
        <v>402</v>
      </c>
      <c r="M406">
        <v>402</v>
      </c>
      <c r="O406" s="5" t="s">
        <v>1329</v>
      </c>
      <c r="Q406" s="3">
        <f>IF(AND(P406&lt;&gt;"",ISNUMBER(P406),NOT(ISNA(P406))),P406,IF(R406&lt;&gt;"",VLOOKUP(R406,'ESO zones'!$D$5:$H$10005,5,FALSE),""))</f>
        <v>1133</v>
      </c>
      <c r="R406" t="str">
        <f>IF(AND(O406&lt;&gt;"",NOT(ISERROR(O406))),O406,IF(AND(P406&lt;&gt;"",ISNUMBER(P406),P406&gt;0,NOT(ISNA(P406))),VLOOKUP(P406,'ESO zones'!$A$5:$D$10003,4,FALSE),IF(AND(K406&lt;&gt;"",K406&gt;0,NOT(ISERROR(K406))),VLOOKUP(K406,'ESO wayshrines'!$K$3:$N$9972,4,FALSE),"")))</f>
        <v>Southern Elsweyr</v>
      </c>
      <c r="T406" s="16" t="str">
        <f>IF(AND(S406&lt;&gt;"",NOT(ISERROR(S406))),S406,VLOOKUP(A406,'ESO Set&amp;DLCs'!$A$3:$D$99998,4,FALSE))</f>
        <v>DLC_DRAGONHOLD</v>
      </c>
      <c r="U406" s="3" t="str">
        <f>IF(T406&lt;&gt;"",VLOOKUP(T406,ConstDLCIds!$B$4:$C$1000,2,FALSE),"")</f>
        <v>Dragonhold</v>
      </c>
      <c r="V406" s="4" t="s">
        <v>215</v>
      </c>
      <c r="Y406" s="5"/>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zones'!$A$5:$D$10003,4,FALSE),"")</f>
        <v>Southern Elsweyr</v>
      </c>
      <c r="AB406" s="4" t="s">
        <v>218</v>
      </c>
      <c r="AE406" s="30"/>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zones'!$A$5:$D$10003,4,FALSE),"")</f>
        <v>Southern Elsweyr</v>
      </c>
      <c r="AH406" s="4" t="s">
        <v>224</v>
      </c>
      <c r="AI406" s="30"/>
      <c r="AJ406" s="30"/>
      <c r="AK406" s="3">
        <f>IF(AND(G406&lt;&gt;"LIBSETS_SETTYPE_BATTLEGROUND",G406&lt;&gt;"LIBSETS_SETTYPE_SPECIAL"),IF(AL406&lt;&gt;"",VLOOKUP(AL406,'ESO zones'!$D$5:$H$4957,5,FALSE),""),"")</f>
        <v>1133</v>
      </c>
      <c r="AL406" t="s">
        <v>1329</v>
      </c>
      <c r="AM406" s="4" t="s">
        <v>269</v>
      </c>
      <c r="AN406" s="30"/>
      <c r="AO406" s="30"/>
      <c r="AP406" s="3" t="str">
        <f>IF(AND(G406&lt;&gt;"LIBSETS_SETTYPE_BATTLEGROUND",G406&lt;&gt;"LIBSETS_SETTYPE_SPECIAL"),IF(AQ406&lt;&gt;"",VLOOKUP(AQ406,'ESO zones'!$D$5:$H$4957,5,FALSE),""),"")</f>
        <v/>
      </c>
      <c r="AS406" s="30"/>
      <c r="AT406" s="30"/>
      <c r="AU406" s="3" t="str">
        <f>IF(AND(G406&lt;&gt;"LIBSETS_SETTYPE_BATTLEGROUND",G406&lt;&gt;"LIBSETS_SETTYPE_SPECIAL"),IF(AV406&lt;&gt;"",VLOOKUP(AV406,'ESO zones'!$D$5:$H$4957,5,FALSE),""),"")</f>
        <v/>
      </c>
      <c r="AX406" s="30"/>
      <c r="AZ406" s="49" t="s">
        <v>403</v>
      </c>
      <c r="BA406" s="49"/>
      <c r="BB406" s="49"/>
      <c r="BC406" s="49"/>
      <c r="BD406" s="49"/>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1">
        <v>466</v>
      </c>
      <c r="B407" t="s">
        <v>1330</v>
      </c>
      <c r="C407" t="s">
        <v>1331</v>
      </c>
      <c r="D407" s="3">
        <f t="shared" si="36"/>
        <v>466</v>
      </c>
      <c r="G407" s="9" t="s">
        <v>174</v>
      </c>
      <c r="I407" t="s">
        <v>401</v>
      </c>
      <c r="J407" t="s">
        <v>401</v>
      </c>
      <c r="K407">
        <v>402</v>
      </c>
      <c r="L407">
        <v>402</v>
      </c>
      <c r="M407">
        <v>402</v>
      </c>
      <c r="O407" s="5" t="s">
        <v>1329</v>
      </c>
      <c r="Q407" s="3">
        <f>IF(AND(P407&lt;&gt;"",ISNUMBER(P407),NOT(ISNA(P407))),P407,IF(R407&lt;&gt;"",VLOOKUP(R407,'ESO zones'!$D$5:$H$10005,5,FALSE),""))</f>
        <v>1133</v>
      </c>
      <c r="R407" t="str">
        <f>IF(AND(O407&lt;&gt;"",NOT(ISERROR(O407))),O407,IF(AND(P407&lt;&gt;"",ISNUMBER(P407),P407&gt;0,NOT(ISNA(P407))),VLOOKUP(P407,'ESO zones'!$A$5:$D$10003,4,FALSE),IF(AND(K407&lt;&gt;"",K407&gt;0,NOT(ISERROR(K407))),VLOOKUP(K407,'ESO wayshrines'!$K$3:$N$9972,4,FALSE),"")))</f>
        <v>Southern Elsweyr</v>
      </c>
      <c r="T407" s="16" t="str">
        <f>IF(AND(S407&lt;&gt;"",NOT(ISERROR(S407))),S407,VLOOKUP(A407,'ESO Set&amp;DLCs'!$A$3:$D$99998,4,FALSE))</f>
        <v>DLC_DRAGONHOLD</v>
      </c>
      <c r="U407" s="3" t="str">
        <f>IF(T407&lt;&gt;"",VLOOKUP(T407,ConstDLCIds!$B$4:$C$1000,2,FALSE),"")</f>
        <v>Dragonhold</v>
      </c>
      <c r="V407" s="4" t="s">
        <v>215</v>
      </c>
      <c r="Y407" s="5"/>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zones'!$A$5:$D$10003,4,FALSE),"")</f>
        <v>Southern Elsweyr</v>
      </c>
      <c r="AB407" s="4" t="s">
        <v>218</v>
      </c>
      <c r="AE407" s="30"/>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zones'!$A$5:$D$10003,4,FALSE),"")</f>
        <v>Southern Elsweyr</v>
      </c>
      <c r="AH407" s="4" t="s">
        <v>224</v>
      </c>
      <c r="AI407" s="30"/>
      <c r="AJ407" s="30"/>
      <c r="AK407" s="3">
        <f>IF(AND(G407&lt;&gt;"LIBSETS_SETTYPE_BATTLEGROUND",G407&lt;&gt;"LIBSETS_SETTYPE_SPECIAL"),IF(AL407&lt;&gt;"",VLOOKUP(AL407,'ESO zones'!$D$5:$H$4957,5,FALSE),""),"")</f>
        <v>1133</v>
      </c>
      <c r="AL407" t="s">
        <v>1329</v>
      </c>
      <c r="AM407" s="4" t="s">
        <v>269</v>
      </c>
      <c r="AN407" s="30"/>
      <c r="AO407" s="30"/>
      <c r="AP407" s="3" t="str">
        <f>IF(AND(G407&lt;&gt;"LIBSETS_SETTYPE_BATTLEGROUND",G407&lt;&gt;"LIBSETS_SETTYPE_SPECIAL"),IF(AQ407&lt;&gt;"",VLOOKUP(AQ407,'ESO zones'!$D$5:$H$4957,5,FALSE),""),"")</f>
        <v/>
      </c>
      <c r="AS407" s="30"/>
      <c r="AT407" s="30"/>
      <c r="AU407" s="3" t="str">
        <f>IF(AND(G407&lt;&gt;"LIBSETS_SETTYPE_BATTLEGROUND",G407&lt;&gt;"LIBSETS_SETTYPE_SPECIAL"),IF(AV407&lt;&gt;"",VLOOKUP(AV407,'ESO zones'!$D$5:$H$4957,5,FALSE),""),"")</f>
        <v/>
      </c>
      <c r="AX407" s="30"/>
      <c r="AZ407" s="49" t="s">
        <v>403</v>
      </c>
      <c r="BA407" s="49"/>
      <c r="BB407" s="49"/>
      <c r="BC407" s="49"/>
      <c r="BD407" s="49"/>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1">
        <v>467</v>
      </c>
      <c r="B408" t="s">
        <v>1332</v>
      </c>
      <c r="C408" t="s">
        <v>1333</v>
      </c>
      <c r="D408" s="3">
        <f t="shared" si="36"/>
        <v>467</v>
      </c>
      <c r="G408" s="9" t="s">
        <v>174</v>
      </c>
      <c r="I408" t="s">
        <v>401</v>
      </c>
      <c r="J408" t="s">
        <v>401</v>
      </c>
      <c r="K408">
        <v>402</v>
      </c>
      <c r="L408">
        <v>402</v>
      </c>
      <c r="M408">
        <v>402</v>
      </c>
      <c r="O408" s="5" t="s">
        <v>1329</v>
      </c>
      <c r="Q408" s="3">
        <f>IF(AND(P408&lt;&gt;"",ISNUMBER(P408),NOT(ISNA(P408))),P408,IF(R408&lt;&gt;"",VLOOKUP(R408,'ESO zones'!$D$5:$H$10005,5,FALSE),""))</f>
        <v>1133</v>
      </c>
      <c r="R408" t="str">
        <f>IF(AND(O408&lt;&gt;"",NOT(ISERROR(O408))),O408,IF(AND(P408&lt;&gt;"",ISNUMBER(P408),P408&gt;0,NOT(ISNA(P408))),VLOOKUP(P408,'ESO zones'!$A$5:$D$10003,4,FALSE),IF(AND(K408&lt;&gt;"",K408&gt;0,NOT(ISERROR(K408))),VLOOKUP(K408,'ESO wayshrines'!$K$3:$N$9972,4,FALSE),"")))</f>
        <v>Southern Elsweyr</v>
      </c>
      <c r="T408" s="16" t="str">
        <f>IF(AND(S408&lt;&gt;"",NOT(ISERROR(S408))),S408,VLOOKUP(A408,'ESO Set&amp;DLCs'!$A$3:$D$99998,4,FALSE))</f>
        <v>DLC_DRAGONHOLD</v>
      </c>
      <c r="U408" s="3" t="str">
        <f>IF(T408&lt;&gt;"",VLOOKUP(T408,ConstDLCIds!$B$4:$C$1000,2,FALSE),"")</f>
        <v>Dragonhold</v>
      </c>
      <c r="V408" s="4" t="s">
        <v>215</v>
      </c>
      <c r="Y408" s="5"/>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zones'!$A$5:$D$10003,4,FALSE),"")</f>
        <v>Southern Elsweyr</v>
      </c>
      <c r="AB408" s="4" t="s">
        <v>218</v>
      </c>
      <c r="AE408" s="30"/>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zones'!$A$5:$D$10003,4,FALSE),"")</f>
        <v>Southern Elsweyr</v>
      </c>
      <c r="AH408" s="4" t="s">
        <v>224</v>
      </c>
      <c r="AI408" s="30"/>
      <c r="AJ408" s="30"/>
      <c r="AK408" s="3">
        <f>IF(AND(G408&lt;&gt;"LIBSETS_SETTYPE_BATTLEGROUND",G408&lt;&gt;"LIBSETS_SETTYPE_SPECIAL"),IF(AL408&lt;&gt;"",VLOOKUP(AL408,'ESO zones'!$D$5:$H$4957,5,FALSE),""),"")</f>
        <v>1133</v>
      </c>
      <c r="AL408" t="s">
        <v>1329</v>
      </c>
      <c r="AM408" s="4" t="s">
        <v>269</v>
      </c>
      <c r="AN408" s="30"/>
      <c r="AO408" s="30"/>
      <c r="AP408" s="3" t="str">
        <f>IF(AND(G408&lt;&gt;"LIBSETS_SETTYPE_BATTLEGROUND",G408&lt;&gt;"LIBSETS_SETTYPE_SPECIAL"),IF(AQ408&lt;&gt;"",VLOOKUP(AQ408,'ESO zones'!$D$5:$H$4957,5,FALSE),""),"")</f>
        <v/>
      </c>
      <c r="AS408" s="30"/>
      <c r="AT408" s="30"/>
      <c r="AU408" s="3" t="str">
        <f>IF(AND(G408&lt;&gt;"LIBSETS_SETTYPE_BATTLEGROUND",G408&lt;&gt;"LIBSETS_SETTYPE_SPECIAL"),IF(AV408&lt;&gt;"",VLOOKUP(AV408,'ESO zones'!$D$5:$H$4957,5,FALSE),""),"")</f>
        <v/>
      </c>
      <c r="AX408" s="30"/>
      <c r="AZ408" s="49" t="s">
        <v>403</v>
      </c>
      <c r="BA408" s="49"/>
      <c r="BB408" s="49"/>
      <c r="BC408" s="49"/>
      <c r="BD408" s="49"/>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1">
        <v>468</v>
      </c>
      <c r="B409" t="s">
        <v>1334</v>
      </c>
      <c r="C409" t="s">
        <v>1335</v>
      </c>
      <c r="D409" s="3">
        <f t="shared" si="36"/>
        <v>468</v>
      </c>
      <c r="G409" s="9" t="s">
        <v>163</v>
      </c>
      <c r="I409" t="s">
        <v>401</v>
      </c>
      <c r="J409" t="s">
        <v>401</v>
      </c>
      <c r="K409">
        <v>403</v>
      </c>
      <c r="L409">
        <v>403</v>
      </c>
      <c r="M409">
        <v>403</v>
      </c>
      <c r="N409">
        <v>3</v>
      </c>
      <c r="Q409" s="3">
        <f>IF(AND(P409&lt;&gt;"",ISNUMBER(P409),NOT(ISNA(P409))),P409,IF(R409&lt;&gt;"",VLOOKUP(R409,'ESO zones'!$D$5:$H$10005,5,FALSE),""))</f>
        <v>1133</v>
      </c>
      <c r="R409" t="str">
        <f>IF(AND(O409&lt;&gt;"",NOT(ISERROR(O409))),O409,IF(AND(P409&lt;&gt;"",ISNUMBER(P409),P409&gt;0,NOT(ISNA(P409))),VLOOKUP(P409,'ESO zones'!$A$5:$D$10003,4,FALSE),IF(AND(K409&lt;&gt;"",K409&gt;0,NOT(ISERROR(K409))),VLOOKUP(K409,'ESO wayshrines'!$K$3:$N$9972,4,FALSE),"")))</f>
        <v>Southern Elsweyr</v>
      </c>
      <c r="T409" s="16" t="str">
        <f>IF(AND(S409&lt;&gt;"",NOT(ISERROR(S409))),S409,VLOOKUP(A409,'ESO Set&amp;DLCs'!$A$3:$D$99998,4,FALSE))</f>
        <v>DLC_DRAGONHOLD</v>
      </c>
      <c r="U409" s="3" t="str">
        <f>IF(T409&lt;&gt;"",VLOOKUP(T409,ConstDLCIds!$B$4:$C$1000,2,FALSE),"")</f>
        <v>Dragonhold</v>
      </c>
      <c r="V409" s="4" t="s">
        <v>281</v>
      </c>
      <c r="Y409" s="5"/>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zones'!$A$5:$D$10003,4,FALSE),"")</f>
        <v>Southern Elsweyr</v>
      </c>
      <c r="AB409" s="4" t="s">
        <v>281</v>
      </c>
      <c r="AE409" s="30"/>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zones'!$A$5:$D$10003,4,FALSE),"")</f>
        <v>Southern Elsweyr</v>
      </c>
      <c r="AI409" s="30"/>
      <c r="AJ409" s="30"/>
      <c r="AK409" s="3" t="str">
        <f>IF(AND(G409&lt;&gt;"LIBSETS_SETTYPE_BATTLEGROUND",G409&lt;&gt;"LIBSETS_SETTYPE_SPECIAL"),IF(AL409&lt;&gt;"",VLOOKUP(AL409,'ESO zones'!$D$5:$H$4957,5,FALSE),""),"")</f>
        <v/>
      </c>
      <c r="AN409" s="30"/>
      <c r="AO409" s="30"/>
      <c r="AP409" s="3" t="str">
        <f>IF(AND(G409&lt;&gt;"LIBSETS_SETTYPE_BATTLEGROUND",G409&lt;&gt;"LIBSETS_SETTYPE_SPECIAL"),IF(AQ409&lt;&gt;"",VLOOKUP(AQ409,'ESO zones'!$D$5:$H$4957,5,FALSE),""),"")</f>
        <v/>
      </c>
      <c r="AS409" s="30"/>
      <c r="AT409" s="30"/>
      <c r="AU409" s="3" t="str">
        <f>IF(AND(G409&lt;&gt;"LIBSETS_SETTYPE_BATTLEGROUND",G409&lt;&gt;"LIBSETS_SETTYPE_SPECIAL"),IF(AV409&lt;&gt;"",VLOOKUP(AV409,'ESO zones'!$D$5:$H$4957,5,FALSE),""),"")</f>
        <v/>
      </c>
      <c r="AX409" s="30"/>
      <c r="AZ409" s="49" t="s">
        <v>403</v>
      </c>
      <c r="BA409" s="49"/>
      <c r="BB409" s="49"/>
      <c r="BC409" s="49"/>
      <c r="BD409" s="49"/>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1">
        <v>469</v>
      </c>
      <c r="B410" t="s">
        <v>1336</v>
      </c>
      <c r="C410" t="s">
        <v>1337</v>
      </c>
      <c r="D410" s="3">
        <f t="shared" si="36"/>
        <v>469</v>
      </c>
      <c r="G410" s="9" t="s">
        <v>163</v>
      </c>
      <c r="I410" t="s">
        <v>401</v>
      </c>
      <c r="J410" t="s">
        <v>401</v>
      </c>
      <c r="K410">
        <v>407</v>
      </c>
      <c r="L410">
        <v>407</v>
      </c>
      <c r="M410">
        <v>407</v>
      </c>
      <c r="N410">
        <v>6</v>
      </c>
      <c r="O410" s="5" t="s">
        <v>1329</v>
      </c>
      <c r="Q410" s="3">
        <f>IF(AND(P410&lt;&gt;"",ISNUMBER(P410),NOT(ISNA(P410))),P410,IF(R410&lt;&gt;"",VLOOKUP(R410,'ESO zones'!$D$5:$H$10005,5,FALSE),""))</f>
        <v>1133</v>
      </c>
      <c r="R410" t="str">
        <f>IF(AND(O410&lt;&gt;"",NOT(ISERROR(O410))),O410,IF(AND(P410&lt;&gt;"",ISNUMBER(P410),P410&gt;0,NOT(ISNA(P410))),VLOOKUP(P410,'ESO zones'!$A$5:$D$10003,4,FALSE),IF(AND(K410&lt;&gt;"",K410&gt;0,NOT(ISERROR(K410))),VLOOKUP(K410,'ESO wayshrines'!$K$3:$N$9972,4,FALSE),"")))</f>
        <v>Southern Elsweyr</v>
      </c>
      <c r="T410" s="16" t="str">
        <f>IF(AND(S410&lt;&gt;"",NOT(ISERROR(S410))),S410,VLOOKUP(A410,'ESO Set&amp;DLCs'!$A$3:$D$99998,4,FALSE))</f>
        <v>DLC_DRAGONHOLD</v>
      </c>
      <c r="U410" s="3" t="str">
        <f>IF(T410&lt;&gt;"",VLOOKUP(T410,ConstDLCIds!$B$4:$C$1000,2,FALSE),"")</f>
        <v>Dragonhold</v>
      </c>
      <c r="V410" s="4" t="s">
        <v>281</v>
      </c>
      <c r="Y410" s="5"/>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zones'!$A$5:$D$10003,4,FALSE),"")</f>
        <v>Southern Elsweyr</v>
      </c>
      <c r="AB410" s="4" t="s">
        <v>281</v>
      </c>
      <c r="AE410" s="30"/>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zones'!$A$5:$D$10003,4,FALSE),"")</f>
        <v>Southern Elsweyr</v>
      </c>
      <c r="AI410" s="30"/>
      <c r="AJ410" s="30"/>
      <c r="AK410" s="3" t="str">
        <f>IF(AND(G410&lt;&gt;"LIBSETS_SETTYPE_BATTLEGROUND",G410&lt;&gt;"LIBSETS_SETTYPE_SPECIAL"),IF(AL410&lt;&gt;"",VLOOKUP(AL410,'ESO zones'!$D$5:$H$4957,5,FALSE),""),"")</f>
        <v/>
      </c>
      <c r="AN410" s="30"/>
      <c r="AO410" s="30"/>
      <c r="AP410" s="3" t="str">
        <f>IF(AND(G410&lt;&gt;"LIBSETS_SETTYPE_BATTLEGROUND",G410&lt;&gt;"LIBSETS_SETTYPE_SPECIAL"),IF(AQ410&lt;&gt;"",VLOOKUP(AQ410,'ESO zones'!$D$5:$H$4957,5,FALSE),""),"")</f>
        <v/>
      </c>
      <c r="AS410" s="30"/>
      <c r="AT410" s="30"/>
      <c r="AU410" s="3" t="str">
        <f>IF(AND(G410&lt;&gt;"LIBSETS_SETTYPE_BATTLEGROUND",G410&lt;&gt;"LIBSETS_SETTYPE_SPECIAL"),IF(AV410&lt;&gt;"",VLOOKUP(AV410,'ESO zones'!$D$5:$H$4957,5,FALSE),""),"")</f>
        <v/>
      </c>
      <c r="AX410" s="30"/>
      <c r="AZ410" s="49" t="s">
        <v>403</v>
      </c>
      <c r="BA410" s="49"/>
      <c r="BB410" s="49"/>
      <c r="BC410" s="49"/>
      <c r="BD410" s="49"/>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1">
        <v>470</v>
      </c>
      <c r="B411" t="s">
        <v>1338</v>
      </c>
      <c r="C411" t="s">
        <v>1339</v>
      </c>
      <c r="D411" s="3">
        <f t="shared" si="36"/>
        <v>470</v>
      </c>
      <c r="G411" s="9" t="s">
        <v>163</v>
      </c>
      <c r="I411" t="s">
        <v>401</v>
      </c>
      <c r="J411" t="s">
        <v>401</v>
      </c>
      <c r="K411">
        <v>406</v>
      </c>
      <c r="L411">
        <v>406</v>
      </c>
      <c r="M411">
        <v>406</v>
      </c>
      <c r="N411">
        <v>9</v>
      </c>
      <c r="Q411" s="3">
        <f>IF(AND(P411&lt;&gt;"",ISNUMBER(P411),NOT(ISNA(P411))),P411,IF(R411&lt;&gt;"",VLOOKUP(R411,'ESO zones'!$D$5:$H$10005,5,FALSE),""))</f>
        <v>1133</v>
      </c>
      <c r="R411" t="str">
        <f>IF(AND(O411&lt;&gt;"",NOT(ISERROR(O411))),O411,IF(AND(P411&lt;&gt;"",ISNUMBER(P411),P411&gt;0,NOT(ISNA(P411))),VLOOKUP(P411,'ESO zones'!$A$5:$D$10003,4,FALSE),IF(AND(K411&lt;&gt;"",K411&gt;0,NOT(ISERROR(K411))),VLOOKUP(K411,'ESO wayshrines'!$K$3:$N$9972,4,FALSE),"")))</f>
        <v>Southern Elsweyr</v>
      </c>
      <c r="T411" s="16" t="str">
        <f>IF(AND(S411&lt;&gt;"",NOT(ISERROR(S411))),S411,VLOOKUP(A411,'ESO Set&amp;DLCs'!$A$3:$D$99998,4,FALSE))</f>
        <v>DLC_DRAGONHOLD</v>
      </c>
      <c r="U411" s="3" t="str">
        <f>IF(T411&lt;&gt;"",VLOOKUP(T411,ConstDLCIds!$B$4:$C$1000,2,FALSE),"")</f>
        <v>Dragonhold</v>
      </c>
      <c r="V411" s="4" t="s">
        <v>281</v>
      </c>
      <c r="Y411" s="5"/>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zones'!$A$5:$D$10003,4,FALSE),"")</f>
        <v>Southern Elsweyr</v>
      </c>
      <c r="AB411" s="4" t="s">
        <v>281</v>
      </c>
      <c r="AE411" s="30"/>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zones'!$A$5:$D$10003,4,FALSE),"")</f>
        <v>Southern Elsweyr</v>
      </c>
      <c r="AH411" s="4" t="s">
        <v>281</v>
      </c>
      <c r="AI411" s="30"/>
      <c r="AJ411" s="30"/>
      <c r="AK411" s="3" t="str">
        <f>IF(AND(G411&lt;&gt;"LIBSETS_SETTYPE_BATTLEGROUND",G411&lt;&gt;"LIBSETS_SETTYPE_SPECIAL"),IF(AL411&lt;&gt;"",VLOOKUP(AL411,'ESO zones'!$D$5:$H$4957,5,FALSE),""),"")</f>
        <v/>
      </c>
      <c r="AN411" s="30"/>
      <c r="AO411" s="30"/>
      <c r="AP411" s="3" t="str">
        <f>IF(AND(G411&lt;&gt;"LIBSETS_SETTYPE_BATTLEGROUND",G411&lt;&gt;"LIBSETS_SETTYPE_SPECIAL"),IF(AQ411&lt;&gt;"",VLOOKUP(AQ411,'ESO zones'!$D$5:$H$4957,5,FALSE),""),"")</f>
        <v/>
      </c>
      <c r="AS411" s="30"/>
      <c r="AT411" s="30"/>
      <c r="AU411" s="3" t="str">
        <f>IF(AND(G411&lt;&gt;"LIBSETS_SETTYPE_BATTLEGROUND",G411&lt;&gt;"LIBSETS_SETTYPE_SPECIAL"),IF(AV411&lt;&gt;"",VLOOKUP(AV411,'ESO zones'!$D$5:$H$4957,5,FALSE),""),"")</f>
        <v/>
      </c>
      <c r="AX411" s="30"/>
      <c r="AZ411" s="49" t="s">
        <v>403</v>
      </c>
      <c r="BA411" s="49"/>
      <c r="BB411" s="49"/>
      <c r="BC411" s="49"/>
      <c r="BD411" s="49"/>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1">
        <v>471</v>
      </c>
      <c r="B412" t="s">
        <v>1340</v>
      </c>
      <c r="C412" t="s">
        <v>1341</v>
      </c>
      <c r="D412" s="3">
        <f t="shared" si="36"/>
        <v>471</v>
      </c>
      <c r="G412" s="3" t="s">
        <v>169</v>
      </c>
      <c r="I412" t="s">
        <v>401</v>
      </c>
      <c r="J412" t="s">
        <v>401</v>
      </c>
      <c r="K412">
        <v>424</v>
      </c>
      <c r="L412">
        <v>424</v>
      </c>
      <c r="M412">
        <v>424</v>
      </c>
      <c r="O412" s="5" t="s">
        <v>1342</v>
      </c>
      <c r="Q412" s="3">
        <f>IF(AND(P412&lt;&gt;"",ISNUMBER(P412),NOT(ISNA(P412))),P412,IF(R412&lt;&gt;"",VLOOKUP(R412,'ESO zones'!$D$5:$H$10005,5,FALSE),""))</f>
        <v>1152</v>
      </c>
      <c r="R412" t="str">
        <f>IF(AND(O412&lt;&gt;"",NOT(ISERROR(O412))),O412,IF(AND(P412&lt;&gt;"",ISNUMBER(P412),P412&gt;0,NOT(ISNA(P412))),VLOOKUP(P412,'ESO zones'!$A$5:$D$10003,4,FALSE),IF(AND(K412&lt;&gt;"",K412&gt;0,NOT(ISERROR(K412))),VLOOKUP(K412,'ESO wayshrines'!$K$3:$N$9972,4,FALSE),"")))</f>
        <v>Icereach</v>
      </c>
      <c r="T412" s="16" t="str">
        <f>IF(AND(S412&lt;&gt;"",NOT(ISERROR(S412))),S412,VLOOKUP(A412,'ESO Set&amp;DLCs'!$A$3:$D$99998,4,FALSE))</f>
        <v>DLC_HARROWSTORM</v>
      </c>
      <c r="U412" s="3" t="str">
        <f>IF(T412&lt;&gt;"",VLOOKUP(T412,ConstDLCIds!$B$4:$C$1000,2,FALSE),"")</f>
        <v>Harrowstorm</v>
      </c>
      <c r="V412" s="4" t="s">
        <v>278</v>
      </c>
      <c r="Y412" s="5"/>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zones'!$A$5:$D$10003,4,FALSE),"")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zones'!$A$5:$D$10003,4,FALSE),"")</f>
        <v>Wrothgar</v>
      </c>
      <c r="AI412"/>
      <c r="AJ412"/>
      <c r="AK412" s="3" t="str">
        <f>IF(AND(G412&lt;&gt;"LIBSETS_SETTYPE_BATTLEGROUND",G412&lt;&gt;"LIBSETS_SETTYPE_SPECIAL"),IF(AL412&lt;&gt;"",VLOOKUP(AL412,'ESO zones'!$D$5:$H$4957,5,FALSE),""),"")</f>
        <v/>
      </c>
      <c r="AN412"/>
      <c r="AO412"/>
      <c r="AP412" s="3" t="str">
        <f>IF(AND(G412&lt;&gt;"LIBSETS_SETTYPE_BATTLEGROUND",G412&lt;&gt;"LIBSETS_SETTYPE_SPECIAL"),IF(AQ412&lt;&gt;"",VLOOKUP(AQ412,'ESO zones'!$D$5:$H$4957,5,FALSE),""),"")</f>
        <v/>
      </c>
      <c r="AS412"/>
      <c r="AT412"/>
      <c r="AU412" s="3" t="str">
        <f>IF(AND(G412&lt;&gt;"LIBSETS_SETTYPE_BATTLEGROUND",G412&lt;&gt;"LIBSETS_SETTYPE_SPECIAL"),IF(AV412&lt;&gt;"",VLOOKUP(AV412,'ESO zones'!$D$5:$H$4957,5,FALSE),""),"")</f>
        <v/>
      </c>
      <c r="AX412"/>
      <c r="AY412" s="29"/>
      <c r="AZ412" s="49" t="s">
        <v>403</v>
      </c>
      <c r="BA412" s="49"/>
      <c r="BB412" s="49"/>
      <c r="BC412" s="49"/>
      <c r="BD412" s="49"/>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1">
        <v>472</v>
      </c>
      <c r="B413" t="s">
        <v>1343</v>
      </c>
      <c r="C413" t="s">
        <v>1344</v>
      </c>
      <c r="D413" s="3">
        <f t="shared" si="36"/>
        <v>472</v>
      </c>
      <c r="G413" s="3" t="s">
        <v>169</v>
      </c>
      <c r="I413" t="s">
        <v>401</v>
      </c>
      <c r="J413" t="s">
        <v>401</v>
      </c>
      <c r="K413">
        <v>424</v>
      </c>
      <c r="L413">
        <v>424</v>
      </c>
      <c r="M413">
        <v>424</v>
      </c>
      <c r="O413" s="5" t="s">
        <v>1342</v>
      </c>
      <c r="Q413" s="3">
        <f>IF(AND(P413&lt;&gt;"",ISNUMBER(P413),NOT(ISNA(P413))),P413,IF(R413&lt;&gt;"",VLOOKUP(R413,'ESO zones'!$D$5:$H$10005,5,FALSE),""))</f>
        <v>1152</v>
      </c>
      <c r="R413" t="str">
        <f>IF(AND(O413&lt;&gt;"",NOT(ISERROR(O413))),O413,IF(AND(P413&lt;&gt;"",ISNUMBER(P413),P413&gt;0,NOT(ISNA(P413))),VLOOKUP(P413,'ESO zones'!$A$5:$D$10003,4,FALSE),IF(AND(K413&lt;&gt;"",K413&gt;0,NOT(ISERROR(K413))),VLOOKUP(K413,'ESO wayshrines'!$K$3:$N$9972,4,FALSE),"")))</f>
        <v>Icereach</v>
      </c>
      <c r="T413" s="16" t="str">
        <f>IF(AND(S413&lt;&gt;"",NOT(ISERROR(S413))),S413,VLOOKUP(A413,'ESO Set&amp;DLCs'!$A$3:$D$99998,4,FALSE))</f>
        <v>DLC_HARROWSTORM</v>
      </c>
      <c r="U413" s="3" t="str">
        <f>IF(T413&lt;&gt;"",VLOOKUP(T413,ConstDLCIds!$B$4:$C$1000,2,FALSE),"")</f>
        <v>Harrowstorm</v>
      </c>
      <c r="V413" s="4" t="s">
        <v>278</v>
      </c>
      <c r="Y413" s="5"/>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zones'!$A$5:$D$10003,4,FALSE),"")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zones'!$A$5:$D$10003,4,FALSE),"")</f>
        <v>Wrothgar</v>
      </c>
      <c r="AI413"/>
      <c r="AJ413"/>
      <c r="AK413" s="3" t="str">
        <f>IF(AND(G413&lt;&gt;"LIBSETS_SETTYPE_BATTLEGROUND",G413&lt;&gt;"LIBSETS_SETTYPE_SPECIAL"),IF(AL413&lt;&gt;"",VLOOKUP(AL413,'ESO zones'!$D$5:$H$4957,5,FALSE),""),"")</f>
        <v/>
      </c>
      <c r="AN413"/>
      <c r="AO413"/>
      <c r="AP413" s="3" t="str">
        <f>IF(AND(G413&lt;&gt;"LIBSETS_SETTYPE_BATTLEGROUND",G413&lt;&gt;"LIBSETS_SETTYPE_SPECIAL"),IF(AQ413&lt;&gt;"",VLOOKUP(AQ413,'ESO zones'!$D$5:$H$4957,5,FALSE),""),"")</f>
        <v/>
      </c>
      <c r="AS413"/>
      <c r="AT413"/>
      <c r="AU413" s="3" t="str">
        <f>IF(AND(G413&lt;&gt;"LIBSETS_SETTYPE_BATTLEGROUND",G413&lt;&gt;"LIBSETS_SETTYPE_SPECIAL"),IF(AV413&lt;&gt;"",VLOOKUP(AV413,'ESO zones'!$D$5:$H$4957,5,FALSE),""),"")</f>
        <v/>
      </c>
      <c r="AX413"/>
      <c r="AY413" s="29"/>
      <c r="AZ413" s="49" t="s">
        <v>403</v>
      </c>
      <c r="BA413" s="49"/>
      <c r="BB413" s="49"/>
      <c r="BC413" s="49"/>
      <c r="BD413" s="49"/>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1">
        <v>473</v>
      </c>
      <c r="B414" t="s">
        <v>1345</v>
      </c>
      <c r="C414" t="s">
        <v>1346</v>
      </c>
      <c r="D414" s="3">
        <f t="shared" si="36"/>
        <v>473</v>
      </c>
      <c r="G414" s="3" t="s">
        <v>169</v>
      </c>
      <c r="I414" t="s">
        <v>401</v>
      </c>
      <c r="J414" t="s">
        <v>401</v>
      </c>
      <c r="K414">
        <v>424</v>
      </c>
      <c r="L414">
        <v>424</v>
      </c>
      <c r="M414">
        <v>424</v>
      </c>
      <c r="O414" s="5" t="s">
        <v>1342</v>
      </c>
      <c r="Q414" s="3">
        <f>IF(AND(P414&lt;&gt;"",ISNUMBER(P414),NOT(ISNA(P414))),P414,IF(R414&lt;&gt;"",VLOOKUP(R414,'ESO zones'!$D$5:$H$10005,5,FALSE),""))</f>
        <v>1152</v>
      </c>
      <c r="R414" t="str">
        <f>IF(AND(O414&lt;&gt;"",NOT(ISERROR(O414))),O414,IF(AND(P414&lt;&gt;"",ISNUMBER(P414),P414&gt;0,NOT(ISNA(P414))),VLOOKUP(P414,'ESO zones'!$A$5:$D$10003,4,FALSE),IF(AND(K414&lt;&gt;"",K414&gt;0,NOT(ISERROR(K414))),VLOOKUP(K414,'ESO wayshrines'!$K$3:$N$9972,4,FALSE),"")))</f>
        <v>Icereach</v>
      </c>
      <c r="T414" s="16" t="str">
        <f>IF(AND(S414&lt;&gt;"",NOT(ISERROR(S414))),S414,VLOOKUP(A414,'ESO Set&amp;DLCs'!$A$3:$D$99998,4,FALSE))</f>
        <v>DLC_HARROWSTORM</v>
      </c>
      <c r="U414" s="3" t="str">
        <f>IF(T414&lt;&gt;"",VLOOKUP(T414,ConstDLCIds!$B$4:$C$1000,2,FALSE),"")</f>
        <v>Harrowstorm</v>
      </c>
      <c r="V414" s="4" t="s">
        <v>278</v>
      </c>
      <c r="Y414" s="5"/>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zones'!$A$5:$D$10003,4,FALSE),"")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zones'!$A$5:$D$10003,4,FALSE),"")</f>
        <v>Wrothgar</v>
      </c>
      <c r="AI414"/>
      <c r="AJ414"/>
      <c r="AK414" s="3" t="str">
        <f>IF(AND(G414&lt;&gt;"LIBSETS_SETTYPE_BATTLEGROUND",G414&lt;&gt;"LIBSETS_SETTYPE_SPECIAL"),IF(AL414&lt;&gt;"",VLOOKUP(AL414,'ESO zones'!$D$5:$H$4957,5,FALSE),""),"")</f>
        <v/>
      </c>
      <c r="AN414"/>
      <c r="AO414"/>
      <c r="AP414" s="3" t="str">
        <f>IF(AND(G414&lt;&gt;"LIBSETS_SETTYPE_BATTLEGROUND",G414&lt;&gt;"LIBSETS_SETTYPE_SPECIAL"),IF(AQ414&lt;&gt;"",VLOOKUP(AQ414,'ESO zones'!$D$5:$H$4957,5,FALSE),""),"")</f>
        <v/>
      </c>
      <c r="AS414"/>
      <c r="AT414"/>
      <c r="AU414" s="3" t="str">
        <f>IF(AND(G414&lt;&gt;"LIBSETS_SETTYPE_BATTLEGROUND",G414&lt;&gt;"LIBSETS_SETTYPE_SPECIAL"),IF(AV414&lt;&gt;"",VLOOKUP(AV414,'ESO zones'!$D$5:$H$4957,5,FALSE),""),"")</f>
        <v/>
      </c>
      <c r="AX414"/>
      <c r="AY414" s="29"/>
      <c r="AZ414" s="49" t="s">
        <v>403</v>
      </c>
      <c r="BA414" s="49"/>
      <c r="BB414" s="49"/>
      <c r="BC414" s="49"/>
      <c r="BD414" s="49"/>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1">
        <v>474</v>
      </c>
      <c r="B415" t="s">
        <v>1347</v>
      </c>
      <c r="C415" t="s">
        <v>1348</v>
      </c>
      <c r="D415" s="3">
        <f t="shared" si="36"/>
        <v>474</v>
      </c>
      <c r="G415" s="3" t="s">
        <v>169</v>
      </c>
      <c r="I415" t="s">
        <v>401</v>
      </c>
      <c r="J415" t="s">
        <v>401</v>
      </c>
      <c r="K415">
        <v>425</v>
      </c>
      <c r="L415">
        <v>425</v>
      </c>
      <c r="M415">
        <v>425</v>
      </c>
      <c r="O415" s="5" t="s">
        <v>1349</v>
      </c>
      <c r="Q415" s="3">
        <f>IF(AND(P415&lt;&gt;"",ISNUMBER(P415),NOT(ISNA(P415))),P415,IF(R415&lt;&gt;"",VLOOKUP(R415,'ESO zones'!$D$5:$H$10005,5,FALSE),""))</f>
        <v>1153</v>
      </c>
      <c r="R415" t="str">
        <f>IF(AND(O415&lt;&gt;"",NOT(ISERROR(O415))),O415,IF(AND(P415&lt;&gt;"",ISNUMBER(P415),P415&gt;0,NOT(ISNA(P415))),VLOOKUP(P415,'ESO zones'!$A$5:$D$10003,4,FALSE),IF(AND(K415&lt;&gt;"",K415&gt;0,NOT(ISERROR(K415))),VLOOKUP(K415,'ESO wayshrines'!$K$3:$N$9972,4,FALSE),"")))</f>
        <v>Unhallowed Grave</v>
      </c>
      <c r="T415" s="16" t="str">
        <f>IF(AND(S415&lt;&gt;"",NOT(ISERROR(S415))),S415,VLOOKUP(A415,'ESO Set&amp;DLCs'!$A$3:$D$99998,4,FALSE))</f>
        <v>DLC_HARROWSTORM</v>
      </c>
      <c r="U415" s="3" t="str">
        <f>IF(T415&lt;&gt;"",VLOOKUP(T415,ConstDLCIds!$B$4:$C$1000,2,FALSE),"")</f>
        <v>Harrowstorm</v>
      </c>
      <c r="V415" s="4" t="s">
        <v>278</v>
      </c>
      <c r="Y415" s="5"/>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zones'!$A$5:$D$10003,4,FALSE),"")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zones'!$A$5:$D$10003,4,FALSE),"")</f>
        <v>Bangkorai</v>
      </c>
      <c r="AI415"/>
      <c r="AJ415"/>
      <c r="AK415" s="3" t="str">
        <f>IF(AND(G415&lt;&gt;"LIBSETS_SETTYPE_BATTLEGROUND",G415&lt;&gt;"LIBSETS_SETTYPE_SPECIAL"),IF(AL415&lt;&gt;"",VLOOKUP(AL415,'ESO zones'!$D$5:$H$4957,5,FALSE),""),"")</f>
        <v/>
      </c>
      <c r="AN415"/>
      <c r="AO415"/>
      <c r="AP415" s="3" t="str">
        <f>IF(AND(G415&lt;&gt;"LIBSETS_SETTYPE_BATTLEGROUND",G415&lt;&gt;"LIBSETS_SETTYPE_SPECIAL"),IF(AQ415&lt;&gt;"",VLOOKUP(AQ415,'ESO zones'!$D$5:$H$4957,5,FALSE),""),"")</f>
        <v/>
      </c>
      <c r="AS415"/>
      <c r="AT415"/>
      <c r="AU415" s="3" t="str">
        <f>IF(AND(G415&lt;&gt;"LIBSETS_SETTYPE_BATTLEGROUND",G415&lt;&gt;"LIBSETS_SETTYPE_SPECIAL"),IF(AV415&lt;&gt;"",VLOOKUP(AV415,'ESO zones'!$D$5:$H$4957,5,FALSE),""),"")</f>
        <v/>
      </c>
      <c r="AX415"/>
      <c r="AY415" s="29"/>
      <c r="AZ415" s="49" t="s">
        <v>403</v>
      </c>
      <c r="BA415" s="49"/>
      <c r="BB415" s="49"/>
      <c r="BC415" s="49"/>
      <c r="BD415" s="49"/>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1">
        <v>475</v>
      </c>
      <c r="B416" t="s">
        <v>1350</v>
      </c>
      <c r="C416" t="s">
        <v>1351</v>
      </c>
      <c r="D416" s="3">
        <f t="shared" si="36"/>
        <v>475</v>
      </c>
      <c r="G416" s="3" t="s">
        <v>169</v>
      </c>
      <c r="I416" t="s">
        <v>401</v>
      </c>
      <c r="J416" t="s">
        <v>401</v>
      </c>
      <c r="K416">
        <v>425</v>
      </c>
      <c r="L416">
        <v>425</v>
      </c>
      <c r="M416">
        <v>425</v>
      </c>
      <c r="O416" s="5" t="s">
        <v>1349</v>
      </c>
      <c r="Q416" s="3">
        <f>IF(AND(P416&lt;&gt;"",ISNUMBER(P416),NOT(ISNA(P416))),P416,IF(R416&lt;&gt;"",VLOOKUP(R416,'ESO zones'!$D$5:$H$10005,5,FALSE),""))</f>
        <v>1153</v>
      </c>
      <c r="R416" t="str">
        <f>IF(AND(O416&lt;&gt;"",NOT(ISERROR(O416))),O416,IF(AND(P416&lt;&gt;"",ISNUMBER(P416),P416&gt;0,NOT(ISNA(P416))),VLOOKUP(P416,'ESO zones'!$A$5:$D$10003,4,FALSE),IF(AND(K416&lt;&gt;"",K416&gt;0,NOT(ISERROR(K416))),VLOOKUP(K416,'ESO wayshrines'!$K$3:$N$9972,4,FALSE),"")))</f>
        <v>Unhallowed Grave</v>
      </c>
      <c r="T416" s="16" t="str">
        <f>IF(AND(S416&lt;&gt;"",NOT(ISERROR(S416))),S416,VLOOKUP(A416,'ESO Set&amp;DLCs'!$A$3:$D$99998,4,FALSE))</f>
        <v>DLC_HARROWSTORM</v>
      </c>
      <c r="U416" s="3" t="str">
        <f>IF(T416&lt;&gt;"",VLOOKUP(T416,ConstDLCIds!$B$4:$C$1000,2,FALSE),"")</f>
        <v>Harrowstorm</v>
      </c>
      <c r="V416" s="4" t="s">
        <v>278</v>
      </c>
      <c r="W416" s="29"/>
      <c r="X416" s="29"/>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zones'!$A$5:$D$10003,4,FALSE),"")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zones'!$A$5:$D$10003,4,FALSE),"")</f>
        <v>Bangkorai</v>
      </c>
      <c r="AI416"/>
      <c r="AJ416"/>
      <c r="AK416" s="3" t="str">
        <f>IF(AND(G416&lt;&gt;"LIBSETS_SETTYPE_BATTLEGROUND",G416&lt;&gt;"LIBSETS_SETTYPE_SPECIAL"),IF(AL416&lt;&gt;"",VLOOKUP(AL416,'ESO zones'!$D$5:$H$4957,5,FALSE),""),"")</f>
        <v/>
      </c>
      <c r="AN416"/>
      <c r="AO416"/>
      <c r="AP416" s="3" t="str">
        <f>IF(AND(G416&lt;&gt;"LIBSETS_SETTYPE_BATTLEGROUND",G416&lt;&gt;"LIBSETS_SETTYPE_SPECIAL"),IF(AQ416&lt;&gt;"",VLOOKUP(AQ416,'ESO zones'!$D$5:$H$4957,5,FALSE),""),"")</f>
        <v/>
      </c>
      <c r="AS416"/>
      <c r="AT416"/>
      <c r="AU416" s="3" t="str">
        <f>IF(AND(G416&lt;&gt;"LIBSETS_SETTYPE_BATTLEGROUND",G416&lt;&gt;"LIBSETS_SETTYPE_SPECIAL"),IF(AV416&lt;&gt;"",VLOOKUP(AV416,'ESO zones'!$D$5:$H$4957,5,FALSE),""),"")</f>
        <v/>
      </c>
      <c r="AX416"/>
      <c r="AY416" s="29"/>
      <c r="AZ416" s="49" t="s">
        <v>403</v>
      </c>
      <c r="BA416" s="49"/>
      <c r="BB416" s="49"/>
      <c r="BC416" s="49"/>
      <c r="BD416" s="49"/>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1">
        <v>476</v>
      </c>
      <c r="B417" t="s">
        <v>1352</v>
      </c>
      <c r="C417" t="s">
        <v>1353</v>
      </c>
      <c r="D417" s="3">
        <f t="shared" si="36"/>
        <v>476</v>
      </c>
      <c r="G417" s="3" t="s">
        <v>169</v>
      </c>
      <c r="I417" t="s">
        <v>401</v>
      </c>
      <c r="J417" t="s">
        <v>401</v>
      </c>
      <c r="K417">
        <v>425</v>
      </c>
      <c r="L417">
        <v>425</v>
      </c>
      <c r="M417">
        <v>425</v>
      </c>
      <c r="O417" s="5" t="s">
        <v>1349</v>
      </c>
      <c r="Q417" s="3">
        <f>IF(AND(P417&lt;&gt;"",ISNUMBER(P417),NOT(ISNA(P417))),P417,IF(R417&lt;&gt;"",VLOOKUP(R417,'ESO zones'!$D$5:$H$10005,5,FALSE),""))</f>
        <v>1153</v>
      </c>
      <c r="R417" t="str">
        <f>IF(AND(O417&lt;&gt;"",NOT(ISERROR(O417))),O417,IF(AND(P417&lt;&gt;"",ISNUMBER(P417),P417&gt;0,NOT(ISNA(P417))),VLOOKUP(P417,'ESO zones'!$A$5:$D$10003,4,FALSE),IF(AND(K417&lt;&gt;"",K417&gt;0,NOT(ISERROR(K417))),VLOOKUP(K417,'ESO wayshrines'!$K$3:$N$9972,4,FALSE),"")))</f>
        <v>Unhallowed Grave</v>
      </c>
      <c r="T417" s="16" t="str">
        <f>IF(AND(S417&lt;&gt;"",NOT(ISERROR(S417))),S417,VLOOKUP(A417,'ESO Set&amp;DLCs'!$A$3:$D$99998,4,FALSE))</f>
        <v>DLC_HARROWSTORM</v>
      </c>
      <c r="U417" s="3" t="str">
        <f>IF(T417&lt;&gt;"",VLOOKUP(T417,ConstDLCIds!$B$4:$C$1000,2,FALSE),"")</f>
        <v>Harrowstorm</v>
      </c>
      <c r="V417" s="4" t="s">
        <v>278</v>
      </c>
      <c r="Y417" s="5"/>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zones'!$A$5:$D$10003,4,FALSE),"")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zones'!$A$5:$D$10003,4,FALSE),"")</f>
        <v>Bangkorai</v>
      </c>
      <c r="AI417"/>
      <c r="AJ417"/>
      <c r="AK417" s="3" t="str">
        <f>IF(AND(G417&lt;&gt;"LIBSETS_SETTYPE_BATTLEGROUND",G417&lt;&gt;"LIBSETS_SETTYPE_SPECIAL"),IF(AL417&lt;&gt;"",VLOOKUP(AL417,'ESO zones'!$D$5:$H$4957,5,FALSE),""),"")</f>
        <v/>
      </c>
      <c r="AN417"/>
      <c r="AO417"/>
      <c r="AP417" s="3" t="str">
        <f>IF(AND(G417&lt;&gt;"LIBSETS_SETTYPE_BATTLEGROUND",G417&lt;&gt;"LIBSETS_SETTYPE_SPECIAL"),IF(AQ417&lt;&gt;"",VLOOKUP(AQ417,'ESO zones'!$D$5:$H$4957,5,FALSE),""),"")</f>
        <v/>
      </c>
      <c r="AS417"/>
      <c r="AT417"/>
      <c r="AU417" s="3" t="str">
        <f>IF(AND(G417&lt;&gt;"LIBSETS_SETTYPE_BATTLEGROUND",G417&lt;&gt;"LIBSETS_SETTYPE_SPECIAL"),IF(AV417&lt;&gt;"",VLOOKUP(AV417,'ESO zones'!$D$5:$H$4957,5,FALSE),""),"")</f>
        <v/>
      </c>
      <c r="AX417"/>
      <c r="AY417" s="29"/>
      <c r="AZ417" s="49" t="s">
        <v>403</v>
      </c>
      <c r="BA417" s="49"/>
      <c r="BB417" s="49"/>
      <c r="BC417" s="49"/>
      <c r="BD417" s="49"/>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1">
        <v>478</v>
      </c>
      <c r="B418" t="s">
        <v>1354</v>
      </c>
      <c r="C418" t="s">
        <v>1355</v>
      </c>
      <c r="D418" s="3">
        <f t="shared" si="36"/>
        <v>478</v>
      </c>
      <c r="G418" s="3" t="s">
        <v>172</v>
      </c>
      <c r="H418">
        <v>3</v>
      </c>
      <c r="I418" t="s">
        <v>712</v>
      </c>
      <c r="J418" t="s">
        <v>401</v>
      </c>
      <c r="K418">
        <v>424</v>
      </c>
      <c r="L418">
        <v>424</v>
      </c>
      <c r="M418">
        <v>424</v>
      </c>
      <c r="O418" s="5" t="s">
        <v>1342</v>
      </c>
      <c r="Q418" s="3">
        <f>IF(AND(P418&lt;&gt;"",ISNUMBER(P418),NOT(ISNA(P418))),P418,IF(R418&lt;&gt;"",VLOOKUP(R418,'ESO zones'!$D$5:$H$10005,5,FALSE),""))</f>
        <v>1152</v>
      </c>
      <c r="R418" t="str">
        <f>IF(AND(O418&lt;&gt;"",NOT(ISERROR(O418))),O418,IF(AND(P418&lt;&gt;"",ISNUMBER(P418),P418&gt;0,NOT(ISNA(P418))),VLOOKUP(P418,'ESO zones'!$A$5:$D$10003,4,FALSE),IF(AND(K418&lt;&gt;"",K418&gt;0,NOT(ISERROR(K418))),VLOOKUP(K418,'ESO wayshrines'!$K$3:$N$9972,4,FALSE),"")))</f>
        <v>Icereach</v>
      </c>
      <c r="T418" s="16" t="str">
        <f>IF(AND(S418&lt;&gt;"",NOT(ISERROR(S418))),S418,VLOOKUP(A418,'ESO Set&amp;DLCs'!$A$3:$D$99998,4,FALSE))</f>
        <v>DLC_HARROWSTORM</v>
      </c>
      <c r="U418" s="3" t="str">
        <f>IF(T418&lt;&gt;"",VLOOKUP(T418,ConstDLCIds!$B$4:$C$1000,2,FALSE),"")</f>
        <v>Harrowstorm</v>
      </c>
      <c r="V418" s="4" t="s">
        <v>212</v>
      </c>
      <c r="W418" s="3" t="s">
        <v>1355</v>
      </c>
      <c r="X418" s="3" t="s">
        <v>1354</v>
      </c>
      <c r="Y418" s="5"/>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zones'!$A$5:$D$10003,4,FALSE),"")</f>
        <v>Wrothgar</v>
      </c>
      <c r="AC418" s="3" t="str">
        <f>IF(AB418&lt;&gt;"",IF(AB418&lt;&gt;"LIBSETS_DROP_MECHANIC_MONSTER_NAME",VLOOKUP(AB418,ConstDropMechs!$B$4:$C$1001,2,FALSE),""),"")</f>
        <v/>
      </c>
      <c r="AD418" s="3" t="str">
        <f>IF(AB418&lt;&gt;"",IF(AB418&lt;&gt;"LIBSETS_DROP_MECHANIC_MONSTER_NAME",VLOOKUP(AB418,ConstDropMechs!$B$4:$D$1001,3,FALSE),""),"")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zones'!$A$5:$D$10003,4,FALSE),"")</f>
        <v>Wrothgar</v>
      </c>
      <c r="AI418"/>
      <c r="AJ418"/>
      <c r="AK418" s="3" t="str">
        <f>IF(AND(G418&lt;&gt;"LIBSETS_SETTYPE_BATTLEGROUND",G418&lt;&gt;"LIBSETS_SETTYPE_SPECIAL"),IF(AL418&lt;&gt;"",VLOOKUP(AL418,'ESO zones'!$D$5:$H$4957,5,FALSE),""),"")</f>
        <v/>
      </c>
      <c r="AN418"/>
      <c r="AO418"/>
      <c r="AP418" s="3" t="str">
        <f>IF(AND(G418&lt;&gt;"LIBSETS_SETTYPE_BATTLEGROUND",G418&lt;&gt;"LIBSETS_SETTYPE_SPECIAL"),IF(AQ418&lt;&gt;"",VLOOKUP(AQ418,'ESO zones'!$D$5:$H$4957,5,FALSE),""),"")</f>
        <v/>
      </c>
      <c r="AS418"/>
      <c r="AT418"/>
      <c r="AU418" s="3" t="str">
        <f>IF(AND(G418&lt;&gt;"LIBSETS_SETTYPE_BATTLEGROUND",G418&lt;&gt;"LIBSETS_SETTYPE_SPECIAL"),IF(AV418&lt;&gt;"",VLOOKUP(AV418,'ESO zones'!$D$5:$H$4957,5,FALSE),""),"")</f>
        <v/>
      </c>
      <c r="AX418"/>
      <c r="AZ418" s="49" t="s">
        <v>403</v>
      </c>
      <c r="BA418" s="49"/>
      <c r="BB418" s="49"/>
      <c r="BC418" s="49"/>
      <c r="BD418" s="49"/>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1">
        <v>479</v>
      </c>
      <c r="B419" t="s">
        <v>1356</v>
      </c>
      <c r="C419" t="s">
        <v>1357</v>
      </c>
      <c r="D419" s="3">
        <f t="shared" si="36"/>
        <v>479</v>
      </c>
      <c r="G419" s="3" t="s">
        <v>172</v>
      </c>
      <c r="H419">
        <v>3</v>
      </c>
      <c r="I419" t="s">
        <v>712</v>
      </c>
      <c r="J419" t="s">
        <v>401</v>
      </c>
      <c r="K419">
        <v>425</v>
      </c>
      <c r="L419">
        <v>425</v>
      </c>
      <c r="M419">
        <v>425</v>
      </c>
      <c r="O419" s="5" t="s">
        <v>1349</v>
      </c>
      <c r="Q419" s="3">
        <f>IF(AND(P419&lt;&gt;"",ISNUMBER(P419),NOT(ISNA(P419))),P419,IF(R419&lt;&gt;"",VLOOKUP(R419,'ESO zones'!$D$5:$H$10005,5,FALSE),""))</f>
        <v>1153</v>
      </c>
      <c r="R419" t="str">
        <f>IF(AND(O419&lt;&gt;"",NOT(ISERROR(O419))),O419,IF(AND(P419&lt;&gt;"",ISNUMBER(P419),P419&gt;0,NOT(ISNA(P419))),VLOOKUP(P419,'ESO zones'!$A$5:$D$10003,4,FALSE),IF(AND(K419&lt;&gt;"",K419&gt;0,NOT(ISERROR(K419))),VLOOKUP(K419,'ESO wayshrines'!$K$3:$N$9972,4,FALSE),"")))</f>
        <v>Unhallowed Grave</v>
      </c>
      <c r="T419" s="16" t="str">
        <f>IF(AND(S419&lt;&gt;"",NOT(ISERROR(S419))),S419,VLOOKUP(A419,'ESO Set&amp;DLCs'!$A$3:$D$99998,4,FALSE))</f>
        <v>DLC_HARROWSTORM</v>
      </c>
      <c r="U419" s="3" t="str">
        <f>IF(T419&lt;&gt;"",VLOOKUP(T419,ConstDLCIds!$B$4:$C$1000,2,FALSE),"")</f>
        <v>Harrowstorm</v>
      </c>
      <c r="V419" s="4" t="s">
        <v>212</v>
      </c>
      <c r="W419" s="3" t="s">
        <v>1357</v>
      </c>
      <c r="X419" s="3" t="s">
        <v>1356</v>
      </c>
      <c r="Y419" s="5"/>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zones'!$A$5:$D$10003,4,FALSE),"")</f>
        <v>Bangkorai</v>
      </c>
      <c r="AC419" s="3" t="str">
        <f>IF(AB419&lt;&gt;"",IF(AB419&lt;&gt;"LIBSETS_DROP_MECHANIC_MONSTER_NAME",VLOOKUP(AB419,ConstDropMechs!$B$4:$C$1001,2,FALSE),""),"")</f>
        <v/>
      </c>
      <c r="AD419" s="3" t="str">
        <f>IF(AB419&lt;&gt;"",IF(AB419&lt;&gt;"LIBSETS_DROP_MECHANIC_MONSTER_NAME",VLOOKUP(AB419,ConstDropMechs!$B$4:$D$1001,3,FALSE),""),"")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zones'!$A$5:$D$10003,4,FALSE),"")</f>
        <v>Bangkorai</v>
      </c>
      <c r="AI419"/>
      <c r="AJ419"/>
      <c r="AK419" s="3" t="str">
        <f>IF(AND(G419&lt;&gt;"LIBSETS_SETTYPE_BATTLEGROUND",G419&lt;&gt;"LIBSETS_SETTYPE_SPECIAL"),IF(AL419&lt;&gt;"",VLOOKUP(AL419,'ESO zones'!$D$5:$H$4957,5,FALSE),""),"")</f>
        <v/>
      </c>
      <c r="AN419"/>
      <c r="AO419"/>
      <c r="AP419" s="3" t="str">
        <f>IF(AND(G419&lt;&gt;"LIBSETS_SETTYPE_BATTLEGROUND",G419&lt;&gt;"LIBSETS_SETTYPE_SPECIAL"),IF(AQ419&lt;&gt;"",VLOOKUP(AQ419,'ESO zones'!$D$5:$H$4957,5,FALSE),""),"")</f>
        <v/>
      </c>
      <c r="AS419"/>
      <c r="AT419"/>
      <c r="AU419" s="3" t="str">
        <f>IF(AND(G419&lt;&gt;"LIBSETS_SETTYPE_BATTLEGROUND",G419&lt;&gt;"LIBSETS_SETTYPE_SPECIAL"),IF(AV419&lt;&gt;"",VLOOKUP(AV419,'ESO zones'!$D$5:$H$4957,5,FALSE),""),"")</f>
        <v/>
      </c>
      <c r="AX419"/>
      <c r="AZ419" s="49" t="s">
        <v>403</v>
      </c>
      <c r="BA419" s="49"/>
      <c r="BB419" s="49"/>
      <c r="BC419" s="49"/>
      <c r="BD419" s="49"/>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1">
        <v>480</v>
      </c>
      <c r="B420" t="s">
        <v>1358</v>
      </c>
      <c r="C420" t="s">
        <v>1359</v>
      </c>
      <c r="D420" s="3">
        <f t="shared" si="36"/>
        <v>480</v>
      </c>
      <c r="G420" s="3" t="s">
        <v>163</v>
      </c>
      <c r="I420" t="s">
        <v>401</v>
      </c>
      <c r="J420" t="s">
        <v>401</v>
      </c>
      <c r="K420">
        <v>-1</v>
      </c>
      <c r="L420">
        <v>-1</v>
      </c>
      <c r="M420">
        <v>-1</v>
      </c>
      <c r="N420">
        <v>3</v>
      </c>
      <c r="O420" s="5" t="s">
        <v>166</v>
      </c>
      <c r="Q420" s="3">
        <f>IF(AND(P420&lt;&gt;"",ISNUMBER(P420),NOT(ISNA(P420))),P420,IF(R420&lt;&gt;"",VLOOKUP(R420,'ESO zones'!$D$5:$H$10005,5,FALSE),""))</f>
        <v>181</v>
      </c>
      <c r="R420" t="str">
        <f>IF(AND(O420&lt;&gt;"",NOT(ISERROR(O420))),O420,IF(AND(P420&lt;&gt;"",ISNUMBER(P420),P420&gt;0,NOT(ISNA(P420))),VLOOKUP(P420,'ESO zones'!$A$5:$D$10003,4,FALSE),IF(AND(K420&lt;&gt;"",K420&gt;0,NOT(ISERROR(K420))),VLOOKUP(K420,'ESO wayshrines'!$K$3:$N$9972,4,FALSE),"")))</f>
        <v>Cyrodiil</v>
      </c>
      <c r="T420" s="16" t="str">
        <f>IF(AND(S420&lt;&gt;"",NOT(ISERROR(S420))),S420,VLOOKUP(A420,'ESO Set&amp;DLCs'!$A$3:$D$99998,4,FALSE))</f>
        <v>DLC_BASE_GAME</v>
      </c>
      <c r="U420" s="3" t="str">
        <f>IF(T420&lt;&gt;"",VLOOKUP(T420,ConstDLCIds!$B$4:$C$1000,2,FALSE),"")</f>
        <v>Included in base game</v>
      </c>
      <c r="V420" s="4" t="s">
        <v>281</v>
      </c>
      <c r="Y420" s="5">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zones'!$A$5:$D$10003,4,FALSE),"")</f>
        <v>Cyrodiil</v>
      </c>
      <c r="AB420" s="4"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zones'!$A$5:$D$10003,4,FALSE),"")</f>
        <v/>
      </c>
      <c r="AI420"/>
      <c r="AJ420"/>
      <c r="AK420" s="3" t="str">
        <f>IF(AND(G420&lt;&gt;"LIBSETS_SETTYPE_BATTLEGROUND",G420&lt;&gt;"LIBSETS_SETTYPE_SPECIAL"),IF(AL420&lt;&gt;"",VLOOKUP(AL420,'ESO zones'!$D$5:$H$4957,5,FALSE),""),"")</f>
        <v/>
      </c>
      <c r="AN420"/>
      <c r="AO420"/>
      <c r="AP420" s="3" t="str">
        <f>IF(AND(G420&lt;&gt;"LIBSETS_SETTYPE_BATTLEGROUND",G420&lt;&gt;"LIBSETS_SETTYPE_SPECIAL"),IF(AQ420&lt;&gt;"",VLOOKUP(AQ420,'ESO zones'!$D$5:$H$4957,5,FALSE),""),"")</f>
        <v/>
      </c>
      <c r="AS420"/>
      <c r="AT420"/>
      <c r="AU420" s="3" t="str">
        <f>IF(AND(G420&lt;&gt;"LIBSETS_SETTYPE_BATTLEGROUND",G420&lt;&gt;"LIBSETS_SETTYPE_SPECIAL"),IF(AV420&lt;&gt;"",VLOOKUP(AV420,'ESO zones'!$D$5:$H$4957,5,FALSE),""),"")</f>
        <v/>
      </c>
      <c r="AX420"/>
      <c r="AY420" s="29"/>
      <c r="AZ420" s="49" t="s">
        <v>403</v>
      </c>
      <c r="BA420" s="49"/>
      <c r="BB420" s="49"/>
      <c r="BC420" s="49"/>
      <c r="BD420" s="49"/>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v>
      </c>
      <c r="BI420" s="18" t="str">
        <f t="shared" si="41"/>
        <v>}, --Critical Riposte / Kritischer Konter   [Cyrodiil, Cyrodiil]</v>
      </c>
    </row>
    <row r="421" spans="1:61" x14ac:dyDescent="0.25">
      <c r="A421" s="1">
        <v>481</v>
      </c>
      <c r="B421" t="s">
        <v>1360</v>
      </c>
      <c r="C421" t="s">
        <v>1361</v>
      </c>
      <c r="D421" s="3">
        <f t="shared" si="36"/>
        <v>481</v>
      </c>
      <c r="G421" s="3" t="s">
        <v>163</v>
      </c>
      <c r="I421" t="s">
        <v>401</v>
      </c>
      <c r="J421" t="s">
        <v>401</v>
      </c>
      <c r="K421">
        <v>-1</v>
      </c>
      <c r="L421">
        <v>-1</v>
      </c>
      <c r="M421">
        <v>-1</v>
      </c>
      <c r="N421">
        <v>3</v>
      </c>
      <c r="O421" s="5" t="s">
        <v>166</v>
      </c>
      <c r="Q421" s="3">
        <f>IF(AND(P421&lt;&gt;"",ISNUMBER(P421),NOT(ISNA(P421))),P421,IF(R421&lt;&gt;"",VLOOKUP(R421,'ESO zones'!$D$5:$H$10005,5,FALSE),""))</f>
        <v>181</v>
      </c>
      <c r="R421" t="str">
        <f>IF(AND(O421&lt;&gt;"",NOT(ISERROR(O421))),O421,IF(AND(P421&lt;&gt;"",ISNUMBER(P421),P421&gt;0,NOT(ISNA(P421))),VLOOKUP(P421,'ESO zones'!$A$5:$D$10003,4,FALSE),IF(AND(K421&lt;&gt;"",K421&gt;0,NOT(ISERROR(K421))),VLOOKUP(K421,'ESO wayshrines'!$K$3:$N$9972,4,FALSE),"")))</f>
        <v>Cyrodiil</v>
      </c>
      <c r="T421" s="16" t="str">
        <f>IF(AND(S421&lt;&gt;"",NOT(ISERROR(S421))),S421,VLOOKUP(A421,'ESO Set&amp;DLCs'!$A$3:$D$99998,4,FALSE))</f>
        <v>DLC_BASE_GAME</v>
      </c>
      <c r="U421" s="3" t="str">
        <f>IF(T421&lt;&gt;"",VLOOKUP(T421,ConstDLCIds!$B$4:$C$1000,2,FALSE),"")</f>
        <v>Included in base game</v>
      </c>
      <c r="V421" s="4" t="s">
        <v>281</v>
      </c>
      <c r="Y421" s="5">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zones'!$A$5:$D$10003,4,FALSE),"")</f>
        <v>Cyrodiil</v>
      </c>
      <c r="AB421" s="4"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zones'!$A$5:$D$10003,4,FALSE),"")</f>
        <v/>
      </c>
      <c r="AI421"/>
      <c r="AJ421"/>
      <c r="AK421" s="3" t="str">
        <f>IF(AND(G421&lt;&gt;"LIBSETS_SETTYPE_BATTLEGROUND",G421&lt;&gt;"LIBSETS_SETTYPE_SPECIAL"),IF(AL421&lt;&gt;"",VLOOKUP(AL421,'ESO zones'!$D$5:$H$4957,5,FALSE),""),"")</f>
        <v/>
      </c>
      <c r="AN421"/>
      <c r="AO421"/>
      <c r="AP421" s="3" t="str">
        <f>IF(AND(G421&lt;&gt;"LIBSETS_SETTYPE_BATTLEGROUND",G421&lt;&gt;"LIBSETS_SETTYPE_SPECIAL"),IF(AQ421&lt;&gt;"",VLOOKUP(AQ421,'ESO zones'!$D$5:$H$4957,5,FALSE),""),"")</f>
        <v/>
      </c>
      <c r="AS421"/>
      <c r="AT421"/>
      <c r="AU421" s="3" t="str">
        <f>IF(AND(G421&lt;&gt;"LIBSETS_SETTYPE_BATTLEGROUND",G421&lt;&gt;"LIBSETS_SETTYPE_SPECIAL"),IF(AV421&lt;&gt;"",VLOOKUP(AV421,'ESO zones'!$D$5:$H$4957,5,FALSE),""),"")</f>
        <v/>
      </c>
      <c r="AX421"/>
      <c r="AY421" s="29"/>
      <c r="AZ421" s="49" t="s">
        <v>403</v>
      </c>
      <c r="BA421" s="49"/>
      <c r="BB421" s="49"/>
      <c r="BC421" s="49"/>
      <c r="BD421" s="49"/>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v>
      </c>
      <c r="BI421" s="18" t="str">
        <f t="shared" si="41"/>
        <v>}, --Unchained Aggressor / Entfesselter Aggressor   [Cyrodiil, Cyrodiil]</v>
      </c>
    </row>
    <row r="422" spans="1:61" x14ac:dyDescent="0.25">
      <c r="A422" s="1">
        <v>482</v>
      </c>
      <c r="B422" t="s">
        <v>1362</v>
      </c>
      <c r="C422" t="s">
        <v>1363</v>
      </c>
      <c r="D422" s="3">
        <f t="shared" si="36"/>
        <v>482</v>
      </c>
      <c r="G422" s="3" t="s">
        <v>163</v>
      </c>
      <c r="I422" t="s">
        <v>401</v>
      </c>
      <c r="J422" t="s">
        <v>401</v>
      </c>
      <c r="K422">
        <v>-1</v>
      </c>
      <c r="L422">
        <v>-1</v>
      </c>
      <c r="M422">
        <v>-1</v>
      </c>
      <c r="N422">
        <v>3</v>
      </c>
      <c r="O422" s="5" t="s">
        <v>166</v>
      </c>
      <c r="Q422" s="3">
        <f>IF(AND(P422&lt;&gt;"",ISNUMBER(P422),NOT(ISNA(P422))),P422,IF(R422&lt;&gt;"",VLOOKUP(R422,'ESO zones'!$D$5:$H$10005,5,FALSE),""))</f>
        <v>181</v>
      </c>
      <c r="R422" t="str">
        <f>IF(AND(O422&lt;&gt;"",NOT(ISERROR(O422))),O422,IF(AND(P422&lt;&gt;"",ISNUMBER(P422),P422&gt;0,NOT(ISNA(P422))),VLOOKUP(P422,'ESO zones'!$A$5:$D$10003,4,FALSE),IF(AND(K422&lt;&gt;"",K422&gt;0,NOT(ISERROR(K422))),VLOOKUP(K422,'ESO wayshrines'!$K$3:$N$9972,4,FALSE),"")))</f>
        <v>Cyrodiil</v>
      </c>
      <c r="T422" s="16" t="str">
        <f>IF(AND(S422&lt;&gt;"",NOT(ISERROR(S422))),S422,VLOOKUP(A422,'ESO Set&amp;DLCs'!$A$3:$D$99998,4,FALSE))</f>
        <v>DLC_BASE_GAME</v>
      </c>
      <c r="U422" s="3" t="str">
        <f>IF(T422&lt;&gt;"",VLOOKUP(T422,ConstDLCIds!$B$4:$C$1000,2,FALSE),"")</f>
        <v>Included in base game</v>
      </c>
      <c r="V422" s="4" t="s">
        <v>281</v>
      </c>
      <c r="Y422" s="5">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zones'!$A$5:$D$10003,4,FALSE),"")</f>
        <v>Cyrodiil</v>
      </c>
      <c r="AB422" s="4"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zones'!$A$5:$D$10003,4,FALSE),"")</f>
        <v/>
      </c>
      <c r="AI422"/>
      <c r="AJ422"/>
      <c r="AK422" s="3" t="str">
        <f>IF(AND(G422&lt;&gt;"LIBSETS_SETTYPE_BATTLEGROUND",G422&lt;&gt;"LIBSETS_SETTYPE_SPECIAL"),IF(AL422&lt;&gt;"",VLOOKUP(AL422,'ESO zones'!$D$5:$H$4957,5,FALSE),""),"")</f>
        <v/>
      </c>
      <c r="AN422"/>
      <c r="AO422"/>
      <c r="AP422" s="3" t="str">
        <f>IF(AND(G422&lt;&gt;"LIBSETS_SETTYPE_BATTLEGROUND",G422&lt;&gt;"LIBSETS_SETTYPE_SPECIAL"),IF(AQ422&lt;&gt;"",VLOOKUP(AQ422,'ESO zones'!$D$5:$H$4957,5,FALSE),""),"")</f>
        <v/>
      </c>
      <c r="AS422"/>
      <c r="AT422"/>
      <c r="AU422" s="3" t="str">
        <f>IF(AND(G422&lt;&gt;"LIBSETS_SETTYPE_BATTLEGROUND",G422&lt;&gt;"LIBSETS_SETTYPE_SPECIAL"),IF(AV422&lt;&gt;"",VLOOKUP(AV422,'ESO zones'!$D$5:$H$4957,5,FALSE),""),"")</f>
        <v/>
      </c>
      <c r="AX422"/>
      <c r="AY422" s="29"/>
      <c r="AZ422" s="49" t="s">
        <v>403</v>
      </c>
      <c r="BA422" s="49"/>
      <c r="BB422" s="49"/>
      <c r="BC422" s="49"/>
      <c r="BD422" s="49"/>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v>
      </c>
      <c r="BI422" s="18" t="str">
        <f t="shared" si="41"/>
        <v>}, --Dauntless Combatant / Furchtloser Kombattant   [Cyrodiil, Cyrodiil]</v>
      </c>
    </row>
    <row r="423" spans="1:61" x14ac:dyDescent="0.25">
      <c r="A423" s="1">
        <v>483</v>
      </c>
      <c r="B423" t="s">
        <v>1364</v>
      </c>
      <c r="C423" t="s">
        <v>1364</v>
      </c>
      <c r="D423" s="3">
        <f t="shared" si="36"/>
        <v>483</v>
      </c>
      <c r="E423" s="40" t="s">
        <v>1365</v>
      </c>
      <c r="F423" s="2" t="s">
        <v>813</v>
      </c>
      <c r="G423" s="9" t="s">
        <v>176</v>
      </c>
      <c r="I423" t="s">
        <v>401</v>
      </c>
      <c r="J423" t="s">
        <v>401</v>
      </c>
      <c r="K423">
        <v>-1</v>
      </c>
      <c r="L423">
        <v>-1</v>
      </c>
      <c r="M423">
        <v>-1</v>
      </c>
      <c r="Q423" s="3" t="str">
        <f>IF(AND(P423&lt;&gt;"",ISNUMBER(P423),NOT(ISNA(P423))),P423,IF(R423&lt;&gt;"",VLOOKUP(R423,'ESO zones'!$D$5:$H$10005,5,FALSE),""))</f>
        <v/>
      </c>
      <c r="R423" t="str">
        <f>IF(AND(O423&lt;&gt;"",NOT(ISERROR(O423))),O423,IF(AND(P423&lt;&gt;"",ISNUMBER(P423),P423&gt;0,NOT(ISNA(P423))),VLOOKUP(P423,'ESO zones'!$A$5:$D$10003,4,FALSE),IF(AND(K423&lt;&gt;"",K423&gt;0,NOT(ISERROR(K423))),VLOOKUP(K423,'ESO wayshrines'!$K$3:$N$9972,4,FALSE),"")))</f>
        <v/>
      </c>
      <c r="T423" s="16">
        <f>IF(AND(S423&lt;&gt;"",NOT(ISERROR(S423))),S423,VLOOKUP(A423,'ESO Set&amp;DLCs'!$A$3:$D$99998,4,FALSE))</f>
        <v>0</v>
      </c>
      <c r="U423" s="3" t="e">
        <f>IF(T423&lt;&gt;"",VLOOKUP(T423,ConstDLCIds!$B$4:$C$1000,2,FALSE),"")</f>
        <v>#N/A</v>
      </c>
      <c r="V423" s="4" t="s">
        <v>1366</v>
      </c>
      <c r="Y423" s="5"/>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zones'!$A$5:$D$10003,4,FALSE),"")</f>
        <v/>
      </c>
      <c r="AE423" s="30"/>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zones'!$A$5:$D$10003,4,FALSE),"")</f>
        <v/>
      </c>
      <c r="AI423" s="30"/>
      <c r="AJ423" s="30"/>
      <c r="AK423" s="3" t="str">
        <f>IF(AND(G423&lt;&gt;"LIBSETS_SETTYPE_BATTLEGROUND",G423&lt;&gt;"LIBSETS_SETTYPE_SPECIAL"),IF(AL423&lt;&gt;"",VLOOKUP(AL423,'ESO zones'!$D$5:$H$4957,5,FALSE),""),"")</f>
        <v/>
      </c>
      <c r="AN423" s="30"/>
      <c r="AO423" s="30"/>
      <c r="AP423" s="3" t="str">
        <f>IF(AND(G423&lt;&gt;"LIBSETS_SETTYPE_BATTLEGROUND",G423&lt;&gt;"LIBSETS_SETTYPE_SPECIAL"),IF(AQ423&lt;&gt;"",VLOOKUP(AQ423,'ESO zones'!$D$5:$H$4957,5,FALSE),""),"")</f>
        <v/>
      </c>
      <c r="AS423" s="30"/>
      <c r="AT423" s="30"/>
      <c r="AU423" s="3" t="str">
        <f>IF(AND(G423&lt;&gt;"LIBSETS_SETTYPE_BATTLEGROUND",G423&lt;&gt;"LIBSETS_SETTYPE_SPECIAL"),IF(AV423&lt;&gt;"",VLOOKUP(AV423,'ESO zones'!$D$5:$H$4957,5,FALSE),""),"")</f>
        <v/>
      </c>
      <c r="AX423" s="30"/>
      <c r="AZ423" s="49" t="s">
        <v>403</v>
      </c>
      <c r="BA423" s="49"/>
      <c r="BB423" s="49"/>
      <c r="BC423" s="49"/>
      <c r="BD423" s="49"/>
      <c r="BE423" s="18" t="str">
        <f t="shared" si="37"/>
        <v/>
      </c>
      <c r="BF423" s="18" t="str">
        <f t="shared" si="38"/>
        <v/>
      </c>
      <c r="BG423" s="18" t="str">
        <f t="shared" si="39"/>
        <v/>
      </c>
      <c r="BH423" s="18" t="str">
        <f t="shared" si="40"/>
        <v/>
      </c>
      <c r="BI423" s="18" t="str">
        <f t="shared" si="41"/>
        <v/>
      </c>
    </row>
    <row r="424" spans="1:61" x14ac:dyDescent="0.25">
      <c r="A424" s="1">
        <v>484</v>
      </c>
      <c r="B424" t="s">
        <v>1367</v>
      </c>
      <c r="C424" t="s">
        <v>1367</v>
      </c>
      <c r="D424" s="3">
        <f t="shared" si="36"/>
        <v>484</v>
      </c>
      <c r="E424" s="40" t="s">
        <v>1365</v>
      </c>
      <c r="F424" s="2" t="s">
        <v>813</v>
      </c>
      <c r="G424" s="9" t="s">
        <v>176</v>
      </c>
      <c r="I424" t="s">
        <v>401</v>
      </c>
      <c r="J424" t="s">
        <v>401</v>
      </c>
      <c r="K424">
        <v>-1</v>
      </c>
      <c r="L424">
        <v>-1</v>
      </c>
      <c r="M424">
        <v>-1</v>
      </c>
      <c r="Q424" s="3" t="str">
        <f>IF(AND(P424&lt;&gt;"",ISNUMBER(P424),NOT(ISNA(P424))),P424,IF(R424&lt;&gt;"",VLOOKUP(R424,'ESO zones'!$D$5:$H$10005,5,FALSE),""))</f>
        <v/>
      </c>
      <c r="R424" t="str">
        <f>IF(AND(O424&lt;&gt;"",NOT(ISERROR(O424))),O424,IF(AND(P424&lt;&gt;"",ISNUMBER(P424),P424&gt;0,NOT(ISNA(P424))),VLOOKUP(P424,'ESO zones'!$A$5:$D$10003,4,FALSE),IF(AND(K424&lt;&gt;"",K424&gt;0,NOT(ISERROR(K424))),VLOOKUP(K424,'ESO wayshrines'!$K$3:$N$9972,4,FALSE),"")))</f>
        <v/>
      </c>
      <c r="T424" s="16">
        <f>IF(AND(S424&lt;&gt;"",NOT(ISERROR(S424))),S424,VLOOKUP(A424,'ESO Set&amp;DLCs'!$A$3:$D$99998,4,FALSE))</f>
        <v>0</v>
      </c>
      <c r="U424" s="3" t="e">
        <f>IF(T424&lt;&gt;"",VLOOKUP(T424,ConstDLCIds!$B$4:$C$1000,2,FALSE),"")</f>
        <v>#N/A</v>
      </c>
      <c r="V424" s="4" t="s">
        <v>1366</v>
      </c>
      <c r="Y424" s="5"/>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zones'!$A$5:$D$10003,4,FALSE),"")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zones'!$A$5:$D$10003,4,FALSE),"")</f>
        <v/>
      </c>
      <c r="AK424" s="3" t="str">
        <f>IF(AND(G424&lt;&gt;"LIBSETS_SETTYPE_BATTLEGROUND",G424&lt;&gt;"LIBSETS_SETTYPE_SPECIAL"),IF(AL424&lt;&gt;"",VLOOKUP(AL424,'ESO zones'!$D$5:$H$4957,5,FALSE),""),"")</f>
        <v/>
      </c>
      <c r="AP424" s="3" t="str">
        <f>IF(AND(G424&lt;&gt;"LIBSETS_SETTYPE_BATTLEGROUND",G424&lt;&gt;"LIBSETS_SETTYPE_SPECIAL"),IF(AQ424&lt;&gt;"",VLOOKUP(AQ424,'ESO zones'!$D$5:$H$4957,5,FALSE),""),"")</f>
        <v/>
      </c>
      <c r="AU424" s="3" t="str">
        <f>IF(AND(G424&lt;&gt;"LIBSETS_SETTYPE_BATTLEGROUND",G424&lt;&gt;"LIBSETS_SETTYPE_SPECIAL"),IF(AV424&lt;&gt;"",VLOOKUP(AV424,'ESO zones'!$D$5:$H$4957,5,FALSE),""),"")</f>
        <v/>
      </c>
      <c r="AZ424" s="49" t="s">
        <v>403</v>
      </c>
      <c r="BA424" s="49"/>
      <c r="BB424" s="49"/>
      <c r="BC424" s="49"/>
      <c r="BD424" s="49"/>
      <c r="BE424" s="18" t="str">
        <f t="shared" si="37"/>
        <v/>
      </c>
      <c r="BF424" s="18" t="str">
        <f t="shared" si="38"/>
        <v/>
      </c>
      <c r="BG424" s="18" t="str">
        <f t="shared" si="39"/>
        <v/>
      </c>
      <c r="BH424" s="18" t="str">
        <f t="shared" si="40"/>
        <v/>
      </c>
      <c r="BI424" s="18" t="str">
        <f t="shared" si="41"/>
        <v/>
      </c>
    </row>
    <row r="425" spans="1:61" x14ac:dyDescent="0.25">
      <c r="A425" s="1">
        <v>485</v>
      </c>
      <c r="B425" t="s">
        <v>1368</v>
      </c>
      <c r="C425" t="s">
        <v>1368</v>
      </c>
      <c r="D425" s="3">
        <f t="shared" si="36"/>
        <v>485</v>
      </c>
      <c r="E425" s="40" t="s">
        <v>1365</v>
      </c>
      <c r="F425" s="2" t="s">
        <v>813</v>
      </c>
      <c r="G425" s="9" t="s">
        <v>176</v>
      </c>
      <c r="I425" t="s">
        <v>401</v>
      </c>
      <c r="J425" t="s">
        <v>401</v>
      </c>
      <c r="K425">
        <v>-1</v>
      </c>
      <c r="L425">
        <v>-1</v>
      </c>
      <c r="M425">
        <v>-1</v>
      </c>
      <c r="Q425" s="3" t="str">
        <f>IF(AND(P425&lt;&gt;"",ISNUMBER(P425),NOT(ISNA(P425))),P425,IF(R425&lt;&gt;"",VLOOKUP(R425,'ESO zones'!$D$5:$H$10005,5,FALSE),""))</f>
        <v/>
      </c>
      <c r="R425" t="str">
        <f>IF(AND(O425&lt;&gt;"",NOT(ISERROR(O425))),O425,IF(AND(P425&lt;&gt;"",ISNUMBER(P425),P425&gt;0,NOT(ISNA(P425))),VLOOKUP(P425,'ESO zones'!$A$5:$D$10003,4,FALSE),IF(AND(K425&lt;&gt;"",K425&gt;0,NOT(ISERROR(K425))),VLOOKUP(K425,'ESO wayshrines'!$K$3:$N$9972,4,FALSE),"")))</f>
        <v/>
      </c>
      <c r="T425" s="16">
        <f>IF(AND(S425&lt;&gt;"",NOT(ISERROR(S425))),S425,VLOOKUP(A425,'ESO Set&amp;DLCs'!$A$3:$D$99998,4,FALSE))</f>
        <v>0</v>
      </c>
      <c r="U425" s="3" t="e">
        <f>IF(T425&lt;&gt;"",VLOOKUP(T425,ConstDLCIds!$B$4:$C$1000,2,FALSE),"")</f>
        <v>#N/A</v>
      </c>
      <c r="V425" s="4" t="s">
        <v>1366</v>
      </c>
      <c r="Y425" s="5"/>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zones'!$A$5:$D$10003,4,FALSE),"")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zones'!$A$5:$D$10003,4,FALSE),"")</f>
        <v/>
      </c>
      <c r="AK425" s="3" t="str">
        <f>IF(AND(G425&lt;&gt;"LIBSETS_SETTYPE_BATTLEGROUND",G425&lt;&gt;"LIBSETS_SETTYPE_SPECIAL"),IF(AL425&lt;&gt;"",VLOOKUP(AL425,'ESO zones'!$D$5:$H$4957,5,FALSE),""),"")</f>
        <v/>
      </c>
      <c r="AP425" s="3" t="str">
        <f>IF(AND(G425&lt;&gt;"LIBSETS_SETTYPE_BATTLEGROUND",G425&lt;&gt;"LIBSETS_SETTYPE_SPECIAL"),IF(AQ425&lt;&gt;"",VLOOKUP(AQ425,'ESO zones'!$D$5:$H$4957,5,FALSE),""),"")</f>
        <v/>
      </c>
      <c r="AU425" s="3" t="str">
        <f>IF(AND(G425&lt;&gt;"LIBSETS_SETTYPE_BATTLEGROUND",G425&lt;&gt;"LIBSETS_SETTYPE_SPECIAL"),IF(AV425&lt;&gt;"",VLOOKUP(AV425,'ESO zones'!$D$5:$H$4957,5,FALSE),""),"")</f>
        <v/>
      </c>
      <c r="AZ425" s="49" t="s">
        <v>403</v>
      </c>
      <c r="BA425" s="49"/>
      <c r="BB425" s="49"/>
      <c r="BC425" s="49"/>
      <c r="BD425" s="49"/>
      <c r="BE425" s="18" t="str">
        <f t="shared" si="37"/>
        <v/>
      </c>
      <c r="BF425" s="18" t="str">
        <f t="shared" si="38"/>
        <v/>
      </c>
      <c r="BG425" s="18" t="str">
        <f t="shared" si="39"/>
        <v/>
      </c>
      <c r="BH425" s="18" t="str">
        <f t="shared" si="40"/>
        <v/>
      </c>
      <c r="BI425" s="18" t="str">
        <f t="shared" si="41"/>
        <v/>
      </c>
    </row>
    <row r="426" spans="1:61" x14ac:dyDescent="0.25">
      <c r="A426" s="1">
        <v>486</v>
      </c>
      <c r="B426" t="s">
        <v>1369</v>
      </c>
      <c r="C426" t="s">
        <v>1369</v>
      </c>
      <c r="D426" s="3">
        <f t="shared" si="36"/>
        <v>486</v>
      </c>
      <c r="E426" s="40" t="s">
        <v>1365</v>
      </c>
      <c r="F426" s="2" t="s">
        <v>813</v>
      </c>
      <c r="G426" s="9" t="s">
        <v>176</v>
      </c>
      <c r="I426" t="s">
        <v>401</v>
      </c>
      <c r="J426" t="s">
        <v>401</v>
      </c>
      <c r="K426">
        <v>-1</v>
      </c>
      <c r="L426">
        <v>-1</v>
      </c>
      <c r="M426">
        <v>-1</v>
      </c>
      <c r="Q426" s="3" t="str">
        <f>IF(AND(P426&lt;&gt;"",ISNUMBER(P426),NOT(ISNA(P426))),P426,IF(R426&lt;&gt;"",VLOOKUP(R426,'ESO zones'!$D$5:$H$10005,5,FALSE),""))</f>
        <v/>
      </c>
      <c r="R426" t="str">
        <f>IF(AND(O426&lt;&gt;"",NOT(ISERROR(O426))),O426,IF(AND(P426&lt;&gt;"",ISNUMBER(P426),P426&gt;0,NOT(ISNA(P426))),VLOOKUP(P426,'ESO zones'!$A$5:$D$10003,4,FALSE),IF(AND(K426&lt;&gt;"",K426&gt;0,NOT(ISERROR(K426))),VLOOKUP(K426,'ESO wayshrines'!$K$3:$N$9972,4,FALSE),"")))</f>
        <v/>
      </c>
      <c r="T426" s="16">
        <f>IF(AND(S426&lt;&gt;"",NOT(ISERROR(S426))),S426,VLOOKUP(A426,'ESO Set&amp;DLCs'!$A$3:$D$99998,4,FALSE))</f>
        <v>0</v>
      </c>
      <c r="U426" s="3" t="e">
        <f>IF(T426&lt;&gt;"",VLOOKUP(T426,ConstDLCIds!$B$4:$C$1000,2,FALSE),"")</f>
        <v>#N/A</v>
      </c>
      <c r="V426" s="4" t="s">
        <v>1366</v>
      </c>
      <c r="Y426" s="5"/>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zones'!$A$5:$D$10003,4,FALSE),"")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zones'!$A$5:$D$10003,4,FALSE),"")</f>
        <v/>
      </c>
      <c r="AK426" s="3" t="str">
        <f>IF(AND(G426&lt;&gt;"LIBSETS_SETTYPE_BATTLEGROUND",G426&lt;&gt;"LIBSETS_SETTYPE_SPECIAL"),IF(AL426&lt;&gt;"",VLOOKUP(AL426,'ESO zones'!$D$5:$H$4957,5,FALSE),""),"")</f>
        <v/>
      </c>
      <c r="AP426" s="3" t="str">
        <f>IF(AND(G426&lt;&gt;"LIBSETS_SETTYPE_BATTLEGROUND",G426&lt;&gt;"LIBSETS_SETTYPE_SPECIAL"),IF(AQ426&lt;&gt;"",VLOOKUP(AQ426,'ESO zones'!$D$5:$H$4957,5,FALSE),""),"")</f>
        <v/>
      </c>
      <c r="AU426" s="3" t="str">
        <f>IF(AND(G426&lt;&gt;"LIBSETS_SETTYPE_BATTLEGROUND",G426&lt;&gt;"LIBSETS_SETTYPE_SPECIAL"),IF(AV426&lt;&gt;"",VLOOKUP(AV426,'ESO zones'!$D$5:$H$4957,5,FALSE),""),"")</f>
        <v/>
      </c>
      <c r="AZ426" s="49" t="s">
        <v>403</v>
      </c>
      <c r="BA426" s="49"/>
      <c r="BB426" s="49"/>
      <c r="BC426" s="49"/>
      <c r="BD426" s="49"/>
      <c r="BE426" s="18" t="str">
        <f t="shared" si="37"/>
        <v/>
      </c>
      <c r="BF426" s="18" t="str">
        <f t="shared" si="38"/>
        <v/>
      </c>
      <c r="BG426" s="18" t="str">
        <f t="shared" si="39"/>
        <v/>
      </c>
      <c r="BH426" s="18" t="str">
        <f t="shared" si="40"/>
        <v/>
      </c>
      <c r="BI426" s="18" t="str">
        <f t="shared" si="41"/>
        <v/>
      </c>
    </row>
    <row r="427" spans="1:61" x14ac:dyDescent="0.25">
      <c r="A427" s="1">
        <v>487</v>
      </c>
      <c r="B427" t="s">
        <v>1370</v>
      </c>
      <c r="C427" t="s">
        <v>1371</v>
      </c>
      <c r="D427" s="3">
        <f t="shared" si="36"/>
        <v>487</v>
      </c>
      <c r="G427" s="9" t="s">
        <v>174</v>
      </c>
      <c r="I427" t="s">
        <v>401</v>
      </c>
      <c r="J427" t="s">
        <v>401</v>
      </c>
      <c r="K427">
        <v>418</v>
      </c>
      <c r="L427">
        <v>419</v>
      </c>
      <c r="M427">
        <v>421</v>
      </c>
      <c r="O427" s="5" t="s">
        <v>1372</v>
      </c>
      <c r="Q427" s="3">
        <f>IF(AND(P427&lt;&gt;"",ISNUMBER(P427),NOT(ISNA(P427))),P427,IF(R427&lt;&gt;"",VLOOKUP(R427,'ESO zones'!$D$5:$H$10005,5,FALSE),""))</f>
        <v>1160</v>
      </c>
      <c r="R427" t="str">
        <f>IF(AND(O427&lt;&gt;"",NOT(ISERROR(O427))),O427,IF(AND(P427&lt;&gt;"",ISNUMBER(P427),P427&gt;0,NOT(ISNA(P427))),VLOOKUP(P427,'ESO zones'!$A$5:$D$10003,4,FALSE),IF(AND(K427&lt;&gt;"",K427&gt;0,NOT(ISERROR(K427))),VLOOKUP(K427,'ESO wayshrines'!$K$3:$N$9972,4,FALSE),"")))</f>
        <v>Western Skyrim</v>
      </c>
      <c r="T427" s="16" t="str">
        <f>IF(AND(S427&lt;&gt;"",NOT(ISERROR(S427))),S427,VLOOKUP(A427,'ESO Set&amp;DLCs'!$A$3:$D$99998,4,FALSE))</f>
        <v>DLC_GREYMOOR</v>
      </c>
      <c r="U427" s="3" t="str">
        <f>IF(T427&lt;&gt;"",VLOOKUP(T427,ConstDLCIds!$B$4:$C$1000,2,FALSE),"")</f>
        <v>Greymoor</v>
      </c>
      <c r="V427" s="4" t="s">
        <v>215</v>
      </c>
      <c r="Y427" s="5"/>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zones'!$A$5:$D$10003,4,FALSE),"")</f>
        <v>Western Skyrim</v>
      </c>
      <c r="AB427" s="57" t="s">
        <v>218</v>
      </c>
      <c r="AE427" s="3">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zones'!$A$5:$D$10003,4,FALSE),"")</f>
        <v>Labyrinthian</v>
      </c>
      <c r="AH427" s="4" t="s">
        <v>221</v>
      </c>
      <c r="AK427" s="3">
        <f>IF(AND(G427&lt;&gt;"LIBSETS_SETTYPE_BATTLEGROUND",G427&lt;&gt;"LIBSETS_SETTYPE_SPECIAL"),IF(AL427&lt;&gt;"",VLOOKUP(AL427,'ESO zones'!$D$5:$H$4957,5,FALSE),""),"")</f>
        <v>1160</v>
      </c>
      <c r="AL427" t="s">
        <v>1372</v>
      </c>
      <c r="AM427" s="4" t="s">
        <v>224</v>
      </c>
      <c r="AP427" s="3">
        <f>IF(AND(G427&lt;&gt;"LIBSETS_SETTYPE_BATTLEGROUND",G427&lt;&gt;"LIBSETS_SETTYPE_SPECIAL"),IF(AQ427&lt;&gt;"",VLOOKUP(AQ427,'ESO zones'!$D$5:$H$4957,5,FALSE),""),"")</f>
        <v>1160</v>
      </c>
      <c r="AQ427" t="s">
        <v>1372</v>
      </c>
      <c r="AR427" s="4" t="s">
        <v>269</v>
      </c>
      <c r="AU427" s="3" t="str">
        <f>IF(AND(G427&lt;&gt;"LIBSETS_SETTYPE_BATTLEGROUND",G427&lt;&gt;"LIBSETS_SETTYPE_SPECIAL"),IF(AV427&lt;&gt;"",VLOOKUP(AV427,'ESO zones'!$D$5:$H$4957,5,FALSE),""),"")</f>
        <v/>
      </c>
      <c r="AZ427" s="49" t="s">
        <v>403</v>
      </c>
      <c r="BA427" s="49"/>
      <c r="BB427" s="49"/>
      <c r="BC427" s="49"/>
      <c r="BD427" s="49"/>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1">
        <v>488</v>
      </c>
      <c r="B428" t="s">
        <v>1373</v>
      </c>
      <c r="C428" t="s">
        <v>1374</v>
      </c>
      <c r="D428" s="3">
        <f t="shared" si="36"/>
        <v>488</v>
      </c>
      <c r="G428" s="9" t="s">
        <v>174</v>
      </c>
      <c r="I428" t="s">
        <v>401</v>
      </c>
      <c r="J428" t="s">
        <v>401</v>
      </c>
      <c r="K428">
        <v>418</v>
      </c>
      <c r="L428">
        <v>419</v>
      </c>
      <c r="M428">
        <v>421</v>
      </c>
      <c r="O428" s="5" t="s">
        <v>1372</v>
      </c>
      <c r="Q428" s="3">
        <f>IF(AND(P428&lt;&gt;"",ISNUMBER(P428),NOT(ISNA(P428))),P428,IF(R428&lt;&gt;"",VLOOKUP(R428,'ESO zones'!$D$5:$H$10005,5,FALSE),""))</f>
        <v>1160</v>
      </c>
      <c r="R428" t="str">
        <f>IF(AND(O428&lt;&gt;"",NOT(ISERROR(O428))),O428,IF(AND(P428&lt;&gt;"",ISNUMBER(P428),P428&gt;0,NOT(ISNA(P428))),VLOOKUP(P428,'ESO zones'!$A$5:$D$10003,4,FALSE),IF(AND(K428&lt;&gt;"",K428&gt;0,NOT(ISERROR(K428))),VLOOKUP(K428,'ESO wayshrines'!$K$3:$N$9972,4,FALSE),"")))</f>
        <v>Western Skyrim</v>
      </c>
      <c r="T428" s="16" t="str">
        <f>IF(AND(S428&lt;&gt;"",NOT(ISERROR(S428))),S428,VLOOKUP(A428,'ESO Set&amp;DLCs'!$A$3:$D$99998,4,FALSE))</f>
        <v>DLC_GREYMOOR</v>
      </c>
      <c r="U428" s="3" t="str">
        <f>IF(T428&lt;&gt;"",VLOOKUP(T428,ConstDLCIds!$B$4:$C$1000,2,FALSE),"")</f>
        <v>Greymoor</v>
      </c>
      <c r="V428" s="4" t="s">
        <v>215</v>
      </c>
      <c r="Y428" s="5"/>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zones'!$A$5:$D$10003,4,FALSE),"")</f>
        <v>Western Skyrim</v>
      </c>
      <c r="AB428" s="57" t="s">
        <v>218</v>
      </c>
      <c r="AE428" s="3">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zones'!$A$5:$D$10003,4,FALSE),"")</f>
        <v>Labyrinthian</v>
      </c>
      <c r="AH428" s="4" t="s">
        <v>221</v>
      </c>
      <c r="AK428" s="3">
        <f>IF(AND(G428&lt;&gt;"LIBSETS_SETTYPE_BATTLEGROUND",G428&lt;&gt;"LIBSETS_SETTYPE_SPECIAL"),IF(AL428&lt;&gt;"",VLOOKUP(AL428,'ESO zones'!$D$5:$H$4957,5,FALSE),""),"")</f>
        <v>1160</v>
      </c>
      <c r="AL428" t="s">
        <v>1372</v>
      </c>
      <c r="AM428" s="4" t="s">
        <v>224</v>
      </c>
      <c r="AP428" s="3">
        <f>IF(AND(G428&lt;&gt;"LIBSETS_SETTYPE_BATTLEGROUND",G428&lt;&gt;"LIBSETS_SETTYPE_SPECIAL"),IF(AQ428&lt;&gt;"",VLOOKUP(AQ428,'ESO zones'!$D$5:$H$4957,5,FALSE),""),"")</f>
        <v>1160</v>
      </c>
      <c r="AQ428" t="s">
        <v>1372</v>
      </c>
      <c r="AR428" s="4" t="s">
        <v>269</v>
      </c>
      <c r="AU428" s="3" t="str">
        <f>IF(AND(G428&lt;&gt;"LIBSETS_SETTYPE_BATTLEGROUND",G428&lt;&gt;"LIBSETS_SETTYPE_SPECIAL"),IF(AV428&lt;&gt;"",VLOOKUP(AV428,'ESO zones'!$D$5:$H$4957,5,FALSE),""),"")</f>
        <v/>
      </c>
      <c r="AZ428" s="49" t="s">
        <v>403</v>
      </c>
      <c r="BA428" s="49"/>
      <c r="BB428" s="49"/>
      <c r="BC428" s="49"/>
      <c r="BD428" s="49"/>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1">
        <v>489</v>
      </c>
      <c r="B429" t="s">
        <v>1375</v>
      </c>
      <c r="C429" t="s">
        <v>1376</v>
      </c>
      <c r="D429" s="3">
        <f t="shared" si="36"/>
        <v>489</v>
      </c>
      <c r="G429" s="9" t="s">
        <v>174</v>
      </c>
      <c r="I429" t="s">
        <v>401</v>
      </c>
      <c r="J429" t="s">
        <v>401</v>
      </c>
      <c r="K429">
        <v>418</v>
      </c>
      <c r="L429">
        <v>419</v>
      </c>
      <c r="M429">
        <v>421</v>
      </c>
      <c r="O429" s="5" t="s">
        <v>1372</v>
      </c>
      <c r="Q429" s="3">
        <f>IF(AND(P429&lt;&gt;"",ISNUMBER(P429),NOT(ISNA(P429))),P429,IF(R429&lt;&gt;"",VLOOKUP(R429,'ESO zones'!$D$5:$H$10005,5,FALSE),""))</f>
        <v>1160</v>
      </c>
      <c r="R429" t="str">
        <f>IF(AND(O429&lt;&gt;"",NOT(ISERROR(O429))),O429,IF(AND(P429&lt;&gt;"",ISNUMBER(P429),P429&gt;0,NOT(ISNA(P429))),VLOOKUP(P429,'ESO zones'!$A$5:$D$10003,4,FALSE),IF(AND(K429&lt;&gt;"",K429&gt;0,NOT(ISERROR(K429))),VLOOKUP(K429,'ESO wayshrines'!$K$3:$N$9972,4,FALSE),"")))</f>
        <v>Western Skyrim</v>
      </c>
      <c r="T429" s="16" t="str">
        <f>IF(AND(S429&lt;&gt;"",NOT(ISERROR(S429))),S429,VLOOKUP(A429,'ESO Set&amp;DLCs'!$A$3:$D$99998,4,FALSE))</f>
        <v>DLC_GREYMOOR</v>
      </c>
      <c r="U429" s="3" t="str">
        <f>IF(T429&lt;&gt;"",VLOOKUP(T429,ConstDLCIds!$B$4:$C$1000,2,FALSE),"")</f>
        <v>Greymoor</v>
      </c>
      <c r="V429" s="4" t="s">
        <v>215</v>
      </c>
      <c r="Y429" s="5"/>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zones'!$A$5:$D$10003,4,FALSE),"")</f>
        <v>Western Skyrim</v>
      </c>
      <c r="AB429" s="57" t="s">
        <v>218</v>
      </c>
      <c r="AE429" s="3">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zones'!$A$5:$D$10003,4,FALSE),"")</f>
        <v>Labyrinthian</v>
      </c>
      <c r="AH429" s="4" t="s">
        <v>221</v>
      </c>
      <c r="AK429" s="3">
        <f>IF(AND(G429&lt;&gt;"LIBSETS_SETTYPE_BATTLEGROUND",G429&lt;&gt;"LIBSETS_SETTYPE_SPECIAL"),IF(AL429&lt;&gt;"",VLOOKUP(AL429,'ESO zones'!$D$5:$H$4957,5,FALSE),""),"")</f>
        <v>1160</v>
      </c>
      <c r="AL429" t="s">
        <v>1372</v>
      </c>
      <c r="AM429" s="4" t="s">
        <v>224</v>
      </c>
      <c r="AP429" s="3">
        <f>IF(AND(G429&lt;&gt;"LIBSETS_SETTYPE_BATTLEGROUND",G429&lt;&gt;"LIBSETS_SETTYPE_SPECIAL"),IF(AQ429&lt;&gt;"",VLOOKUP(AQ429,'ESO zones'!$D$5:$H$4957,5,FALSE),""),"")</f>
        <v>1160</v>
      </c>
      <c r="AQ429" t="s">
        <v>1372</v>
      </c>
      <c r="AR429" s="4" t="s">
        <v>269</v>
      </c>
      <c r="AU429" s="3" t="str">
        <f>IF(AND(G429&lt;&gt;"LIBSETS_SETTYPE_BATTLEGROUND",G429&lt;&gt;"LIBSETS_SETTYPE_SPECIAL"),IF(AV429&lt;&gt;"",VLOOKUP(AV429,'ESO zones'!$D$5:$H$4957,5,FALSE),""),"")</f>
        <v/>
      </c>
      <c r="AZ429" s="49" t="s">
        <v>403</v>
      </c>
      <c r="BA429" s="49"/>
      <c r="BB429" s="49"/>
      <c r="BC429" s="49"/>
      <c r="BD429" s="49"/>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1">
        <v>490</v>
      </c>
      <c r="B430" t="s">
        <v>1377</v>
      </c>
      <c r="C430" t="s">
        <v>1378</v>
      </c>
      <c r="D430" s="3">
        <f t="shared" si="36"/>
        <v>490</v>
      </c>
      <c r="G430" s="9" t="s">
        <v>163</v>
      </c>
      <c r="I430" t="s">
        <v>401</v>
      </c>
      <c r="J430" t="s">
        <v>401</v>
      </c>
      <c r="K430">
        <v>418</v>
      </c>
      <c r="L430">
        <v>418</v>
      </c>
      <c r="M430">
        <v>418</v>
      </c>
      <c r="N430">
        <v>5</v>
      </c>
      <c r="Q430" s="3">
        <f>IF(AND(P430&lt;&gt;"",ISNUMBER(P430),NOT(ISNA(P430))),P430,IF(R430&lt;&gt;"",VLOOKUP(R430,'ESO zones'!$D$5:$H$10005,5,FALSE),""))</f>
        <v>1160</v>
      </c>
      <c r="R430" t="str">
        <f>IF(AND(O430&lt;&gt;"",NOT(ISERROR(O430))),O430,IF(AND(P430&lt;&gt;"",ISNUMBER(P430),P430&gt;0,NOT(ISNA(P430))),VLOOKUP(P430,'ESO zones'!$A$5:$D$10003,4,FALSE),IF(AND(K430&lt;&gt;"",K430&gt;0,NOT(ISERROR(K430))),VLOOKUP(K430,'ESO wayshrines'!$K$3:$N$9972,4,FALSE),"")))</f>
        <v>Western Skyrim</v>
      </c>
      <c r="T430" s="16" t="str">
        <f>IF(AND(S430&lt;&gt;"",NOT(ISERROR(S430))),S430,VLOOKUP(A430,'ESO Set&amp;DLCs'!$A$3:$D$99998,4,FALSE))</f>
        <v>DLC_GREYMOOR</v>
      </c>
      <c r="U430" s="3" t="str">
        <f>IF(T430&lt;&gt;"",VLOOKUP(T430,ConstDLCIds!$B$4:$C$1000,2,FALSE),"")</f>
        <v>Greymoor</v>
      </c>
      <c r="V430" s="4" t="s">
        <v>281</v>
      </c>
      <c r="Y430" s="5"/>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zones'!$A$5:$D$10003,4,FALSE),"")</f>
        <v>Western Skyrim</v>
      </c>
      <c r="AB430" s="4" t="s">
        <v>281</v>
      </c>
      <c r="AE430" s="30"/>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zones'!$A$5:$D$10003,4,FALSE),"")</f>
        <v>Western Skyrim</v>
      </c>
      <c r="AH430" s="4" t="s">
        <v>281</v>
      </c>
      <c r="AI430" s="30"/>
      <c r="AJ430" s="30"/>
      <c r="AK430" s="3" t="str">
        <f>IF(AND(G430&lt;&gt;"LIBSETS_SETTYPE_BATTLEGROUND",G430&lt;&gt;"LIBSETS_SETTYPE_SPECIAL"),IF(AL430&lt;&gt;"",VLOOKUP(AL430,'ESO zones'!$D$5:$H$4957,5,FALSE),""),"")</f>
        <v/>
      </c>
      <c r="AN430" s="30"/>
      <c r="AO430" s="30"/>
      <c r="AP430" s="3" t="str">
        <f>IF(AND(G430&lt;&gt;"LIBSETS_SETTYPE_BATTLEGROUND",G430&lt;&gt;"LIBSETS_SETTYPE_SPECIAL"),IF(AQ430&lt;&gt;"",VLOOKUP(AQ430,'ESO zones'!$D$5:$H$4957,5,FALSE),""),"")</f>
        <v/>
      </c>
      <c r="AS430" s="30"/>
      <c r="AT430" s="30"/>
      <c r="AU430" s="3" t="str">
        <f>IF(AND(G430&lt;&gt;"LIBSETS_SETTYPE_BATTLEGROUND",G430&lt;&gt;"LIBSETS_SETTYPE_SPECIAL"),IF(AV430&lt;&gt;"",VLOOKUP(AV430,'ESO zones'!$D$5:$H$4957,5,FALSE),""),"")</f>
        <v/>
      </c>
      <c r="AX430" s="30"/>
      <c r="AZ430" s="49" t="s">
        <v>403</v>
      </c>
      <c r="BA430" s="49"/>
      <c r="BB430" s="49"/>
      <c r="BC430" s="49"/>
      <c r="BD430" s="49"/>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1">
        <v>491</v>
      </c>
      <c r="B431" t="s">
        <v>1379</v>
      </c>
      <c r="C431" t="s">
        <v>1380</v>
      </c>
      <c r="D431" s="3">
        <f t="shared" si="36"/>
        <v>491</v>
      </c>
      <c r="G431" s="9" t="s">
        <v>163</v>
      </c>
      <c r="I431" t="s">
        <v>401</v>
      </c>
      <c r="J431" t="s">
        <v>401</v>
      </c>
      <c r="K431">
        <v>417</v>
      </c>
      <c r="L431">
        <v>417</v>
      </c>
      <c r="M431">
        <v>417</v>
      </c>
      <c r="N431">
        <v>7</v>
      </c>
      <c r="Q431" s="3">
        <f>IF(AND(P431&lt;&gt;"",ISNUMBER(P431),NOT(ISNA(P431))),P431,IF(R431&lt;&gt;"",VLOOKUP(R431,'ESO zones'!$D$5:$H$10005,5,FALSE),""))</f>
        <v>1160</v>
      </c>
      <c r="R431" t="str">
        <f>IF(AND(O431&lt;&gt;"",NOT(ISERROR(O431))),O431,IF(AND(P431&lt;&gt;"",ISNUMBER(P431),P431&gt;0,NOT(ISNA(P431))),VLOOKUP(P431,'ESO zones'!$A$5:$D$10003,4,FALSE),IF(AND(K431&lt;&gt;"",K431&gt;0,NOT(ISERROR(K431))),VLOOKUP(K431,'ESO wayshrines'!$K$3:$N$9972,4,FALSE),"")))</f>
        <v>Western Skyrim</v>
      </c>
      <c r="T431" s="16" t="str">
        <f>IF(AND(S431&lt;&gt;"",NOT(ISERROR(S431))),S431,VLOOKUP(A431,'ESO Set&amp;DLCs'!$A$3:$D$99998,4,FALSE))</f>
        <v>DLC_GREYMOOR</v>
      </c>
      <c r="U431" s="3" t="str">
        <f>IF(T431&lt;&gt;"",VLOOKUP(T431,ConstDLCIds!$B$4:$C$1000,2,FALSE),"")</f>
        <v>Greymoor</v>
      </c>
      <c r="V431" s="4" t="s">
        <v>281</v>
      </c>
      <c r="Y431" s="5"/>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zones'!$A$5:$D$10003,4,FALSE),"")</f>
        <v>Western Skyrim</v>
      </c>
      <c r="AB431" s="4" t="s">
        <v>281</v>
      </c>
      <c r="AE431" s="30"/>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zones'!$A$5:$D$10003,4,FALSE),"")</f>
        <v>Western Skyrim</v>
      </c>
      <c r="AH431" s="4" t="s">
        <v>281</v>
      </c>
      <c r="AI431" s="30"/>
      <c r="AJ431" s="30"/>
      <c r="AK431" s="3" t="str">
        <f>IF(AND(G431&lt;&gt;"LIBSETS_SETTYPE_BATTLEGROUND",G431&lt;&gt;"LIBSETS_SETTYPE_SPECIAL"),IF(AL431&lt;&gt;"",VLOOKUP(AL431,'ESO zones'!$D$5:$H$4957,5,FALSE),""),"")</f>
        <v/>
      </c>
      <c r="AN431" s="30"/>
      <c r="AO431" s="30"/>
      <c r="AP431" s="3" t="str">
        <f>IF(AND(G431&lt;&gt;"LIBSETS_SETTYPE_BATTLEGROUND",G431&lt;&gt;"LIBSETS_SETTYPE_SPECIAL"),IF(AQ431&lt;&gt;"",VLOOKUP(AQ431,'ESO zones'!$D$5:$H$4957,5,FALSE),""),"")</f>
        <v/>
      </c>
      <c r="AS431" s="30"/>
      <c r="AT431" s="30"/>
      <c r="AU431" s="3" t="str">
        <f>IF(AND(G431&lt;&gt;"LIBSETS_SETTYPE_BATTLEGROUND",G431&lt;&gt;"LIBSETS_SETTYPE_SPECIAL"),IF(AV431&lt;&gt;"",VLOOKUP(AV431,'ESO zones'!$D$5:$H$4957,5,FALSE),""),"")</f>
        <v/>
      </c>
      <c r="AX431" s="30"/>
      <c r="AZ431" s="49" t="s">
        <v>403</v>
      </c>
      <c r="BA431" s="49"/>
      <c r="BB431" s="49"/>
      <c r="BC431" s="49"/>
      <c r="BD431" s="49"/>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1">
        <v>492</v>
      </c>
      <c r="B432" t="s">
        <v>1381</v>
      </c>
      <c r="C432" t="s">
        <v>1382</v>
      </c>
      <c r="D432" s="3">
        <f t="shared" si="36"/>
        <v>492</v>
      </c>
      <c r="G432" s="9" t="s">
        <v>178</v>
      </c>
      <c r="I432" t="s">
        <v>401</v>
      </c>
      <c r="J432" t="s">
        <v>401</v>
      </c>
      <c r="K432">
        <v>434</v>
      </c>
      <c r="L432">
        <v>434</v>
      </c>
      <c r="M432">
        <v>434</v>
      </c>
      <c r="O432" s="5" t="s">
        <v>1383</v>
      </c>
      <c r="Q432" s="3">
        <f>IF(AND(P432&lt;&gt;"",ISNUMBER(P432),NOT(ISNA(P432))),P432,IF(R432&lt;&gt;"",VLOOKUP(R432,'ESO zones'!$D$5:$H$10005,5,FALSE),""))</f>
        <v>1196</v>
      </c>
      <c r="R432" t="str">
        <f>IF(AND(O432&lt;&gt;"",NOT(ISERROR(O432))),O432,IF(AND(P432&lt;&gt;"",ISNUMBER(P432),P432&gt;0,NOT(ISNA(P432))),VLOOKUP(P432,'ESO zones'!$A$5:$D$10003,4,FALSE),IF(AND(K432&lt;&gt;"",K432&gt;0,NOT(ISERROR(K432))),VLOOKUP(K432,'ESO wayshrines'!$K$3:$N$9972,4,FALSE),"")))</f>
        <v>Kyne's Aegis</v>
      </c>
      <c r="T432" s="16" t="str">
        <f>IF(AND(S432&lt;&gt;"",NOT(ISERROR(S432))),S432,VLOOKUP(A432,'ESO Set&amp;DLCs'!$A$3:$D$99998,4,FALSE))</f>
        <v>DLC_GREYMOOR</v>
      </c>
      <c r="U432" s="3" t="str">
        <f>IF(T432&lt;&gt;"",VLOOKUP(T432,ConstDLCIds!$B$4:$C$1000,2,FALSE),"")</f>
        <v>Greymoor</v>
      </c>
      <c r="V432" s="4" t="s">
        <v>272</v>
      </c>
      <c r="Y432" s="5">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zones'!$A$5:$D$10003,4,FALSE),"")</f>
        <v>Kyne's Aegis</v>
      </c>
      <c r="AB432" s="4" t="s">
        <v>272</v>
      </c>
      <c r="AE432" s="5">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zones'!$A$5:$D$10003,4,FALSE),"")</f>
        <v>Kyne's Aegis</v>
      </c>
      <c r="AH432" s="4" t="s">
        <v>272</v>
      </c>
      <c r="AK432" s="3" t="str">
        <f>IF(AND(G432&lt;&gt;"LIBSETS_SETTYPE_BATTLEGROUND",G432&lt;&gt;"LIBSETS_SETTYPE_SPECIAL"),IF(AL432&lt;&gt;"",VLOOKUP(AL432,'ESO zones'!$D$5:$H$4957,5,FALSE),""),"")</f>
        <v/>
      </c>
      <c r="AP432" s="3" t="str">
        <f>IF(AND(G432&lt;&gt;"LIBSETS_SETTYPE_BATTLEGROUND",G432&lt;&gt;"LIBSETS_SETTYPE_SPECIAL"),IF(AQ432&lt;&gt;"",VLOOKUP(AQ432,'ESO zones'!$D$5:$H$4957,5,FALSE),""),"")</f>
        <v/>
      </c>
      <c r="AU432" s="3" t="str">
        <f>IF(AND(G432&lt;&gt;"LIBSETS_SETTYPE_BATTLEGROUND",G432&lt;&gt;"LIBSETS_SETTYPE_SPECIAL"),IF(AV432&lt;&gt;"",VLOOKUP(AV432,'ESO zones'!$D$5:$H$4957,5,FALSE),""),"")</f>
        <v/>
      </c>
      <c r="AZ432" s="49" t="s">
        <v>403</v>
      </c>
      <c r="BA432" s="49"/>
      <c r="BB432" s="49"/>
      <c r="BC432" s="49"/>
      <c r="BD432" s="49">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1">
        <v>493</v>
      </c>
      <c r="B433" t="s">
        <v>1384</v>
      </c>
      <c r="C433" t="s">
        <v>1385</v>
      </c>
      <c r="D433" s="3">
        <f t="shared" si="36"/>
        <v>493</v>
      </c>
      <c r="G433" s="9" t="s">
        <v>178</v>
      </c>
      <c r="I433" t="s">
        <v>1120</v>
      </c>
      <c r="J433" t="s">
        <v>401</v>
      </c>
      <c r="K433">
        <v>434</v>
      </c>
      <c r="L433">
        <v>434</v>
      </c>
      <c r="M433">
        <v>434</v>
      </c>
      <c r="O433" s="5" t="s">
        <v>1383</v>
      </c>
      <c r="Q433" s="3">
        <f>IF(AND(P433&lt;&gt;"",ISNUMBER(P433),NOT(ISNA(P433))),P433,IF(R433&lt;&gt;"",VLOOKUP(R433,'ESO zones'!$D$5:$H$10005,5,FALSE),""))</f>
        <v>1196</v>
      </c>
      <c r="R433" t="str">
        <f>IF(AND(O433&lt;&gt;"",NOT(ISERROR(O433))),O433,IF(AND(P433&lt;&gt;"",ISNUMBER(P433),P433&gt;0,NOT(ISNA(P433))),VLOOKUP(P433,'ESO zones'!$A$5:$D$10003,4,FALSE),IF(AND(K433&lt;&gt;"",K433&gt;0,NOT(ISERROR(K433))),VLOOKUP(K433,'ESO wayshrines'!$K$3:$N$9972,4,FALSE),"")))</f>
        <v>Kyne's Aegis</v>
      </c>
      <c r="T433" s="16" t="str">
        <f>IF(AND(S433&lt;&gt;"",NOT(ISERROR(S433))),S433,VLOOKUP(A433,'ESO Set&amp;DLCs'!$A$3:$D$99998,4,FALSE))</f>
        <v>DLC_GREYMOOR</v>
      </c>
      <c r="U433" s="3" t="str">
        <f>IF(T433&lt;&gt;"",VLOOKUP(T433,ConstDLCIds!$B$4:$C$1000,2,FALSE),"")</f>
        <v>Greymoor</v>
      </c>
      <c r="V433" s="4" t="s">
        <v>272</v>
      </c>
      <c r="Y433" s="5">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zones'!$A$5:$D$10003,4,FALSE),"")</f>
        <v>Kyne's Aegis</v>
      </c>
      <c r="AB433" s="4" t="s">
        <v>272</v>
      </c>
      <c r="AE433" s="5">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zones'!$A$5:$D$10003,4,FALSE),"")</f>
        <v>Kyne's Aegis</v>
      </c>
      <c r="AH433" s="4" t="s">
        <v>272</v>
      </c>
      <c r="AK433" s="3" t="str">
        <f>IF(AND(G433&lt;&gt;"LIBSETS_SETTYPE_BATTLEGROUND",G433&lt;&gt;"LIBSETS_SETTYPE_SPECIAL"),IF(AL433&lt;&gt;"",VLOOKUP(AL433,'ESO zones'!$D$5:$H$4957,5,FALSE),""),"")</f>
        <v/>
      </c>
      <c r="AP433" s="3" t="str">
        <f>IF(AND(G433&lt;&gt;"LIBSETS_SETTYPE_BATTLEGROUND",G433&lt;&gt;"LIBSETS_SETTYPE_SPECIAL"),IF(AQ433&lt;&gt;"",VLOOKUP(AQ433,'ESO zones'!$D$5:$H$4957,5,FALSE),""),"")</f>
        <v/>
      </c>
      <c r="AU433" s="3" t="str">
        <f>IF(AND(G433&lt;&gt;"LIBSETS_SETTYPE_BATTLEGROUND",G433&lt;&gt;"LIBSETS_SETTYPE_SPECIAL"),IF(AV433&lt;&gt;"",VLOOKUP(AV433,'ESO zones'!$D$5:$H$4957,5,FALSE),""),"")</f>
        <v/>
      </c>
      <c r="AZ433" s="49" t="s">
        <v>403</v>
      </c>
      <c r="BA433" s="49"/>
      <c r="BB433" s="49"/>
      <c r="BC433" s="49"/>
      <c r="BD433" s="49" t="s">
        <v>1122</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1">
        <v>494</v>
      </c>
      <c r="B434" t="s">
        <v>1386</v>
      </c>
      <c r="C434" t="s">
        <v>1387</v>
      </c>
      <c r="D434" s="3">
        <f t="shared" si="36"/>
        <v>494</v>
      </c>
      <c r="G434" s="9" t="s">
        <v>178</v>
      </c>
      <c r="I434" t="s">
        <v>401</v>
      </c>
      <c r="J434" t="s">
        <v>401</v>
      </c>
      <c r="K434">
        <v>434</v>
      </c>
      <c r="L434">
        <v>434</v>
      </c>
      <c r="M434">
        <v>434</v>
      </c>
      <c r="O434" s="5" t="s">
        <v>1383</v>
      </c>
      <c r="Q434" s="3">
        <f>IF(AND(P434&lt;&gt;"",ISNUMBER(P434),NOT(ISNA(P434))),P434,IF(R434&lt;&gt;"",VLOOKUP(R434,'ESO zones'!$D$5:$H$10005,5,FALSE),""))</f>
        <v>1196</v>
      </c>
      <c r="R434" t="str">
        <f>IF(AND(O434&lt;&gt;"",NOT(ISERROR(O434))),O434,IF(AND(P434&lt;&gt;"",ISNUMBER(P434),P434&gt;0,NOT(ISNA(P434))),VLOOKUP(P434,'ESO zones'!$A$5:$D$10003,4,FALSE),IF(AND(K434&lt;&gt;"",K434&gt;0,NOT(ISERROR(K434))),VLOOKUP(K434,'ESO wayshrines'!$K$3:$N$9972,4,FALSE),"")))</f>
        <v>Kyne's Aegis</v>
      </c>
      <c r="T434" s="16" t="str">
        <f>IF(AND(S434&lt;&gt;"",NOT(ISERROR(S434))),S434,VLOOKUP(A434,'ESO Set&amp;DLCs'!$A$3:$D$99998,4,FALSE))</f>
        <v>DLC_GREYMOOR</v>
      </c>
      <c r="U434" s="3" t="str">
        <f>IF(T434&lt;&gt;"",VLOOKUP(T434,ConstDLCIds!$B$4:$C$1000,2,FALSE),"")</f>
        <v>Greymoor</v>
      </c>
      <c r="V434" s="4" t="s">
        <v>272</v>
      </c>
      <c r="Y434" s="5">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zones'!$A$5:$D$10003,4,FALSE),"")</f>
        <v>Kyne's Aegis</v>
      </c>
      <c r="AB434" s="4" t="s">
        <v>272</v>
      </c>
      <c r="AE434" s="5">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zones'!$A$5:$D$10003,4,FALSE),"")</f>
        <v>Kyne's Aegis</v>
      </c>
      <c r="AH434" s="4" t="s">
        <v>272</v>
      </c>
      <c r="AK434" s="3" t="str">
        <f>IF(AND(G434&lt;&gt;"LIBSETS_SETTYPE_BATTLEGROUND",G434&lt;&gt;"LIBSETS_SETTYPE_SPECIAL"),IF(AL434&lt;&gt;"",VLOOKUP(AL434,'ESO zones'!$D$5:$H$4957,5,FALSE),""),"")</f>
        <v/>
      </c>
      <c r="AP434" s="3" t="str">
        <f>IF(AND(G434&lt;&gt;"LIBSETS_SETTYPE_BATTLEGROUND",G434&lt;&gt;"LIBSETS_SETTYPE_SPECIAL"),IF(AQ434&lt;&gt;"",VLOOKUP(AQ434,'ESO zones'!$D$5:$H$4957,5,FALSE),""),"")</f>
        <v/>
      </c>
      <c r="AU434" s="3" t="str">
        <f>IF(AND(G434&lt;&gt;"LIBSETS_SETTYPE_BATTLEGROUND",G434&lt;&gt;"LIBSETS_SETTYPE_SPECIAL"),IF(AV434&lt;&gt;"",VLOOKUP(AV434,'ESO zones'!$D$5:$H$4957,5,FALSE),""),"")</f>
        <v/>
      </c>
      <c r="AZ434" s="49" t="s">
        <v>403</v>
      </c>
      <c r="BA434" s="49"/>
      <c r="BB434" s="49"/>
      <c r="BC434" s="49"/>
      <c r="BD434" s="49">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1">
        <v>495</v>
      </c>
      <c r="B435" t="s">
        <v>1388</v>
      </c>
      <c r="C435" t="s">
        <v>1389</v>
      </c>
      <c r="D435" s="3">
        <f t="shared" si="36"/>
        <v>495</v>
      </c>
      <c r="G435" s="9" t="s">
        <v>178</v>
      </c>
      <c r="I435" t="s">
        <v>1120</v>
      </c>
      <c r="J435" t="s">
        <v>401</v>
      </c>
      <c r="K435">
        <v>434</v>
      </c>
      <c r="L435">
        <v>434</v>
      </c>
      <c r="M435">
        <v>434</v>
      </c>
      <c r="O435" s="5" t="s">
        <v>1383</v>
      </c>
      <c r="Q435" s="3">
        <f>IF(AND(P435&lt;&gt;"",ISNUMBER(P435),NOT(ISNA(P435))),P435,IF(R435&lt;&gt;"",VLOOKUP(R435,'ESO zones'!$D$5:$H$10005,5,FALSE),""))</f>
        <v>1196</v>
      </c>
      <c r="R435" t="str">
        <f>IF(AND(O435&lt;&gt;"",NOT(ISERROR(O435))),O435,IF(AND(P435&lt;&gt;"",ISNUMBER(P435),P435&gt;0,NOT(ISNA(P435))),VLOOKUP(P435,'ESO zones'!$A$5:$D$10003,4,FALSE),IF(AND(K435&lt;&gt;"",K435&gt;0,NOT(ISERROR(K435))),VLOOKUP(K435,'ESO wayshrines'!$K$3:$N$9972,4,FALSE),"")))</f>
        <v>Kyne's Aegis</v>
      </c>
      <c r="T435" s="16" t="str">
        <f>IF(AND(S435&lt;&gt;"",NOT(ISERROR(S435))),S435,VLOOKUP(A435,'ESO Set&amp;DLCs'!$A$3:$D$99998,4,FALSE))</f>
        <v>DLC_GREYMOOR</v>
      </c>
      <c r="U435" s="3" t="str">
        <f>IF(T435&lt;&gt;"",VLOOKUP(T435,ConstDLCIds!$B$4:$C$1000,2,FALSE),"")</f>
        <v>Greymoor</v>
      </c>
      <c r="V435" s="4" t="s">
        <v>272</v>
      </c>
      <c r="Y435" s="5">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zones'!$A$5:$D$10003,4,FALSE),"")</f>
        <v>Kyne's Aegis</v>
      </c>
      <c r="AB435" s="4" t="s">
        <v>272</v>
      </c>
      <c r="AE435" s="5">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zones'!$A$5:$D$10003,4,FALSE),"")</f>
        <v>Kyne's Aegis</v>
      </c>
      <c r="AH435" s="4" t="s">
        <v>272</v>
      </c>
      <c r="AK435" s="3" t="str">
        <f>IF(AND(G435&lt;&gt;"LIBSETS_SETTYPE_BATTLEGROUND",G435&lt;&gt;"LIBSETS_SETTYPE_SPECIAL"),IF(AL435&lt;&gt;"",VLOOKUP(AL435,'ESO zones'!$D$5:$H$4957,5,FALSE),""),"")</f>
        <v/>
      </c>
      <c r="AP435" s="3" t="str">
        <f>IF(AND(G435&lt;&gt;"LIBSETS_SETTYPE_BATTLEGROUND",G435&lt;&gt;"LIBSETS_SETTYPE_SPECIAL"),IF(AQ435&lt;&gt;"",VLOOKUP(AQ435,'ESO zones'!$D$5:$H$4957,5,FALSE),""),"")</f>
        <v/>
      </c>
      <c r="AU435" s="3" t="str">
        <f>IF(AND(G435&lt;&gt;"LIBSETS_SETTYPE_BATTLEGROUND",G435&lt;&gt;"LIBSETS_SETTYPE_SPECIAL"),IF(AV435&lt;&gt;"",VLOOKUP(AV435,'ESO zones'!$D$5:$H$4957,5,FALSE),""),"")</f>
        <v/>
      </c>
      <c r="AZ435" s="49" t="s">
        <v>403</v>
      </c>
      <c r="BA435" s="49"/>
      <c r="BB435" s="49"/>
      <c r="BC435" s="49"/>
      <c r="BD435" s="49" t="s">
        <v>1122</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1">
        <v>496</v>
      </c>
      <c r="B436" t="s">
        <v>1390</v>
      </c>
      <c r="C436" t="s">
        <v>1391</v>
      </c>
      <c r="D436" s="3">
        <f t="shared" si="36"/>
        <v>496</v>
      </c>
      <c r="G436" s="9" t="s">
        <v>178</v>
      </c>
      <c r="I436" t="s">
        <v>401</v>
      </c>
      <c r="J436" t="s">
        <v>401</v>
      </c>
      <c r="K436">
        <v>434</v>
      </c>
      <c r="L436">
        <v>434</v>
      </c>
      <c r="M436">
        <v>434</v>
      </c>
      <c r="O436" s="5" t="s">
        <v>1383</v>
      </c>
      <c r="Q436" s="3">
        <f>IF(AND(P436&lt;&gt;"",ISNUMBER(P436),NOT(ISNA(P436))),P436,IF(R436&lt;&gt;"",VLOOKUP(R436,'ESO zones'!$D$5:$H$10005,5,FALSE),""))</f>
        <v>1196</v>
      </c>
      <c r="R436" t="str">
        <f>IF(AND(O436&lt;&gt;"",NOT(ISERROR(O436))),O436,IF(AND(P436&lt;&gt;"",ISNUMBER(P436),P436&gt;0,NOT(ISNA(P436))),VLOOKUP(P436,'ESO zones'!$A$5:$D$10003,4,FALSE),IF(AND(K436&lt;&gt;"",K436&gt;0,NOT(ISERROR(K436))),VLOOKUP(K436,'ESO wayshrines'!$K$3:$N$9972,4,FALSE),"")))</f>
        <v>Kyne's Aegis</v>
      </c>
      <c r="T436" s="16" t="str">
        <f>IF(AND(S436&lt;&gt;"",NOT(ISERROR(S436))),S436,VLOOKUP(A436,'ESO Set&amp;DLCs'!$A$3:$D$99998,4,FALSE))</f>
        <v>DLC_GREYMOOR</v>
      </c>
      <c r="U436" s="3" t="str">
        <f>IF(T436&lt;&gt;"",VLOOKUP(T436,ConstDLCIds!$B$4:$C$1000,2,FALSE),"")</f>
        <v>Greymoor</v>
      </c>
      <c r="V436" s="4" t="s">
        <v>272</v>
      </c>
      <c r="Y436" s="5">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zones'!$A$5:$D$10003,4,FALSE),"")</f>
        <v>Kyne's Aegis</v>
      </c>
      <c r="AB436" s="4" t="s">
        <v>272</v>
      </c>
      <c r="AE436" s="5">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zones'!$A$5:$D$10003,4,FALSE),"")</f>
        <v>Kyne's Aegis</v>
      </c>
      <c r="AH436" s="4" t="s">
        <v>272</v>
      </c>
      <c r="AK436" s="3" t="str">
        <f>IF(AND(G436&lt;&gt;"LIBSETS_SETTYPE_BATTLEGROUND",G436&lt;&gt;"LIBSETS_SETTYPE_SPECIAL"),IF(AL436&lt;&gt;"",VLOOKUP(AL436,'ESO zones'!$D$5:$H$4957,5,FALSE),""),"")</f>
        <v/>
      </c>
      <c r="AP436" s="3" t="str">
        <f>IF(AND(G436&lt;&gt;"LIBSETS_SETTYPE_BATTLEGROUND",G436&lt;&gt;"LIBSETS_SETTYPE_SPECIAL"),IF(AQ436&lt;&gt;"",VLOOKUP(AQ436,'ESO zones'!$D$5:$H$4957,5,FALSE),""),"")</f>
        <v/>
      </c>
      <c r="AU436" s="3" t="str">
        <f>IF(AND(G436&lt;&gt;"LIBSETS_SETTYPE_BATTLEGROUND",G436&lt;&gt;"LIBSETS_SETTYPE_SPECIAL"),IF(AV436&lt;&gt;"",VLOOKUP(AV436,'ESO zones'!$D$5:$H$4957,5,FALSE),""),"")</f>
        <v/>
      </c>
      <c r="AZ436" s="49" t="s">
        <v>403</v>
      </c>
      <c r="BA436" s="49"/>
      <c r="BB436" s="49"/>
      <c r="BC436" s="49"/>
      <c r="BD436" s="49">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1">
        <v>497</v>
      </c>
      <c r="B437" t="s">
        <v>1392</v>
      </c>
      <c r="C437" t="s">
        <v>1393</v>
      </c>
      <c r="D437" s="3">
        <f t="shared" si="36"/>
        <v>497</v>
      </c>
      <c r="G437" s="9" t="s">
        <v>178</v>
      </c>
      <c r="I437" t="s">
        <v>1120</v>
      </c>
      <c r="J437" t="s">
        <v>401</v>
      </c>
      <c r="K437">
        <v>434</v>
      </c>
      <c r="L437">
        <v>434</v>
      </c>
      <c r="M437">
        <v>434</v>
      </c>
      <c r="O437" s="5" t="s">
        <v>1383</v>
      </c>
      <c r="Q437" s="3">
        <f>IF(AND(P437&lt;&gt;"",ISNUMBER(P437),NOT(ISNA(P437))),P437,IF(R437&lt;&gt;"",VLOOKUP(R437,'ESO zones'!$D$5:$H$10005,5,FALSE),""))</f>
        <v>1196</v>
      </c>
      <c r="R437" t="str">
        <f>IF(AND(O437&lt;&gt;"",NOT(ISERROR(O437))),O437,IF(AND(P437&lt;&gt;"",ISNUMBER(P437),P437&gt;0,NOT(ISNA(P437))),VLOOKUP(P437,'ESO zones'!$A$5:$D$10003,4,FALSE),IF(AND(K437&lt;&gt;"",K437&gt;0,NOT(ISERROR(K437))),VLOOKUP(K437,'ESO wayshrines'!$K$3:$N$9972,4,FALSE),"")))</f>
        <v>Kyne's Aegis</v>
      </c>
      <c r="T437" s="16" t="str">
        <f>IF(AND(S437&lt;&gt;"",NOT(ISERROR(S437))),S437,VLOOKUP(A437,'ESO Set&amp;DLCs'!$A$3:$D$99998,4,FALSE))</f>
        <v>DLC_GREYMOOR</v>
      </c>
      <c r="U437" s="3" t="str">
        <f>IF(T437&lt;&gt;"",VLOOKUP(T437,ConstDLCIds!$B$4:$C$1000,2,FALSE),"")</f>
        <v>Greymoor</v>
      </c>
      <c r="V437" s="4" t="s">
        <v>272</v>
      </c>
      <c r="Y437" s="5">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zones'!$A$5:$D$10003,4,FALSE),"")</f>
        <v>Kyne's Aegis</v>
      </c>
      <c r="AB437" s="4" t="s">
        <v>272</v>
      </c>
      <c r="AE437" s="5">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zones'!$A$5:$D$10003,4,FALSE),"")</f>
        <v>Kyne's Aegis</v>
      </c>
      <c r="AH437" s="4" t="s">
        <v>272</v>
      </c>
      <c r="AK437" s="3" t="str">
        <f>IF(AND(G437&lt;&gt;"LIBSETS_SETTYPE_BATTLEGROUND",G437&lt;&gt;"LIBSETS_SETTYPE_SPECIAL"),IF(AL437&lt;&gt;"",VLOOKUP(AL437,'ESO zones'!$D$5:$H$4957,5,FALSE),""),"")</f>
        <v/>
      </c>
      <c r="AP437" s="3" t="str">
        <f>IF(AND(G437&lt;&gt;"LIBSETS_SETTYPE_BATTLEGROUND",G437&lt;&gt;"LIBSETS_SETTYPE_SPECIAL"),IF(AQ437&lt;&gt;"",VLOOKUP(AQ437,'ESO zones'!$D$5:$H$4957,5,FALSE),""),"")</f>
        <v/>
      </c>
      <c r="AU437" s="3" t="str">
        <f>IF(AND(G437&lt;&gt;"LIBSETS_SETTYPE_BATTLEGROUND",G437&lt;&gt;"LIBSETS_SETTYPE_SPECIAL"),IF(AV437&lt;&gt;"",VLOOKUP(AV437,'ESO zones'!$D$5:$H$4957,5,FALSE),""),"")</f>
        <v/>
      </c>
      <c r="AZ437" s="49" t="s">
        <v>403</v>
      </c>
      <c r="BA437" s="49"/>
      <c r="BB437" s="49"/>
      <c r="BC437" s="49"/>
      <c r="BD437" s="49" t="s">
        <v>1122</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1">
        <v>498</v>
      </c>
      <c r="B438" t="s">
        <v>1394</v>
      </c>
      <c r="C438" t="s">
        <v>1395</v>
      </c>
      <c r="D438" s="3">
        <f t="shared" si="36"/>
        <v>498</v>
      </c>
      <c r="G438" s="9" t="s">
        <v>178</v>
      </c>
      <c r="I438" t="s">
        <v>401</v>
      </c>
      <c r="J438" t="s">
        <v>401</v>
      </c>
      <c r="K438">
        <v>434</v>
      </c>
      <c r="L438">
        <v>434</v>
      </c>
      <c r="M438">
        <v>434</v>
      </c>
      <c r="O438" s="5" t="s">
        <v>1383</v>
      </c>
      <c r="Q438" s="3">
        <f>IF(AND(P438&lt;&gt;"",ISNUMBER(P438),NOT(ISNA(P438))),P438,IF(R438&lt;&gt;"",VLOOKUP(R438,'ESO zones'!$D$5:$H$10005,5,FALSE),""))</f>
        <v>1196</v>
      </c>
      <c r="R438" t="str">
        <f>IF(AND(O438&lt;&gt;"",NOT(ISERROR(O438))),O438,IF(AND(P438&lt;&gt;"",ISNUMBER(P438),P438&gt;0,NOT(ISNA(P438))),VLOOKUP(P438,'ESO zones'!$A$5:$D$10003,4,FALSE),IF(AND(K438&lt;&gt;"",K438&gt;0,NOT(ISERROR(K438))),VLOOKUP(K438,'ESO wayshrines'!$K$3:$N$9972,4,FALSE),"")))</f>
        <v>Kyne's Aegis</v>
      </c>
      <c r="T438" s="16" t="str">
        <f>IF(AND(S438&lt;&gt;"",NOT(ISERROR(S438))),S438,VLOOKUP(A438,'ESO Set&amp;DLCs'!$A$3:$D$99998,4,FALSE))</f>
        <v>DLC_GREYMOOR</v>
      </c>
      <c r="U438" s="3" t="str">
        <f>IF(T438&lt;&gt;"",VLOOKUP(T438,ConstDLCIds!$B$4:$C$1000,2,FALSE),"")</f>
        <v>Greymoor</v>
      </c>
      <c r="V438" s="4" t="s">
        <v>272</v>
      </c>
      <c r="Y438" s="5">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zones'!$A$5:$D$10003,4,FALSE),"")</f>
        <v>Kyne's Aegis</v>
      </c>
      <c r="AB438" s="4" t="s">
        <v>272</v>
      </c>
      <c r="AE438" s="5">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zones'!$A$5:$D$10003,4,FALSE),"")</f>
        <v>Kyne's Aegis</v>
      </c>
      <c r="AH438" s="4" t="s">
        <v>272</v>
      </c>
      <c r="AK438" s="3" t="str">
        <f>IF(AND(G438&lt;&gt;"LIBSETS_SETTYPE_BATTLEGROUND",G438&lt;&gt;"LIBSETS_SETTYPE_SPECIAL"),IF(AL438&lt;&gt;"",VLOOKUP(AL438,'ESO zones'!$D$5:$H$4957,5,FALSE),""),"")</f>
        <v/>
      </c>
      <c r="AP438" s="3" t="str">
        <f>IF(AND(G438&lt;&gt;"LIBSETS_SETTYPE_BATTLEGROUND",G438&lt;&gt;"LIBSETS_SETTYPE_SPECIAL"),IF(AQ438&lt;&gt;"",VLOOKUP(AQ438,'ESO zones'!$D$5:$H$4957,5,FALSE),""),"")</f>
        <v/>
      </c>
      <c r="AU438" s="3" t="str">
        <f>IF(AND(G438&lt;&gt;"LIBSETS_SETTYPE_BATTLEGROUND",G438&lt;&gt;"LIBSETS_SETTYPE_SPECIAL"),IF(AV438&lt;&gt;"",VLOOKUP(AV438,'ESO zones'!$D$5:$H$4957,5,FALSE),""),"")</f>
        <v/>
      </c>
      <c r="AZ438" s="49" t="s">
        <v>403</v>
      </c>
      <c r="BA438" s="49"/>
      <c r="BB438" s="49"/>
      <c r="BC438" s="49"/>
      <c r="BD438" s="49">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1">
        <v>499</v>
      </c>
      <c r="B439" t="s">
        <v>1396</v>
      </c>
      <c r="C439" t="s">
        <v>1397</v>
      </c>
      <c r="D439" s="3">
        <f t="shared" si="36"/>
        <v>499</v>
      </c>
      <c r="G439" s="9" t="s">
        <v>178</v>
      </c>
      <c r="I439" t="s">
        <v>1120</v>
      </c>
      <c r="J439" t="s">
        <v>401</v>
      </c>
      <c r="K439">
        <v>434</v>
      </c>
      <c r="L439">
        <v>434</v>
      </c>
      <c r="M439">
        <v>434</v>
      </c>
      <c r="O439" s="5" t="s">
        <v>1383</v>
      </c>
      <c r="Q439" s="3">
        <f>IF(AND(P439&lt;&gt;"",ISNUMBER(P439),NOT(ISNA(P439))),P439,IF(R439&lt;&gt;"",VLOOKUP(R439,'ESO zones'!$D$5:$H$10005,5,FALSE),""))</f>
        <v>1196</v>
      </c>
      <c r="R439" t="str">
        <f>IF(AND(O439&lt;&gt;"",NOT(ISERROR(O439))),O439,IF(AND(P439&lt;&gt;"",ISNUMBER(P439),P439&gt;0,NOT(ISNA(P439))),VLOOKUP(P439,'ESO zones'!$A$5:$D$10003,4,FALSE),IF(AND(K439&lt;&gt;"",K439&gt;0,NOT(ISERROR(K439))),VLOOKUP(K439,'ESO wayshrines'!$K$3:$N$9972,4,FALSE),"")))</f>
        <v>Kyne's Aegis</v>
      </c>
      <c r="T439" s="16" t="str">
        <f>IF(AND(S439&lt;&gt;"",NOT(ISERROR(S439))),S439,VLOOKUP(A439,'ESO Set&amp;DLCs'!$A$3:$D$99998,4,FALSE))</f>
        <v>DLC_GREYMOOR</v>
      </c>
      <c r="U439" s="3" t="str">
        <f>IF(T439&lt;&gt;"",VLOOKUP(T439,ConstDLCIds!$B$4:$C$1000,2,FALSE),"")</f>
        <v>Greymoor</v>
      </c>
      <c r="V439" s="4" t="s">
        <v>272</v>
      </c>
      <c r="Y439" s="5">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zones'!$A$5:$D$10003,4,FALSE),"")</f>
        <v>Kyne's Aegis</v>
      </c>
      <c r="AB439" s="4" t="s">
        <v>272</v>
      </c>
      <c r="AE439" s="5">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zones'!$A$5:$D$10003,4,FALSE),"")</f>
        <v>Kyne's Aegis</v>
      </c>
      <c r="AH439" s="4" t="s">
        <v>272</v>
      </c>
      <c r="AK439" s="3" t="str">
        <f>IF(AND(G439&lt;&gt;"LIBSETS_SETTYPE_BATTLEGROUND",G439&lt;&gt;"LIBSETS_SETTYPE_SPECIAL"),IF(AL439&lt;&gt;"",VLOOKUP(AL439,'ESO zones'!$D$5:$H$4957,5,FALSE),""),"")</f>
        <v/>
      </c>
      <c r="AP439" s="3" t="str">
        <f>IF(AND(G439&lt;&gt;"LIBSETS_SETTYPE_BATTLEGROUND",G439&lt;&gt;"LIBSETS_SETTYPE_SPECIAL"),IF(AQ439&lt;&gt;"",VLOOKUP(AQ439,'ESO zones'!$D$5:$H$4957,5,FALSE),""),"")</f>
        <v/>
      </c>
      <c r="AU439" s="3" t="str">
        <f>IF(AND(G439&lt;&gt;"LIBSETS_SETTYPE_BATTLEGROUND",G439&lt;&gt;"LIBSETS_SETTYPE_SPECIAL"),IF(AV439&lt;&gt;"",VLOOKUP(AV439,'ESO zones'!$D$5:$H$4957,5,FALSE),""),"")</f>
        <v/>
      </c>
      <c r="AZ439" s="49" t="s">
        <v>403</v>
      </c>
      <c r="BA439" s="49"/>
      <c r="BB439" s="49"/>
      <c r="BC439" s="49"/>
      <c r="BD439" s="49" t="s">
        <v>1122</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1">
        <v>500</v>
      </c>
      <c r="B440" t="s">
        <v>1398</v>
      </c>
      <c r="C440" t="s">
        <v>1399</v>
      </c>
      <c r="D440" s="3">
        <f t="shared" si="36"/>
        <v>500</v>
      </c>
      <c r="E440" t="s">
        <v>1400</v>
      </c>
      <c r="F440" s="2" t="s">
        <v>813</v>
      </c>
      <c r="G440" s="9"/>
      <c r="O440" s="5" t="s">
        <v>1372</v>
      </c>
      <c r="Q440" s="3">
        <f>IF(AND(P440&lt;&gt;"",ISNUMBER(P440),NOT(ISNA(P440))),P440,IF(R440&lt;&gt;"",VLOOKUP(R440,'ESO zones'!$D$5:$H$10005,5,FALSE),""))</f>
        <v>1160</v>
      </c>
      <c r="R440" t="str">
        <f>IF(AND(O440&lt;&gt;"",NOT(ISERROR(O440))),O440,IF(AND(P440&lt;&gt;"",ISNUMBER(P440),P440&gt;0,NOT(ISNA(P440))),VLOOKUP(P440,'ESO zones'!$A$5:$D$10003,4,FALSE),IF(AND(K440&lt;&gt;"",K440&gt;0,NOT(ISERROR(K440))),VLOOKUP(K440,'ESO wayshrines'!$K$3:$N$9972,4,FALSE),"")))</f>
        <v>Western Skyrim</v>
      </c>
      <c r="T440" s="16" t="str">
        <f>IF(AND(S440&lt;&gt;"",NOT(ISERROR(S440))),S440,VLOOKUP(A440,'ESO Set&amp;DLCs'!$A$3:$D$99998,4,FALSE))</f>
        <v>DLC_GREYMOOR</v>
      </c>
      <c r="U440" s="3" t="str">
        <f>IF(T440&lt;&gt;"",VLOOKUP(T440,ConstDLCIds!$B$4:$C$1000,2,FALSE),"")</f>
        <v>Greymoor</v>
      </c>
      <c r="Y440" s="5">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zones'!$A$5:$D$10003,4,FALSE),"")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zones'!$A$5:$D$10003,4,FALSE),"")</f>
        <v/>
      </c>
      <c r="AK440" s="3" t="str">
        <f>IF(AND(G440&lt;&gt;"LIBSETS_SETTYPE_BATTLEGROUND",G440&lt;&gt;"LIBSETS_SETTYPE_SPECIAL"),IF(AL440&lt;&gt;"",VLOOKUP(AL440,'ESO zones'!$D$5:$H$4957,5,FALSE),""),"")</f>
        <v/>
      </c>
      <c r="AP440" s="3" t="str">
        <f>IF(AND(G440&lt;&gt;"LIBSETS_SETTYPE_BATTLEGROUND",G440&lt;&gt;"LIBSETS_SETTYPE_SPECIAL"),IF(AQ440&lt;&gt;"",VLOOKUP(AQ440,'ESO zones'!$D$5:$H$4957,5,FALSE),""),"")</f>
        <v/>
      </c>
      <c r="AU440" s="3" t="str">
        <f>IF(AND(G440&lt;&gt;"LIBSETS_SETTYPE_BATTLEGROUND",G440&lt;&gt;"LIBSETS_SETTYPE_SPECIAL"),IF(AV440&lt;&gt;"",VLOOKUP(AV440,'ESO zones'!$D$5:$H$4957,5,FALSE),""),"")</f>
        <v/>
      </c>
      <c r="AZ440" s="49" t="s">
        <v>403</v>
      </c>
      <c r="BA440" s="49"/>
      <c r="BB440" s="49"/>
      <c r="BC440" s="49"/>
      <c r="BD440" s="49"/>
      <c r="BE440" s="18" t="str">
        <f t="shared" si="37"/>
        <v/>
      </c>
      <c r="BF440" s="18" t="str">
        <f t="shared" si="38"/>
        <v/>
      </c>
      <c r="BG440" s="18" t="str">
        <f t="shared" si="39"/>
        <v/>
      </c>
      <c r="BH440" s="18" t="str">
        <f t="shared" si="40"/>
        <v/>
      </c>
      <c r="BI440" s="18" t="str">
        <f t="shared" si="41"/>
        <v/>
      </c>
    </row>
    <row r="441" spans="1:61" x14ac:dyDescent="0.25">
      <c r="A441" s="1">
        <v>501</v>
      </c>
      <c r="B441" t="s">
        <v>1401</v>
      </c>
      <c r="C441" t="s">
        <v>1402</v>
      </c>
      <c r="D441" s="3">
        <f t="shared" si="36"/>
        <v>501</v>
      </c>
      <c r="G441" s="9" t="s">
        <v>180</v>
      </c>
      <c r="I441" t="s">
        <v>401</v>
      </c>
      <c r="J441" t="s">
        <v>401</v>
      </c>
      <c r="K441">
        <v>176</v>
      </c>
      <c r="L441">
        <v>360</v>
      </c>
      <c r="M441">
        <v>179</v>
      </c>
      <c r="Q441" s="3">
        <f>IF(AND(P441&lt;&gt;"",ISNUMBER(P441),NOT(ISNA(P441))),P441,IF(R441&lt;&gt;"",VLOOKUP(R441,'ESO zones'!$D$5:$H$10005,5,FALSE),""))</f>
        <v>381</v>
      </c>
      <c r="R441" t="str">
        <f>IF(AND(O441&lt;&gt;"",NOT(ISERROR(O441))),O441,IF(AND(P441&lt;&gt;"",ISNUMBER(P441),P441&gt;0,NOT(ISNA(P441))),VLOOKUP(P441,'ESO zones'!$A$5:$D$10003,4,FALSE),IF(AND(K441&lt;&gt;"",K441&gt;0,NOT(ISERROR(K441))),VLOOKUP(K441,'ESO wayshrines'!$K$3:$N$9972,4,FALSE),"")))</f>
        <v>Auridon</v>
      </c>
      <c r="T441" s="16" t="str">
        <f>IF(AND(S441&lt;&gt;"",NOT(ISERROR(S441))),S441,VLOOKUP(A441,'ESO Set&amp;DLCs'!$A$3:$D$99998,4,FALSE))</f>
        <v>DLC_GREYMOOR</v>
      </c>
      <c r="U441" s="3" t="str">
        <f>IF(T441&lt;&gt;"",VLOOKUP(T441,ConstDLCIds!$B$4:$C$1000,2,FALSE),"")</f>
        <v>Greymoor</v>
      </c>
      <c r="V441" s="4" t="s">
        <v>218</v>
      </c>
      <c r="W441"/>
      <c r="X441"/>
      <c r="Y441" s="5"/>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zones'!$A$5:$D$10003,4,FALSE),"")</f>
        <v>Artaeum</v>
      </c>
      <c r="AB441" s="4"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zones'!$A$5:$D$10003,4,FALSE),"")</f>
        <v>Stros M'Kai</v>
      </c>
      <c r="AH441" s="4" t="s">
        <v>266</v>
      </c>
      <c r="AI441" s="3" t="s">
        <v>1403</v>
      </c>
      <c r="AJ441" s="3" t="s">
        <v>1404</v>
      </c>
      <c r="AK441" s="3">
        <f>IF(AND(G441&lt;&gt;"LIBSETS_SETTYPE_BATTLEGROUND",G441&lt;&gt;"LIBSETS_SETTYPE_SPECIAL"),IF(AL441&lt;&gt;"",VLOOKUP(AL441,'ESO zones'!$D$5:$H$4957,5,FALSE),""),"")</f>
        <v>1020</v>
      </c>
      <c r="AL441" t="s">
        <v>1405</v>
      </c>
      <c r="AM441" s="4" t="s">
        <v>218</v>
      </c>
      <c r="AP441" s="3">
        <f>IF(AND(G441&lt;&gt;"LIBSETS_SETTYPE_BATTLEGROUND",G441&lt;&gt;"LIBSETS_SETTYPE_SPECIAL"),IF(AQ441&lt;&gt;"",VLOOKUP(AQ441,'ESO zones'!$D$5:$H$4957,5,FALSE),""),"")</f>
        <v>1027</v>
      </c>
      <c r="AQ441" t="s">
        <v>1166</v>
      </c>
      <c r="AR441" s="4" t="s">
        <v>269</v>
      </c>
      <c r="AS441" s="3" t="s">
        <v>1406</v>
      </c>
      <c r="AT441" s="3" t="s">
        <v>1407</v>
      </c>
      <c r="AU441" s="3" t="str">
        <f>IF(AND(G441&lt;&gt;"LIBSETS_SETTYPE_BATTLEGROUND",G441&lt;&gt;"LIBSETS_SETTYPE_SPECIAL"),IF(AV441&lt;&gt;"",VLOOKUP(AV441,'ESO zones'!$D$5:$H$4957,5,FALSE),""),"")</f>
        <v/>
      </c>
      <c r="AV441" s="29"/>
      <c r="AZ441" s="49" t="s">
        <v>403</v>
      </c>
      <c r="BA441" t="s">
        <v>1408</v>
      </c>
      <c r="BB441" t="s">
        <v>1408</v>
      </c>
      <c r="BC441"/>
      <c r="BD441"/>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8" t="str">
        <f t="shared" si="41"/>
        <v>, addTooltip={['en']='https://en.uesp.net/wiki/Online:Thrassian_Stranglers',},}, --Thrassian Stranglers / Thrassische Würger   [Auridon, Artaeum, Stros M'Kai, Karnwasten, Artaeum]</v>
      </c>
    </row>
    <row r="442" spans="1:61" ht="15" customHeight="1" x14ac:dyDescent="0.25">
      <c r="A442" s="1">
        <v>502</v>
      </c>
      <c r="B442" t="s">
        <v>1409</v>
      </c>
      <c r="C442" t="s">
        <v>1409</v>
      </c>
      <c r="D442" s="3">
        <f t="shared" si="36"/>
        <v>502</v>
      </c>
      <c r="E442" t="s">
        <v>1410</v>
      </c>
      <c r="F442" s="2" t="s">
        <v>813</v>
      </c>
      <c r="G442" s="9"/>
      <c r="O442" s="5" t="s">
        <v>1372</v>
      </c>
      <c r="Q442" s="3">
        <f>IF(AND(P442&lt;&gt;"",ISNUMBER(P442),NOT(ISNA(P442))),P442,IF(R442&lt;&gt;"",VLOOKUP(R442,'ESO zones'!$D$5:$H$10005,5,FALSE),""))</f>
        <v>1160</v>
      </c>
      <c r="R442" t="str">
        <f>IF(AND(O442&lt;&gt;"",NOT(ISERROR(O442))),O442,IF(AND(P442&lt;&gt;"",ISNUMBER(P442),P442&gt;0,NOT(ISNA(P442))),VLOOKUP(P442,'ESO zones'!$A$5:$D$10003,4,FALSE),IF(AND(K442&lt;&gt;"",K442&gt;0,NOT(ISERROR(K442))),VLOOKUP(K442,'ESO wayshrines'!$K$3:$N$9972,4,FALSE),"")))</f>
        <v>Western Skyrim</v>
      </c>
      <c r="T442" s="16" t="str">
        <f>IF(AND(S442&lt;&gt;"",NOT(ISERROR(S442))),S442,VLOOKUP(A442,'ESO Set&amp;DLCs'!$A$3:$D$99998,4,FALSE))</f>
        <v>DLC_GREYMOOR</v>
      </c>
      <c r="U442" s="3" t="str">
        <f>IF(T442&lt;&gt;"",VLOOKUP(T442,ConstDLCIds!$B$4:$C$1000,2,FALSE),"")</f>
        <v>Greymoor</v>
      </c>
      <c r="Y442" s="5">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zones'!$A$5:$D$10003,4,FALSE),"")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zones'!$A$5:$D$10003,4,FALSE),"")</f>
        <v/>
      </c>
      <c r="AK442" s="3" t="str">
        <f>IF(AND(G442&lt;&gt;"LIBSETS_SETTYPE_BATTLEGROUND",G442&lt;&gt;"LIBSETS_SETTYPE_SPECIAL"),IF(AL442&lt;&gt;"",VLOOKUP(AL442,'ESO zones'!$D$5:$H$4957,5,FALSE),""),"")</f>
        <v/>
      </c>
      <c r="AP442" s="3" t="str">
        <f>IF(AND(G442&lt;&gt;"LIBSETS_SETTYPE_BATTLEGROUND",G442&lt;&gt;"LIBSETS_SETTYPE_SPECIAL"),IF(AQ442&lt;&gt;"",VLOOKUP(AQ442,'ESO zones'!$D$5:$H$4957,5,FALSE),""),"")</f>
        <v/>
      </c>
      <c r="AU442" s="3" t="str">
        <f>IF(AND(G442&lt;&gt;"LIBSETS_SETTYPE_BATTLEGROUND",G442&lt;&gt;"LIBSETS_SETTYPE_SPECIAL"),IF(AV442&lt;&gt;"",VLOOKUP(AV442,'ESO zones'!$D$5:$H$4957,5,FALSE),""),"")</f>
        <v/>
      </c>
      <c r="AZ442" s="49" t="s">
        <v>403</v>
      </c>
      <c r="BA442" s="49"/>
      <c r="BB442" s="49"/>
      <c r="BC442" s="49"/>
      <c r="BD442" s="49"/>
      <c r="BE442" s="18" t="str">
        <f t="shared" si="37"/>
        <v/>
      </c>
      <c r="BF442" s="18" t="str">
        <f t="shared" si="38"/>
        <v/>
      </c>
      <c r="BG442" s="18" t="str">
        <f t="shared" si="39"/>
        <v/>
      </c>
      <c r="BH442" s="18" t="str">
        <f t="shared" si="40"/>
        <v/>
      </c>
      <c r="BI442" s="18" t="str">
        <f t="shared" si="41"/>
        <v/>
      </c>
    </row>
    <row r="443" spans="1:61" x14ac:dyDescent="0.25">
      <c r="A443" s="1">
        <v>503</v>
      </c>
      <c r="B443" t="s">
        <v>1411</v>
      </c>
      <c r="C443" t="s">
        <v>1412</v>
      </c>
      <c r="D443" s="3">
        <f t="shared" si="36"/>
        <v>503</v>
      </c>
      <c r="G443" s="9" t="s">
        <v>180</v>
      </c>
      <c r="I443" t="s">
        <v>401</v>
      </c>
      <c r="J443" t="s">
        <v>401</v>
      </c>
      <c r="K443">
        <v>62</v>
      </c>
      <c r="L443">
        <v>374</v>
      </c>
      <c r="M443">
        <v>107</v>
      </c>
      <c r="Q443" s="3">
        <f>IF(AND(P443&lt;&gt;"",ISNUMBER(P443),NOT(ISNA(P443))),P443,IF(R443&lt;&gt;"",VLOOKUP(R443,'ESO zones'!$D$5:$H$10005,5,FALSE),""))</f>
        <v>3</v>
      </c>
      <c r="R443" t="str">
        <f>IF(AND(O443&lt;&gt;"",NOT(ISERROR(O443))),O443,IF(AND(P443&lt;&gt;"",ISNUMBER(P443),P443&gt;0,NOT(ISNA(P443))),VLOOKUP(P443,'ESO zones'!$A$5:$D$10003,4,FALSE),IF(AND(K443&lt;&gt;"",K443&gt;0,NOT(ISERROR(K443))),VLOOKUP(K443,'ESO wayshrines'!$K$3:$N$9972,4,FALSE),"")))</f>
        <v>Glenumbra</v>
      </c>
      <c r="T443" s="16" t="str">
        <f>IF(AND(S443&lt;&gt;"",NOT(ISERROR(S443))),S443,VLOOKUP(A443,'ESO Set&amp;DLCs'!$A$3:$D$99998,4,FALSE))</f>
        <v>DLC_GREYMOOR</v>
      </c>
      <c r="U443" s="3" t="str">
        <f>IF(T443&lt;&gt;"",VLOOKUP(T443,ConstDLCIds!$B$4:$C$1000,2,FALSE),"")</f>
        <v>Greymoor</v>
      </c>
      <c r="V443" s="4" t="s">
        <v>221</v>
      </c>
      <c r="W443"/>
      <c r="X443"/>
      <c r="Y443" s="5"/>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zones'!$A$5:$D$10003,4,FALSE),"")</f>
        <v>Murkmire</v>
      </c>
      <c r="AB443" s="4"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zones'!$A$5:$D$10003,4,FALSE),"")</f>
        <v>Malabal Tor</v>
      </c>
      <c r="AH443" s="4" t="s">
        <v>218</v>
      </c>
      <c r="AK443" s="3">
        <f>IF(AND(G443&lt;&gt;"LIBSETS_SETTYPE_BATTLEGROUND",G443&lt;&gt;"LIBSETS_SETTYPE_SPECIAL"),IF(AL443&lt;&gt;"",VLOOKUP(AL443,'ESO zones'!$D$5:$H$4957,5,FALSE),""),"")</f>
        <v>931</v>
      </c>
      <c r="AL443" t="s">
        <v>737</v>
      </c>
      <c r="AM443" s="4" t="s">
        <v>278</v>
      </c>
      <c r="AN443" s="3" t="s">
        <v>924</v>
      </c>
      <c r="AO443" s="3" t="s">
        <v>925</v>
      </c>
      <c r="AP443" s="3">
        <f>IF(AND(G443&lt;&gt;"LIBSETS_SETTYPE_BATTLEGROUND",G443&lt;&gt;"LIBSETS_SETTYPE_SPECIAL"),IF(AQ443&lt;&gt;"",VLOOKUP(AQ443,'ESO zones'!$D$5:$H$4957,5,FALSE),""),"")</f>
        <v>108</v>
      </c>
      <c r="AQ443" t="s">
        <v>511</v>
      </c>
      <c r="AR443" s="4" t="s">
        <v>218</v>
      </c>
      <c r="AU443" s="3">
        <f>IF(AND(G443&lt;&gt;"LIBSETS_SETTYPE_BATTLEGROUND",G443&lt;&gt;"LIBSETS_SETTYPE_SPECIAL"),IF(AV443&lt;&gt;"",VLOOKUP(AV443,'ESO zones'!$D$5:$H$4957,5,FALSE),""),"")</f>
        <v>726</v>
      </c>
      <c r="AV443" t="s">
        <v>44</v>
      </c>
      <c r="AW443" s="4" t="s">
        <v>218</v>
      </c>
      <c r="AZ443" s="49" t="s">
        <v>403</v>
      </c>
      <c r="BA443" t="s">
        <v>1413</v>
      </c>
      <c r="BB443" t="s">
        <v>1413</v>
      </c>
      <c r="BC443"/>
      <c r="BD44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1">
        <v>504</v>
      </c>
      <c r="B444" t="s">
        <v>1414</v>
      </c>
      <c r="C444" t="s">
        <v>1415</v>
      </c>
      <c r="D444" s="3">
        <f t="shared" si="36"/>
        <v>504</v>
      </c>
      <c r="E444" t="s">
        <v>1416</v>
      </c>
      <c r="F444" s="2" t="s">
        <v>813</v>
      </c>
      <c r="G444" s="9"/>
      <c r="O444" s="5" t="s">
        <v>1372</v>
      </c>
      <c r="Q444" s="3">
        <f>IF(AND(P444&lt;&gt;"",ISNUMBER(P444),NOT(ISNA(P444))),P444,IF(R444&lt;&gt;"",VLOOKUP(R444,'ESO zones'!$D$5:$H$10005,5,FALSE),""))</f>
        <v>1160</v>
      </c>
      <c r="R444" t="str">
        <f>IF(AND(O444&lt;&gt;"",NOT(ISERROR(O444))),O444,IF(AND(P444&lt;&gt;"",ISNUMBER(P444),P444&gt;0,NOT(ISNA(P444))),VLOOKUP(P444,'ESO zones'!$A$5:$D$10003,4,FALSE),IF(AND(K444&lt;&gt;"",K444&gt;0,NOT(ISERROR(K444))),VLOOKUP(K444,'ESO wayshrines'!$K$3:$N$9972,4,FALSE),"")))</f>
        <v>Western Skyrim</v>
      </c>
      <c r="T444" s="16" t="str">
        <f>IF(AND(S444&lt;&gt;"",NOT(ISERROR(S444))),S444,VLOOKUP(A444,'ESO Set&amp;DLCs'!$A$3:$D$99998,4,FALSE))</f>
        <v>DLC_GREYMOOR</v>
      </c>
      <c r="U444" s="3" t="str">
        <f>IF(T444&lt;&gt;"",VLOOKUP(T444,ConstDLCIds!$B$4:$C$1000,2,FALSE),"")</f>
        <v>Greymoor</v>
      </c>
      <c r="Y444" s="5">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zones'!$A$5:$D$10003,4,FALSE),"")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zones'!$A$5:$D$10003,4,FALSE),"")</f>
        <v/>
      </c>
      <c r="AK444" s="3" t="str">
        <f>IF(AND(G444&lt;&gt;"LIBSETS_SETTYPE_BATTLEGROUND",G444&lt;&gt;"LIBSETS_SETTYPE_SPECIAL"),IF(AL444&lt;&gt;"",VLOOKUP(AL444,'ESO zones'!$D$5:$H$4957,5,FALSE),""),"")</f>
        <v/>
      </c>
      <c r="AP444" s="3" t="str">
        <f>IF(AND(G444&lt;&gt;"LIBSETS_SETTYPE_BATTLEGROUND",G444&lt;&gt;"LIBSETS_SETTYPE_SPECIAL"),IF(AQ444&lt;&gt;"",VLOOKUP(AQ444,'ESO zones'!$D$5:$H$4957,5,FALSE),""),"")</f>
        <v/>
      </c>
      <c r="AU444" s="3" t="str">
        <f>IF(AND(G444&lt;&gt;"LIBSETS_SETTYPE_BATTLEGROUND",G444&lt;&gt;"LIBSETS_SETTYPE_SPECIAL"),IF(AV444&lt;&gt;"",VLOOKUP(AV444,'ESO zones'!$D$5:$H$4957,5,FALSE),""),"")</f>
        <v/>
      </c>
      <c r="AZ444" s="49" t="s">
        <v>403</v>
      </c>
      <c r="BA444" s="49"/>
      <c r="BB444" s="49"/>
      <c r="BC444" s="49"/>
      <c r="BD444" s="49"/>
      <c r="BE444" s="18" t="str">
        <f t="shared" si="37"/>
        <v/>
      </c>
      <c r="BF444" s="18" t="str">
        <f t="shared" si="38"/>
        <v/>
      </c>
      <c r="BG444" s="18" t="str">
        <f t="shared" si="39"/>
        <v/>
      </c>
      <c r="BH444" s="18" t="str">
        <f t="shared" si="40"/>
        <v/>
      </c>
      <c r="BI444" s="18" t="str">
        <f t="shared" si="41"/>
        <v/>
      </c>
    </row>
    <row r="445" spans="1:61" x14ac:dyDescent="0.25">
      <c r="A445" s="1">
        <v>505</v>
      </c>
      <c r="B445" t="s">
        <v>1417</v>
      </c>
      <c r="C445" t="s">
        <v>1418</v>
      </c>
      <c r="D445" s="3">
        <f t="shared" si="36"/>
        <v>505</v>
      </c>
      <c r="G445" s="9" t="s">
        <v>180</v>
      </c>
      <c r="I445" t="s">
        <v>401</v>
      </c>
      <c r="J445" t="s">
        <v>401</v>
      </c>
      <c r="K445">
        <v>57</v>
      </c>
      <c r="L445">
        <v>26</v>
      </c>
      <c r="M445">
        <v>186</v>
      </c>
      <c r="Q445" s="3">
        <f>IF(AND(P445&lt;&gt;"",ISNUMBER(P445),NOT(ISNA(P445))),P445,IF(R445&lt;&gt;"",VLOOKUP(R445,'ESO zones'!$D$5:$H$10005,5,FALSE),""))</f>
        <v>104</v>
      </c>
      <c r="R445" t="str">
        <f>IF(AND(O445&lt;&gt;"",NOT(ISERROR(O445))),O445,IF(AND(P445&lt;&gt;"",ISNUMBER(P445),P445&gt;0,NOT(ISNA(P445))),VLOOKUP(P445,'ESO zones'!$A$5:$D$10003,4,FALSE),IF(AND(K445&lt;&gt;"",K445&gt;0,NOT(ISERROR(K445))),VLOOKUP(K445,'ESO wayshrines'!$K$3:$N$9972,4,FALSE),"")))</f>
        <v>Alik'r Desert</v>
      </c>
      <c r="T445" s="16" t="str">
        <f>IF(AND(S445&lt;&gt;"",NOT(ISERROR(S445))),S445,VLOOKUP(A445,'ESO Set&amp;DLCs'!$A$3:$D$99998,4,FALSE))</f>
        <v>DLC_GREYMOOR</v>
      </c>
      <c r="U445" s="3" t="str">
        <f>IF(T445&lt;&gt;"",VLOOKUP(T445,ConstDLCIds!$B$4:$C$1000,2,FALSE),"")</f>
        <v>Greymoor</v>
      </c>
      <c r="V445" s="4"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zones'!$A$5:$D$10003,4,FALSE),"")</f>
        <v>Deshaan</v>
      </c>
      <c r="AB445" s="4" t="s">
        <v>218</v>
      </c>
      <c r="AE445" s="3">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zones'!$A$5:$D$10003,4,FALSE),"")</f>
        <v>Blackheart Haven</v>
      </c>
      <c r="AH445" s="4" t="s">
        <v>278</v>
      </c>
      <c r="AI445" s="3" t="s">
        <v>952</v>
      </c>
      <c r="AJ445" s="3" t="s">
        <v>953</v>
      </c>
      <c r="AK445" s="3">
        <f>IF(AND(G445&lt;&gt;"LIBSETS_SETTYPE_BATTLEGROUND",G445&lt;&gt;"LIBSETS_SETTYPE_SPECIAL"),IF(AL445&lt;&gt;"",VLOOKUP(AL445,'ESO zones'!$D$5:$H$4957,5,FALSE),""),"")</f>
        <v>216</v>
      </c>
      <c r="AL445" t="s">
        <v>1419</v>
      </c>
      <c r="AM445" s="4" t="s">
        <v>221</v>
      </c>
      <c r="AP445" s="3">
        <f>IF(AND(G445&lt;&gt;"LIBSETS_SETTYPE_BATTLEGROUND",G445&lt;&gt;"LIBSETS_SETTYPE_SPECIAL"),IF(AQ445&lt;&gt;"",VLOOKUP(AQ445,'ESO zones'!$D$5:$H$4957,5,FALSE),""),"")</f>
        <v>888</v>
      </c>
      <c r="AQ445" t="s">
        <v>686</v>
      </c>
      <c r="AR445" s="4" t="s">
        <v>218</v>
      </c>
      <c r="AU445" s="3" t="str">
        <f>IF(AND(G445&lt;&gt;"LIBSETS_SETTYPE_BATTLEGROUND",G445&lt;&gt;"LIBSETS_SETTYPE_SPECIAL"),IF(AV445&lt;&gt;"",VLOOKUP(AV445,'ESO zones'!$D$5:$H$4957,5,FALSE),""),"")</f>
        <v/>
      </c>
      <c r="AZ445" s="49" t="s">
        <v>403</v>
      </c>
      <c r="BA445" t="s">
        <v>1420</v>
      </c>
      <c r="BB445" t="s">
        <v>1420</v>
      </c>
      <c r="BC445"/>
      <c r="BD445"/>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1">
        <v>506</v>
      </c>
      <c r="B446" t="s">
        <v>1421</v>
      </c>
      <c r="C446" t="s">
        <v>1422</v>
      </c>
      <c r="D446" s="3">
        <f t="shared" si="36"/>
        <v>506</v>
      </c>
      <c r="G446" s="9" t="s">
        <v>163</v>
      </c>
      <c r="I446" t="s">
        <v>401</v>
      </c>
      <c r="J446" t="s">
        <v>401</v>
      </c>
      <c r="K446">
        <v>430</v>
      </c>
      <c r="L446">
        <v>430</v>
      </c>
      <c r="M446">
        <v>430</v>
      </c>
      <c r="N446">
        <v>3</v>
      </c>
      <c r="P446" s="5">
        <v>1161</v>
      </c>
      <c r="Q446" s="3">
        <f>IF(AND(P446&lt;&gt;"",ISNUMBER(P446),NOT(ISNA(P446))),P446,IF(R446&lt;&gt;"",VLOOKUP(R446,'ESO zones'!$D$5:$H$10005,5,FALSE),""))</f>
        <v>1161</v>
      </c>
      <c r="R446" t="str">
        <f>IF(AND(O446&lt;&gt;"",NOT(ISERROR(O446))),O446,IF(AND(P446&lt;&gt;"",ISNUMBER(P446),P446&gt;0,NOT(ISNA(P446))),VLOOKUP(P446,'ESO zones'!$A$5:$D$10003,4,FALSE),IF(AND(K446&lt;&gt;"",K446&gt;0,NOT(ISERROR(K446))),VLOOKUP(K446,'ESO wayshrines'!$K$3:$N$9972,4,FALSE),"")))</f>
        <v>Blackreach: Greymoor Caverns</v>
      </c>
      <c r="T446" s="16" t="str">
        <f>IF(AND(S446&lt;&gt;"",NOT(ISERROR(S446))),S446,VLOOKUP(A446,'ESO Set&amp;DLCs'!$A$3:$D$99998,4,FALSE))</f>
        <v>DLC_GREYMOOR</v>
      </c>
      <c r="U446" s="3" t="str">
        <f>IF(T446&lt;&gt;"",VLOOKUP(T446,ConstDLCIds!$B$4:$C$1000,2,FALSE),"")</f>
        <v>Greymoor</v>
      </c>
      <c r="V446" s="4" t="s">
        <v>281</v>
      </c>
      <c r="Y446" s="5">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zones'!$A$5:$D$10003,4,FALSE),"")</f>
        <v>Blackreach: Greymoor Caverns</v>
      </c>
      <c r="AB446" s="4" t="s">
        <v>281</v>
      </c>
      <c r="AE446" s="5">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zones'!$A$5:$D$10003,4,FALSE),"")</f>
        <v>Blackreach: Greymoor Caverns</v>
      </c>
      <c r="AH446" s="4" t="s">
        <v>281</v>
      </c>
      <c r="AK446" s="3" t="str">
        <f>IF(AND(G446&lt;&gt;"LIBSETS_SETTYPE_BATTLEGROUND",G446&lt;&gt;"LIBSETS_SETTYPE_SPECIAL"),IF(AL446&lt;&gt;"",VLOOKUP(AL446,'ESO zones'!$D$5:$H$4957,5,FALSE),""),"")</f>
        <v/>
      </c>
      <c r="AP446" s="3" t="str">
        <f>IF(AND(G446&lt;&gt;"LIBSETS_SETTYPE_BATTLEGROUND",G446&lt;&gt;"LIBSETS_SETTYPE_SPECIAL"),IF(AQ446&lt;&gt;"",VLOOKUP(AQ446,'ESO zones'!$D$5:$H$4957,5,FALSE),""),"")</f>
        <v/>
      </c>
      <c r="AU446" s="3" t="str">
        <f>IF(AND(G446&lt;&gt;"LIBSETS_SETTYPE_BATTLEGROUND",G446&lt;&gt;"LIBSETS_SETTYPE_SPECIAL"),IF(AV446&lt;&gt;"",VLOOKUP(AV446,'ESO zones'!$D$5:$H$4957,5,FALSE),""),"")</f>
        <v/>
      </c>
      <c r="AZ446" s="49" t="s">
        <v>403</v>
      </c>
      <c r="BA446" s="49"/>
      <c r="BB446" s="49"/>
      <c r="BC446" s="49"/>
      <c r="BD446" s="49"/>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50">
        <v>509</v>
      </c>
      <c r="B447" s="51" t="s">
        <v>1423</v>
      </c>
      <c r="C447" t="s">
        <v>1423</v>
      </c>
      <c r="D447" s="3">
        <f t="shared" si="36"/>
        <v>509</v>
      </c>
      <c r="E447" s="40" t="s">
        <v>1365</v>
      </c>
      <c r="F447" s="2" t="s">
        <v>813</v>
      </c>
      <c r="G447" s="9" t="s">
        <v>176</v>
      </c>
      <c r="O447" s="5" t="s">
        <v>1372</v>
      </c>
      <c r="Q447" s="3">
        <f>IF(AND(P447&lt;&gt;"",ISNUMBER(P447),NOT(ISNA(P447))),P447,IF(R447&lt;&gt;"",VLOOKUP(R447,'ESO zones'!$D$5:$H$10005,5,FALSE),""))</f>
        <v>1160</v>
      </c>
      <c r="R447" t="str">
        <f>IF(AND(O447&lt;&gt;"",NOT(ISERROR(O447))),O447,IF(AND(P447&lt;&gt;"",ISNUMBER(P447),P447&gt;0,NOT(ISNA(P447))),VLOOKUP(P447,'ESO zones'!$A$5:$D$10003,4,FALSE),IF(AND(K447&lt;&gt;"",K447&gt;0,NOT(ISERROR(K447))),VLOOKUP(K447,'ESO wayshrines'!$K$3:$N$9972,4,FALSE),"")))</f>
        <v>Western Skyrim</v>
      </c>
      <c r="T447" s="16" t="str">
        <f>IF(AND(S447&lt;&gt;"",NOT(ISERROR(S447))),S447,VLOOKUP(A447,'ESO Set&amp;DLCs'!$A$3:$D$99998,4,FALSE))</f>
        <v>DLC_BASE_GAME</v>
      </c>
      <c r="U447" s="3" t="str">
        <f>IF(T447&lt;&gt;"",VLOOKUP(T447,ConstDLCIds!$B$4:$C$1000,2,FALSE),"")</f>
        <v>Included in base game</v>
      </c>
      <c r="V447" s="4" t="s">
        <v>1366</v>
      </c>
      <c r="Y447" s="5"/>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zones'!$A$5:$D$10003,4,FALSE),"")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zones'!$A$5:$D$10003,4,FALSE),"")</f>
        <v/>
      </c>
      <c r="AK447" s="3" t="str">
        <f>IF(AND(G447&lt;&gt;"LIBSETS_SETTYPE_BATTLEGROUND",G447&lt;&gt;"LIBSETS_SETTYPE_SPECIAL"),IF(AL447&lt;&gt;"",VLOOKUP(AL447,'ESO zones'!$D$5:$H$4957,5,FALSE),""),"")</f>
        <v/>
      </c>
      <c r="AP447" s="3" t="str">
        <f>IF(AND(G447&lt;&gt;"LIBSETS_SETTYPE_BATTLEGROUND",G447&lt;&gt;"LIBSETS_SETTYPE_SPECIAL"),IF(AQ447&lt;&gt;"",VLOOKUP(AQ447,'ESO zones'!$D$5:$H$4957,5,FALSE),""),"")</f>
        <v/>
      </c>
      <c r="AU447" s="3" t="str">
        <f>IF(AND(G447&lt;&gt;"LIBSETS_SETTYPE_BATTLEGROUND",G447&lt;&gt;"LIBSETS_SETTYPE_SPECIAL"),IF(AV447&lt;&gt;"",VLOOKUP(AV447,'ESO zones'!$D$5:$H$4957,5,FALSE),""),"")</f>
        <v/>
      </c>
      <c r="AZ447" s="49" t="s">
        <v>403</v>
      </c>
      <c r="BA447" s="49"/>
      <c r="BB447" s="49"/>
      <c r="BC447" s="49"/>
      <c r="BD447" s="49"/>
      <c r="BE447" s="18" t="str">
        <f t="shared" si="37"/>
        <v/>
      </c>
      <c r="BF447" s="18" t="str">
        <f t="shared" si="38"/>
        <v/>
      </c>
      <c r="BG447" s="18" t="str">
        <f t="shared" si="39"/>
        <v/>
      </c>
      <c r="BH447" s="18" t="str">
        <f t="shared" si="40"/>
        <v/>
      </c>
      <c r="BI447" s="18" t="str">
        <f t="shared" si="41"/>
        <v/>
      </c>
    </row>
    <row r="448" spans="1:61" ht="15" customHeight="1" x14ac:dyDescent="0.25">
      <c r="A448" s="50">
        <v>510</v>
      </c>
      <c r="B448" s="51" t="s">
        <v>1424</v>
      </c>
      <c r="C448" t="s">
        <v>1424</v>
      </c>
      <c r="D448" s="3">
        <f t="shared" si="36"/>
        <v>510</v>
      </c>
      <c r="E448" s="40" t="s">
        <v>1365</v>
      </c>
      <c r="F448" s="2" t="s">
        <v>813</v>
      </c>
      <c r="G448" s="9" t="s">
        <v>176</v>
      </c>
      <c r="O448" s="5" t="s">
        <v>1372</v>
      </c>
      <c r="Q448" s="3">
        <f>IF(AND(P448&lt;&gt;"",ISNUMBER(P448),NOT(ISNA(P448))),P448,IF(R448&lt;&gt;"",VLOOKUP(R448,'ESO zones'!$D$5:$H$10005,5,FALSE),""))</f>
        <v>1160</v>
      </c>
      <c r="R448" t="str">
        <f>IF(AND(O448&lt;&gt;"",NOT(ISERROR(O448))),O448,IF(AND(P448&lt;&gt;"",ISNUMBER(P448),P448&gt;0,NOT(ISNA(P448))),VLOOKUP(P448,'ESO zones'!$A$5:$D$10003,4,FALSE),IF(AND(K448&lt;&gt;"",K448&gt;0,NOT(ISERROR(K448))),VLOOKUP(K448,'ESO wayshrines'!$K$3:$N$9972,4,FALSE),"")))</f>
        <v>Western Skyrim</v>
      </c>
      <c r="T448" s="16" t="str">
        <f>IF(AND(S448&lt;&gt;"",NOT(ISERROR(S448))),S448,VLOOKUP(A448,'ESO Set&amp;DLCs'!$A$3:$D$99998,4,FALSE))</f>
        <v>DLC_BASE_GAME</v>
      </c>
      <c r="U448" s="3" t="str">
        <f>IF(T448&lt;&gt;"",VLOOKUP(T448,ConstDLCIds!$B$4:$C$1000,2,FALSE),"")</f>
        <v>Included in base game</v>
      </c>
      <c r="V448" s="4" t="s">
        <v>1366</v>
      </c>
      <c r="Y448" s="5"/>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zones'!$A$5:$D$10003,4,FALSE),"")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zones'!$A$5:$D$10003,4,FALSE),"")</f>
        <v/>
      </c>
      <c r="AK448" s="3" t="str">
        <f>IF(AND(G448&lt;&gt;"LIBSETS_SETTYPE_BATTLEGROUND",G448&lt;&gt;"LIBSETS_SETTYPE_SPECIAL"),IF(AL448&lt;&gt;"",VLOOKUP(AL448,'ESO zones'!$D$5:$H$4957,5,FALSE),""),"")</f>
        <v/>
      </c>
      <c r="AP448" s="3" t="str">
        <f>IF(AND(G448&lt;&gt;"LIBSETS_SETTYPE_BATTLEGROUND",G448&lt;&gt;"LIBSETS_SETTYPE_SPECIAL"),IF(AQ448&lt;&gt;"",VLOOKUP(AQ448,'ESO zones'!$D$5:$H$4957,5,FALSE),""),"")</f>
        <v/>
      </c>
      <c r="AU448" s="3" t="str">
        <f>IF(AND(G448&lt;&gt;"LIBSETS_SETTYPE_BATTLEGROUND",G448&lt;&gt;"LIBSETS_SETTYPE_SPECIAL"),IF(AV448&lt;&gt;"",VLOOKUP(AV448,'ESO zones'!$D$5:$H$4957,5,FALSE),""),"")</f>
        <v/>
      </c>
      <c r="AZ448" s="49" t="s">
        <v>403</v>
      </c>
      <c r="BA448" s="49"/>
      <c r="BB448" s="49"/>
      <c r="BC448" s="49"/>
      <c r="BD448" s="49"/>
      <c r="BE448" s="18" t="str">
        <f t="shared" si="37"/>
        <v/>
      </c>
      <c r="BF448" s="18" t="str">
        <f t="shared" si="38"/>
        <v/>
      </c>
      <c r="BG448" s="18" t="str">
        <f t="shared" si="39"/>
        <v/>
      </c>
      <c r="BH448" s="18" t="str">
        <f t="shared" si="40"/>
        <v/>
      </c>
      <c r="BI448" s="18" t="str">
        <f t="shared" si="41"/>
        <v/>
      </c>
    </row>
    <row r="449" spans="1:61" ht="15" customHeight="1" x14ac:dyDescent="0.25">
      <c r="A449" s="50">
        <v>511</v>
      </c>
      <c r="B449" s="51" t="s">
        <v>1425</v>
      </c>
      <c r="C449" t="s">
        <v>1425</v>
      </c>
      <c r="D449" s="3">
        <f t="shared" si="36"/>
        <v>511</v>
      </c>
      <c r="E449" s="40" t="s">
        <v>1365</v>
      </c>
      <c r="F449" s="2" t="s">
        <v>813</v>
      </c>
      <c r="G449" s="9" t="s">
        <v>176</v>
      </c>
      <c r="O449" s="5" t="s">
        <v>1372</v>
      </c>
      <c r="Q449" s="3">
        <f>IF(AND(P449&lt;&gt;"",ISNUMBER(P449),NOT(ISNA(P449))),P449,IF(R449&lt;&gt;"",VLOOKUP(R449,'ESO zones'!$D$5:$H$10005,5,FALSE),""))</f>
        <v>1160</v>
      </c>
      <c r="R449" t="str">
        <f>IF(AND(O449&lt;&gt;"",NOT(ISERROR(O449))),O449,IF(AND(P449&lt;&gt;"",ISNUMBER(P449),P449&gt;0,NOT(ISNA(P449))),VLOOKUP(P449,'ESO zones'!$A$5:$D$10003,4,FALSE),IF(AND(K449&lt;&gt;"",K449&gt;0,NOT(ISERROR(K449))),VLOOKUP(K449,'ESO wayshrines'!$K$3:$N$9972,4,FALSE),"")))</f>
        <v>Western Skyrim</v>
      </c>
      <c r="T449" s="16" t="str">
        <f>IF(AND(S449&lt;&gt;"",NOT(ISERROR(S449))),S449,VLOOKUP(A449,'ESO Set&amp;DLCs'!$A$3:$D$99998,4,FALSE))</f>
        <v>DLC_BASE_GAME</v>
      </c>
      <c r="U449" s="3" t="str">
        <f>IF(T449&lt;&gt;"",VLOOKUP(T449,ConstDLCIds!$B$4:$C$1000,2,FALSE),"")</f>
        <v>Included in base game</v>
      </c>
      <c r="V449" s="4" t="s">
        <v>1366</v>
      </c>
      <c r="Y449" s="5"/>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zones'!$A$5:$D$10003,4,FALSE),"")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zones'!$A$5:$D$10003,4,FALSE),"")</f>
        <v/>
      </c>
      <c r="AK449" s="3" t="str">
        <f>IF(AND(G449&lt;&gt;"LIBSETS_SETTYPE_BATTLEGROUND",G449&lt;&gt;"LIBSETS_SETTYPE_SPECIAL"),IF(AL449&lt;&gt;"",VLOOKUP(AL449,'ESO zones'!$D$5:$H$4957,5,FALSE),""),"")</f>
        <v/>
      </c>
      <c r="AP449" s="3" t="str">
        <f>IF(AND(G449&lt;&gt;"LIBSETS_SETTYPE_BATTLEGROUND",G449&lt;&gt;"LIBSETS_SETTYPE_SPECIAL"),IF(AQ449&lt;&gt;"",VLOOKUP(AQ449,'ESO zones'!$D$5:$H$4957,5,FALSE),""),"")</f>
        <v/>
      </c>
      <c r="AU449" s="3" t="str">
        <f>IF(AND(G449&lt;&gt;"LIBSETS_SETTYPE_BATTLEGROUND",G449&lt;&gt;"LIBSETS_SETTYPE_SPECIAL"),IF(AV449&lt;&gt;"",VLOOKUP(AV449,'ESO zones'!$D$5:$H$4957,5,FALSE),""),"")</f>
        <v/>
      </c>
      <c r="AZ449" s="49" t="s">
        <v>403</v>
      </c>
      <c r="BA449" s="49"/>
      <c r="BB449" s="49"/>
      <c r="BC449" s="49"/>
      <c r="BD449" s="49"/>
      <c r="BE449" s="18" t="str">
        <f t="shared" si="37"/>
        <v/>
      </c>
      <c r="BF449" s="18" t="str">
        <f t="shared" si="38"/>
        <v/>
      </c>
      <c r="BG449" s="18" t="str">
        <f t="shared" si="39"/>
        <v/>
      </c>
      <c r="BH449" s="18" t="str">
        <f t="shared" si="40"/>
        <v/>
      </c>
      <c r="BI449" s="18" t="str">
        <f t="shared" si="41"/>
        <v/>
      </c>
    </row>
    <row r="450" spans="1:61" ht="15" customHeight="1" x14ac:dyDescent="0.25">
      <c r="A450" s="50">
        <v>512</v>
      </c>
      <c r="B450" s="51" t="s">
        <v>1426</v>
      </c>
      <c r="C450" t="s">
        <v>1426</v>
      </c>
      <c r="D450" s="3">
        <f t="shared" si="36"/>
        <v>512</v>
      </c>
      <c r="E450" s="40" t="s">
        <v>1365</v>
      </c>
      <c r="F450" s="2" t="s">
        <v>813</v>
      </c>
      <c r="G450" s="9" t="s">
        <v>176</v>
      </c>
      <c r="O450" s="5" t="s">
        <v>1372</v>
      </c>
      <c r="Q450" s="3">
        <f>IF(AND(P450&lt;&gt;"",ISNUMBER(P450),NOT(ISNA(P450))),P450,IF(R450&lt;&gt;"",VLOOKUP(R450,'ESO zones'!$D$5:$H$10005,5,FALSE),""))</f>
        <v>1160</v>
      </c>
      <c r="R450" t="str">
        <f>IF(AND(O450&lt;&gt;"",NOT(ISERROR(O450))),O450,IF(AND(P450&lt;&gt;"",ISNUMBER(P450),P450&gt;0,NOT(ISNA(P450))),VLOOKUP(P450,'ESO zones'!$A$5:$D$10003,4,FALSE),IF(AND(K450&lt;&gt;"",K450&gt;0,NOT(ISERROR(K450))),VLOOKUP(K450,'ESO wayshrines'!$K$3:$N$9972,4,FALSE),"")))</f>
        <v>Western Skyrim</v>
      </c>
      <c r="T450" s="16" t="str">
        <f>IF(AND(S450&lt;&gt;"",NOT(ISERROR(S450))),S450,VLOOKUP(A450,'ESO Set&amp;DLCs'!$A$3:$D$99998,4,FALSE))</f>
        <v>DLC_BASE_GAME</v>
      </c>
      <c r="U450" s="3" t="str">
        <f>IF(T450&lt;&gt;"",VLOOKUP(T450,ConstDLCIds!$B$4:$C$1000,2,FALSE),"")</f>
        <v>Included in base game</v>
      </c>
      <c r="V450" s="4" t="s">
        <v>1366</v>
      </c>
      <c r="Y450" s="5"/>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zones'!$A$5:$D$10003,4,FALSE),"")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zones'!$A$5:$D$10003,4,FALSE),"")</f>
        <v/>
      </c>
      <c r="AK450" s="3" t="str">
        <f>IF(AND(G450&lt;&gt;"LIBSETS_SETTYPE_BATTLEGROUND",G450&lt;&gt;"LIBSETS_SETTYPE_SPECIAL"),IF(AL450&lt;&gt;"",VLOOKUP(AL450,'ESO zones'!$D$5:$H$4957,5,FALSE),""),"")</f>
        <v/>
      </c>
      <c r="AP450" s="3" t="str">
        <f>IF(AND(G450&lt;&gt;"LIBSETS_SETTYPE_BATTLEGROUND",G450&lt;&gt;"LIBSETS_SETTYPE_SPECIAL"),IF(AQ450&lt;&gt;"",VLOOKUP(AQ450,'ESO zones'!$D$5:$H$4957,5,FALSE),""),"")</f>
        <v/>
      </c>
      <c r="AU450" s="3" t="str">
        <f>IF(AND(G450&lt;&gt;"LIBSETS_SETTYPE_BATTLEGROUND",G450&lt;&gt;"LIBSETS_SETTYPE_SPECIAL"),IF(AV450&lt;&gt;"",VLOOKUP(AV450,'ESO zones'!$D$5:$H$4957,5,FALSE),""),"")</f>
        <v/>
      </c>
      <c r="AZ450" s="49" t="s">
        <v>403</v>
      </c>
      <c r="BA450" s="49"/>
      <c r="BB450" s="49"/>
      <c r="BC450" s="49"/>
      <c r="BD450" s="49"/>
      <c r="BE450" s="18" t="str">
        <f t="shared" si="37"/>
        <v/>
      </c>
      <c r="BF450" s="18" t="str">
        <f t="shared" si="38"/>
        <v/>
      </c>
      <c r="BG450" s="18" t="str">
        <f t="shared" si="39"/>
        <v/>
      </c>
      <c r="BH450" s="18" t="str">
        <f t="shared" si="40"/>
        <v/>
      </c>
      <c r="BI450" s="18" t="str">
        <f t="shared" si="41"/>
        <v/>
      </c>
    </row>
    <row r="451" spans="1:61" ht="15" customHeight="1" x14ac:dyDescent="0.25">
      <c r="A451" s="1">
        <v>513</v>
      </c>
      <c r="B451" t="s">
        <v>1427</v>
      </c>
      <c r="C451" t="s">
        <v>1428</v>
      </c>
      <c r="D451" s="3">
        <f t="shared" ref="D451:D514" si="42">A451</f>
        <v>513</v>
      </c>
      <c r="G451" s="3" t="s">
        <v>169</v>
      </c>
      <c r="I451" t="s">
        <v>401</v>
      </c>
      <c r="J451" t="s">
        <v>401</v>
      </c>
      <c r="K451">
        <v>436</v>
      </c>
      <c r="L451">
        <v>436</v>
      </c>
      <c r="M451">
        <v>436</v>
      </c>
      <c r="O451" s="5" t="s">
        <v>1429</v>
      </c>
      <c r="Q451" s="3">
        <f>IF(AND(P451&lt;&gt;"",ISNUMBER(P451),NOT(ISNA(P451))),P451,IF(R451&lt;&gt;"",VLOOKUP(R451,'ESO zones'!$D$5:$H$10005,5,FALSE),""))</f>
        <v>1201</v>
      </c>
      <c r="R451" t="str">
        <f>IF(AND(O451&lt;&gt;"",NOT(ISERROR(O451))),O451,IF(AND(P451&lt;&gt;"",ISNUMBER(P451),P451&gt;0,NOT(ISNA(P451))),VLOOKUP(P451,'ESO zones'!$A$5:$D$10003,4,FALSE),IF(AND(K451&lt;&gt;"",K451&gt;0,NOT(ISERROR(K451))),VLOOKUP(K451,'ESO wayshrines'!$K$3:$N$9972,4,FALSE),"")))</f>
        <v>Castle Thorn</v>
      </c>
      <c r="T451" s="16" t="str">
        <f>IF(AND(S451&lt;&gt;"",NOT(ISERROR(S451))),S451,VLOOKUP(A451,'ESO Set&amp;DLCs'!$A$3:$D$99998,4,FALSE))</f>
        <v>DLC_STONETHORN</v>
      </c>
      <c r="U451" s="3" t="str">
        <f>IF(T451&lt;&gt;"",VLOOKUP(T451,ConstDLCIds!$B$4:$C$1000,2,FALSE),"")</f>
        <v>Stonethorn</v>
      </c>
      <c r="V451" s="4" t="s">
        <v>278</v>
      </c>
      <c r="Y451" s="5"/>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zones'!$A$5:$D$10003,4,FALSE),"")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zones'!$A$5:$D$10003,4,FALSE),"")</f>
        <v>Western Skyrim</v>
      </c>
      <c r="AK451" s="3" t="str">
        <f>IF(AND(G451&lt;&gt;"LIBSETS_SETTYPE_BATTLEGROUND",G451&lt;&gt;"LIBSETS_SETTYPE_SPECIAL"),IF(AL451&lt;&gt;"",VLOOKUP(AL451,'ESO zones'!$D$5:$H$4957,5,FALSE),""),"")</f>
        <v/>
      </c>
      <c r="AP451" s="3" t="str">
        <f>IF(AND(G451&lt;&gt;"LIBSETS_SETTYPE_BATTLEGROUND",G451&lt;&gt;"LIBSETS_SETTYPE_SPECIAL"),IF(AQ451&lt;&gt;"",VLOOKUP(AQ451,'ESO zones'!$D$5:$H$4957,5,FALSE),""),"")</f>
        <v/>
      </c>
      <c r="AU451" s="3" t="str">
        <f>IF(AND(G451&lt;&gt;"LIBSETS_SETTYPE_BATTLEGROUND",G451&lt;&gt;"LIBSETS_SETTYPE_SPECIAL"),IF(AV451&lt;&gt;"",VLOOKUP(AV451,'ESO zones'!$D$5:$H$4957,5,FALSE),""),"")</f>
        <v/>
      </c>
      <c r="AZ451" s="49" t="s">
        <v>403</v>
      </c>
      <c r="BA451" s="49"/>
      <c r="BB451" s="49"/>
      <c r="BC451" s="49"/>
      <c r="BD451" s="49"/>
      <c r="BE451" s="18"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8"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8" t="str">
        <f t="shared" ref="BG451:BG514" si="45">IF(A451&lt;&gt;"",IF(F451&lt;&gt;"Not in the game (anymore)",IF(A451&lt;&gt;"",", setType="&amp;G451,"")&amp;IF(G451="LIBSETS_SETTYPE_CLASS",", classId="&amp;BC451,"")&amp;IF(J451="true",", multiTrialSet=true",""),"")&amp;IF(AND(H451&lt;&gt;"",ISNUMBER(H451)),", undauntedChestId="&amp;H451,""),"")</f>
        <v>, setType=LIBSETS_SETTYPE_DUNGEON</v>
      </c>
      <c r="BH451" s="18" t="str">
        <f t="shared" ref="BH451:BH514" si="46">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8" t="str">
        <f t="shared" ref="BI451:BI514" si="47">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1">
        <v>514</v>
      </c>
      <c r="B452" t="s">
        <v>1430</v>
      </c>
      <c r="C452" t="s">
        <v>1431</v>
      </c>
      <c r="D452" s="3">
        <f t="shared" si="42"/>
        <v>514</v>
      </c>
      <c r="G452" s="3" t="s">
        <v>169</v>
      </c>
      <c r="I452" t="s">
        <v>401</v>
      </c>
      <c r="J452" t="s">
        <v>401</v>
      </c>
      <c r="K452">
        <v>436</v>
      </c>
      <c r="L452">
        <v>436</v>
      </c>
      <c r="M452">
        <v>436</v>
      </c>
      <c r="O452" s="5" t="s">
        <v>1429</v>
      </c>
      <c r="Q452" s="3">
        <f>IF(AND(P452&lt;&gt;"",ISNUMBER(P452),NOT(ISNA(P452))),P452,IF(R452&lt;&gt;"",VLOOKUP(R452,'ESO zones'!$D$5:$H$10005,5,FALSE),""))</f>
        <v>1201</v>
      </c>
      <c r="R452" t="str">
        <f>IF(AND(O452&lt;&gt;"",NOT(ISERROR(O452))),O452,IF(AND(P452&lt;&gt;"",ISNUMBER(P452),P452&gt;0,NOT(ISNA(P452))),VLOOKUP(P452,'ESO zones'!$A$5:$D$10003,4,FALSE),IF(AND(K452&lt;&gt;"",K452&gt;0,NOT(ISERROR(K452))),VLOOKUP(K452,'ESO wayshrines'!$K$3:$N$9972,4,FALSE),"")))</f>
        <v>Castle Thorn</v>
      </c>
      <c r="T452" s="16" t="str">
        <f>IF(AND(S452&lt;&gt;"",NOT(ISERROR(S452))),S452,VLOOKUP(A452,'ESO Set&amp;DLCs'!$A$3:$D$99998,4,FALSE))</f>
        <v>DLC_STONETHORN</v>
      </c>
      <c r="U452" s="3" t="str">
        <f>IF(T452&lt;&gt;"",VLOOKUP(T452,ConstDLCIds!$B$4:$C$1000,2,FALSE),"")</f>
        <v>Stonethorn</v>
      </c>
      <c r="V452" s="4" t="s">
        <v>278</v>
      </c>
      <c r="Y452" s="5"/>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zones'!$A$5:$D$10003,4,FALSE),"")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zones'!$A$5:$D$10003,4,FALSE),"")</f>
        <v>Western Skyrim</v>
      </c>
      <c r="AK452" s="3" t="str">
        <f>IF(AND(G452&lt;&gt;"LIBSETS_SETTYPE_BATTLEGROUND",G452&lt;&gt;"LIBSETS_SETTYPE_SPECIAL"),IF(AL452&lt;&gt;"",VLOOKUP(AL452,'ESO zones'!$D$5:$H$4957,5,FALSE),""),"")</f>
        <v/>
      </c>
      <c r="AP452" s="3" t="str">
        <f>IF(AND(G452&lt;&gt;"LIBSETS_SETTYPE_BATTLEGROUND",G452&lt;&gt;"LIBSETS_SETTYPE_SPECIAL"),IF(AQ452&lt;&gt;"",VLOOKUP(AQ452,'ESO zones'!$D$5:$H$4957,5,FALSE),""),"")</f>
        <v/>
      </c>
      <c r="AU452" s="3" t="str">
        <f>IF(AND(G452&lt;&gt;"LIBSETS_SETTYPE_BATTLEGROUND",G452&lt;&gt;"LIBSETS_SETTYPE_SPECIAL"),IF(AV452&lt;&gt;"",VLOOKUP(AV452,'ESO zones'!$D$5:$H$4957,5,FALSE),""),"")</f>
        <v/>
      </c>
      <c r="AZ452" s="49" t="s">
        <v>403</v>
      </c>
      <c r="BA452" s="49"/>
      <c r="BB452" s="49"/>
      <c r="BC452" s="49"/>
      <c r="BD452" s="49"/>
      <c r="BE452" s="18" t="str">
        <f t="shared" si="43"/>
        <v>[514] = {wayshrines={436,436,436,}, dlcId=DLC_STONETHORN</v>
      </c>
      <c r="BF452" s="18" t="str">
        <f t="shared" si="44"/>
        <v>, zoneIds={1201,1160,1160}, veteran=false</v>
      </c>
      <c r="BG452" s="18" t="str">
        <f t="shared" si="45"/>
        <v>, setType=LIBSETS_SETTYPE_DUNGEON</v>
      </c>
      <c r="BH452" s="18" t="str">
        <f t="shared" si="46"/>
        <v>, dropMechanic={LIBSETS_DROP_MECHANIC_GROUP_DUNGEON_BOSS}</v>
      </c>
      <c r="BI452" s="18" t="str">
        <f t="shared" si="47"/>
        <v>}, --Unleashed Terror / Entfesselter Schrecken   [Castle Thorn, Western Skyrim, Western Skyrim]</v>
      </c>
    </row>
    <row r="453" spans="1:61" ht="15" customHeight="1" x14ac:dyDescent="0.25">
      <c r="A453" s="1">
        <v>515</v>
      </c>
      <c r="B453" t="s">
        <v>1432</v>
      </c>
      <c r="C453" t="s">
        <v>1433</v>
      </c>
      <c r="D453" s="3">
        <f t="shared" si="42"/>
        <v>515</v>
      </c>
      <c r="G453" s="3" t="s">
        <v>169</v>
      </c>
      <c r="I453" t="s">
        <v>401</v>
      </c>
      <c r="J453" t="s">
        <v>401</v>
      </c>
      <c r="K453">
        <v>436</v>
      </c>
      <c r="L453">
        <v>436</v>
      </c>
      <c r="M453">
        <v>436</v>
      </c>
      <c r="O453" s="5" t="s">
        <v>1429</v>
      </c>
      <c r="Q453" s="3">
        <f>IF(AND(P453&lt;&gt;"",ISNUMBER(P453),NOT(ISNA(P453))),P453,IF(R453&lt;&gt;"",VLOOKUP(R453,'ESO zones'!$D$5:$H$10005,5,FALSE),""))</f>
        <v>1201</v>
      </c>
      <c r="R453" t="str">
        <f>IF(AND(O453&lt;&gt;"",NOT(ISERROR(O453))),O453,IF(AND(P453&lt;&gt;"",ISNUMBER(P453),P453&gt;0,NOT(ISNA(P453))),VLOOKUP(P453,'ESO zones'!$A$5:$D$10003,4,FALSE),IF(AND(K453&lt;&gt;"",K453&gt;0,NOT(ISERROR(K453))),VLOOKUP(K453,'ESO wayshrines'!$K$3:$N$9972,4,FALSE),"")))</f>
        <v>Castle Thorn</v>
      </c>
      <c r="T453" s="16" t="str">
        <f>IF(AND(S453&lt;&gt;"",NOT(ISERROR(S453))),S453,VLOOKUP(A453,'ESO Set&amp;DLCs'!$A$3:$D$99998,4,FALSE))</f>
        <v>DLC_STONETHORN</v>
      </c>
      <c r="U453" s="3" t="str">
        <f>IF(T453&lt;&gt;"",VLOOKUP(T453,ConstDLCIds!$B$4:$C$1000,2,FALSE),"")</f>
        <v>Stonethorn</v>
      </c>
      <c r="V453" s="4" t="s">
        <v>278</v>
      </c>
      <c r="Y453" s="5"/>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zones'!$A$5:$D$10003,4,FALSE),"")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zones'!$A$5:$D$10003,4,FALSE),"")</f>
        <v>Western Skyrim</v>
      </c>
      <c r="AK453" s="3" t="str">
        <f>IF(AND(G453&lt;&gt;"LIBSETS_SETTYPE_BATTLEGROUND",G453&lt;&gt;"LIBSETS_SETTYPE_SPECIAL"),IF(AL453&lt;&gt;"",VLOOKUP(AL453,'ESO zones'!$D$5:$H$4957,5,FALSE),""),"")</f>
        <v/>
      </c>
      <c r="AP453" s="3" t="str">
        <f>IF(AND(G453&lt;&gt;"LIBSETS_SETTYPE_BATTLEGROUND",G453&lt;&gt;"LIBSETS_SETTYPE_SPECIAL"),IF(AQ453&lt;&gt;"",VLOOKUP(AQ453,'ESO zones'!$D$5:$H$4957,5,FALSE),""),"")</f>
        <v/>
      </c>
      <c r="AU453" s="3" t="str">
        <f>IF(AND(G453&lt;&gt;"LIBSETS_SETTYPE_BATTLEGROUND",G453&lt;&gt;"LIBSETS_SETTYPE_SPECIAL"),IF(AV453&lt;&gt;"",VLOOKUP(AV453,'ESO zones'!$D$5:$H$4957,5,FALSE),""),"")</f>
        <v/>
      </c>
      <c r="AZ453" s="49" t="s">
        <v>403</v>
      </c>
      <c r="BA453" s="49"/>
      <c r="BB453" s="49"/>
      <c r="BC453" s="49"/>
      <c r="BD453" s="49"/>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1">
        <v>516</v>
      </c>
      <c r="B454" t="s">
        <v>1434</v>
      </c>
      <c r="C454" t="s">
        <v>1435</v>
      </c>
      <c r="D454" s="3">
        <f t="shared" si="42"/>
        <v>516</v>
      </c>
      <c r="G454" s="3" t="s">
        <v>169</v>
      </c>
      <c r="I454" t="s">
        <v>401</v>
      </c>
      <c r="J454" t="s">
        <v>401</v>
      </c>
      <c r="K454">
        <v>433</v>
      </c>
      <c r="L454">
        <v>433</v>
      </c>
      <c r="M454">
        <v>433</v>
      </c>
      <c r="O454" s="5" t="s">
        <v>1436</v>
      </c>
      <c r="Q454" s="3">
        <f>IF(AND(P454&lt;&gt;"",ISNUMBER(P454),NOT(ISNA(P454))),P454,IF(R454&lt;&gt;"",VLOOKUP(R454,'ESO zones'!$D$5:$H$10005,5,FALSE),""))</f>
        <v>1197</v>
      </c>
      <c r="R454" t="str">
        <f>IF(AND(O454&lt;&gt;"",NOT(ISERROR(O454))),O454,IF(AND(P454&lt;&gt;"",ISNUMBER(P454),P454&gt;0,NOT(ISNA(P454))),VLOOKUP(P454,'ESO zones'!$A$5:$D$10003,4,FALSE),IF(AND(K454&lt;&gt;"",K454&gt;0,NOT(ISERROR(K454))),VLOOKUP(K454,'ESO wayshrines'!$K$3:$N$9972,4,FALSE),"")))</f>
        <v>Stone Garden</v>
      </c>
      <c r="T454" s="16" t="str">
        <f>IF(AND(S454&lt;&gt;"",NOT(ISERROR(S454))),S454,VLOOKUP(A454,'ESO Set&amp;DLCs'!$A$3:$D$99998,4,FALSE))</f>
        <v>DLC_STONETHORN</v>
      </c>
      <c r="U454" s="3" t="str">
        <f>IF(T454&lt;&gt;"",VLOOKUP(T454,ConstDLCIds!$B$4:$C$1000,2,FALSE),"")</f>
        <v>Stonethorn</v>
      </c>
      <c r="V454" s="4" t="s">
        <v>278</v>
      </c>
      <c r="Y454" s="5"/>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zones'!$A$5:$D$10003,4,FALSE),"")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zones'!$A$5:$D$10003,4,FALSE),"")</f>
        <v>Tamriel Map</v>
      </c>
      <c r="AK454" s="3" t="str">
        <f>IF(AND(G454&lt;&gt;"LIBSETS_SETTYPE_BATTLEGROUND",G454&lt;&gt;"LIBSETS_SETTYPE_SPECIAL"),IF(AL454&lt;&gt;"",VLOOKUP(AL454,'ESO zones'!$D$5:$H$4957,5,FALSE),""),"")</f>
        <v/>
      </c>
      <c r="AP454" s="3" t="str">
        <f>IF(AND(G454&lt;&gt;"LIBSETS_SETTYPE_BATTLEGROUND",G454&lt;&gt;"LIBSETS_SETTYPE_SPECIAL"),IF(AQ454&lt;&gt;"",VLOOKUP(AQ454,'ESO zones'!$D$5:$H$4957,5,FALSE),""),"")</f>
        <v/>
      </c>
      <c r="AU454" s="3" t="str">
        <f>IF(AND(G454&lt;&gt;"LIBSETS_SETTYPE_BATTLEGROUND",G454&lt;&gt;"LIBSETS_SETTYPE_SPECIAL"),IF(AV454&lt;&gt;"",VLOOKUP(AV454,'ESO zones'!$D$5:$H$4957,5,FALSE),""),"")</f>
        <v/>
      </c>
      <c r="AZ454" s="49" t="s">
        <v>403</v>
      </c>
      <c r="BA454" s="49"/>
      <c r="BB454" s="49"/>
      <c r="BC454" s="49"/>
      <c r="BD454" s="49"/>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1">
        <v>517</v>
      </c>
      <c r="B455" t="s">
        <v>1437</v>
      </c>
      <c r="C455" t="s">
        <v>1438</v>
      </c>
      <c r="D455" s="3">
        <f t="shared" si="42"/>
        <v>517</v>
      </c>
      <c r="G455" s="3" t="s">
        <v>169</v>
      </c>
      <c r="I455" t="s">
        <v>401</v>
      </c>
      <c r="J455" t="s">
        <v>401</v>
      </c>
      <c r="K455">
        <v>433</v>
      </c>
      <c r="L455">
        <v>433</v>
      </c>
      <c r="M455">
        <v>433</v>
      </c>
      <c r="O455" s="5" t="s">
        <v>1436</v>
      </c>
      <c r="Q455" s="3">
        <f>IF(AND(P455&lt;&gt;"",ISNUMBER(P455),NOT(ISNA(P455))),P455,IF(R455&lt;&gt;"",VLOOKUP(R455,'ESO zones'!$D$5:$H$10005,5,FALSE),""))</f>
        <v>1197</v>
      </c>
      <c r="R455" t="str">
        <f>IF(AND(O455&lt;&gt;"",NOT(ISERROR(O455))),O455,IF(AND(P455&lt;&gt;"",ISNUMBER(P455),P455&gt;0,NOT(ISNA(P455))),VLOOKUP(P455,'ESO zones'!$A$5:$D$10003,4,FALSE),IF(AND(K455&lt;&gt;"",K455&gt;0,NOT(ISERROR(K455))),VLOOKUP(K455,'ESO wayshrines'!$K$3:$N$9972,4,FALSE),"")))</f>
        <v>Stone Garden</v>
      </c>
      <c r="T455" s="16" t="str">
        <f>IF(AND(S455&lt;&gt;"",NOT(ISERROR(S455))),S455,VLOOKUP(A455,'ESO Set&amp;DLCs'!$A$3:$D$99998,4,FALSE))</f>
        <v>DLC_STONETHORN</v>
      </c>
      <c r="U455" s="3" t="str">
        <f>IF(T455&lt;&gt;"",VLOOKUP(T455,ConstDLCIds!$B$4:$C$1000,2,FALSE),"")</f>
        <v>Stonethorn</v>
      </c>
      <c r="V455" s="4" t="s">
        <v>278</v>
      </c>
      <c r="Y455" s="5"/>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zones'!$A$5:$D$10003,4,FALSE),"")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zones'!$A$5:$D$10003,4,FALSE),"")</f>
        <v>Tamriel Map</v>
      </c>
      <c r="AK455" s="3" t="str">
        <f>IF(AND(G455&lt;&gt;"LIBSETS_SETTYPE_BATTLEGROUND",G455&lt;&gt;"LIBSETS_SETTYPE_SPECIAL"),IF(AL455&lt;&gt;"",VLOOKUP(AL455,'ESO zones'!$D$5:$H$4957,5,FALSE),""),"")</f>
        <v/>
      </c>
      <c r="AP455" s="3" t="str">
        <f>IF(AND(G455&lt;&gt;"LIBSETS_SETTYPE_BATTLEGROUND",G455&lt;&gt;"LIBSETS_SETTYPE_SPECIAL"),IF(AQ455&lt;&gt;"",VLOOKUP(AQ455,'ESO zones'!$D$5:$H$4957,5,FALSE),""),"")</f>
        <v/>
      </c>
      <c r="AU455" s="3" t="str">
        <f>IF(AND(G455&lt;&gt;"LIBSETS_SETTYPE_BATTLEGROUND",G455&lt;&gt;"LIBSETS_SETTYPE_SPECIAL"),IF(AV455&lt;&gt;"",VLOOKUP(AV455,'ESO zones'!$D$5:$H$4957,5,FALSE),""),"")</f>
        <v/>
      </c>
      <c r="AZ455" s="49" t="s">
        <v>403</v>
      </c>
      <c r="BA455" s="49"/>
      <c r="BB455" s="49"/>
      <c r="BC455" s="49"/>
      <c r="BD455" s="49"/>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1">
        <v>518</v>
      </c>
      <c r="B456" t="s">
        <v>1439</v>
      </c>
      <c r="C456" t="s">
        <v>1440</v>
      </c>
      <c r="D456" s="3">
        <f t="shared" si="42"/>
        <v>518</v>
      </c>
      <c r="G456" s="3" t="s">
        <v>169</v>
      </c>
      <c r="I456" t="s">
        <v>401</v>
      </c>
      <c r="J456" t="s">
        <v>401</v>
      </c>
      <c r="K456">
        <v>433</v>
      </c>
      <c r="L456">
        <v>433</v>
      </c>
      <c r="M456">
        <v>433</v>
      </c>
      <c r="O456" s="5" t="s">
        <v>1436</v>
      </c>
      <c r="Q456" s="3">
        <f>IF(AND(P456&lt;&gt;"",ISNUMBER(P456),NOT(ISNA(P456))),P456,IF(R456&lt;&gt;"",VLOOKUP(R456,'ESO zones'!$D$5:$H$10005,5,FALSE),""))</f>
        <v>1197</v>
      </c>
      <c r="R456" t="str">
        <f>IF(AND(O456&lt;&gt;"",NOT(ISERROR(O456))),O456,IF(AND(P456&lt;&gt;"",ISNUMBER(P456),P456&gt;0,NOT(ISNA(P456))),VLOOKUP(P456,'ESO zones'!$A$5:$D$10003,4,FALSE),IF(AND(K456&lt;&gt;"",K456&gt;0,NOT(ISERROR(K456))),VLOOKUP(K456,'ESO wayshrines'!$K$3:$N$9972,4,FALSE),"")))</f>
        <v>Stone Garden</v>
      </c>
      <c r="T456" s="16" t="str">
        <f>IF(AND(S456&lt;&gt;"",NOT(ISERROR(S456))),S456,VLOOKUP(A456,'ESO Set&amp;DLCs'!$A$3:$D$99998,4,FALSE))</f>
        <v>DLC_STONETHORN</v>
      </c>
      <c r="U456" s="3" t="str">
        <f>IF(T456&lt;&gt;"",VLOOKUP(T456,ConstDLCIds!$B$4:$C$1000,2,FALSE),"")</f>
        <v>Stonethorn</v>
      </c>
      <c r="V456" s="4" t="s">
        <v>278</v>
      </c>
      <c r="Y456" s="5"/>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zones'!$A$5:$D$10003,4,FALSE),"")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zones'!$A$5:$D$10003,4,FALSE),"")</f>
        <v>Tamriel Map</v>
      </c>
      <c r="AK456" s="3" t="str">
        <f>IF(AND(G456&lt;&gt;"LIBSETS_SETTYPE_BATTLEGROUND",G456&lt;&gt;"LIBSETS_SETTYPE_SPECIAL"),IF(AL456&lt;&gt;"",VLOOKUP(AL456,'ESO zones'!$D$5:$H$4957,5,FALSE),""),"")</f>
        <v/>
      </c>
      <c r="AP456" s="3" t="str">
        <f>IF(AND(G456&lt;&gt;"LIBSETS_SETTYPE_BATTLEGROUND",G456&lt;&gt;"LIBSETS_SETTYPE_SPECIAL"),IF(AQ456&lt;&gt;"",VLOOKUP(AQ456,'ESO zones'!$D$5:$H$4957,5,FALSE),""),"")</f>
        <v/>
      </c>
      <c r="AU456" s="3" t="str">
        <f>IF(AND(G456&lt;&gt;"LIBSETS_SETTYPE_BATTLEGROUND",G456&lt;&gt;"LIBSETS_SETTYPE_SPECIAL"),IF(AV456&lt;&gt;"",VLOOKUP(AV456,'ESO zones'!$D$5:$H$4957,5,FALSE),""),"")</f>
        <v/>
      </c>
      <c r="AZ456" s="49" t="s">
        <v>403</v>
      </c>
      <c r="BA456" s="49"/>
      <c r="BB456" s="49"/>
      <c r="BC456" s="49"/>
      <c r="BD456" s="49"/>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1">
        <v>519</v>
      </c>
      <c r="B457" t="s">
        <v>1441</v>
      </c>
      <c r="C457" t="s">
        <v>1442</v>
      </c>
      <c r="D457" s="3">
        <f t="shared" si="42"/>
        <v>519</v>
      </c>
      <c r="G457" s="9" t="s">
        <v>180</v>
      </c>
      <c r="I457" t="s">
        <v>401</v>
      </c>
      <c r="J457" t="s">
        <v>401</v>
      </c>
      <c r="K457">
        <v>416</v>
      </c>
      <c r="L457">
        <v>172</v>
      </c>
      <c r="M457">
        <v>109</v>
      </c>
      <c r="Q457" s="3">
        <f>IF(AND(P457&lt;&gt;"",ISNUMBER(P457),NOT(ISNA(P457))),P457,IF(R457&lt;&gt;"",VLOOKUP(R457,'ESO zones'!$D$5:$H$10005,5,FALSE),""))</f>
        <v>1160</v>
      </c>
      <c r="R457" t="str">
        <f>IF(AND(O457&lt;&gt;"",NOT(ISERROR(O457))),O457,IF(AND(P457&lt;&gt;"",ISNUMBER(P457),P457&gt;0,NOT(ISNA(P457))),VLOOKUP(P457,'ESO zones'!$A$5:$D$10003,4,FALSE),IF(AND(K457&lt;&gt;"",K457&gt;0,NOT(ISERROR(K457))),VLOOKUP(K457,'ESO wayshrines'!$K$3:$N$9972,4,FALSE),"")))</f>
        <v>Western Skyrim</v>
      </c>
      <c r="T457" s="16" t="str">
        <f>IF(AND(S457&lt;&gt;"",NOT(ISERROR(S457))),S457,VLOOKUP(A457,'ESO Set&amp;DLCs'!$A$3:$D$99998,4,FALSE))</f>
        <v>DLC_GREYMOOR</v>
      </c>
      <c r="U457" s="3" t="str">
        <f>IF(T457&lt;&gt;"",VLOOKUP(T457,ConstDLCIds!$B$4:$C$1000,2,FALSE),"")</f>
        <v>Greymoor</v>
      </c>
      <c r="V457" s="4" t="s">
        <v>221</v>
      </c>
      <c r="Y457" s="5"/>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zones'!$A$5:$D$10003,4,FALSE),"")</f>
        <v>Bleakrock Isle</v>
      </c>
      <c r="AB457" s="4"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zones'!$A$5:$D$10003,4,FALSE),"")</f>
        <v>The Rift</v>
      </c>
      <c r="AH457" s="4" t="s">
        <v>218</v>
      </c>
      <c r="AK457" s="3">
        <f>IF(AND(G457&lt;&gt;"LIBSETS_SETTYPE_BATTLEGROUND",G457&lt;&gt;"LIBSETS_SETTYPE_SPECIAL"),IF(AL457&lt;&gt;"",VLOOKUP(AL457,'ESO zones'!$D$5:$H$4957,5,FALSE),""),"")</f>
        <v>449</v>
      </c>
      <c r="AL457" t="s">
        <v>485</v>
      </c>
      <c r="AM457" s="4" t="s">
        <v>278</v>
      </c>
      <c r="AN457" s="3" t="s">
        <v>940</v>
      </c>
      <c r="AO457" s="3" t="s">
        <v>941</v>
      </c>
      <c r="AP457" s="3">
        <f>IF(AND(G457&lt;&gt;"LIBSETS_SETTYPE_BATTLEGROUND",G457&lt;&gt;"LIBSETS_SETTYPE_SPECIAL"),IF(AQ457&lt;&gt;"",VLOOKUP(AQ457,'ESO zones'!$D$5:$H$4957,5,FALSE),""),"")</f>
        <v>181</v>
      </c>
      <c r="AQ457" t="s">
        <v>166</v>
      </c>
      <c r="AR457" s="4" t="s">
        <v>215</v>
      </c>
      <c r="AS457" s="3" t="s">
        <v>1443</v>
      </c>
      <c r="AT457" s="3" t="s">
        <v>1444</v>
      </c>
      <c r="AU457" s="3" t="str">
        <f>IF(AND(G457&lt;&gt;"LIBSETS_SETTYPE_BATTLEGROUND",G457&lt;&gt;"LIBSETS_SETTYPE_SPECIAL"),IF(AV457&lt;&gt;"",VLOOKUP(AV457,'ESO zones'!$D$5:$H$4957,5,FALSE),""),"")</f>
        <v/>
      </c>
      <c r="AZ457" s="49" t="s">
        <v>403</v>
      </c>
      <c r="BA457" t="s">
        <v>1445</v>
      </c>
      <c r="BB457" t="s">
        <v>1445</v>
      </c>
      <c r="BC457"/>
      <c r="BD457"/>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8" t="str">
        <f t="shared" si="47"/>
        <v>, addTooltip={['en']='https://en.uesp.net/wiki/Online:Snow_Treaders',},}, --Snow Treaders / Schneetreter   [Western Skyrim, Bleakrock Isle, The Rift, Direfrost Keep, Cyrodiil]</v>
      </c>
    </row>
    <row r="458" spans="1:61" x14ac:dyDescent="0.25">
      <c r="A458" s="1">
        <v>520</v>
      </c>
      <c r="B458" t="s">
        <v>1446</v>
      </c>
      <c r="C458" t="s">
        <v>1447</v>
      </c>
      <c r="D458" s="3">
        <f t="shared" si="42"/>
        <v>520</v>
      </c>
      <c r="G458" s="9" t="s">
        <v>180</v>
      </c>
      <c r="I458" t="s">
        <v>401</v>
      </c>
      <c r="J458" t="s">
        <v>401</v>
      </c>
      <c r="K458">
        <v>241</v>
      </c>
      <c r="L458">
        <v>144</v>
      </c>
      <c r="M458">
        <v>17</v>
      </c>
      <c r="Q458" s="3">
        <f>IF(AND(P458&lt;&gt;"",ISNUMBER(P458),NOT(ISNA(P458))),P458,IF(R458&lt;&gt;"",VLOOKUP(R458,'ESO zones'!$D$5:$H$10005,5,FALSE),""))</f>
        <v>684</v>
      </c>
      <c r="R458" t="str">
        <f>IF(AND(O458&lt;&gt;"",NOT(ISERROR(O458))),O458,IF(AND(P458&lt;&gt;"",ISNUMBER(P458),P458&gt;0,NOT(ISNA(P458))),VLOOKUP(P458,'ESO zones'!$A$5:$D$10003,4,FALSE),IF(AND(K458&lt;&gt;"",K458&gt;0,NOT(ISERROR(K458))),VLOOKUP(K458,'ESO wayshrines'!$K$3:$N$9972,4,FALSE),"")))</f>
        <v>Wrothgar</v>
      </c>
      <c r="T458" s="16" t="str">
        <f>IF(AND(S458&lt;&gt;"",NOT(ISERROR(S458))),S458,VLOOKUP(A458,'ESO Set&amp;DLCs'!$A$3:$D$99998,4,FALSE))</f>
        <v>DLC_GREYMOOR</v>
      </c>
      <c r="U458" s="3" t="str">
        <f>IF(T458&lt;&gt;"",VLOOKUP(T458,ConstDLCIds!$B$4:$C$1000,2,FALSE),"")</f>
        <v>Greymoor</v>
      </c>
      <c r="V458" s="4" t="s">
        <v>221</v>
      </c>
      <c r="Y458" s="5"/>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zones'!$A$5:$D$10003,4,FALSE),"")</f>
        <v>Reaper's March</v>
      </c>
      <c r="AB458" s="4" t="s">
        <v>218</v>
      </c>
      <c r="AE458" s="3">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zones'!$A$5:$D$10003,4,FALSE),"")</f>
        <v>Bonesnap Ruins</v>
      </c>
      <c r="AH458" s="4" t="s">
        <v>221</v>
      </c>
      <c r="AK458" s="3">
        <f>IF(AND(G458&lt;&gt;"LIBSETS_SETTYPE_BATTLEGROUND",G458&lt;&gt;"LIBSETS_SETTYPE_SPECIAL"),IF(AL458&lt;&gt;"",VLOOKUP(AL458,'ESO zones'!$D$5:$H$4957,5,FALSE),""),"")</f>
        <v>584</v>
      </c>
      <c r="AL458" t="s">
        <v>11</v>
      </c>
      <c r="AM458" s="4" t="s">
        <v>275</v>
      </c>
      <c r="AN458" s="3" t="s">
        <v>1448</v>
      </c>
      <c r="AO458" s="3" t="s">
        <v>1449</v>
      </c>
      <c r="AP458" s="3">
        <f>IF(AND(G458&lt;&gt;"LIBSETS_SETTYPE_BATTLEGROUND",G458&lt;&gt;"LIBSETS_SETTYPE_SPECIAL"),IF(AQ458&lt;&gt;"",VLOOKUP(AQ458,'ESO zones'!$D$5:$H$4957,5,FALSE),""),"")</f>
        <v>535</v>
      </c>
      <c r="AQ458" t="s">
        <v>1450</v>
      </c>
      <c r="AR458" s="4" t="s">
        <v>275</v>
      </c>
      <c r="AS458" s="3" t="s">
        <v>1451</v>
      </c>
      <c r="AT458" s="3" t="s">
        <v>1452</v>
      </c>
      <c r="AU458" s="3" t="str">
        <f>IF(AND(G458&lt;&gt;"LIBSETS_SETTYPE_BATTLEGROUND",G458&lt;&gt;"LIBSETS_SETTYPE_SPECIAL"),IF(AV458&lt;&gt;"",VLOOKUP(AV458,'ESO zones'!$D$5:$H$4957,5,FALSE),""),"")</f>
        <v/>
      </c>
      <c r="AZ458" s="49" t="s">
        <v>403</v>
      </c>
      <c r="BA458" t="s">
        <v>1453</v>
      </c>
      <c r="BB458" t="s">
        <v>1453</v>
      </c>
      <c r="BC458"/>
      <c r="BD458"/>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1">
        <v>521</v>
      </c>
      <c r="B459" t="s">
        <v>1454</v>
      </c>
      <c r="C459" t="s">
        <v>1455</v>
      </c>
      <c r="D459" s="3">
        <f t="shared" si="42"/>
        <v>521</v>
      </c>
      <c r="G459" s="9" t="s">
        <v>180</v>
      </c>
      <c r="I459" t="s">
        <v>401</v>
      </c>
      <c r="J459" t="s">
        <v>401</v>
      </c>
      <c r="K459">
        <v>48</v>
      </c>
      <c r="L459">
        <v>133</v>
      </c>
      <c r="M459">
        <v>190</v>
      </c>
      <c r="Q459" s="3">
        <f>IF(AND(P459&lt;&gt;"",ISNUMBER(P459),NOT(ISNA(P459))),P459,IF(R459&lt;&gt;"",VLOOKUP(R459,'ESO zones'!$D$5:$H$10005,5,FALSE),""))</f>
        <v>117</v>
      </c>
      <c r="R459" t="str">
        <f>IF(AND(O459&lt;&gt;"",NOT(ISERROR(O459))),O459,IF(AND(P459&lt;&gt;"",ISNUMBER(P459),P459&gt;0,NOT(ISNA(P459))),VLOOKUP(P459,'ESO zones'!$A$5:$D$10003,4,FALSE),IF(AND(K459&lt;&gt;"",K459&gt;0,NOT(ISERROR(K459))),VLOOKUP(K459,'ESO wayshrines'!$K$3:$N$9972,4,FALSE),"")))</f>
        <v>Shadowfen</v>
      </c>
      <c r="T459" s="16" t="str">
        <f>IF(AND(S459&lt;&gt;"",NOT(ISERROR(S459))),S459,VLOOKUP(A459,'ESO Set&amp;DLCs'!$A$3:$D$99998,4,FALSE))</f>
        <v>DLC_GREYMOOR</v>
      </c>
      <c r="U459" s="3" t="str">
        <f>IF(T459&lt;&gt;"",VLOOKUP(T459,ConstDLCIds!$B$4:$C$1000,2,FALSE),"")</f>
        <v>Greymoor</v>
      </c>
      <c r="V459" s="4" t="s">
        <v>221</v>
      </c>
      <c r="Y459" s="5">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zones'!$A$5:$D$10003,4,FALSE),"")</f>
        <v>Village of the Lost</v>
      </c>
      <c r="AB459" s="4" t="s">
        <v>221</v>
      </c>
      <c r="AE459" s="3">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zones'!$A$5:$D$10003,4,FALSE),"")</f>
        <v>Crypt of Hearts I</v>
      </c>
      <c r="AH459" s="4" t="s">
        <v>278</v>
      </c>
      <c r="AI459" s="3" t="s">
        <v>936</v>
      </c>
      <c r="AJ459" s="3" t="s">
        <v>937</v>
      </c>
      <c r="AK459" s="3">
        <f>IF(AND(G459&lt;&gt;"LIBSETS_SETTYPE_BATTLEGROUND",G459&lt;&gt;"LIBSETS_SETTYPE_SPECIAL"),IF(AL459&lt;&gt;"",VLOOKUP(AL459,'ESO zones'!$D$5:$H$4957,5,FALSE),""),"")</f>
        <v>144</v>
      </c>
      <c r="AL459" t="s">
        <v>450</v>
      </c>
      <c r="AM459" s="4" t="s">
        <v>278</v>
      </c>
      <c r="AN459" s="3" t="s">
        <v>918</v>
      </c>
      <c r="AO459" s="3" t="s">
        <v>1456</v>
      </c>
      <c r="AP459" s="3">
        <f>IF(AND(G459&lt;&gt;"LIBSETS_SETTYPE_BATTLEGROUND",G459&lt;&gt;"LIBSETS_SETTYPE_SPECIAL"),IF(AQ459&lt;&gt;"",VLOOKUP(AQ459,'ESO zones'!$D$5:$H$4957,5,FALSE),""),"")</f>
        <v>643</v>
      </c>
      <c r="AQ459" t="s">
        <v>764</v>
      </c>
      <c r="AR459" s="4" t="s">
        <v>275</v>
      </c>
      <c r="AS459" s="3" t="s">
        <v>1457</v>
      </c>
      <c r="AT459" s="3" t="s">
        <v>1458</v>
      </c>
      <c r="AU459" s="3" t="str">
        <f>IF(AND(G459&lt;&gt;"LIBSETS_SETTYPE_BATTLEGROUND",G459&lt;&gt;"LIBSETS_SETTYPE_SPECIAL"),IF(AV459&lt;&gt;"",VLOOKUP(AV459,'ESO zones'!$D$5:$H$4957,5,FALSE),""),"")</f>
        <v/>
      </c>
      <c r="AZ459" s="49" t="s">
        <v>403</v>
      </c>
      <c r="BA459" t="s">
        <v>1459</v>
      </c>
      <c r="BB459" t="s">
        <v>1459</v>
      </c>
      <c r="BC459"/>
      <c r="BD459"/>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1">
        <v>522</v>
      </c>
      <c r="B460" t="s">
        <v>1460</v>
      </c>
      <c r="C460" t="s">
        <v>1461</v>
      </c>
      <c r="D460" s="3">
        <f t="shared" si="42"/>
        <v>522</v>
      </c>
      <c r="G460" s="9" t="s">
        <v>159</v>
      </c>
      <c r="I460" t="s">
        <v>1120</v>
      </c>
      <c r="J460" t="s">
        <v>401</v>
      </c>
      <c r="K460">
        <v>249</v>
      </c>
      <c r="L460">
        <v>249</v>
      </c>
      <c r="M460">
        <v>249</v>
      </c>
      <c r="O460" s="5" t="s">
        <v>818</v>
      </c>
      <c r="Q460" s="3">
        <f>IF(AND(P460&lt;&gt;"",ISNUMBER(P460),NOT(ISNA(P460))),P460,IF(R460&lt;&gt;"",VLOOKUP(R460,'ESO zones'!$D$5:$H$10005,5,FALSE),""))</f>
        <v>677</v>
      </c>
      <c r="R460" t="str">
        <f>IF(AND(O460&lt;&gt;"",NOT(ISERROR(O460))),O460,IF(AND(P460&lt;&gt;"",ISNUMBER(P460),P460&gt;0,NOT(ISNA(P460))),VLOOKUP(P460,'ESO zones'!$A$5:$D$10003,4,FALSE),IF(AND(K460&lt;&gt;"",K460&gt;0,NOT(ISERROR(K460))),VLOOKUP(K460,'ESO wayshrines'!$K$3:$N$9972,4,FALSE),"")))</f>
        <v>Maelstrom Arena</v>
      </c>
      <c r="T460" s="16" t="str">
        <f>IF(AND(S460&lt;&gt;"",NOT(ISERROR(S460))),S460,VLOOKUP(A460,'ESO Set&amp;DLCs'!$A$3:$D$99998,4,FALSE))</f>
        <v>DLC_ORSINIUM</v>
      </c>
      <c r="U460" s="3" t="str">
        <f>IF(T460&lt;&gt;"",VLOOKUP(T460,ConstDLCIds!$B$4:$C$1000,2,FALSE),"")</f>
        <v>Orsinium</v>
      </c>
      <c r="V460" s="4" t="s">
        <v>209</v>
      </c>
      <c r="Y460" s="5"/>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zones'!$A$5:$D$10003,4,FALSE),"")</f>
        <v>Wrothgar</v>
      </c>
      <c r="AB460" s="4"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zones'!$A$5:$D$10003,4,FALSE),"")</f>
        <v>Wrothgar</v>
      </c>
      <c r="AK460" s="3" t="str">
        <f>IF(AND(G460&lt;&gt;"LIBSETS_SETTYPE_BATTLEGROUND",G460&lt;&gt;"LIBSETS_SETTYPE_SPECIAL"),IF(AL460&lt;&gt;"",VLOOKUP(AL460,'ESO zones'!$D$5:$H$4957,5,FALSE),""),"")</f>
        <v/>
      </c>
      <c r="AP460" s="3" t="str">
        <f>IF(AND(G460&lt;&gt;"LIBSETS_SETTYPE_BATTLEGROUND",G460&lt;&gt;"LIBSETS_SETTYPE_SPECIAL"),IF(AQ460&lt;&gt;"",VLOOKUP(AQ460,'ESO zones'!$D$5:$H$4957,5,FALSE),""),"")</f>
        <v/>
      </c>
      <c r="AU460" s="3" t="str">
        <f>IF(AND(G460&lt;&gt;"LIBSETS_SETTYPE_BATTLEGROUND",G460&lt;&gt;"LIBSETS_SETTYPE_SPECIAL"),IF(AV460&lt;&gt;"",VLOOKUP(AV460,'ESO zones'!$D$5:$H$4957,5,FALSE),""),"")</f>
        <v/>
      </c>
      <c r="AZ460" s="49" t="s">
        <v>403</v>
      </c>
      <c r="BA460" s="49"/>
      <c r="BB460" s="49"/>
      <c r="BC460" s="49"/>
      <c r="BD460" s="49" t="s">
        <v>1122</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1">
        <v>523</v>
      </c>
      <c r="B461" t="s">
        <v>1462</v>
      </c>
      <c r="C461" t="s">
        <v>1463</v>
      </c>
      <c r="D461" s="3">
        <f t="shared" si="42"/>
        <v>523</v>
      </c>
      <c r="G461" s="9" t="s">
        <v>159</v>
      </c>
      <c r="I461" t="s">
        <v>1120</v>
      </c>
      <c r="J461" t="s">
        <v>401</v>
      </c>
      <c r="K461">
        <v>249</v>
      </c>
      <c r="L461">
        <v>249</v>
      </c>
      <c r="M461">
        <v>249</v>
      </c>
      <c r="O461" s="5" t="s">
        <v>818</v>
      </c>
      <c r="Q461" s="3">
        <f>IF(AND(P461&lt;&gt;"",ISNUMBER(P461),NOT(ISNA(P461))),P461,IF(R461&lt;&gt;"",VLOOKUP(R461,'ESO zones'!$D$5:$H$10005,5,FALSE),""))</f>
        <v>677</v>
      </c>
      <c r="R461" t="str">
        <f>IF(AND(O461&lt;&gt;"",NOT(ISERROR(O461))),O461,IF(AND(P461&lt;&gt;"",ISNUMBER(P461),P461&gt;0,NOT(ISNA(P461))),VLOOKUP(P461,'ESO zones'!$A$5:$D$10003,4,FALSE),IF(AND(K461&lt;&gt;"",K461&gt;0,NOT(ISERROR(K461))),VLOOKUP(K461,'ESO wayshrines'!$K$3:$N$9972,4,FALSE),"")))</f>
        <v>Maelstrom Arena</v>
      </c>
      <c r="T461" s="16" t="str">
        <f>IF(AND(S461&lt;&gt;"",NOT(ISERROR(S461))),S461,VLOOKUP(A461,'ESO Set&amp;DLCs'!$A$3:$D$99998,4,FALSE))</f>
        <v>DLC_ORSINIUM</v>
      </c>
      <c r="U461" s="3" t="str">
        <f>IF(T461&lt;&gt;"",VLOOKUP(T461,ConstDLCIds!$B$4:$C$1000,2,FALSE),"")</f>
        <v>Orsinium</v>
      </c>
      <c r="V461" s="4" t="s">
        <v>209</v>
      </c>
      <c r="Y461" s="5"/>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zones'!$A$5:$D$10003,4,FALSE),"")</f>
        <v>Wrothgar</v>
      </c>
      <c r="AB461" s="4"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zones'!$A$5:$D$10003,4,FALSE),"")</f>
        <v>Wrothgar</v>
      </c>
      <c r="AK461" s="3" t="str">
        <f>IF(AND(G461&lt;&gt;"LIBSETS_SETTYPE_BATTLEGROUND",G461&lt;&gt;"LIBSETS_SETTYPE_SPECIAL"),IF(AL461&lt;&gt;"",VLOOKUP(AL461,'ESO zones'!$D$5:$H$4957,5,FALSE),""),"")</f>
        <v/>
      </c>
      <c r="AP461" s="3" t="str">
        <f>IF(AND(G461&lt;&gt;"LIBSETS_SETTYPE_BATTLEGROUND",G461&lt;&gt;"LIBSETS_SETTYPE_SPECIAL"),IF(AQ461&lt;&gt;"",VLOOKUP(AQ461,'ESO zones'!$D$5:$H$4957,5,FALSE),""),"")</f>
        <v/>
      </c>
      <c r="AU461" s="3" t="str">
        <f>IF(AND(G461&lt;&gt;"LIBSETS_SETTYPE_BATTLEGROUND",G461&lt;&gt;"LIBSETS_SETTYPE_SPECIAL"),IF(AV461&lt;&gt;"",VLOOKUP(AV461,'ESO zones'!$D$5:$H$4957,5,FALSE),""),"")</f>
        <v/>
      </c>
      <c r="AZ461" s="49" t="s">
        <v>403</v>
      </c>
      <c r="BA461" s="49"/>
      <c r="BB461" s="49"/>
      <c r="BC461" s="49"/>
      <c r="BD461" s="49" t="s">
        <v>1122</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1">
        <v>524</v>
      </c>
      <c r="B462" t="s">
        <v>1464</v>
      </c>
      <c r="C462" t="s">
        <v>1465</v>
      </c>
      <c r="D462" s="3">
        <f t="shared" si="42"/>
        <v>524</v>
      </c>
      <c r="G462" s="9" t="s">
        <v>159</v>
      </c>
      <c r="I462" t="s">
        <v>1120</v>
      </c>
      <c r="J462" t="s">
        <v>401</v>
      </c>
      <c r="K462">
        <v>249</v>
      </c>
      <c r="L462">
        <v>249</v>
      </c>
      <c r="M462">
        <v>249</v>
      </c>
      <c r="O462" s="5" t="s">
        <v>818</v>
      </c>
      <c r="Q462" s="3">
        <f>IF(AND(P462&lt;&gt;"",ISNUMBER(P462),NOT(ISNA(P462))),P462,IF(R462&lt;&gt;"",VLOOKUP(R462,'ESO zones'!$D$5:$H$10005,5,FALSE),""))</f>
        <v>677</v>
      </c>
      <c r="R462" t="str">
        <f>IF(AND(O462&lt;&gt;"",NOT(ISERROR(O462))),O462,IF(AND(P462&lt;&gt;"",ISNUMBER(P462),P462&gt;0,NOT(ISNA(P462))),VLOOKUP(P462,'ESO zones'!$A$5:$D$10003,4,FALSE),IF(AND(K462&lt;&gt;"",K462&gt;0,NOT(ISERROR(K462))),VLOOKUP(K462,'ESO wayshrines'!$K$3:$N$9972,4,FALSE),"")))</f>
        <v>Maelstrom Arena</v>
      </c>
      <c r="T462" s="16" t="str">
        <f>IF(AND(S462&lt;&gt;"",NOT(ISERROR(S462))),S462,VLOOKUP(A462,'ESO Set&amp;DLCs'!$A$3:$D$99998,4,FALSE))</f>
        <v>DLC_ORSINIUM</v>
      </c>
      <c r="U462" s="3" t="str">
        <f>IF(T462&lt;&gt;"",VLOOKUP(T462,ConstDLCIds!$B$4:$C$1000,2,FALSE),"")</f>
        <v>Orsinium</v>
      </c>
      <c r="V462" s="4" t="s">
        <v>209</v>
      </c>
      <c r="Y462" s="5"/>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zones'!$A$5:$D$10003,4,FALSE),"")</f>
        <v>Wrothgar</v>
      </c>
      <c r="AB462" s="4"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zones'!$A$5:$D$10003,4,FALSE),"")</f>
        <v>Wrothgar</v>
      </c>
      <c r="AK462" s="3" t="str">
        <f>IF(AND(G462&lt;&gt;"LIBSETS_SETTYPE_BATTLEGROUND",G462&lt;&gt;"LIBSETS_SETTYPE_SPECIAL"),IF(AL462&lt;&gt;"",VLOOKUP(AL462,'ESO zones'!$D$5:$H$4957,5,FALSE),""),"")</f>
        <v/>
      </c>
      <c r="AP462" s="3" t="str">
        <f>IF(AND(G462&lt;&gt;"LIBSETS_SETTYPE_BATTLEGROUND",G462&lt;&gt;"LIBSETS_SETTYPE_SPECIAL"),IF(AQ462&lt;&gt;"",VLOOKUP(AQ462,'ESO zones'!$D$5:$H$4957,5,FALSE),""),"")</f>
        <v/>
      </c>
      <c r="AU462" s="3" t="str">
        <f>IF(AND(G462&lt;&gt;"LIBSETS_SETTYPE_BATTLEGROUND",G462&lt;&gt;"LIBSETS_SETTYPE_SPECIAL"),IF(AV462&lt;&gt;"",VLOOKUP(AV462,'ESO zones'!$D$5:$H$4957,5,FALSE),""),"")</f>
        <v/>
      </c>
      <c r="AZ462" s="49" t="s">
        <v>403</v>
      </c>
      <c r="BA462" s="49"/>
      <c r="BB462" s="49"/>
      <c r="BC462" s="49"/>
      <c r="BD462" s="49" t="s">
        <v>1122</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1">
        <v>525</v>
      </c>
      <c r="B463" t="s">
        <v>1466</v>
      </c>
      <c r="C463" t="s">
        <v>1467</v>
      </c>
      <c r="D463" s="3">
        <f t="shared" si="42"/>
        <v>525</v>
      </c>
      <c r="G463" s="9" t="s">
        <v>159</v>
      </c>
      <c r="I463" t="s">
        <v>1120</v>
      </c>
      <c r="J463" t="s">
        <v>401</v>
      </c>
      <c r="K463">
        <v>249</v>
      </c>
      <c r="L463">
        <v>249</v>
      </c>
      <c r="M463">
        <v>249</v>
      </c>
      <c r="O463" s="5" t="s">
        <v>818</v>
      </c>
      <c r="Q463" s="3">
        <f>IF(AND(P463&lt;&gt;"",ISNUMBER(P463),NOT(ISNA(P463))),P463,IF(R463&lt;&gt;"",VLOOKUP(R463,'ESO zones'!$D$5:$H$10005,5,FALSE),""))</f>
        <v>677</v>
      </c>
      <c r="R463" t="str">
        <f>IF(AND(O463&lt;&gt;"",NOT(ISERROR(O463))),O463,IF(AND(P463&lt;&gt;"",ISNUMBER(P463),P463&gt;0,NOT(ISNA(P463))),VLOOKUP(P463,'ESO zones'!$A$5:$D$10003,4,FALSE),IF(AND(K463&lt;&gt;"",K463&gt;0,NOT(ISERROR(K463))),VLOOKUP(K463,'ESO wayshrines'!$K$3:$N$9972,4,FALSE),"")))</f>
        <v>Maelstrom Arena</v>
      </c>
      <c r="T463" s="16" t="str">
        <f>IF(AND(S463&lt;&gt;"",NOT(ISERROR(S463))),S463,VLOOKUP(A463,'ESO Set&amp;DLCs'!$A$3:$D$99998,4,FALSE))</f>
        <v>DLC_ORSINIUM</v>
      </c>
      <c r="U463" s="3" t="str">
        <f>IF(T463&lt;&gt;"",VLOOKUP(T463,ConstDLCIds!$B$4:$C$1000,2,FALSE),"")</f>
        <v>Orsinium</v>
      </c>
      <c r="V463" s="4" t="s">
        <v>209</v>
      </c>
      <c r="Y463" s="5"/>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zones'!$A$5:$D$10003,4,FALSE),"")</f>
        <v>Wrothgar</v>
      </c>
      <c r="AB463" s="4"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zones'!$A$5:$D$10003,4,FALSE),"")</f>
        <v>Wrothgar</v>
      </c>
      <c r="AK463" s="3" t="str">
        <f>IF(AND(G463&lt;&gt;"LIBSETS_SETTYPE_BATTLEGROUND",G463&lt;&gt;"LIBSETS_SETTYPE_SPECIAL"),IF(AL463&lt;&gt;"",VLOOKUP(AL463,'ESO zones'!$D$5:$H$4957,5,FALSE),""),"")</f>
        <v/>
      </c>
      <c r="AP463" s="3" t="str">
        <f>IF(AND(G463&lt;&gt;"LIBSETS_SETTYPE_BATTLEGROUND",G463&lt;&gt;"LIBSETS_SETTYPE_SPECIAL"),IF(AQ463&lt;&gt;"",VLOOKUP(AQ463,'ESO zones'!$D$5:$H$4957,5,FALSE),""),"")</f>
        <v/>
      </c>
      <c r="AU463" s="3" t="str">
        <f>IF(AND(G463&lt;&gt;"LIBSETS_SETTYPE_BATTLEGROUND",G463&lt;&gt;"LIBSETS_SETTYPE_SPECIAL"),IF(AV463&lt;&gt;"",VLOOKUP(AV463,'ESO zones'!$D$5:$H$4957,5,FALSE),""),"")</f>
        <v/>
      </c>
      <c r="AZ463" s="49" t="s">
        <v>403</v>
      </c>
      <c r="BA463" s="49"/>
      <c r="BB463" s="49"/>
      <c r="BC463" s="49"/>
      <c r="BD463" s="49" t="s">
        <v>1122</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1">
        <v>526</v>
      </c>
      <c r="B464" t="s">
        <v>1468</v>
      </c>
      <c r="C464" t="s">
        <v>1469</v>
      </c>
      <c r="D464" s="3">
        <f t="shared" si="42"/>
        <v>526</v>
      </c>
      <c r="G464" s="9" t="s">
        <v>159</v>
      </c>
      <c r="I464" t="s">
        <v>1120</v>
      </c>
      <c r="J464" t="s">
        <v>401</v>
      </c>
      <c r="K464">
        <v>249</v>
      </c>
      <c r="L464">
        <v>249</v>
      </c>
      <c r="M464">
        <v>249</v>
      </c>
      <c r="O464" s="5" t="s">
        <v>818</v>
      </c>
      <c r="Q464" s="3">
        <f>IF(AND(P464&lt;&gt;"",ISNUMBER(P464),NOT(ISNA(P464))),P464,IF(R464&lt;&gt;"",VLOOKUP(R464,'ESO zones'!$D$5:$H$10005,5,FALSE),""))</f>
        <v>677</v>
      </c>
      <c r="R464" t="str">
        <f>IF(AND(O464&lt;&gt;"",NOT(ISERROR(O464))),O464,IF(AND(P464&lt;&gt;"",ISNUMBER(P464),P464&gt;0,NOT(ISNA(P464))),VLOOKUP(P464,'ESO zones'!$A$5:$D$10003,4,FALSE),IF(AND(K464&lt;&gt;"",K464&gt;0,NOT(ISERROR(K464))),VLOOKUP(K464,'ESO wayshrines'!$K$3:$N$9972,4,FALSE),"")))</f>
        <v>Maelstrom Arena</v>
      </c>
      <c r="T464" s="16" t="str">
        <f>IF(AND(S464&lt;&gt;"",NOT(ISERROR(S464))),S464,VLOOKUP(A464,'ESO Set&amp;DLCs'!$A$3:$D$99998,4,FALSE))</f>
        <v>DLC_ORSINIUM</v>
      </c>
      <c r="U464" s="3" t="str">
        <f>IF(T464&lt;&gt;"",VLOOKUP(T464,ConstDLCIds!$B$4:$C$1000,2,FALSE),"")</f>
        <v>Orsinium</v>
      </c>
      <c r="V464" s="4" t="s">
        <v>209</v>
      </c>
      <c r="Y464" s="5"/>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zones'!$A$5:$D$10003,4,FALSE),"")</f>
        <v>Wrothgar</v>
      </c>
      <c r="AB464" s="4"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zones'!$A$5:$D$10003,4,FALSE),"")</f>
        <v>Wrothgar</v>
      </c>
      <c r="AK464" s="3" t="str">
        <f>IF(AND(G464&lt;&gt;"LIBSETS_SETTYPE_BATTLEGROUND",G464&lt;&gt;"LIBSETS_SETTYPE_SPECIAL"),IF(AL464&lt;&gt;"",VLOOKUP(AL464,'ESO zones'!$D$5:$H$4957,5,FALSE),""),"")</f>
        <v/>
      </c>
      <c r="AP464" s="3" t="str">
        <f>IF(AND(G464&lt;&gt;"LIBSETS_SETTYPE_BATTLEGROUND",G464&lt;&gt;"LIBSETS_SETTYPE_SPECIAL"),IF(AQ464&lt;&gt;"",VLOOKUP(AQ464,'ESO zones'!$D$5:$H$4957,5,FALSE),""),"")</f>
        <v/>
      </c>
      <c r="AU464" s="3" t="str">
        <f>IF(AND(G464&lt;&gt;"LIBSETS_SETTYPE_BATTLEGROUND",G464&lt;&gt;"LIBSETS_SETTYPE_SPECIAL"),IF(AV464&lt;&gt;"",VLOOKUP(AV464,'ESO zones'!$D$5:$H$4957,5,FALSE),""),"")</f>
        <v/>
      </c>
      <c r="AZ464" s="49" t="s">
        <v>410</v>
      </c>
      <c r="BA464" s="49"/>
      <c r="BB464" s="49"/>
      <c r="BC464" s="49"/>
      <c r="BD464" s="49" t="s">
        <v>1122</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1">
        <v>527</v>
      </c>
      <c r="B465" t="s">
        <v>1470</v>
      </c>
      <c r="C465" t="s">
        <v>1471</v>
      </c>
      <c r="D465" s="3">
        <f t="shared" si="42"/>
        <v>527</v>
      </c>
      <c r="G465" s="9" t="s">
        <v>159</v>
      </c>
      <c r="I465" t="s">
        <v>1120</v>
      </c>
      <c r="J465" t="s">
        <v>401</v>
      </c>
      <c r="K465">
        <v>249</v>
      </c>
      <c r="L465">
        <v>249</v>
      </c>
      <c r="M465">
        <v>249</v>
      </c>
      <c r="O465" s="5" t="s">
        <v>818</v>
      </c>
      <c r="Q465" s="3">
        <f>IF(AND(P465&lt;&gt;"",ISNUMBER(P465),NOT(ISNA(P465))),P465,IF(R465&lt;&gt;"",VLOOKUP(R465,'ESO zones'!$D$5:$H$10005,5,FALSE),""))</f>
        <v>677</v>
      </c>
      <c r="R465" t="str">
        <f>IF(AND(O465&lt;&gt;"",NOT(ISERROR(O465))),O465,IF(AND(P465&lt;&gt;"",ISNUMBER(P465),P465&gt;0,NOT(ISNA(P465))),VLOOKUP(P465,'ESO zones'!$A$5:$D$10003,4,FALSE),IF(AND(K465&lt;&gt;"",K465&gt;0,NOT(ISERROR(K465))),VLOOKUP(K465,'ESO wayshrines'!$K$3:$N$9972,4,FALSE),"")))</f>
        <v>Maelstrom Arena</v>
      </c>
      <c r="T465" s="16" t="str">
        <f>IF(AND(S465&lt;&gt;"",NOT(ISERROR(S465))),S465,VLOOKUP(A465,'ESO Set&amp;DLCs'!$A$3:$D$99998,4,FALSE))</f>
        <v>DLC_ORSINIUM</v>
      </c>
      <c r="U465" s="3" t="str">
        <f>IF(T465&lt;&gt;"",VLOOKUP(T465,ConstDLCIds!$B$4:$C$1000,2,FALSE),"")</f>
        <v>Orsinium</v>
      </c>
      <c r="V465" s="4" t="s">
        <v>209</v>
      </c>
      <c r="Y465" s="5"/>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zones'!$A$5:$D$10003,4,FALSE),"")</f>
        <v>Wrothgar</v>
      </c>
      <c r="AB465" s="4"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zones'!$A$5:$D$10003,4,FALSE),"")</f>
        <v>Wrothgar</v>
      </c>
      <c r="AK465" s="3" t="str">
        <f>IF(AND(G465&lt;&gt;"LIBSETS_SETTYPE_BATTLEGROUND",G465&lt;&gt;"LIBSETS_SETTYPE_SPECIAL"),IF(AL465&lt;&gt;"",VLOOKUP(AL465,'ESO zones'!$D$5:$H$4957,5,FALSE),""),"")</f>
        <v/>
      </c>
      <c r="AP465" s="3" t="str">
        <f>IF(AND(G465&lt;&gt;"LIBSETS_SETTYPE_BATTLEGROUND",G465&lt;&gt;"LIBSETS_SETTYPE_SPECIAL"),IF(AQ465&lt;&gt;"",VLOOKUP(AQ465,'ESO zones'!$D$5:$H$4957,5,FALSE),""),"")</f>
        <v/>
      </c>
      <c r="AU465" s="3" t="str">
        <f>IF(AND(G465&lt;&gt;"LIBSETS_SETTYPE_BATTLEGROUND",G465&lt;&gt;"LIBSETS_SETTYPE_SPECIAL"),IF(AV465&lt;&gt;"",VLOOKUP(AV465,'ESO zones'!$D$5:$H$4957,5,FALSE),""),"")</f>
        <v/>
      </c>
      <c r="AZ465" s="49" t="s">
        <v>403</v>
      </c>
      <c r="BA465" s="49"/>
      <c r="BB465" s="49"/>
      <c r="BC465" s="49"/>
      <c r="BD465" s="49" t="s">
        <v>1122</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1">
        <v>528</v>
      </c>
      <c r="B466" t="s">
        <v>1472</v>
      </c>
      <c r="C466" t="s">
        <v>1473</v>
      </c>
      <c r="D466" s="3">
        <f t="shared" si="42"/>
        <v>528</v>
      </c>
      <c r="G466" s="9" t="s">
        <v>159</v>
      </c>
      <c r="I466" t="s">
        <v>1120</v>
      </c>
      <c r="J466" t="s">
        <v>401</v>
      </c>
      <c r="K466">
        <v>270</v>
      </c>
      <c r="L466">
        <v>270</v>
      </c>
      <c r="M466">
        <v>270</v>
      </c>
      <c r="O466" s="5" t="s">
        <v>416</v>
      </c>
      <c r="Q466" s="3">
        <f>IF(AND(P466&lt;&gt;"",ISNUMBER(P466),NOT(ISNA(P466))),P466,IF(R466&lt;&gt;"",VLOOKUP(R466,'ESO zones'!$D$5:$H$10005,5,FALSE),""))</f>
        <v>635</v>
      </c>
      <c r="R466" t="str">
        <f>IF(AND(O466&lt;&gt;"",NOT(ISERROR(O466))),O466,IF(AND(P466&lt;&gt;"",ISNUMBER(P466),P466&gt;0,NOT(ISNA(P466))),VLOOKUP(P466,'ESO zones'!$A$5:$D$10003,4,FALSE),IF(AND(K466&lt;&gt;"",K466&gt;0,NOT(ISERROR(K466))),VLOOKUP(K466,'ESO wayshrines'!$K$3:$N$9972,4,FALSE),"")))</f>
        <v>Dragonstar Arena</v>
      </c>
      <c r="T466" s="16" t="str">
        <f>IF(AND(S466&lt;&gt;"",NOT(ISERROR(S466))),S466,VLOOKUP(A466,'ESO Set&amp;DLCs'!$A$3:$D$99998,4,FALSE))</f>
        <v>DLC_BASE_GAME</v>
      </c>
      <c r="U466" s="3" t="str">
        <f>IF(T466&lt;&gt;"",VLOOKUP(T466,ConstDLCIds!$B$4:$C$1000,2,FALSE),"")</f>
        <v>Included in base game</v>
      </c>
      <c r="V466" s="4" t="s">
        <v>209</v>
      </c>
      <c r="Y466" s="5"/>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zones'!$A$5:$D$10003,4,FALSE),"")</f>
        <v>Craglorn</v>
      </c>
      <c r="AB466" s="4"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zones'!$A$5:$D$10003,4,FALSE),"")</f>
        <v>Craglorn</v>
      </c>
      <c r="AK466" s="3" t="str">
        <f>IF(AND(G466&lt;&gt;"LIBSETS_SETTYPE_BATTLEGROUND",G466&lt;&gt;"LIBSETS_SETTYPE_SPECIAL"),IF(AL466&lt;&gt;"",VLOOKUP(AL466,'ESO zones'!$D$5:$H$4957,5,FALSE),""),"")</f>
        <v/>
      </c>
      <c r="AP466" s="3" t="str">
        <f>IF(AND(G466&lt;&gt;"LIBSETS_SETTYPE_BATTLEGROUND",G466&lt;&gt;"LIBSETS_SETTYPE_SPECIAL"),IF(AQ466&lt;&gt;"",VLOOKUP(AQ466,'ESO zones'!$D$5:$H$4957,5,FALSE),""),"")</f>
        <v/>
      </c>
      <c r="AU466" s="3" t="str">
        <f>IF(AND(G466&lt;&gt;"LIBSETS_SETTYPE_BATTLEGROUND",G466&lt;&gt;"LIBSETS_SETTYPE_SPECIAL"),IF(AV466&lt;&gt;"",VLOOKUP(AV466,'ESO zones'!$D$5:$H$4957,5,FALSE),""),"")</f>
        <v/>
      </c>
      <c r="AZ466" s="49" t="s">
        <v>403</v>
      </c>
      <c r="BA466" s="49"/>
      <c r="BB466" s="49"/>
      <c r="BC466" s="49"/>
      <c r="BD466" s="49" t="s">
        <v>1122</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1">
        <v>529</v>
      </c>
      <c r="B467" t="s">
        <v>1474</v>
      </c>
      <c r="C467" t="s">
        <v>1475</v>
      </c>
      <c r="D467" s="3">
        <f t="shared" si="42"/>
        <v>529</v>
      </c>
      <c r="G467" s="9" t="s">
        <v>159</v>
      </c>
      <c r="I467" t="s">
        <v>1120</v>
      </c>
      <c r="J467" t="s">
        <v>401</v>
      </c>
      <c r="K467">
        <v>270</v>
      </c>
      <c r="L467">
        <v>270</v>
      </c>
      <c r="M467">
        <v>270</v>
      </c>
      <c r="O467" s="5" t="s">
        <v>416</v>
      </c>
      <c r="Q467" s="3">
        <f>IF(AND(P467&lt;&gt;"",ISNUMBER(P467),NOT(ISNA(P467))),P467,IF(R467&lt;&gt;"",VLOOKUP(R467,'ESO zones'!$D$5:$H$10005,5,FALSE),""))</f>
        <v>635</v>
      </c>
      <c r="R467" t="str">
        <f>IF(AND(O467&lt;&gt;"",NOT(ISERROR(O467))),O467,IF(AND(P467&lt;&gt;"",ISNUMBER(P467),P467&gt;0,NOT(ISNA(P467))),VLOOKUP(P467,'ESO zones'!$A$5:$D$10003,4,FALSE),IF(AND(K467&lt;&gt;"",K467&gt;0,NOT(ISERROR(K467))),VLOOKUP(K467,'ESO wayshrines'!$K$3:$N$9972,4,FALSE),"")))</f>
        <v>Dragonstar Arena</v>
      </c>
      <c r="T467" s="16" t="str">
        <f>IF(AND(S467&lt;&gt;"",NOT(ISERROR(S467))),S467,VLOOKUP(A467,'ESO Set&amp;DLCs'!$A$3:$D$99998,4,FALSE))</f>
        <v>DLC_BASE_GAME</v>
      </c>
      <c r="U467" s="3" t="str">
        <f>IF(T467&lt;&gt;"",VLOOKUP(T467,ConstDLCIds!$B$4:$C$1000,2,FALSE),"")</f>
        <v>Included in base game</v>
      </c>
      <c r="V467" s="4" t="s">
        <v>209</v>
      </c>
      <c r="Y467" s="5"/>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zones'!$A$5:$D$10003,4,FALSE),"")</f>
        <v>Craglorn</v>
      </c>
      <c r="AB467" s="4"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zones'!$A$5:$D$10003,4,FALSE),"")</f>
        <v>Craglorn</v>
      </c>
      <c r="AK467" s="3" t="str">
        <f>IF(AND(G467&lt;&gt;"LIBSETS_SETTYPE_BATTLEGROUND",G467&lt;&gt;"LIBSETS_SETTYPE_SPECIAL"),IF(AL467&lt;&gt;"",VLOOKUP(AL467,'ESO zones'!$D$5:$H$4957,5,FALSE),""),"")</f>
        <v/>
      </c>
      <c r="AP467" s="3" t="str">
        <f>IF(AND(G467&lt;&gt;"LIBSETS_SETTYPE_BATTLEGROUND",G467&lt;&gt;"LIBSETS_SETTYPE_SPECIAL"),IF(AQ467&lt;&gt;"",VLOOKUP(AQ467,'ESO zones'!$D$5:$H$4957,5,FALSE),""),"")</f>
        <v/>
      </c>
      <c r="AU467" s="3" t="str">
        <f>IF(AND(G467&lt;&gt;"LIBSETS_SETTYPE_BATTLEGROUND",G467&lt;&gt;"LIBSETS_SETTYPE_SPECIAL"),IF(AV467&lt;&gt;"",VLOOKUP(AV467,'ESO zones'!$D$5:$H$4957,5,FALSE),""),"")</f>
        <v/>
      </c>
      <c r="AZ467" s="49" t="s">
        <v>403</v>
      </c>
      <c r="BA467" s="49"/>
      <c r="BB467" s="49"/>
      <c r="BC467" s="49"/>
      <c r="BD467" s="49" t="s">
        <v>1122</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1">
        <v>530</v>
      </c>
      <c r="B468" t="s">
        <v>1476</v>
      </c>
      <c r="C468" t="s">
        <v>1477</v>
      </c>
      <c r="D468" s="3">
        <f t="shared" si="42"/>
        <v>530</v>
      </c>
      <c r="G468" s="9" t="s">
        <v>159</v>
      </c>
      <c r="I468" t="s">
        <v>1120</v>
      </c>
      <c r="J468" t="s">
        <v>401</v>
      </c>
      <c r="K468">
        <v>270</v>
      </c>
      <c r="L468">
        <v>270</v>
      </c>
      <c r="M468">
        <v>270</v>
      </c>
      <c r="O468" s="5" t="s">
        <v>416</v>
      </c>
      <c r="Q468" s="3">
        <f>IF(AND(P468&lt;&gt;"",ISNUMBER(P468),NOT(ISNA(P468))),P468,IF(R468&lt;&gt;"",VLOOKUP(R468,'ESO zones'!$D$5:$H$10005,5,FALSE),""))</f>
        <v>635</v>
      </c>
      <c r="R468" t="str">
        <f>IF(AND(O468&lt;&gt;"",NOT(ISERROR(O468))),O468,IF(AND(P468&lt;&gt;"",ISNUMBER(P468),P468&gt;0,NOT(ISNA(P468))),VLOOKUP(P468,'ESO zones'!$A$5:$D$10003,4,FALSE),IF(AND(K468&lt;&gt;"",K468&gt;0,NOT(ISERROR(K468))),VLOOKUP(K468,'ESO wayshrines'!$K$3:$N$9972,4,FALSE),"")))</f>
        <v>Dragonstar Arena</v>
      </c>
      <c r="T468" s="16" t="str">
        <f>IF(AND(S468&lt;&gt;"",NOT(ISERROR(S468))),S468,VLOOKUP(A468,'ESO Set&amp;DLCs'!$A$3:$D$99998,4,FALSE))</f>
        <v>DLC_BASE_GAME</v>
      </c>
      <c r="U468" s="3" t="str">
        <f>IF(T468&lt;&gt;"",VLOOKUP(T468,ConstDLCIds!$B$4:$C$1000,2,FALSE),"")</f>
        <v>Included in base game</v>
      </c>
      <c r="V468" s="4" t="s">
        <v>209</v>
      </c>
      <c r="Y468" s="5"/>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zones'!$A$5:$D$10003,4,FALSE),"")</f>
        <v>Craglorn</v>
      </c>
      <c r="AB468" s="4"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zones'!$A$5:$D$10003,4,FALSE),"")</f>
        <v>Craglorn</v>
      </c>
      <c r="AK468" s="3" t="str">
        <f>IF(AND(G468&lt;&gt;"LIBSETS_SETTYPE_BATTLEGROUND",G468&lt;&gt;"LIBSETS_SETTYPE_SPECIAL"),IF(AL468&lt;&gt;"",VLOOKUP(AL468,'ESO zones'!$D$5:$H$4957,5,FALSE),""),"")</f>
        <v/>
      </c>
      <c r="AP468" s="3" t="str">
        <f>IF(AND(G468&lt;&gt;"LIBSETS_SETTYPE_BATTLEGROUND",G468&lt;&gt;"LIBSETS_SETTYPE_SPECIAL"),IF(AQ468&lt;&gt;"",VLOOKUP(AQ468,'ESO zones'!$D$5:$H$4957,5,FALSE),""),"")</f>
        <v/>
      </c>
      <c r="AU468" s="3" t="str">
        <f>IF(AND(G468&lt;&gt;"LIBSETS_SETTYPE_BATTLEGROUND",G468&lt;&gt;"LIBSETS_SETTYPE_SPECIAL"),IF(AV468&lt;&gt;"",VLOOKUP(AV468,'ESO zones'!$D$5:$H$4957,5,FALSE),""),"")</f>
        <v/>
      </c>
      <c r="AZ468" s="49" t="s">
        <v>403</v>
      </c>
      <c r="BA468" s="49"/>
      <c r="BB468" s="49"/>
      <c r="BC468" s="49"/>
      <c r="BD468" s="49" t="s">
        <v>1122</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1">
        <v>531</v>
      </c>
      <c r="B469" t="s">
        <v>1478</v>
      </c>
      <c r="C469" t="s">
        <v>1479</v>
      </c>
      <c r="D469" s="3">
        <f t="shared" si="42"/>
        <v>531</v>
      </c>
      <c r="G469" s="9" t="s">
        <v>159</v>
      </c>
      <c r="I469" t="s">
        <v>1120</v>
      </c>
      <c r="J469" t="s">
        <v>401</v>
      </c>
      <c r="K469">
        <v>270</v>
      </c>
      <c r="L469">
        <v>270</v>
      </c>
      <c r="M469">
        <v>270</v>
      </c>
      <c r="O469" s="5" t="s">
        <v>416</v>
      </c>
      <c r="Q469" s="3">
        <f>IF(AND(P469&lt;&gt;"",ISNUMBER(P469),NOT(ISNA(P469))),P469,IF(R469&lt;&gt;"",VLOOKUP(R469,'ESO zones'!$D$5:$H$10005,5,FALSE),""))</f>
        <v>635</v>
      </c>
      <c r="R469" t="str">
        <f>IF(AND(O469&lt;&gt;"",NOT(ISERROR(O469))),O469,IF(AND(P469&lt;&gt;"",ISNUMBER(P469),P469&gt;0,NOT(ISNA(P469))),VLOOKUP(P469,'ESO zones'!$A$5:$D$10003,4,FALSE),IF(AND(K469&lt;&gt;"",K469&gt;0,NOT(ISERROR(K469))),VLOOKUP(K469,'ESO wayshrines'!$K$3:$N$9972,4,FALSE),"")))</f>
        <v>Dragonstar Arena</v>
      </c>
      <c r="T469" s="16" t="str">
        <f>IF(AND(S469&lt;&gt;"",NOT(ISERROR(S469))),S469,VLOOKUP(A469,'ESO Set&amp;DLCs'!$A$3:$D$99998,4,FALSE))</f>
        <v>DLC_BASE_GAME</v>
      </c>
      <c r="U469" s="3" t="str">
        <f>IF(T469&lt;&gt;"",VLOOKUP(T469,ConstDLCIds!$B$4:$C$1000,2,FALSE),"")</f>
        <v>Included in base game</v>
      </c>
      <c r="V469" s="4" t="s">
        <v>209</v>
      </c>
      <c r="Y469" s="5"/>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zones'!$A$5:$D$10003,4,FALSE),"")</f>
        <v>Craglorn</v>
      </c>
      <c r="AB469" s="4"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zones'!$A$5:$D$10003,4,FALSE),"")</f>
        <v>Craglorn</v>
      </c>
      <c r="AK469" s="3" t="str">
        <f>IF(AND(G469&lt;&gt;"LIBSETS_SETTYPE_BATTLEGROUND",G469&lt;&gt;"LIBSETS_SETTYPE_SPECIAL"),IF(AL469&lt;&gt;"",VLOOKUP(AL469,'ESO zones'!$D$5:$H$4957,5,FALSE),""),"")</f>
        <v/>
      </c>
      <c r="AP469" s="3" t="str">
        <f>IF(AND(G469&lt;&gt;"LIBSETS_SETTYPE_BATTLEGROUND",G469&lt;&gt;"LIBSETS_SETTYPE_SPECIAL"),IF(AQ469&lt;&gt;"",VLOOKUP(AQ469,'ESO zones'!$D$5:$H$4957,5,FALSE),""),"")</f>
        <v/>
      </c>
      <c r="AU469" s="3" t="str">
        <f>IF(AND(G469&lt;&gt;"LIBSETS_SETTYPE_BATTLEGROUND",G469&lt;&gt;"LIBSETS_SETTYPE_SPECIAL"),IF(AV469&lt;&gt;"",VLOOKUP(AV469,'ESO zones'!$D$5:$H$4957,5,FALSE),""),"")</f>
        <v/>
      </c>
      <c r="AZ469" s="49">
        <v>0</v>
      </c>
      <c r="BA469" s="49"/>
      <c r="BB469" s="49"/>
      <c r="BC469" s="49"/>
      <c r="BD469" s="49" t="s">
        <v>1122</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1">
        <v>532</v>
      </c>
      <c r="B470" t="s">
        <v>1480</v>
      </c>
      <c r="C470" t="s">
        <v>1481</v>
      </c>
      <c r="D470" s="3">
        <f t="shared" si="42"/>
        <v>532</v>
      </c>
      <c r="G470" s="9" t="s">
        <v>159</v>
      </c>
      <c r="I470" t="s">
        <v>1120</v>
      </c>
      <c r="J470" t="s">
        <v>401</v>
      </c>
      <c r="K470">
        <v>270</v>
      </c>
      <c r="L470">
        <v>270</v>
      </c>
      <c r="M470">
        <v>270</v>
      </c>
      <c r="O470" s="5" t="s">
        <v>416</v>
      </c>
      <c r="Q470" s="3">
        <f>IF(AND(P470&lt;&gt;"",ISNUMBER(P470),NOT(ISNA(P470))),P470,IF(R470&lt;&gt;"",VLOOKUP(R470,'ESO zones'!$D$5:$H$10005,5,FALSE),""))</f>
        <v>635</v>
      </c>
      <c r="R470" t="str">
        <f>IF(AND(O470&lt;&gt;"",NOT(ISERROR(O470))),O470,IF(AND(P470&lt;&gt;"",ISNUMBER(P470),P470&gt;0,NOT(ISNA(P470))),VLOOKUP(P470,'ESO zones'!$A$5:$D$10003,4,FALSE),IF(AND(K470&lt;&gt;"",K470&gt;0,NOT(ISERROR(K470))),VLOOKUP(K470,'ESO wayshrines'!$K$3:$N$9972,4,FALSE),"")))</f>
        <v>Dragonstar Arena</v>
      </c>
      <c r="T470" s="16" t="str">
        <f>IF(AND(S470&lt;&gt;"",NOT(ISERROR(S470))),S470,VLOOKUP(A470,'ESO Set&amp;DLCs'!$A$3:$D$99998,4,FALSE))</f>
        <v>DLC_BASE_GAME</v>
      </c>
      <c r="U470" s="3" t="str">
        <f>IF(T470&lt;&gt;"",VLOOKUP(T470,ConstDLCIds!$B$4:$C$1000,2,FALSE),"")</f>
        <v>Included in base game</v>
      </c>
      <c r="V470" s="4" t="s">
        <v>209</v>
      </c>
      <c r="Y470" s="5"/>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zones'!$A$5:$D$10003,4,FALSE),"")</f>
        <v>Craglorn</v>
      </c>
      <c r="AB470" s="4"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zones'!$A$5:$D$10003,4,FALSE),"")</f>
        <v>Craglorn</v>
      </c>
      <c r="AK470" s="3" t="str">
        <f>IF(AND(G470&lt;&gt;"LIBSETS_SETTYPE_BATTLEGROUND",G470&lt;&gt;"LIBSETS_SETTYPE_SPECIAL"),IF(AL470&lt;&gt;"",VLOOKUP(AL470,'ESO zones'!$D$5:$H$4957,5,FALSE),""),"")</f>
        <v/>
      </c>
      <c r="AP470" s="3" t="str">
        <f>IF(AND(G470&lt;&gt;"LIBSETS_SETTYPE_BATTLEGROUND",G470&lt;&gt;"LIBSETS_SETTYPE_SPECIAL"),IF(AQ470&lt;&gt;"",VLOOKUP(AQ470,'ESO zones'!$D$5:$H$4957,5,FALSE),""),"")</f>
        <v/>
      </c>
      <c r="AU470" s="3" t="str">
        <f>IF(AND(G470&lt;&gt;"LIBSETS_SETTYPE_BATTLEGROUND",G470&lt;&gt;"LIBSETS_SETTYPE_SPECIAL"),IF(AV470&lt;&gt;"",VLOOKUP(AV470,'ESO zones'!$D$5:$H$4957,5,FALSE),""),"")</f>
        <v/>
      </c>
      <c r="AZ470" s="49" t="s">
        <v>403</v>
      </c>
      <c r="BA470" s="49"/>
      <c r="BB470" s="49"/>
      <c r="BC470" s="49"/>
      <c r="BD470" s="49" t="s">
        <v>1122</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1">
        <v>533</v>
      </c>
      <c r="B471" t="s">
        <v>1482</v>
      </c>
      <c r="C471" t="s">
        <v>1483</v>
      </c>
      <c r="D471" s="3">
        <f t="shared" si="42"/>
        <v>533</v>
      </c>
      <c r="G471" s="9" t="s">
        <v>159</v>
      </c>
      <c r="I471" t="s">
        <v>1120</v>
      </c>
      <c r="J471" t="s">
        <v>401</v>
      </c>
      <c r="K471">
        <v>270</v>
      </c>
      <c r="L471">
        <v>270</v>
      </c>
      <c r="M471">
        <v>270</v>
      </c>
      <c r="O471" s="5" t="s">
        <v>416</v>
      </c>
      <c r="Q471" s="3">
        <f>IF(AND(P471&lt;&gt;"",ISNUMBER(P471),NOT(ISNA(P471))),P471,IF(R471&lt;&gt;"",VLOOKUP(R471,'ESO zones'!$D$5:$H$10005,5,FALSE),""))</f>
        <v>635</v>
      </c>
      <c r="R471" t="str">
        <f>IF(AND(O471&lt;&gt;"",NOT(ISERROR(O471))),O471,IF(AND(P471&lt;&gt;"",ISNUMBER(P471),P471&gt;0,NOT(ISNA(P471))),VLOOKUP(P471,'ESO zones'!$A$5:$D$10003,4,FALSE),IF(AND(K471&lt;&gt;"",K471&gt;0,NOT(ISERROR(K471))),VLOOKUP(K471,'ESO wayshrines'!$K$3:$N$9972,4,FALSE),"")))</f>
        <v>Dragonstar Arena</v>
      </c>
      <c r="T471" s="16" t="str">
        <f>IF(AND(S471&lt;&gt;"",NOT(ISERROR(S471))),S471,VLOOKUP(A471,'ESO Set&amp;DLCs'!$A$3:$D$99998,4,FALSE))</f>
        <v>DLC_BASE_GAME</v>
      </c>
      <c r="U471" s="3" t="str">
        <f>IF(T471&lt;&gt;"",VLOOKUP(T471,ConstDLCIds!$B$4:$C$1000,2,FALSE),"")</f>
        <v>Included in base game</v>
      </c>
      <c r="V471" s="4" t="s">
        <v>209</v>
      </c>
      <c r="Y471" s="5"/>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zones'!$A$5:$D$10003,4,FALSE),"")</f>
        <v>Craglorn</v>
      </c>
      <c r="AB471" s="4"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zones'!$A$5:$D$10003,4,FALSE),"")</f>
        <v>Craglorn</v>
      </c>
      <c r="AK471" s="3" t="str">
        <f>IF(AND(G471&lt;&gt;"LIBSETS_SETTYPE_BATTLEGROUND",G471&lt;&gt;"LIBSETS_SETTYPE_SPECIAL"),IF(AL471&lt;&gt;"",VLOOKUP(AL471,'ESO zones'!$D$5:$H$4957,5,FALSE),""),"")</f>
        <v/>
      </c>
      <c r="AP471" s="3" t="str">
        <f>IF(AND(G471&lt;&gt;"LIBSETS_SETTYPE_BATTLEGROUND",G471&lt;&gt;"LIBSETS_SETTYPE_SPECIAL"),IF(AQ471&lt;&gt;"",VLOOKUP(AQ471,'ESO zones'!$D$5:$H$4957,5,FALSE),""),"")</f>
        <v/>
      </c>
      <c r="AU471" s="3" t="str">
        <f>IF(AND(G471&lt;&gt;"LIBSETS_SETTYPE_BATTLEGROUND",G471&lt;&gt;"LIBSETS_SETTYPE_SPECIAL"),IF(AV471&lt;&gt;"",VLOOKUP(AV471,'ESO zones'!$D$5:$H$4957,5,FALSE),""),"")</f>
        <v/>
      </c>
      <c r="AZ471" s="49" t="s">
        <v>403</v>
      </c>
      <c r="BA471" s="49"/>
      <c r="BB471" s="49"/>
      <c r="BC471" s="49"/>
      <c r="BD471" s="49" t="s">
        <v>1122</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1">
        <v>534</v>
      </c>
      <c r="B472" t="s">
        <v>1484</v>
      </c>
      <c r="C472" t="s">
        <v>1485</v>
      </c>
      <c r="D472" s="3">
        <f t="shared" si="42"/>
        <v>534</v>
      </c>
      <c r="G472" s="3" t="s">
        <v>172</v>
      </c>
      <c r="H472">
        <v>3</v>
      </c>
      <c r="I472" t="s">
        <v>712</v>
      </c>
      <c r="J472" t="s">
        <v>401</v>
      </c>
      <c r="K472">
        <v>435</v>
      </c>
      <c r="L472">
        <v>435</v>
      </c>
      <c r="M472">
        <v>435</v>
      </c>
      <c r="O472" s="5" t="s">
        <v>1436</v>
      </c>
      <c r="Q472" s="3">
        <f>IF(AND(P472&lt;&gt;"",ISNUMBER(P472),NOT(ISNA(P472))),P472,IF(R472&lt;&gt;"",VLOOKUP(R472,'ESO zones'!$D$5:$H$10005,5,FALSE),""))</f>
        <v>1197</v>
      </c>
      <c r="R472" t="str">
        <f>IF(AND(O472&lt;&gt;"",NOT(ISERROR(O472))),O472,IF(AND(P472&lt;&gt;"",ISNUMBER(P472),P472&gt;0,NOT(ISNA(P472))),VLOOKUP(P472,'ESO zones'!$A$5:$D$10003,4,FALSE),IF(AND(K472&lt;&gt;"",K472&gt;0,NOT(ISERROR(K472))),VLOOKUP(K472,'ESO wayshrines'!$K$3:$N$9972,4,FALSE),"")))</f>
        <v>Stone Garden</v>
      </c>
      <c r="T472" s="16" t="str">
        <f>IF(AND(S472&lt;&gt;"",NOT(ISERROR(S472))),S472,VLOOKUP(A472,'ESO Set&amp;DLCs'!$A$3:$D$99998,4,FALSE))</f>
        <v>DLC_STONETHORN</v>
      </c>
      <c r="U472" s="3" t="str">
        <f>IF(T472&lt;&gt;"",VLOOKUP(T472,ConstDLCIds!$B$4:$C$1000,2,FALSE),"")</f>
        <v>Stonethorn</v>
      </c>
      <c r="V472" s="4" t="s">
        <v>212</v>
      </c>
      <c r="W472" s="3" t="s">
        <v>1486</v>
      </c>
      <c r="X472" s="3" t="s">
        <v>1487</v>
      </c>
      <c r="Y472" s="5"/>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zones'!$A$5:$D$10003,4,FALSE),"")</f>
        <v>Tamriel Map</v>
      </c>
      <c r="AC472" s="3" t="str">
        <f>IF(AB472&lt;&gt;"",IF(AB472&lt;&gt;"LIBSETS_DROP_MECHANIC_MONSTER_NAME",VLOOKUP(AB472,ConstDropMechs!$B$4:$C$1001,2,FALSE),""),"")</f>
        <v/>
      </c>
      <c r="AD472" s="3" t="str">
        <f>IF(AB472&lt;&gt;"",IF(AB472&lt;&gt;"LIBSETS_DROP_MECHANIC_MONSTER_NAME",VLOOKUP(AB472,ConstDropMechs!$B$4:$D$1001,3,FALSE),""),"")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zones'!$A$5:$D$10003,4,FALSE),"")</f>
        <v>Tamriel Map</v>
      </c>
      <c r="AK472" s="3" t="str">
        <f>IF(AND(G472&lt;&gt;"LIBSETS_SETTYPE_BATTLEGROUND",G472&lt;&gt;"LIBSETS_SETTYPE_SPECIAL"),IF(AL472&lt;&gt;"",VLOOKUP(AL472,'ESO zones'!$D$5:$H$4957,5,FALSE),""),"")</f>
        <v/>
      </c>
      <c r="AP472" s="3" t="str">
        <f>IF(AND(G472&lt;&gt;"LIBSETS_SETTYPE_BATTLEGROUND",G472&lt;&gt;"LIBSETS_SETTYPE_SPECIAL"),IF(AQ472&lt;&gt;"",VLOOKUP(AQ472,'ESO zones'!$D$5:$H$4957,5,FALSE),""),"")</f>
        <v/>
      </c>
      <c r="AU472" s="3" t="str">
        <f>IF(AND(G472&lt;&gt;"LIBSETS_SETTYPE_BATTLEGROUND",G472&lt;&gt;"LIBSETS_SETTYPE_SPECIAL"),IF(AV472&lt;&gt;"",VLOOKUP(AV472,'ESO zones'!$D$5:$H$4957,5,FALSE),""),"")</f>
        <v/>
      </c>
      <c r="AZ472" s="49" t="s">
        <v>403</v>
      </c>
      <c r="BA472" s="49"/>
      <c r="BB472" s="49"/>
      <c r="BC472" s="49"/>
      <c r="BD472" s="49"/>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1">
        <v>535</v>
      </c>
      <c r="B473" t="s">
        <v>1488</v>
      </c>
      <c r="C473" t="s">
        <v>1489</v>
      </c>
      <c r="D473" s="3">
        <f t="shared" si="42"/>
        <v>535</v>
      </c>
      <c r="G473" s="3" t="s">
        <v>172</v>
      </c>
      <c r="H473">
        <v>3</v>
      </c>
      <c r="I473" t="s">
        <v>712</v>
      </c>
      <c r="J473" t="s">
        <v>401</v>
      </c>
      <c r="K473">
        <v>436</v>
      </c>
      <c r="L473">
        <v>436</v>
      </c>
      <c r="M473">
        <v>436</v>
      </c>
      <c r="O473" s="5" t="s">
        <v>1429</v>
      </c>
      <c r="Q473" s="3">
        <f>IF(AND(P473&lt;&gt;"",ISNUMBER(P473),NOT(ISNA(P473))),P473,IF(R473&lt;&gt;"",VLOOKUP(R473,'ESO zones'!$D$5:$H$10005,5,FALSE),""))</f>
        <v>1201</v>
      </c>
      <c r="R473" t="str">
        <f>IF(AND(O473&lt;&gt;"",NOT(ISERROR(O473))),O473,IF(AND(P473&lt;&gt;"",ISNUMBER(P473),P473&gt;0,NOT(ISNA(P473))),VLOOKUP(P473,'ESO zones'!$A$5:$D$10003,4,FALSE),IF(AND(K473&lt;&gt;"",K473&gt;0,NOT(ISERROR(K473))),VLOOKUP(K473,'ESO wayshrines'!$K$3:$N$9972,4,FALSE),"")))</f>
        <v>Castle Thorn</v>
      </c>
      <c r="T473" s="16" t="str">
        <f>IF(AND(S473&lt;&gt;"",NOT(ISERROR(S473))),S473,VLOOKUP(A473,'ESO Set&amp;DLCs'!$A$3:$D$99998,4,FALSE))</f>
        <v>DLC_STONETHORN</v>
      </c>
      <c r="U473" s="3" t="str">
        <f>IF(T473&lt;&gt;"",VLOOKUP(T473,ConstDLCIds!$B$4:$C$1000,2,FALSE),"")</f>
        <v>Stonethorn</v>
      </c>
      <c r="V473" s="4" t="s">
        <v>212</v>
      </c>
      <c r="W473" s="3" t="s">
        <v>1489</v>
      </c>
      <c r="X473" s="3" t="s">
        <v>1488</v>
      </c>
      <c r="Y473" s="5"/>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zones'!$A$5:$D$10003,4,FALSE),"")</f>
        <v>Western Skyrim</v>
      </c>
      <c r="AC473" s="3" t="str">
        <f>IF(AB473&lt;&gt;"",IF(AB473&lt;&gt;"LIBSETS_DROP_MECHANIC_MONSTER_NAME",VLOOKUP(AB473,ConstDropMechs!$B$4:$C$1001,2,FALSE),""),"")</f>
        <v/>
      </c>
      <c r="AD473" s="3" t="str">
        <f>IF(AB473&lt;&gt;"",IF(AB473&lt;&gt;"LIBSETS_DROP_MECHANIC_MONSTER_NAME",VLOOKUP(AB473,ConstDropMechs!$B$4:$D$1001,3,FALSE),""),"")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zones'!$A$5:$D$10003,4,FALSE),"")</f>
        <v>Western Skyrim</v>
      </c>
      <c r="AK473" s="3" t="str">
        <f>IF(AND(G473&lt;&gt;"LIBSETS_SETTYPE_BATTLEGROUND",G473&lt;&gt;"LIBSETS_SETTYPE_SPECIAL"),IF(AL473&lt;&gt;"",VLOOKUP(AL473,'ESO zones'!$D$5:$H$4957,5,FALSE),""),"")</f>
        <v/>
      </c>
      <c r="AP473" s="3" t="str">
        <f>IF(AND(G473&lt;&gt;"LIBSETS_SETTYPE_BATTLEGROUND",G473&lt;&gt;"LIBSETS_SETTYPE_SPECIAL"),IF(AQ473&lt;&gt;"",VLOOKUP(AQ473,'ESO zones'!$D$5:$H$4957,5,FALSE),""),"")</f>
        <v/>
      </c>
      <c r="AU473" s="3" t="str">
        <f>IF(AND(G473&lt;&gt;"LIBSETS_SETTYPE_BATTLEGROUND",G473&lt;&gt;"LIBSETS_SETTYPE_SPECIAL"),IF(AV473&lt;&gt;"",VLOOKUP(AV473,'ESO zones'!$D$5:$H$4957,5,FALSE),""),"")</f>
        <v/>
      </c>
      <c r="AZ473" s="49" t="s">
        <v>403</v>
      </c>
      <c r="BA473" s="49"/>
      <c r="BB473" s="49"/>
      <c r="BC473" s="49"/>
      <c r="BD473" s="49"/>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1">
        <v>536</v>
      </c>
      <c r="B474" t="s">
        <v>1490</v>
      </c>
      <c r="C474" t="s">
        <v>1491</v>
      </c>
      <c r="D474" s="3">
        <f t="shared" si="42"/>
        <v>536</v>
      </c>
      <c r="G474" s="3" t="s">
        <v>174</v>
      </c>
      <c r="I474" t="s">
        <v>401</v>
      </c>
      <c r="J474" t="s">
        <v>401</v>
      </c>
      <c r="K474">
        <v>441</v>
      </c>
      <c r="L474">
        <v>441</v>
      </c>
      <c r="M474">
        <v>441</v>
      </c>
      <c r="O474" s="5" t="s">
        <v>1492</v>
      </c>
      <c r="Q474" s="3">
        <f>IF(AND(P474&lt;&gt;"",ISNUMBER(P474),NOT(ISNA(P474))),P474,IF(R474&lt;&gt;"",VLOOKUP(R474,'ESO zones'!$D$5:$H$10005,5,FALSE),""))</f>
        <v>1207</v>
      </c>
      <c r="R474" t="str">
        <f>IF(AND(O474&lt;&gt;"",NOT(ISERROR(O474))),O474,IF(AND(P474&lt;&gt;"",ISNUMBER(P474),P474&gt;0,NOT(ISNA(P474))),VLOOKUP(P474,'ESO zones'!$A$5:$D$10003,4,FALSE),IF(AND(K474&lt;&gt;"",K474&gt;0,NOT(ISERROR(K474))),VLOOKUP(K474,'ESO wayshrines'!$K$3:$N$9972,4,FALSE),"")))</f>
        <v>The Reach</v>
      </c>
      <c r="T474" s="16" t="str">
        <f>IF(AND(S474&lt;&gt;"",NOT(ISERROR(S474))),S474,VLOOKUP(A474,'ESO Set&amp;DLCs'!$A$3:$D$99998,4,FALSE))</f>
        <v>DLC_MARKARTH</v>
      </c>
      <c r="U474" s="3" t="str">
        <f>IF(T474&lt;&gt;"",VLOOKUP(T474,ConstDLCIds!$B$4:$C$1000,2,FALSE),"")</f>
        <v>Markarth</v>
      </c>
      <c r="V474" s="4" t="s">
        <v>215</v>
      </c>
      <c r="Y474" s="5"/>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zones'!$A$5:$D$10003,4,FALSE),"")</f>
        <v>The Reach</v>
      </c>
      <c r="AB474" s="57"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zones'!$A$5:$D$10003,4,FALSE),"")</f>
        <v>The Reach</v>
      </c>
      <c r="AH474" s="4" t="s">
        <v>224</v>
      </c>
      <c r="AK474" s="3">
        <f>IF(AND(G474&lt;&gt;"LIBSETS_SETTYPE_BATTLEGROUND",G474&lt;&gt;"LIBSETS_SETTYPE_SPECIAL"),IF(AL474&lt;&gt;"",VLOOKUP(AL474,'ESO zones'!$D$5:$H$4957,5,FALSE),""),"")</f>
        <v>1207</v>
      </c>
      <c r="AL474" t="s">
        <v>1492</v>
      </c>
      <c r="AM474" s="4" t="s">
        <v>269</v>
      </c>
      <c r="AP474" s="3" t="str">
        <f>IF(AND(G474&lt;&gt;"LIBSETS_SETTYPE_BATTLEGROUND",G474&lt;&gt;"LIBSETS_SETTYPE_SPECIAL"),IF(AQ474&lt;&gt;"",VLOOKUP(AQ474,'ESO zones'!$D$5:$H$4957,5,FALSE),""),"")</f>
        <v/>
      </c>
      <c r="AU474" s="3" t="str">
        <f>IF(AND(G474&lt;&gt;"LIBSETS_SETTYPE_BATTLEGROUND",G474&lt;&gt;"LIBSETS_SETTYPE_SPECIAL"),IF(AV474&lt;&gt;"",VLOOKUP(AV474,'ESO zones'!$D$5:$H$4957,5,FALSE),""),"")</f>
        <v/>
      </c>
      <c r="AZ474" s="49" t="s">
        <v>403</v>
      </c>
      <c r="BA474" s="49"/>
      <c r="BB474" s="49"/>
      <c r="BC474" s="49"/>
      <c r="BD474" s="49"/>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1">
        <v>537</v>
      </c>
      <c r="B475" t="s">
        <v>1493</v>
      </c>
      <c r="C475" t="s">
        <v>1494</v>
      </c>
      <c r="D475" s="3">
        <f t="shared" si="42"/>
        <v>537</v>
      </c>
      <c r="G475" s="3" t="s">
        <v>174</v>
      </c>
      <c r="I475" t="s">
        <v>401</v>
      </c>
      <c r="J475" t="s">
        <v>401</v>
      </c>
      <c r="K475">
        <v>441</v>
      </c>
      <c r="L475">
        <v>441</v>
      </c>
      <c r="M475">
        <v>441</v>
      </c>
      <c r="O475" s="5" t="s">
        <v>1492</v>
      </c>
      <c r="Q475" s="3">
        <f>IF(AND(P475&lt;&gt;"",ISNUMBER(P475),NOT(ISNA(P475))),P475,IF(R475&lt;&gt;"",VLOOKUP(R475,'ESO zones'!$D$5:$H$10005,5,FALSE),""))</f>
        <v>1207</v>
      </c>
      <c r="R475" t="str">
        <f>IF(AND(O475&lt;&gt;"",NOT(ISERROR(O475))),O475,IF(AND(P475&lt;&gt;"",ISNUMBER(P475),P475&gt;0,NOT(ISNA(P475))),VLOOKUP(P475,'ESO zones'!$A$5:$D$10003,4,FALSE),IF(AND(K475&lt;&gt;"",K475&gt;0,NOT(ISERROR(K475))),VLOOKUP(K475,'ESO wayshrines'!$K$3:$N$9972,4,FALSE),"")))</f>
        <v>The Reach</v>
      </c>
      <c r="T475" s="16" t="str">
        <f>IF(AND(S475&lt;&gt;"",NOT(ISERROR(S475))),S475,VLOOKUP(A475,'ESO Set&amp;DLCs'!$A$3:$D$99998,4,FALSE))</f>
        <v>DLC_MARKARTH</v>
      </c>
      <c r="U475" s="3" t="str">
        <f>IF(T475&lt;&gt;"",VLOOKUP(T475,ConstDLCIds!$B$4:$C$1000,2,FALSE),"")</f>
        <v>Markarth</v>
      </c>
      <c r="V475" s="4" t="s">
        <v>215</v>
      </c>
      <c r="Y475" s="5"/>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zones'!$A$5:$D$10003,4,FALSE),"")</f>
        <v>The Reach</v>
      </c>
      <c r="AB475" s="57"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zones'!$A$5:$D$10003,4,FALSE),"")</f>
        <v>The Reach</v>
      </c>
      <c r="AH475" s="4" t="s">
        <v>224</v>
      </c>
      <c r="AK475" s="3">
        <f>IF(AND(G475&lt;&gt;"LIBSETS_SETTYPE_BATTLEGROUND",G475&lt;&gt;"LIBSETS_SETTYPE_SPECIAL"),IF(AL475&lt;&gt;"",VLOOKUP(AL475,'ESO zones'!$D$5:$H$4957,5,FALSE),""),"")</f>
        <v>1207</v>
      </c>
      <c r="AL475" t="s">
        <v>1492</v>
      </c>
      <c r="AM475" s="4" t="s">
        <v>269</v>
      </c>
      <c r="AP475" s="3" t="str">
        <f>IF(AND(G475&lt;&gt;"LIBSETS_SETTYPE_BATTLEGROUND",G475&lt;&gt;"LIBSETS_SETTYPE_SPECIAL"),IF(AQ475&lt;&gt;"",VLOOKUP(AQ475,'ESO zones'!$D$5:$H$4957,5,FALSE),""),"")</f>
        <v/>
      </c>
      <c r="AU475" s="3" t="str">
        <f>IF(AND(G475&lt;&gt;"LIBSETS_SETTYPE_BATTLEGROUND",G475&lt;&gt;"LIBSETS_SETTYPE_SPECIAL"),IF(AV475&lt;&gt;"",VLOOKUP(AV475,'ESO zones'!$D$5:$H$4957,5,FALSE),""),"")</f>
        <v/>
      </c>
      <c r="AZ475" s="49" t="s">
        <v>403</v>
      </c>
      <c r="BA475" s="49"/>
      <c r="BB475" s="49"/>
      <c r="BC475" s="49"/>
      <c r="BD475" s="49"/>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1">
        <v>538</v>
      </c>
      <c r="B476" t="s">
        <v>1495</v>
      </c>
      <c r="C476" t="s">
        <v>1496</v>
      </c>
      <c r="D476" s="3">
        <f t="shared" si="42"/>
        <v>538</v>
      </c>
      <c r="G476" s="3" t="s">
        <v>174</v>
      </c>
      <c r="I476" t="s">
        <v>401</v>
      </c>
      <c r="J476" t="s">
        <v>401</v>
      </c>
      <c r="K476">
        <v>441</v>
      </c>
      <c r="L476">
        <v>441</v>
      </c>
      <c r="M476">
        <v>441</v>
      </c>
      <c r="O476" s="5" t="s">
        <v>1492</v>
      </c>
      <c r="Q476" s="3">
        <f>IF(AND(P476&lt;&gt;"",ISNUMBER(P476),NOT(ISNA(P476))),P476,IF(R476&lt;&gt;"",VLOOKUP(R476,'ESO zones'!$D$5:$H$10005,5,FALSE),""))</f>
        <v>1207</v>
      </c>
      <c r="R476" t="str">
        <f>IF(AND(O476&lt;&gt;"",NOT(ISERROR(O476))),O476,IF(AND(P476&lt;&gt;"",ISNUMBER(P476),P476&gt;0,NOT(ISNA(P476))),VLOOKUP(P476,'ESO zones'!$A$5:$D$10003,4,FALSE),IF(AND(K476&lt;&gt;"",K476&gt;0,NOT(ISERROR(K476))),VLOOKUP(K476,'ESO wayshrines'!$K$3:$N$9972,4,FALSE),"")))</f>
        <v>The Reach</v>
      </c>
      <c r="T476" s="16" t="str">
        <f>IF(AND(S476&lt;&gt;"",NOT(ISERROR(S476))),S476,VLOOKUP(A476,'ESO Set&amp;DLCs'!$A$3:$D$99998,4,FALSE))</f>
        <v>DLC_MARKARTH</v>
      </c>
      <c r="U476" s="3" t="str">
        <f>IF(T476&lt;&gt;"",VLOOKUP(T476,ConstDLCIds!$B$4:$C$1000,2,FALSE),"")</f>
        <v>Markarth</v>
      </c>
      <c r="V476" s="4" t="s">
        <v>215</v>
      </c>
      <c r="Y476" s="5"/>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zones'!$A$5:$D$10003,4,FALSE),"")</f>
        <v>The Reach</v>
      </c>
      <c r="AB476" s="57"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zones'!$A$5:$D$10003,4,FALSE),"")</f>
        <v>The Reach</v>
      </c>
      <c r="AH476" s="4" t="s">
        <v>224</v>
      </c>
      <c r="AK476" s="3">
        <f>IF(AND(G476&lt;&gt;"LIBSETS_SETTYPE_BATTLEGROUND",G476&lt;&gt;"LIBSETS_SETTYPE_SPECIAL"),IF(AL476&lt;&gt;"",VLOOKUP(AL476,'ESO zones'!$D$5:$H$4957,5,FALSE),""),"")</f>
        <v>1207</v>
      </c>
      <c r="AL476" t="s">
        <v>1492</v>
      </c>
      <c r="AM476" s="4" t="s">
        <v>269</v>
      </c>
      <c r="AP476" s="3" t="str">
        <f>IF(AND(G476&lt;&gt;"LIBSETS_SETTYPE_BATTLEGROUND",G476&lt;&gt;"LIBSETS_SETTYPE_SPECIAL"),IF(AQ476&lt;&gt;"",VLOOKUP(AQ476,'ESO zones'!$D$5:$H$4957,5,FALSE),""),"")</f>
        <v/>
      </c>
      <c r="AU476" s="3" t="str">
        <f>IF(AND(G476&lt;&gt;"LIBSETS_SETTYPE_BATTLEGROUND",G476&lt;&gt;"LIBSETS_SETTYPE_SPECIAL"),IF(AV476&lt;&gt;"",VLOOKUP(AV476,'ESO zones'!$D$5:$H$4957,5,FALSE),""),"")</f>
        <v/>
      </c>
      <c r="AZ476" s="49" t="s">
        <v>410</v>
      </c>
      <c r="BA476" s="49"/>
      <c r="BB476" s="49"/>
      <c r="BC476" s="49"/>
      <c r="BD476" s="49"/>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1">
        <v>539</v>
      </c>
      <c r="B477" t="s">
        <v>1497</v>
      </c>
      <c r="C477" t="s">
        <v>1498</v>
      </c>
      <c r="D477" s="3">
        <f t="shared" si="42"/>
        <v>539</v>
      </c>
      <c r="G477" s="3" t="s">
        <v>163</v>
      </c>
      <c r="I477" t="s">
        <v>401</v>
      </c>
      <c r="J477" t="s">
        <v>401</v>
      </c>
      <c r="K477">
        <v>447</v>
      </c>
      <c r="L477">
        <v>447</v>
      </c>
      <c r="M477">
        <v>447</v>
      </c>
      <c r="N477">
        <v>3</v>
      </c>
      <c r="Q477" s="3">
        <f>IF(AND(P477&lt;&gt;"",ISNUMBER(P477),NOT(ISNA(P477))),P477,IF(R477&lt;&gt;"",VLOOKUP(R477,'ESO zones'!$D$5:$H$10005,5,FALSE),""))</f>
        <v>1207</v>
      </c>
      <c r="R477" t="str">
        <f>IF(AND(O477&lt;&gt;"",NOT(ISERROR(O477))),O477,IF(AND(P477&lt;&gt;"",ISNUMBER(P477),P477&gt;0,NOT(ISNA(P477))),VLOOKUP(P477,'ESO zones'!$A$5:$D$10003,4,FALSE),IF(AND(K477&lt;&gt;"",K477&gt;0,NOT(ISERROR(K477))),VLOOKUP(K477,'ESO wayshrines'!$K$3:$N$9972,4,FALSE),"")))</f>
        <v>The Reach</v>
      </c>
      <c r="T477" s="16" t="str">
        <f>IF(AND(S477&lt;&gt;"",NOT(ISERROR(S477))),S477,VLOOKUP(A477,'ESO Set&amp;DLCs'!$A$3:$D$99998,4,FALSE))</f>
        <v>DLC_MARKARTH</v>
      </c>
      <c r="U477" s="3" t="str">
        <f>IF(T477&lt;&gt;"",VLOOKUP(T477,ConstDLCIds!$B$4:$C$1000,2,FALSE),"")</f>
        <v>Markarth</v>
      </c>
      <c r="V477" s="4" t="s">
        <v>281</v>
      </c>
      <c r="Y477" s="5"/>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zones'!$A$5:$D$10003,4,FALSE),"")</f>
        <v>The Reach</v>
      </c>
      <c r="AB477" s="4"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zones'!$A$5:$D$10003,4,FALSE),"")</f>
        <v>The Reach</v>
      </c>
      <c r="AH477" s="4" t="s">
        <v>281</v>
      </c>
      <c r="AK477" s="3" t="str">
        <f>IF(AND(G477&lt;&gt;"LIBSETS_SETTYPE_BATTLEGROUND",G477&lt;&gt;"LIBSETS_SETTYPE_SPECIAL"),IF(AL477&lt;&gt;"",VLOOKUP(AL477,'ESO zones'!$D$5:$H$4957,5,FALSE),""),"")</f>
        <v/>
      </c>
      <c r="AP477" s="3" t="str">
        <f>IF(AND(G477&lt;&gt;"LIBSETS_SETTYPE_BATTLEGROUND",G477&lt;&gt;"LIBSETS_SETTYPE_SPECIAL"),IF(AQ477&lt;&gt;"",VLOOKUP(AQ477,'ESO zones'!$D$5:$H$4957,5,FALSE),""),"")</f>
        <v/>
      </c>
      <c r="AU477" s="3" t="str">
        <f>IF(AND(G477&lt;&gt;"LIBSETS_SETTYPE_BATTLEGROUND",G477&lt;&gt;"LIBSETS_SETTYPE_SPECIAL"),IF(AV477&lt;&gt;"",VLOOKUP(AV477,'ESO zones'!$D$5:$H$4957,5,FALSE),""),"")</f>
        <v/>
      </c>
      <c r="AZ477" s="49" t="s">
        <v>410</v>
      </c>
      <c r="BA477" s="49"/>
      <c r="BB477" s="49"/>
      <c r="BC477" s="49"/>
      <c r="BD477" s="49"/>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1">
        <v>540</v>
      </c>
      <c r="B478" t="s">
        <v>1499</v>
      </c>
      <c r="C478" t="s">
        <v>1500</v>
      </c>
      <c r="D478" s="3">
        <f t="shared" si="42"/>
        <v>540</v>
      </c>
      <c r="G478" s="3" t="s">
        <v>163</v>
      </c>
      <c r="I478" t="s">
        <v>401</v>
      </c>
      <c r="J478" t="s">
        <v>401</v>
      </c>
      <c r="K478">
        <v>442</v>
      </c>
      <c r="L478">
        <v>442</v>
      </c>
      <c r="M478">
        <v>442</v>
      </c>
      <c r="N478">
        <v>6</v>
      </c>
      <c r="Q478" s="3">
        <f>IF(AND(P478&lt;&gt;"",ISNUMBER(P478),NOT(ISNA(P478))),P478,IF(R478&lt;&gt;"",VLOOKUP(R478,'ESO zones'!$D$5:$H$10005,5,FALSE),""))</f>
        <v>1207</v>
      </c>
      <c r="R478" t="str">
        <f>IF(AND(O478&lt;&gt;"",NOT(ISERROR(O478))),O478,IF(AND(P478&lt;&gt;"",ISNUMBER(P478),P478&gt;0,NOT(ISNA(P478))),VLOOKUP(P478,'ESO zones'!$A$5:$D$10003,4,FALSE),IF(AND(K478&lt;&gt;"",K478&gt;0,NOT(ISERROR(K478))),VLOOKUP(K478,'ESO wayshrines'!$K$3:$N$9972,4,FALSE),"")))</f>
        <v>The Reach</v>
      </c>
      <c r="T478" s="16" t="str">
        <f>IF(AND(S478&lt;&gt;"",NOT(ISERROR(S478))),S478,VLOOKUP(A478,'ESO Set&amp;DLCs'!$A$3:$D$99998,4,FALSE))</f>
        <v>DLC_MARKARTH</v>
      </c>
      <c r="U478" s="3" t="str">
        <f>IF(T478&lt;&gt;"",VLOOKUP(T478,ConstDLCIds!$B$4:$C$1000,2,FALSE),"")</f>
        <v>Markarth</v>
      </c>
      <c r="V478" s="4" t="s">
        <v>281</v>
      </c>
      <c r="Y478" s="5"/>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zones'!$A$5:$D$10003,4,FALSE),"")</f>
        <v>The Reach</v>
      </c>
      <c r="AB478" s="4"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zones'!$A$5:$D$10003,4,FALSE),"")</f>
        <v>The Reach</v>
      </c>
      <c r="AH478" s="4" t="s">
        <v>281</v>
      </c>
      <c r="AK478" s="3" t="str">
        <f>IF(AND(G478&lt;&gt;"LIBSETS_SETTYPE_BATTLEGROUND",G478&lt;&gt;"LIBSETS_SETTYPE_SPECIAL"),IF(AL478&lt;&gt;"",VLOOKUP(AL478,'ESO zones'!$D$5:$H$4957,5,FALSE),""),"")</f>
        <v/>
      </c>
      <c r="AP478" s="3" t="str">
        <f>IF(AND(G478&lt;&gt;"LIBSETS_SETTYPE_BATTLEGROUND",G478&lt;&gt;"LIBSETS_SETTYPE_SPECIAL"),IF(AQ478&lt;&gt;"",VLOOKUP(AQ478,'ESO zones'!$D$5:$H$4957,5,FALSE),""),"")</f>
        <v/>
      </c>
      <c r="AU478" s="3" t="str">
        <f>IF(AND(G478&lt;&gt;"LIBSETS_SETTYPE_BATTLEGROUND",G478&lt;&gt;"LIBSETS_SETTYPE_SPECIAL"),IF(AV478&lt;&gt;"",VLOOKUP(AV478,'ESO zones'!$D$5:$H$4957,5,FALSE),""),"")</f>
        <v/>
      </c>
      <c r="AZ478" s="49" t="s">
        <v>403</v>
      </c>
      <c r="BA478" s="49"/>
      <c r="BB478" s="49"/>
      <c r="BC478" s="49"/>
      <c r="BD478" s="49"/>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1">
        <v>541</v>
      </c>
      <c r="B479" t="s">
        <v>1501</v>
      </c>
      <c r="C479" t="s">
        <v>1502</v>
      </c>
      <c r="D479" s="3">
        <f t="shared" si="42"/>
        <v>541</v>
      </c>
      <c r="G479" s="3" t="s">
        <v>163</v>
      </c>
      <c r="I479" t="s">
        <v>401</v>
      </c>
      <c r="J479" t="s">
        <v>401</v>
      </c>
      <c r="K479">
        <v>446</v>
      </c>
      <c r="L479">
        <v>446</v>
      </c>
      <c r="M479">
        <v>446</v>
      </c>
      <c r="N479">
        <v>9</v>
      </c>
      <c r="P479" s="5">
        <v>1208</v>
      </c>
      <c r="Q479" s="3">
        <f>IF(AND(P479&lt;&gt;"",ISNUMBER(P479),NOT(ISNA(P479))),P479,IF(R479&lt;&gt;"",VLOOKUP(R479,'ESO zones'!$D$5:$H$10005,5,FALSE),""))</f>
        <v>1208</v>
      </c>
      <c r="R479" t="str">
        <f>IF(AND(O479&lt;&gt;"",NOT(ISERROR(O479))),O479,IF(AND(P479&lt;&gt;"",ISNUMBER(P479),P479&gt;0,NOT(ISNA(P479))),VLOOKUP(P479,'ESO zones'!$A$5:$D$10003,4,FALSE),IF(AND(K479&lt;&gt;"",K479&gt;0,NOT(ISERROR(K479))),VLOOKUP(K479,'ESO wayshrines'!$K$3:$N$9972,4,FALSE),"")))</f>
        <v>Blackreach: Arkthzand Cavern</v>
      </c>
      <c r="T479" s="16" t="str">
        <f>IF(AND(S479&lt;&gt;"",NOT(ISERROR(S479))),S479,VLOOKUP(A479,'ESO Set&amp;DLCs'!$A$3:$D$99998,4,FALSE))</f>
        <v>DLC_MARKARTH</v>
      </c>
      <c r="U479" s="3" t="str">
        <f>IF(T479&lt;&gt;"",VLOOKUP(T479,ConstDLCIds!$B$4:$C$1000,2,FALSE),"")</f>
        <v>Markarth</v>
      </c>
      <c r="V479" s="4" t="s">
        <v>281</v>
      </c>
      <c r="W479" s="29"/>
      <c r="X479" s="29"/>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zones'!$A$5:$D$10003,4,FALSE),"")</f>
        <v>Tamriel Map</v>
      </c>
      <c r="AB479" s="4"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zones'!$A$5:$D$10003,4,FALSE),"")</f>
        <v>Tamriel Map</v>
      </c>
      <c r="AH479" s="4" t="s">
        <v>281</v>
      </c>
      <c r="AK479" s="3" t="str">
        <f>IF(AND(G479&lt;&gt;"LIBSETS_SETTYPE_BATTLEGROUND",G479&lt;&gt;"LIBSETS_SETTYPE_SPECIAL"),IF(AL479&lt;&gt;"",VLOOKUP(AL479,'ESO zones'!$D$5:$H$4957,5,FALSE),""),"")</f>
        <v/>
      </c>
      <c r="AP479" s="3" t="str">
        <f>IF(AND(G479&lt;&gt;"LIBSETS_SETTYPE_BATTLEGROUND",G479&lt;&gt;"LIBSETS_SETTYPE_SPECIAL"),IF(AQ479&lt;&gt;"",VLOOKUP(AQ479,'ESO zones'!$D$5:$H$4957,5,FALSE),""),"")</f>
        <v/>
      </c>
      <c r="AU479" s="3" t="str">
        <f>IF(AND(G479&lt;&gt;"LIBSETS_SETTYPE_BATTLEGROUND",G479&lt;&gt;"LIBSETS_SETTYPE_SPECIAL"),IF(AV479&lt;&gt;"",VLOOKUP(AV479,'ESO zones'!$D$5:$H$4957,5,FALSE),""),"")</f>
        <v/>
      </c>
      <c r="AZ479" s="49" t="s">
        <v>410</v>
      </c>
      <c r="BA479" s="49"/>
      <c r="BB479" s="49"/>
      <c r="BC479" s="49"/>
      <c r="BD479" s="49"/>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1">
        <v>542</v>
      </c>
      <c r="B480" t="s">
        <v>1503</v>
      </c>
      <c r="C480" t="s">
        <v>1504</v>
      </c>
      <c r="D480" s="3">
        <f t="shared" si="42"/>
        <v>542</v>
      </c>
      <c r="G480" s="3" t="s">
        <v>174</v>
      </c>
      <c r="I480" t="s">
        <v>401</v>
      </c>
      <c r="J480" t="s">
        <v>401</v>
      </c>
      <c r="K480">
        <v>441</v>
      </c>
      <c r="L480">
        <v>441</v>
      </c>
      <c r="M480">
        <v>441</v>
      </c>
      <c r="O480" s="5" t="s">
        <v>1492</v>
      </c>
      <c r="Q480" s="3">
        <f>IF(AND(P480&lt;&gt;"",ISNUMBER(P480),NOT(ISNA(P480))),P480,IF(R480&lt;&gt;"",VLOOKUP(R480,'ESO zones'!$D$5:$H$10005,5,FALSE),""))</f>
        <v>1207</v>
      </c>
      <c r="R480" t="str">
        <f>IF(AND(O480&lt;&gt;"",NOT(ISERROR(O480))),O480,IF(AND(P480&lt;&gt;"",ISNUMBER(P480),P480&gt;0,NOT(ISNA(P480))),VLOOKUP(P480,'ESO zones'!$A$5:$D$10003,4,FALSE),IF(AND(K480&lt;&gt;"",K480&gt;0,NOT(ISERROR(K480))),VLOOKUP(K480,'ESO wayshrines'!$K$3:$N$9972,4,FALSE),"")))</f>
        <v>The Reach</v>
      </c>
      <c r="T480" s="16" t="str">
        <f>IF(AND(S480&lt;&gt;"",NOT(ISERROR(S480))),S480,VLOOKUP(A480,'ESO Set&amp;DLCs'!$A$3:$D$99998,4,FALSE))</f>
        <v>DLC_MARKARTH</v>
      </c>
      <c r="U480" s="3" t="str">
        <f>IF(T480&lt;&gt;"",VLOOKUP(T480,ConstDLCIds!$B$4:$C$1000,2,FALSE),"")</f>
        <v>Markarth</v>
      </c>
      <c r="V480" s="4" t="s">
        <v>215</v>
      </c>
      <c r="Y480" s="5"/>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zones'!$A$5:$D$10003,4,FALSE),"")</f>
        <v>The Reach</v>
      </c>
      <c r="AB480" s="57"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zones'!$A$5:$D$10003,4,FALSE),"")</f>
        <v>The Reach</v>
      </c>
      <c r="AH480" s="4" t="s">
        <v>224</v>
      </c>
      <c r="AK480" s="3">
        <f>IF(AND(G480&lt;&gt;"LIBSETS_SETTYPE_BATTLEGROUND",G480&lt;&gt;"LIBSETS_SETTYPE_SPECIAL"),IF(AL480&lt;&gt;"",VLOOKUP(AL480,'ESO zones'!$D$5:$H$4957,5,FALSE),""),"")</f>
        <v>1207</v>
      </c>
      <c r="AL480" t="s">
        <v>1492</v>
      </c>
      <c r="AM480" s="4" t="s">
        <v>269</v>
      </c>
      <c r="AP480" s="3" t="str">
        <f>IF(AND(G480&lt;&gt;"LIBSETS_SETTYPE_BATTLEGROUND",G480&lt;&gt;"LIBSETS_SETTYPE_SPECIAL"),IF(AQ480&lt;&gt;"",VLOOKUP(AQ480,'ESO zones'!$D$5:$H$4957,5,FALSE),""),"")</f>
        <v/>
      </c>
      <c r="AU480" s="3" t="str">
        <f>IF(AND(G480&lt;&gt;"LIBSETS_SETTYPE_BATTLEGROUND",G480&lt;&gt;"LIBSETS_SETTYPE_SPECIAL"),IF(AV480&lt;&gt;"",VLOOKUP(AV480,'ESO zones'!$D$5:$H$4957,5,FALSE),""),"")</f>
        <v/>
      </c>
      <c r="AZ480" s="49" t="s">
        <v>403</v>
      </c>
      <c r="BA480" s="49"/>
      <c r="BB480" s="49"/>
      <c r="BC480" s="49"/>
      <c r="BD480" s="49"/>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1">
        <v>543</v>
      </c>
      <c r="B481" t="s">
        <v>1505</v>
      </c>
      <c r="C481" t="s">
        <v>1506</v>
      </c>
      <c r="D481" s="3">
        <f t="shared" si="42"/>
        <v>543</v>
      </c>
      <c r="G481" s="3" t="s">
        <v>174</v>
      </c>
      <c r="I481" t="s">
        <v>401</v>
      </c>
      <c r="J481" t="s">
        <v>401</v>
      </c>
      <c r="K481">
        <v>441</v>
      </c>
      <c r="L481">
        <v>441</v>
      </c>
      <c r="M481">
        <v>441</v>
      </c>
      <c r="O481" s="5" t="s">
        <v>1492</v>
      </c>
      <c r="Q481" s="3">
        <f>IF(AND(P481&lt;&gt;"",ISNUMBER(P481),NOT(ISNA(P481))),P481,IF(R481&lt;&gt;"",VLOOKUP(R481,'ESO zones'!$D$5:$H$10005,5,FALSE),""))</f>
        <v>1207</v>
      </c>
      <c r="R481" t="str">
        <f>IF(AND(O481&lt;&gt;"",NOT(ISERROR(O481))),O481,IF(AND(P481&lt;&gt;"",ISNUMBER(P481),P481&gt;0,NOT(ISNA(P481))),VLOOKUP(P481,'ESO zones'!$A$5:$D$10003,4,FALSE),IF(AND(K481&lt;&gt;"",K481&gt;0,NOT(ISERROR(K481))),VLOOKUP(K481,'ESO wayshrines'!$K$3:$N$9972,4,FALSE),"")))</f>
        <v>The Reach</v>
      </c>
      <c r="T481" s="16" t="str">
        <f>IF(AND(S481&lt;&gt;"",NOT(ISERROR(S481))),S481,VLOOKUP(A481,'ESO Set&amp;DLCs'!$A$3:$D$99998,4,FALSE))</f>
        <v>DLC_MARKARTH</v>
      </c>
      <c r="U481" s="3" t="str">
        <f>IF(T481&lt;&gt;"",VLOOKUP(T481,ConstDLCIds!$B$4:$C$1000,2,FALSE),"")</f>
        <v>Markarth</v>
      </c>
      <c r="V481" s="4" t="s">
        <v>215</v>
      </c>
      <c r="Y481" s="5"/>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zones'!$A$5:$D$10003,4,FALSE),"")</f>
        <v>The Reach</v>
      </c>
      <c r="AB481" s="57"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zones'!$A$5:$D$10003,4,FALSE),"")</f>
        <v>The Reach</v>
      </c>
      <c r="AH481" s="4" t="s">
        <v>224</v>
      </c>
      <c r="AK481" s="3">
        <f>IF(AND(G481&lt;&gt;"LIBSETS_SETTYPE_BATTLEGROUND",G481&lt;&gt;"LIBSETS_SETTYPE_SPECIAL"),IF(AL481&lt;&gt;"",VLOOKUP(AL481,'ESO zones'!$D$5:$H$4957,5,FALSE),""),"")</f>
        <v>1207</v>
      </c>
      <c r="AL481" t="s">
        <v>1492</v>
      </c>
      <c r="AM481" s="4" t="s">
        <v>269</v>
      </c>
      <c r="AP481" s="3" t="str">
        <f>IF(AND(G481&lt;&gt;"LIBSETS_SETTYPE_BATTLEGROUND",G481&lt;&gt;"LIBSETS_SETTYPE_SPECIAL"),IF(AQ481&lt;&gt;"",VLOOKUP(AQ481,'ESO zones'!$D$5:$H$4957,5,FALSE),""),"")</f>
        <v/>
      </c>
      <c r="AU481" s="3" t="str">
        <f>IF(AND(G481&lt;&gt;"LIBSETS_SETTYPE_BATTLEGROUND",G481&lt;&gt;"LIBSETS_SETTYPE_SPECIAL"),IF(AV481&lt;&gt;"",VLOOKUP(AV481,'ESO zones'!$D$5:$H$4957,5,FALSE),""),"")</f>
        <v/>
      </c>
      <c r="AZ481" s="49" t="s">
        <v>403</v>
      </c>
      <c r="BA481" s="49"/>
      <c r="BB481" s="49"/>
      <c r="BC481" s="49"/>
      <c r="BD481" s="49"/>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1">
        <v>544</v>
      </c>
      <c r="B482" t="s">
        <v>1507</v>
      </c>
      <c r="C482" t="s">
        <v>1508</v>
      </c>
      <c r="D482" s="3">
        <f t="shared" si="42"/>
        <v>544</v>
      </c>
      <c r="G482" s="3" t="s">
        <v>174</v>
      </c>
      <c r="I482" t="s">
        <v>401</v>
      </c>
      <c r="J482" t="s">
        <v>401</v>
      </c>
      <c r="K482">
        <v>441</v>
      </c>
      <c r="L482">
        <v>441</v>
      </c>
      <c r="M482">
        <v>441</v>
      </c>
      <c r="O482" s="5" t="s">
        <v>1492</v>
      </c>
      <c r="Q482" s="3">
        <f>IF(AND(P482&lt;&gt;"",ISNUMBER(P482),NOT(ISNA(P482))),P482,IF(R482&lt;&gt;"",VLOOKUP(R482,'ESO zones'!$D$5:$H$10005,5,FALSE),""))</f>
        <v>1207</v>
      </c>
      <c r="R482" t="str">
        <f>IF(AND(O482&lt;&gt;"",NOT(ISERROR(O482))),O482,IF(AND(P482&lt;&gt;"",ISNUMBER(P482),P482&gt;0,NOT(ISNA(P482))),VLOOKUP(P482,'ESO zones'!$A$5:$D$10003,4,FALSE),IF(AND(K482&lt;&gt;"",K482&gt;0,NOT(ISERROR(K482))),VLOOKUP(K482,'ESO wayshrines'!$K$3:$N$9972,4,FALSE),"")))</f>
        <v>The Reach</v>
      </c>
      <c r="T482" s="16" t="str">
        <f>IF(AND(S482&lt;&gt;"",NOT(ISERROR(S482))),S482,VLOOKUP(A482,'ESO Set&amp;DLCs'!$A$3:$D$99998,4,FALSE))</f>
        <v>DLC_MARKARTH</v>
      </c>
      <c r="U482" s="3" t="str">
        <f>IF(T482&lt;&gt;"",VLOOKUP(T482,ConstDLCIds!$B$4:$C$1000,2,FALSE),"")</f>
        <v>Markarth</v>
      </c>
      <c r="V482" s="4" t="s">
        <v>215</v>
      </c>
      <c r="Y482" s="5"/>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zones'!$A$5:$D$10003,4,FALSE),"")</f>
        <v>The Reach</v>
      </c>
      <c r="AB482" s="57"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zones'!$A$5:$D$10003,4,FALSE),"")</f>
        <v>The Reach</v>
      </c>
      <c r="AH482" s="4" t="s">
        <v>224</v>
      </c>
      <c r="AK482" s="3">
        <f>IF(AND(G482&lt;&gt;"LIBSETS_SETTYPE_BATTLEGROUND",G482&lt;&gt;"LIBSETS_SETTYPE_SPECIAL"),IF(AL482&lt;&gt;"",VLOOKUP(AL482,'ESO zones'!$D$5:$H$4957,5,FALSE),""),"")</f>
        <v>1207</v>
      </c>
      <c r="AL482" t="s">
        <v>1492</v>
      </c>
      <c r="AM482" s="4" t="s">
        <v>269</v>
      </c>
      <c r="AP482" s="3" t="str">
        <f>IF(AND(G482&lt;&gt;"LIBSETS_SETTYPE_BATTLEGROUND",G482&lt;&gt;"LIBSETS_SETTYPE_SPECIAL"),IF(AQ482&lt;&gt;"",VLOOKUP(AQ482,'ESO zones'!$D$5:$H$4957,5,FALSE),""),"")</f>
        <v/>
      </c>
      <c r="AU482" s="3" t="str">
        <f>IF(AND(G482&lt;&gt;"LIBSETS_SETTYPE_BATTLEGROUND",G482&lt;&gt;"LIBSETS_SETTYPE_SPECIAL"),IF(AV482&lt;&gt;"",VLOOKUP(AV482,'ESO zones'!$D$5:$H$4957,5,FALSE),""),"")</f>
        <v/>
      </c>
      <c r="AZ482" s="49" t="s">
        <v>403</v>
      </c>
      <c r="BA482" s="49"/>
      <c r="BB482" s="49"/>
      <c r="BC482" s="49"/>
      <c r="BD482" s="49"/>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1">
        <v>557</v>
      </c>
      <c r="B483" t="s">
        <v>1509</v>
      </c>
      <c r="C483" t="s">
        <v>1510</v>
      </c>
      <c r="D483" s="3">
        <f t="shared" si="42"/>
        <v>557</v>
      </c>
      <c r="G483" s="9" t="s">
        <v>159</v>
      </c>
      <c r="I483" t="s">
        <v>401</v>
      </c>
      <c r="J483" t="s">
        <v>401</v>
      </c>
      <c r="K483">
        <v>457</v>
      </c>
      <c r="L483">
        <v>457</v>
      </c>
      <c r="M483">
        <v>457</v>
      </c>
      <c r="O483" s="5" t="s">
        <v>1511</v>
      </c>
      <c r="Q483" s="3">
        <f>IF(AND(P483&lt;&gt;"",ISNUMBER(P483),NOT(ISNA(P483))),P483,IF(R483&lt;&gt;"",VLOOKUP(R483,'ESO zones'!$D$5:$H$10005,5,FALSE),""))</f>
        <v>1227</v>
      </c>
      <c r="R483" t="str">
        <f>IF(AND(O483&lt;&gt;"",NOT(ISERROR(O483))),O483,IF(AND(P483&lt;&gt;"",ISNUMBER(P483),P483&gt;0,NOT(ISNA(P483))),VLOOKUP(P483,'ESO zones'!$A$5:$D$10003,4,FALSE),IF(AND(K483&lt;&gt;"",K483&gt;0,NOT(ISERROR(K483))),VLOOKUP(K483,'ESO wayshrines'!$K$3:$N$9972,4,FALSE),"")))</f>
        <v>Vateshran Hollows</v>
      </c>
      <c r="T483" s="16" t="str">
        <f>IF(AND(S483&lt;&gt;"",NOT(ISERROR(S483))),S483,VLOOKUP(A483,'ESO Set&amp;DLCs'!$A$3:$D$99998,4,FALSE))</f>
        <v>DLC_MARKARTH</v>
      </c>
      <c r="U483" s="3" t="str">
        <f>IF(T483&lt;&gt;"",VLOOKUP(T483,ConstDLCIds!$B$4:$C$1000,2,FALSE),"")</f>
        <v>Markarth</v>
      </c>
      <c r="V483" s="4" t="s">
        <v>209</v>
      </c>
      <c r="Y483" s="5"/>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zones'!$A$5:$D$10003,4,FALSE),"")</f>
        <v>The Reach</v>
      </c>
      <c r="AB483" s="4"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zones'!$A$5:$D$10003,4,FALSE),"")</f>
        <v>The Reach</v>
      </c>
      <c r="AK483" s="3" t="str">
        <f>IF(AND(G483&lt;&gt;"LIBSETS_SETTYPE_BATTLEGROUND",G483&lt;&gt;"LIBSETS_SETTYPE_SPECIAL"),IF(AL483&lt;&gt;"",VLOOKUP(AL483,'ESO zones'!$D$5:$H$4957,5,FALSE),""),"")</f>
        <v/>
      </c>
      <c r="AP483" s="3" t="str">
        <f>IF(AND(G483&lt;&gt;"LIBSETS_SETTYPE_BATTLEGROUND",G483&lt;&gt;"LIBSETS_SETTYPE_SPECIAL"),IF(AQ483&lt;&gt;"",VLOOKUP(AQ483,'ESO zones'!$D$5:$H$4957,5,FALSE),""),"")</f>
        <v/>
      </c>
      <c r="AU483" s="3" t="str">
        <f>IF(AND(G483&lt;&gt;"LIBSETS_SETTYPE_BATTLEGROUND",G483&lt;&gt;"LIBSETS_SETTYPE_SPECIAL"),IF(AV483&lt;&gt;"",VLOOKUP(AV483,'ESO zones'!$D$5:$H$4957,5,FALSE),""),"")</f>
        <v/>
      </c>
      <c r="AZ483" s="49" t="s">
        <v>403</v>
      </c>
      <c r="BA483" s="49"/>
      <c r="BB483" s="49"/>
      <c r="BC483" s="49"/>
      <c r="BD483" s="49">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1">
        <v>558</v>
      </c>
      <c r="B484" t="s">
        <v>1512</v>
      </c>
      <c r="C484" t="s">
        <v>1513</v>
      </c>
      <c r="D484" s="3">
        <f t="shared" si="42"/>
        <v>558</v>
      </c>
      <c r="G484" s="9" t="s">
        <v>159</v>
      </c>
      <c r="I484" t="s">
        <v>401</v>
      </c>
      <c r="J484" t="s">
        <v>401</v>
      </c>
      <c r="K484">
        <v>457</v>
      </c>
      <c r="L484">
        <v>457</v>
      </c>
      <c r="M484">
        <v>457</v>
      </c>
      <c r="O484" s="5" t="s">
        <v>1511</v>
      </c>
      <c r="Q484" s="3">
        <f>IF(AND(P484&lt;&gt;"",ISNUMBER(P484),NOT(ISNA(P484))),P484,IF(R484&lt;&gt;"",VLOOKUP(R484,'ESO zones'!$D$5:$H$10005,5,FALSE),""))</f>
        <v>1227</v>
      </c>
      <c r="R484" t="str">
        <f>IF(AND(O484&lt;&gt;"",NOT(ISERROR(O484))),O484,IF(AND(P484&lt;&gt;"",ISNUMBER(P484),P484&gt;0,NOT(ISNA(P484))),VLOOKUP(P484,'ESO zones'!$A$5:$D$10003,4,FALSE),IF(AND(K484&lt;&gt;"",K484&gt;0,NOT(ISERROR(K484))),VLOOKUP(K484,'ESO wayshrines'!$K$3:$N$9972,4,FALSE),"")))</f>
        <v>Vateshran Hollows</v>
      </c>
      <c r="T484" s="16" t="str">
        <f>IF(AND(S484&lt;&gt;"",NOT(ISERROR(S484))),S484,VLOOKUP(A484,'ESO Set&amp;DLCs'!$A$3:$D$99998,4,FALSE))</f>
        <v>DLC_MARKARTH</v>
      </c>
      <c r="U484" s="3" t="str">
        <f>IF(T484&lt;&gt;"",VLOOKUP(T484,ConstDLCIds!$B$4:$C$1000,2,FALSE),"")</f>
        <v>Markarth</v>
      </c>
      <c r="V484" s="4" t="s">
        <v>209</v>
      </c>
      <c r="Y484" s="5"/>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zones'!$A$5:$D$10003,4,FALSE),"")</f>
        <v>The Reach</v>
      </c>
      <c r="AB484" s="4"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zones'!$A$5:$D$10003,4,FALSE),"")</f>
        <v>The Reach</v>
      </c>
      <c r="AK484" s="3" t="str">
        <f>IF(AND(G484&lt;&gt;"LIBSETS_SETTYPE_BATTLEGROUND",G484&lt;&gt;"LIBSETS_SETTYPE_SPECIAL"),IF(AL484&lt;&gt;"",VLOOKUP(AL484,'ESO zones'!$D$5:$H$4957,5,FALSE),""),"")</f>
        <v/>
      </c>
      <c r="AP484" s="3" t="str">
        <f>IF(AND(G484&lt;&gt;"LIBSETS_SETTYPE_BATTLEGROUND",G484&lt;&gt;"LIBSETS_SETTYPE_SPECIAL"),IF(AQ484&lt;&gt;"",VLOOKUP(AQ484,'ESO zones'!$D$5:$H$4957,5,FALSE),""),"")</f>
        <v/>
      </c>
      <c r="AU484" s="3" t="str">
        <f>IF(AND(G484&lt;&gt;"LIBSETS_SETTYPE_BATTLEGROUND",G484&lt;&gt;"LIBSETS_SETTYPE_SPECIAL"),IF(AV484&lt;&gt;"",VLOOKUP(AV484,'ESO zones'!$D$5:$H$4957,5,FALSE),""),"")</f>
        <v/>
      </c>
      <c r="AZ484" s="49" t="s">
        <v>403</v>
      </c>
      <c r="BA484" s="49"/>
      <c r="BB484" s="49"/>
      <c r="BC484" s="49"/>
      <c r="BD484" s="49">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1">
        <v>559</v>
      </c>
      <c r="B485" t="s">
        <v>1514</v>
      </c>
      <c r="C485" t="s">
        <v>1515</v>
      </c>
      <c r="D485" s="3">
        <f t="shared" si="42"/>
        <v>559</v>
      </c>
      <c r="G485" s="9" t="s">
        <v>159</v>
      </c>
      <c r="I485" t="s">
        <v>401</v>
      </c>
      <c r="J485" t="s">
        <v>401</v>
      </c>
      <c r="K485">
        <v>457</v>
      </c>
      <c r="L485">
        <v>457</v>
      </c>
      <c r="M485">
        <v>457</v>
      </c>
      <c r="O485" s="5" t="s">
        <v>1511</v>
      </c>
      <c r="Q485" s="3">
        <f>IF(AND(P485&lt;&gt;"",ISNUMBER(P485),NOT(ISNA(P485))),P485,IF(R485&lt;&gt;"",VLOOKUP(R485,'ESO zones'!$D$5:$H$10005,5,FALSE),""))</f>
        <v>1227</v>
      </c>
      <c r="R485" t="str">
        <f>IF(AND(O485&lt;&gt;"",NOT(ISERROR(O485))),O485,IF(AND(P485&lt;&gt;"",ISNUMBER(P485),P485&gt;0,NOT(ISNA(P485))),VLOOKUP(P485,'ESO zones'!$A$5:$D$10003,4,FALSE),IF(AND(K485&lt;&gt;"",K485&gt;0,NOT(ISERROR(K485))),VLOOKUP(K485,'ESO wayshrines'!$K$3:$N$9972,4,FALSE),"")))</f>
        <v>Vateshran Hollows</v>
      </c>
      <c r="T485" s="16" t="str">
        <f>IF(AND(S485&lt;&gt;"",NOT(ISERROR(S485))),S485,VLOOKUP(A485,'ESO Set&amp;DLCs'!$A$3:$D$99998,4,FALSE))</f>
        <v>DLC_MARKARTH</v>
      </c>
      <c r="U485" s="3" t="str">
        <f>IF(T485&lt;&gt;"",VLOOKUP(T485,ConstDLCIds!$B$4:$C$1000,2,FALSE),"")</f>
        <v>Markarth</v>
      </c>
      <c r="V485" s="4" t="s">
        <v>209</v>
      </c>
      <c r="Y485" s="5"/>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zones'!$A$5:$D$10003,4,FALSE),"")</f>
        <v>The Reach</v>
      </c>
      <c r="AB485" s="4"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zones'!$A$5:$D$10003,4,FALSE),"")</f>
        <v>The Reach</v>
      </c>
      <c r="AK485" s="3" t="str">
        <f>IF(AND(G485&lt;&gt;"LIBSETS_SETTYPE_BATTLEGROUND",G485&lt;&gt;"LIBSETS_SETTYPE_SPECIAL"),IF(AL485&lt;&gt;"",VLOOKUP(AL485,'ESO zones'!$D$5:$H$4957,5,FALSE),""),"")</f>
        <v/>
      </c>
      <c r="AP485" s="3" t="str">
        <f>IF(AND(G485&lt;&gt;"LIBSETS_SETTYPE_BATTLEGROUND",G485&lt;&gt;"LIBSETS_SETTYPE_SPECIAL"),IF(AQ485&lt;&gt;"",VLOOKUP(AQ485,'ESO zones'!$D$5:$H$4957,5,FALSE),""),"")</f>
        <v/>
      </c>
      <c r="AU485" s="3" t="str">
        <f>IF(AND(G485&lt;&gt;"LIBSETS_SETTYPE_BATTLEGROUND",G485&lt;&gt;"LIBSETS_SETTYPE_SPECIAL"),IF(AV485&lt;&gt;"",VLOOKUP(AV485,'ESO zones'!$D$5:$H$4957,5,FALSE),""),"")</f>
        <v/>
      </c>
      <c r="AZ485" s="49" t="s">
        <v>403</v>
      </c>
      <c r="BA485" s="49"/>
      <c r="BB485" s="49"/>
      <c r="BC485" s="49"/>
      <c r="BD485" s="49">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1">
        <v>560</v>
      </c>
      <c r="B486" t="s">
        <v>1516</v>
      </c>
      <c r="C486" t="s">
        <v>1517</v>
      </c>
      <c r="D486" s="3">
        <f t="shared" si="42"/>
        <v>560</v>
      </c>
      <c r="G486" s="9" t="s">
        <v>159</v>
      </c>
      <c r="I486" t="s">
        <v>401</v>
      </c>
      <c r="J486" t="s">
        <v>401</v>
      </c>
      <c r="K486">
        <v>457</v>
      </c>
      <c r="L486">
        <v>457</v>
      </c>
      <c r="M486">
        <v>457</v>
      </c>
      <c r="O486" s="5" t="s">
        <v>1511</v>
      </c>
      <c r="Q486" s="3">
        <f>IF(AND(P486&lt;&gt;"",ISNUMBER(P486),NOT(ISNA(P486))),P486,IF(R486&lt;&gt;"",VLOOKUP(R486,'ESO zones'!$D$5:$H$10005,5,FALSE),""))</f>
        <v>1227</v>
      </c>
      <c r="R486" t="str">
        <f>IF(AND(O486&lt;&gt;"",NOT(ISERROR(O486))),O486,IF(AND(P486&lt;&gt;"",ISNUMBER(P486),P486&gt;0,NOT(ISNA(P486))),VLOOKUP(P486,'ESO zones'!$A$5:$D$10003,4,FALSE),IF(AND(K486&lt;&gt;"",K486&gt;0,NOT(ISERROR(K486))),VLOOKUP(K486,'ESO wayshrines'!$K$3:$N$9972,4,FALSE),"")))</f>
        <v>Vateshran Hollows</v>
      </c>
      <c r="T486" s="16" t="str">
        <f>IF(AND(S486&lt;&gt;"",NOT(ISERROR(S486))),S486,VLOOKUP(A486,'ESO Set&amp;DLCs'!$A$3:$D$99998,4,FALSE))</f>
        <v>DLC_MARKARTH</v>
      </c>
      <c r="U486" s="3" t="str">
        <f>IF(T486&lt;&gt;"",VLOOKUP(T486,ConstDLCIds!$B$4:$C$1000,2,FALSE),"")</f>
        <v>Markarth</v>
      </c>
      <c r="V486" s="4" t="s">
        <v>209</v>
      </c>
      <c r="Y486" s="5"/>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zones'!$A$5:$D$10003,4,FALSE),"")</f>
        <v>The Reach</v>
      </c>
      <c r="AB486" s="4"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zones'!$A$5:$D$10003,4,FALSE),"")</f>
        <v>The Reach</v>
      </c>
      <c r="AK486" s="3" t="str">
        <f>IF(AND(G486&lt;&gt;"LIBSETS_SETTYPE_BATTLEGROUND",G486&lt;&gt;"LIBSETS_SETTYPE_SPECIAL"),IF(AL486&lt;&gt;"",VLOOKUP(AL486,'ESO zones'!$D$5:$H$4957,5,FALSE),""),"")</f>
        <v/>
      </c>
      <c r="AP486" s="3" t="str">
        <f>IF(AND(G486&lt;&gt;"LIBSETS_SETTYPE_BATTLEGROUND",G486&lt;&gt;"LIBSETS_SETTYPE_SPECIAL"),IF(AQ486&lt;&gt;"",VLOOKUP(AQ486,'ESO zones'!$D$5:$H$4957,5,FALSE),""),"")</f>
        <v/>
      </c>
      <c r="AU486" s="3" t="str">
        <f>IF(AND(G486&lt;&gt;"LIBSETS_SETTYPE_BATTLEGROUND",G486&lt;&gt;"LIBSETS_SETTYPE_SPECIAL"),IF(AV486&lt;&gt;"",VLOOKUP(AV486,'ESO zones'!$D$5:$H$4957,5,FALSE),""),"")</f>
        <v/>
      </c>
      <c r="AZ486" s="49" t="s">
        <v>403</v>
      </c>
      <c r="BA486" s="49"/>
      <c r="BB486" s="49"/>
      <c r="BC486" s="49"/>
      <c r="BD486" s="49">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1">
        <v>561</v>
      </c>
      <c r="B487" t="s">
        <v>1518</v>
      </c>
      <c r="C487" t="s">
        <v>1519</v>
      </c>
      <c r="D487" s="3">
        <f t="shared" si="42"/>
        <v>561</v>
      </c>
      <c r="G487" s="9" t="s">
        <v>159</v>
      </c>
      <c r="I487" t="s">
        <v>401</v>
      </c>
      <c r="J487" t="s">
        <v>401</v>
      </c>
      <c r="K487">
        <v>457</v>
      </c>
      <c r="L487">
        <v>457</v>
      </c>
      <c r="M487">
        <v>457</v>
      </c>
      <c r="O487" s="5" t="s">
        <v>1511</v>
      </c>
      <c r="Q487" s="3">
        <f>IF(AND(P487&lt;&gt;"",ISNUMBER(P487),NOT(ISNA(P487))),P487,IF(R487&lt;&gt;"",VLOOKUP(R487,'ESO zones'!$D$5:$H$10005,5,FALSE),""))</f>
        <v>1227</v>
      </c>
      <c r="R487" t="str">
        <f>IF(AND(O487&lt;&gt;"",NOT(ISERROR(O487))),O487,IF(AND(P487&lt;&gt;"",ISNUMBER(P487),P487&gt;0,NOT(ISNA(P487))),VLOOKUP(P487,'ESO zones'!$A$5:$D$10003,4,FALSE),IF(AND(K487&lt;&gt;"",K487&gt;0,NOT(ISERROR(K487))),VLOOKUP(K487,'ESO wayshrines'!$K$3:$N$9972,4,FALSE),"")))</f>
        <v>Vateshran Hollows</v>
      </c>
      <c r="T487" s="16" t="str">
        <f>IF(AND(S487&lt;&gt;"",NOT(ISERROR(S487))),S487,VLOOKUP(A487,'ESO Set&amp;DLCs'!$A$3:$D$99998,4,FALSE))</f>
        <v>DLC_MARKARTH</v>
      </c>
      <c r="U487" s="3" t="str">
        <f>IF(T487&lt;&gt;"",VLOOKUP(T487,ConstDLCIds!$B$4:$C$1000,2,FALSE),"")</f>
        <v>Markarth</v>
      </c>
      <c r="V487" s="4" t="s">
        <v>209</v>
      </c>
      <c r="Y487" s="5"/>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zones'!$A$5:$D$10003,4,FALSE),"")</f>
        <v>The Reach</v>
      </c>
      <c r="AB487" s="4"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zones'!$A$5:$D$10003,4,FALSE),"")</f>
        <v>The Reach</v>
      </c>
      <c r="AK487" s="3" t="str">
        <f>IF(AND(G487&lt;&gt;"LIBSETS_SETTYPE_BATTLEGROUND",G487&lt;&gt;"LIBSETS_SETTYPE_SPECIAL"),IF(AL487&lt;&gt;"",VLOOKUP(AL487,'ESO zones'!$D$5:$H$4957,5,FALSE),""),"")</f>
        <v/>
      </c>
      <c r="AP487" s="3" t="str">
        <f>IF(AND(G487&lt;&gt;"LIBSETS_SETTYPE_BATTLEGROUND",G487&lt;&gt;"LIBSETS_SETTYPE_SPECIAL"),IF(AQ487&lt;&gt;"",VLOOKUP(AQ487,'ESO zones'!$D$5:$H$4957,5,FALSE),""),"")</f>
        <v/>
      </c>
      <c r="AU487" s="3" t="str">
        <f>IF(AND(G487&lt;&gt;"LIBSETS_SETTYPE_BATTLEGROUND",G487&lt;&gt;"LIBSETS_SETTYPE_SPECIAL"),IF(AV487&lt;&gt;"",VLOOKUP(AV487,'ESO zones'!$D$5:$H$4957,5,FALSE),""),"")</f>
        <v/>
      </c>
      <c r="AZ487" s="49" t="s">
        <v>403</v>
      </c>
      <c r="BA487" s="49"/>
      <c r="BB487" s="49"/>
      <c r="BC487" s="49"/>
      <c r="BD487" s="49">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1">
        <v>562</v>
      </c>
      <c r="B488" t="s">
        <v>1520</v>
      </c>
      <c r="C488" t="s">
        <v>1521</v>
      </c>
      <c r="D488" s="3">
        <f t="shared" si="42"/>
        <v>562</v>
      </c>
      <c r="G488" s="9" t="s">
        <v>159</v>
      </c>
      <c r="I488" t="s">
        <v>401</v>
      </c>
      <c r="J488" t="s">
        <v>401</v>
      </c>
      <c r="K488">
        <v>457</v>
      </c>
      <c r="L488">
        <v>457</v>
      </c>
      <c r="M488">
        <v>457</v>
      </c>
      <c r="O488" s="5" t="s">
        <v>1511</v>
      </c>
      <c r="Q488" s="3">
        <f>IF(AND(P488&lt;&gt;"",ISNUMBER(P488),NOT(ISNA(P488))),P488,IF(R488&lt;&gt;"",VLOOKUP(R488,'ESO zones'!$D$5:$H$10005,5,FALSE),""))</f>
        <v>1227</v>
      </c>
      <c r="R488" t="str">
        <f>IF(AND(O488&lt;&gt;"",NOT(ISERROR(O488))),O488,IF(AND(P488&lt;&gt;"",ISNUMBER(P488),P488&gt;0,NOT(ISNA(P488))),VLOOKUP(P488,'ESO zones'!$A$5:$D$10003,4,FALSE),IF(AND(K488&lt;&gt;"",K488&gt;0,NOT(ISERROR(K488))),VLOOKUP(K488,'ESO wayshrines'!$K$3:$N$9972,4,FALSE),"")))</f>
        <v>Vateshran Hollows</v>
      </c>
      <c r="T488" s="16" t="str">
        <f>IF(AND(S488&lt;&gt;"",NOT(ISERROR(S488))),S488,VLOOKUP(A488,'ESO Set&amp;DLCs'!$A$3:$D$99998,4,FALSE))</f>
        <v>DLC_MARKARTH</v>
      </c>
      <c r="U488" s="3" t="str">
        <f>IF(T488&lt;&gt;"",VLOOKUP(T488,ConstDLCIds!$B$4:$C$1000,2,FALSE),"")</f>
        <v>Markarth</v>
      </c>
      <c r="V488" s="4" t="s">
        <v>209</v>
      </c>
      <c r="Y488" s="5"/>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zones'!$A$5:$D$10003,4,FALSE),"")</f>
        <v>The Reach</v>
      </c>
      <c r="AB488" s="4"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zones'!$A$5:$D$10003,4,FALSE),"")</f>
        <v>The Reach</v>
      </c>
      <c r="AK488" s="3" t="str">
        <f>IF(AND(G488&lt;&gt;"LIBSETS_SETTYPE_BATTLEGROUND",G488&lt;&gt;"LIBSETS_SETTYPE_SPECIAL"),IF(AL488&lt;&gt;"",VLOOKUP(AL488,'ESO zones'!$D$5:$H$4957,5,FALSE),""),"")</f>
        <v/>
      </c>
      <c r="AP488" s="3" t="str">
        <f>IF(AND(G488&lt;&gt;"LIBSETS_SETTYPE_BATTLEGROUND",G488&lt;&gt;"LIBSETS_SETTYPE_SPECIAL"),IF(AQ488&lt;&gt;"",VLOOKUP(AQ488,'ESO zones'!$D$5:$H$4957,5,FALSE),""),"")</f>
        <v/>
      </c>
      <c r="AU488" s="3" t="str">
        <f>IF(AND(G488&lt;&gt;"LIBSETS_SETTYPE_BATTLEGROUND",G488&lt;&gt;"LIBSETS_SETTYPE_SPECIAL"),IF(AV488&lt;&gt;"",VLOOKUP(AV488,'ESO zones'!$D$5:$H$4957,5,FALSE),""),"")</f>
        <v/>
      </c>
      <c r="AZ488" s="49" t="s">
        <v>403</v>
      </c>
      <c r="BA488" s="49"/>
      <c r="BB488" s="49"/>
      <c r="BC488" s="49"/>
      <c r="BD488" s="49">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1">
        <v>563</v>
      </c>
      <c r="B489" t="s">
        <v>1522</v>
      </c>
      <c r="C489" t="s">
        <v>1523</v>
      </c>
      <c r="D489" s="3">
        <f t="shared" si="42"/>
        <v>563</v>
      </c>
      <c r="G489" s="9" t="s">
        <v>159</v>
      </c>
      <c r="I489" t="s">
        <v>1120</v>
      </c>
      <c r="J489" t="s">
        <v>401</v>
      </c>
      <c r="K489">
        <v>457</v>
      </c>
      <c r="L489">
        <v>457</v>
      </c>
      <c r="M489">
        <v>457</v>
      </c>
      <c r="O489" s="5" t="s">
        <v>1511</v>
      </c>
      <c r="Q489" s="3">
        <f>IF(AND(P489&lt;&gt;"",ISNUMBER(P489),NOT(ISNA(P489))),P489,IF(R489&lt;&gt;"",VLOOKUP(R489,'ESO zones'!$D$5:$H$10005,5,FALSE),""))</f>
        <v>1227</v>
      </c>
      <c r="R489" t="str">
        <f>IF(AND(O489&lt;&gt;"",NOT(ISERROR(O489))),O489,IF(AND(P489&lt;&gt;"",ISNUMBER(P489),P489&gt;0,NOT(ISNA(P489))),VLOOKUP(P489,'ESO zones'!$A$5:$D$10003,4,FALSE),IF(AND(K489&lt;&gt;"",K489&gt;0,NOT(ISERROR(K489))),VLOOKUP(K489,'ESO wayshrines'!$K$3:$N$9972,4,FALSE),"")))</f>
        <v>Vateshran Hollows</v>
      </c>
      <c r="T489" s="16" t="str">
        <f>IF(AND(S489&lt;&gt;"",NOT(ISERROR(S489))),S489,VLOOKUP(A489,'ESO Set&amp;DLCs'!$A$3:$D$99998,4,FALSE))</f>
        <v>DLC_MARKARTH</v>
      </c>
      <c r="U489" s="3" t="str">
        <f>IF(T489&lt;&gt;"",VLOOKUP(T489,ConstDLCIds!$B$4:$C$1000,2,FALSE),"")</f>
        <v>Markarth</v>
      </c>
      <c r="V489" s="4" t="s">
        <v>209</v>
      </c>
      <c r="Y489" s="5"/>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zones'!$A$5:$D$10003,4,FALSE),"")</f>
        <v>The Reach</v>
      </c>
      <c r="AB489" s="4"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zones'!$A$5:$D$10003,4,FALSE),"")</f>
        <v>The Reach</v>
      </c>
      <c r="AK489" s="3" t="str">
        <f>IF(AND(G489&lt;&gt;"LIBSETS_SETTYPE_BATTLEGROUND",G489&lt;&gt;"LIBSETS_SETTYPE_SPECIAL"),IF(AL489&lt;&gt;"",VLOOKUP(AL489,'ESO zones'!$D$5:$H$4957,5,FALSE),""),"")</f>
        <v/>
      </c>
      <c r="AP489" s="3" t="str">
        <f>IF(AND(G489&lt;&gt;"LIBSETS_SETTYPE_BATTLEGROUND",G489&lt;&gt;"LIBSETS_SETTYPE_SPECIAL"),IF(AQ489&lt;&gt;"",VLOOKUP(AQ489,'ESO zones'!$D$5:$H$4957,5,FALSE),""),"")</f>
        <v/>
      </c>
      <c r="AU489" s="3" t="str">
        <f>IF(AND(G489&lt;&gt;"LIBSETS_SETTYPE_BATTLEGROUND",G489&lt;&gt;"LIBSETS_SETTYPE_SPECIAL"),IF(AV489&lt;&gt;"",VLOOKUP(AV489,'ESO zones'!$D$5:$H$4957,5,FALSE),""),"")</f>
        <v/>
      </c>
      <c r="AZ489" s="49" t="s">
        <v>403</v>
      </c>
      <c r="BA489" s="49"/>
      <c r="BB489" s="49"/>
      <c r="BC489" s="49"/>
      <c r="BD489" s="49" t="s">
        <v>1122</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1">
        <v>564</v>
      </c>
      <c r="B490" t="s">
        <v>1524</v>
      </c>
      <c r="C490" t="s">
        <v>1525</v>
      </c>
      <c r="D490" s="3">
        <f t="shared" si="42"/>
        <v>564</v>
      </c>
      <c r="G490" s="9" t="s">
        <v>159</v>
      </c>
      <c r="I490" t="s">
        <v>1120</v>
      </c>
      <c r="J490" t="s">
        <v>401</v>
      </c>
      <c r="K490">
        <v>457</v>
      </c>
      <c r="L490">
        <v>457</v>
      </c>
      <c r="M490">
        <v>457</v>
      </c>
      <c r="O490" s="5" t="s">
        <v>1511</v>
      </c>
      <c r="Q490" s="3">
        <f>IF(AND(P490&lt;&gt;"",ISNUMBER(P490),NOT(ISNA(P490))),P490,IF(R490&lt;&gt;"",VLOOKUP(R490,'ESO zones'!$D$5:$H$10005,5,FALSE),""))</f>
        <v>1227</v>
      </c>
      <c r="R490" t="str">
        <f>IF(AND(O490&lt;&gt;"",NOT(ISERROR(O490))),O490,IF(AND(P490&lt;&gt;"",ISNUMBER(P490),P490&gt;0,NOT(ISNA(P490))),VLOOKUP(P490,'ESO zones'!$A$5:$D$10003,4,FALSE),IF(AND(K490&lt;&gt;"",K490&gt;0,NOT(ISERROR(K490))),VLOOKUP(K490,'ESO wayshrines'!$K$3:$N$9972,4,FALSE),"")))</f>
        <v>Vateshran Hollows</v>
      </c>
      <c r="T490" s="16" t="str">
        <f>IF(AND(S490&lt;&gt;"",NOT(ISERROR(S490))),S490,VLOOKUP(A490,'ESO Set&amp;DLCs'!$A$3:$D$99998,4,FALSE))</f>
        <v>DLC_MARKARTH</v>
      </c>
      <c r="U490" s="3" t="str">
        <f>IF(T490&lt;&gt;"",VLOOKUP(T490,ConstDLCIds!$B$4:$C$1000,2,FALSE),"")</f>
        <v>Markarth</v>
      </c>
      <c r="V490" s="4" t="s">
        <v>209</v>
      </c>
      <c r="Y490" s="5"/>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zones'!$A$5:$D$10003,4,FALSE),"")</f>
        <v>The Reach</v>
      </c>
      <c r="AB490" s="4"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zones'!$A$5:$D$10003,4,FALSE),"")</f>
        <v>The Reach</v>
      </c>
      <c r="AK490" s="3" t="str">
        <f>IF(AND(G490&lt;&gt;"LIBSETS_SETTYPE_BATTLEGROUND",G490&lt;&gt;"LIBSETS_SETTYPE_SPECIAL"),IF(AL490&lt;&gt;"",VLOOKUP(AL490,'ESO zones'!$D$5:$H$4957,5,FALSE),""),"")</f>
        <v/>
      </c>
      <c r="AP490" s="3" t="str">
        <f>IF(AND(G490&lt;&gt;"LIBSETS_SETTYPE_BATTLEGROUND",G490&lt;&gt;"LIBSETS_SETTYPE_SPECIAL"),IF(AQ490&lt;&gt;"",VLOOKUP(AQ490,'ESO zones'!$D$5:$H$4957,5,FALSE),""),"")</f>
        <v/>
      </c>
      <c r="AU490" s="3" t="str">
        <f>IF(AND(G490&lt;&gt;"LIBSETS_SETTYPE_BATTLEGROUND",G490&lt;&gt;"LIBSETS_SETTYPE_SPECIAL"),IF(AV490&lt;&gt;"",VLOOKUP(AV490,'ESO zones'!$D$5:$H$4957,5,FALSE),""),"")</f>
        <v/>
      </c>
      <c r="AZ490" s="49" t="s">
        <v>403</v>
      </c>
      <c r="BA490" s="49"/>
      <c r="BB490" s="49"/>
      <c r="BC490" s="49"/>
      <c r="BD490" s="49" t="s">
        <v>1122</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1">
        <v>565</v>
      </c>
      <c r="B491" t="s">
        <v>1526</v>
      </c>
      <c r="C491" t="s">
        <v>1527</v>
      </c>
      <c r="D491" s="3">
        <f t="shared" si="42"/>
        <v>565</v>
      </c>
      <c r="G491" s="9" t="s">
        <v>159</v>
      </c>
      <c r="I491" t="s">
        <v>1120</v>
      </c>
      <c r="J491" t="s">
        <v>401</v>
      </c>
      <c r="K491">
        <v>457</v>
      </c>
      <c r="L491">
        <v>457</v>
      </c>
      <c r="M491">
        <v>457</v>
      </c>
      <c r="O491" s="5" t="s">
        <v>1511</v>
      </c>
      <c r="Q491" s="3">
        <f>IF(AND(P491&lt;&gt;"",ISNUMBER(P491),NOT(ISNA(P491))),P491,IF(R491&lt;&gt;"",VLOOKUP(R491,'ESO zones'!$D$5:$H$10005,5,FALSE),""))</f>
        <v>1227</v>
      </c>
      <c r="R491" t="str">
        <f>IF(AND(O491&lt;&gt;"",NOT(ISERROR(O491))),O491,IF(AND(P491&lt;&gt;"",ISNUMBER(P491),P491&gt;0,NOT(ISNA(P491))),VLOOKUP(P491,'ESO zones'!$A$5:$D$10003,4,FALSE),IF(AND(K491&lt;&gt;"",K491&gt;0,NOT(ISERROR(K491))),VLOOKUP(K491,'ESO wayshrines'!$K$3:$N$9972,4,FALSE),"")))</f>
        <v>Vateshran Hollows</v>
      </c>
      <c r="T491" s="16" t="str">
        <f>IF(AND(S491&lt;&gt;"",NOT(ISERROR(S491))),S491,VLOOKUP(A491,'ESO Set&amp;DLCs'!$A$3:$D$99998,4,FALSE))</f>
        <v>DLC_MARKARTH</v>
      </c>
      <c r="U491" s="3" t="str">
        <f>IF(T491&lt;&gt;"",VLOOKUP(T491,ConstDLCIds!$B$4:$C$1000,2,FALSE),"")</f>
        <v>Markarth</v>
      </c>
      <c r="V491" s="4" t="s">
        <v>209</v>
      </c>
      <c r="Y491" s="5"/>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zones'!$A$5:$D$10003,4,FALSE),"")</f>
        <v>The Reach</v>
      </c>
      <c r="AB491" s="4"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zones'!$A$5:$D$10003,4,FALSE),"")</f>
        <v>The Reach</v>
      </c>
      <c r="AK491" s="3" t="str">
        <f>IF(AND(G491&lt;&gt;"LIBSETS_SETTYPE_BATTLEGROUND",G491&lt;&gt;"LIBSETS_SETTYPE_SPECIAL"),IF(AL491&lt;&gt;"",VLOOKUP(AL491,'ESO zones'!$D$5:$H$4957,5,FALSE),""),"")</f>
        <v/>
      </c>
      <c r="AP491" s="3" t="str">
        <f>IF(AND(G491&lt;&gt;"LIBSETS_SETTYPE_BATTLEGROUND",G491&lt;&gt;"LIBSETS_SETTYPE_SPECIAL"),IF(AQ491&lt;&gt;"",VLOOKUP(AQ491,'ESO zones'!$D$5:$H$4957,5,FALSE),""),"")</f>
        <v/>
      </c>
      <c r="AU491" s="3" t="str">
        <f>IF(AND(G491&lt;&gt;"LIBSETS_SETTYPE_BATTLEGROUND",G491&lt;&gt;"LIBSETS_SETTYPE_SPECIAL"),IF(AV491&lt;&gt;"",VLOOKUP(AV491,'ESO zones'!$D$5:$H$4957,5,FALSE),""),"")</f>
        <v/>
      </c>
      <c r="AZ491" s="49" t="s">
        <v>403</v>
      </c>
      <c r="BA491" s="49"/>
      <c r="BB491" s="49"/>
      <c r="BC491" s="49"/>
      <c r="BD491" s="49" t="s">
        <v>1122</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1">
        <v>566</v>
      </c>
      <c r="B492" t="s">
        <v>1528</v>
      </c>
      <c r="C492" t="s">
        <v>1529</v>
      </c>
      <c r="D492" s="3">
        <f t="shared" si="42"/>
        <v>566</v>
      </c>
      <c r="G492" s="9" t="s">
        <v>159</v>
      </c>
      <c r="I492" t="s">
        <v>1120</v>
      </c>
      <c r="J492" t="s">
        <v>401</v>
      </c>
      <c r="K492">
        <v>457</v>
      </c>
      <c r="L492">
        <v>457</v>
      </c>
      <c r="M492">
        <v>457</v>
      </c>
      <c r="O492" s="5" t="s">
        <v>1511</v>
      </c>
      <c r="Q492" s="3">
        <f>IF(AND(P492&lt;&gt;"",ISNUMBER(P492),NOT(ISNA(P492))),P492,IF(R492&lt;&gt;"",VLOOKUP(R492,'ESO zones'!$D$5:$H$10005,5,FALSE),""))</f>
        <v>1227</v>
      </c>
      <c r="R492" t="str">
        <f>IF(AND(O492&lt;&gt;"",NOT(ISERROR(O492))),O492,IF(AND(P492&lt;&gt;"",ISNUMBER(P492),P492&gt;0,NOT(ISNA(P492))),VLOOKUP(P492,'ESO zones'!$A$5:$D$10003,4,FALSE),IF(AND(K492&lt;&gt;"",K492&gt;0,NOT(ISERROR(K492))),VLOOKUP(K492,'ESO wayshrines'!$K$3:$N$9972,4,FALSE),"")))</f>
        <v>Vateshran Hollows</v>
      </c>
      <c r="T492" s="16" t="str">
        <f>IF(AND(S492&lt;&gt;"",NOT(ISERROR(S492))),S492,VLOOKUP(A492,'ESO Set&amp;DLCs'!$A$3:$D$99998,4,FALSE))</f>
        <v>DLC_MARKARTH</v>
      </c>
      <c r="U492" s="3" t="str">
        <f>IF(T492&lt;&gt;"",VLOOKUP(T492,ConstDLCIds!$B$4:$C$1000,2,FALSE),"")</f>
        <v>Markarth</v>
      </c>
      <c r="V492" s="4" t="s">
        <v>209</v>
      </c>
      <c r="Y492" s="5"/>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zones'!$A$5:$D$10003,4,FALSE),"")</f>
        <v>The Reach</v>
      </c>
      <c r="AB492" s="4"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zones'!$A$5:$D$10003,4,FALSE),"")</f>
        <v>The Reach</v>
      </c>
      <c r="AK492" s="3" t="str">
        <f>IF(AND(G492&lt;&gt;"LIBSETS_SETTYPE_BATTLEGROUND",G492&lt;&gt;"LIBSETS_SETTYPE_SPECIAL"),IF(AL492&lt;&gt;"",VLOOKUP(AL492,'ESO zones'!$D$5:$H$4957,5,FALSE),""),"")</f>
        <v/>
      </c>
      <c r="AP492" s="3" t="str">
        <f>IF(AND(G492&lt;&gt;"LIBSETS_SETTYPE_BATTLEGROUND",G492&lt;&gt;"LIBSETS_SETTYPE_SPECIAL"),IF(AQ492&lt;&gt;"",VLOOKUP(AQ492,'ESO zones'!$D$5:$H$4957,5,FALSE),""),"")</f>
        <v/>
      </c>
      <c r="AU492" s="3" t="str">
        <f>IF(AND(G492&lt;&gt;"LIBSETS_SETTYPE_BATTLEGROUND",G492&lt;&gt;"LIBSETS_SETTYPE_SPECIAL"),IF(AV492&lt;&gt;"",VLOOKUP(AV492,'ESO zones'!$D$5:$H$4957,5,FALSE),""),"")</f>
        <v/>
      </c>
      <c r="AZ492" s="49" t="s">
        <v>403</v>
      </c>
      <c r="BA492" s="49"/>
      <c r="BB492" s="49"/>
      <c r="BC492" s="49"/>
      <c r="BD492" s="49" t="s">
        <v>1122</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1">
        <v>567</v>
      </c>
      <c r="B493" t="s">
        <v>1530</v>
      </c>
      <c r="C493" t="s">
        <v>1531</v>
      </c>
      <c r="D493" s="3">
        <f t="shared" si="42"/>
        <v>567</v>
      </c>
      <c r="G493" s="9" t="s">
        <v>159</v>
      </c>
      <c r="I493" t="s">
        <v>1120</v>
      </c>
      <c r="J493" t="s">
        <v>401</v>
      </c>
      <c r="K493">
        <v>457</v>
      </c>
      <c r="L493">
        <v>457</v>
      </c>
      <c r="M493">
        <v>457</v>
      </c>
      <c r="O493" s="5" t="s">
        <v>1511</v>
      </c>
      <c r="Q493" s="3">
        <f>IF(AND(P493&lt;&gt;"",ISNUMBER(P493),NOT(ISNA(P493))),P493,IF(R493&lt;&gt;"",VLOOKUP(R493,'ESO zones'!$D$5:$H$10005,5,FALSE),""))</f>
        <v>1227</v>
      </c>
      <c r="R493" t="str">
        <f>IF(AND(O493&lt;&gt;"",NOT(ISERROR(O493))),O493,IF(AND(P493&lt;&gt;"",ISNUMBER(P493),P493&gt;0,NOT(ISNA(P493))),VLOOKUP(P493,'ESO zones'!$A$5:$D$10003,4,FALSE),IF(AND(K493&lt;&gt;"",K493&gt;0,NOT(ISERROR(K493))),VLOOKUP(K493,'ESO wayshrines'!$K$3:$N$9972,4,FALSE),"")))</f>
        <v>Vateshran Hollows</v>
      </c>
      <c r="T493" s="16" t="str">
        <f>IF(AND(S493&lt;&gt;"",NOT(ISERROR(S493))),S493,VLOOKUP(A493,'ESO Set&amp;DLCs'!$A$3:$D$99998,4,FALSE))</f>
        <v>DLC_MARKARTH</v>
      </c>
      <c r="U493" s="3" t="str">
        <f>IF(T493&lt;&gt;"",VLOOKUP(T493,ConstDLCIds!$B$4:$C$1000,2,FALSE),"")</f>
        <v>Markarth</v>
      </c>
      <c r="V493" s="4" t="s">
        <v>209</v>
      </c>
      <c r="Y493" s="5"/>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zones'!$A$5:$D$10003,4,FALSE),"")</f>
        <v>The Reach</v>
      </c>
      <c r="AB493" s="4"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zones'!$A$5:$D$10003,4,FALSE),"")</f>
        <v>The Reach</v>
      </c>
      <c r="AK493" s="3" t="str">
        <f>IF(AND(G493&lt;&gt;"LIBSETS_SETTYPE_BATTLEGROUND",G493&lt;&gt;"LIBSETS_SETTYPE_SPECIAL"),IF(AL493&lt;&gt;"",VLOOKUP(AL493,'ESO zones'!$D$5:$H$4957,5,FALSE),""),"")</f>
        <v/>
      </c>
      <c r="AP493" s="3" t="str">
        <f>IF(AND(G493&lt;&gt;"LIBSETS_SETTYPE_BATTLEGROUND",G493&lt;&gt;"LIBSETS_SETTYPE_SPECIAL"),IF(AQ493&lt;&gt;"",VLOOKUP(AQ493,'ESO zones'!$D$5:$H$4957,5,FALSE),""),"")</f>
        <v/>
      </c>
      <c r="AU493" s="3" t="str">
        <f>IF(AND(G493&lt;&gt;"LIBSETS_SETTYPE_BATTLEGROUND",G493&lt;&gt;"LIBSETS_SETTYPE_SPECIAL"),IF(AV493&lt;&gt;"",VLOOKUP(AV493,'ESO zones'!$D$5:$H$4957,5,FALSE),""),"")</f>
        <v/>
      </c>
      <c r="AZ493" s="49" t="s">
        <v>403</v>
      </c>
      <c r="BA493" s="49"/>
      <c r="BB493" s="49"/>
      <c r="BC493" s="49"/>
      <c r="BD493" s="49" t="s">
        <v>1122</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1">
        <v>568</v>
      </c>
      <c r="B494" t="s">
        <v>1532</v>
      </c>
      <c r="C494" t="s">
        <v>1533</v>
      </c>
      <c r="D494" s="3">
        <f t="shared" si="42"/>
        <v>568</v>
      </c>
      <c r="G494" s="9" t="s">
        <v>159</v>
      </c>
      <c r="I494" t="s">
        <v>1120</v>
      </c>
      <c r="J494" t="s">
        <v>401</v>
      </c>
      <c r="K494">
        <v>457</v>
      </c>
      <c r="L494">
        <v>457</v>
      </c>
      <c r="M494">
        <v>457</v>
      </c>
      <c r="O494" s="5" t="s">
        <v>1511</v>
      </c>
      <c r="Q494" s="3">
        <f>IF(AND(P494&lt;&gt;"",ISNUMBER(P494),NOT(ISNA(P494))),P494,IF(R494&lt;&gt;"",VLOOKUP(R494,'ESO zones'!$D$5:$H$10005,5,FALSE),""))</f>
        <v>1227</v>
      </c>
      <c r="R494" t="str">
        <f>IF(AND(O494&lt;&gt;"",NOT(ISERROR(O494))),O494,IF(AND(P494&lt;&gt;"",ISNUMBER(P494),P494&gt;0,NOT(ISNA(P494))),VLOOKUP(P494,'ESO zones'!$A$5:$D$10003,4,FALSE),IF(AND(K494&lt;&gt;"",K494&gt;0,NOT(ISERROR(K494))),VLOOKUP(K494,'ESO wayshrines'!$K$3:$N$9972,4,FALSE),"")))</f>
        <v>Vateshran Hollows</v>
      </c>
      <c r="T494" s="16" t="str">
        <f>IF(AND(S494&lt;&gt;"",NOT(ISERROR(S494))),S494,VLOOKUP(A494,'ESO Set&amp;DLCs'!$A$3:$D$99998,4,FALSE))</f>
        <v>DLC_MARKARTH</v>
      </c>
      <c r="U494" s="3" t="str">
        <f>IF(T494&lt;&gt;"",VLOOKUP(T494,ConstDLCIds!$B$4:$C$1000,2,FALSE),"")</f>
        <v>Markarth</v>
      </c>
      <c r="V494" s="4" t="s">
        <v>209</v>
      </c>
      <c r="Y494" s="5"/>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zones'!$A$5:$D$10003,4,FALSE),"")</f>
        <v>The Reach</v>
      </c>
      <c r="AB494" s="4"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zones'!$A$5:$D$10003,4,FALSE),"")</f>
        <v>The Reach</v>
      </c>
      <c r="AK494" s="3" t="str">
        <f>IF(AND(G494&lt;&gt;"LIBSETS_SETTYPE_BATTLEGROUND",G494&lt;&gt;"LIBSETS_SETTYPE_SPECIAL"),IF(AL494&lt;&gt;"",VLOOKUP(AL494,'ESO zones'!$D$5:$H$4957,5,FALSE),""),"")</f>
        <v/>
      </c>
      <c r="AP494" s="3" t="str">
        <f>IF(AND(G494&lt;&gt;"LIBSETS_SETTYPE_BATTLEGROUND",G494&lt;&gt;"LIBSETS_SETTYPE_SPECIAL"),IF(AQ494&lt;&gt;"",VLOOKUP(AQ494,'ESO zones'!$D$5:$H$4957,5,FALSE),""),"")</f>
        <v/>
      </c>
      <c r="AU494" s="3" t="str">
        <f>IF(AND(G494&lt;&gt;"LIBSETS_SETTYPE_BATTLEGROUND",G494&lt;&gt;"LIBSETS_SETTYPE_SPECIAL"),IF(AV494&lt;&gt;"",VLOOKUP(AV494,'ESO zones'!$D$5:$H$4957,5,FALSE),""),"")</f>
        <v/>
      </c>
      <c r="AZ494" s="49" t="s">
        <v>403</v>
      </c>
      <c r="BA494" s="49"/>
      <c r="BB494" s="49"/>
      <c r="BC494" s="49"/>
      <c r="BD494" s="49" t="s">
        <v>1122</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1">
        <v>569</v>
      </c>
      <c r="B495" t="s">
        <v>1534</v>
      </c>
      <c r="C495" t="s">
        <v>1535</v>
      </c>
      <c r="D495" s="3">
        <f t="shared" si="42"/>
        <v>569</v>
      </c>
      <c r="G495" s="3" t="s">
        <v>169</v>
      </c>
      <c r="I495" t="s">
        <v>401</v>
      </c>
      <c r="J495" t="s">
        <v>401</v>
      </c>
      <c r="K495">
        <v>437</v>
      </c>
      <c r="L495">
        <v>437</v>
      </c>
      <c r="M495">
        <v>437</v>
      </c>
      <c r="O495" s="5" t="s">
        <v>1536</v>
      </c>
      <c r="Q495" s="3">
        <f>IF(AND(P495&lt;&gt;"",ISNUMBER(P495),NOT(ISNA(P495))),P495,IF(R495&lt;&gt;"",VLOOKUP(R495,'ESO zones'!$D$5:$H$10005,5,FALSE),""))</f>
        <v>1228</v>
      </c>
      <c r="R495" t="str">
        <f>IF(AND(O495&lt;&gt;"",NOT(ISERROR(O495))),O495,IF(AND(P495&lt;&gt;"",ISNUMBER(P495),P495&gt;0,NOT(ISNA(P495))),VLOOKUP(P495,'ESO zones'!$A$5:$D$10003,4,FALSE),IF(AND(K495&lt;&gt;"",K495&gt;0,NOT(ISERROR(K495))),VLOOKUP(K495,'ESO wayshrines'!$K$3:$N$9972,4,FALSE),"")))</f>
        <v>Black Drake Villa</v>
      </c>
      <c r="T495" s="16" t="str">
        <f>IF(AND(S495&lt;&gt;"",NOT(ISERROR(S495))),S495,VLOOKUP(A495,'ESO Set&amp;DLCs'!$A$3:$D$99998,4,FALSE))</f>
        <v>DLC_FLAMES_OF_AMBITION</v>
      </c>
      <c r="U495" s="3" t="str">
        <f>IF(T495&lt;&gt;"",VLOOKUP(T495,ConstDLCIds!$B$4:$C$1000,2,FALSE),"")</f>
        <v>Flames of Ambition</v>
      </c>
      <c r="V495" s="4" t="s">
        <v>278</v>
      </c>
      <c r="Y495" s="5"/>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zones'!$A$5:$D$10003,4,FALSE),"")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zones'!$A$5:$D$10003,4,FALSE),"")</f>
        <v>Gold Coast</v>
      </c>
      <c r="AK495" s="3" t="str">
        <f>IF(AND(G495&lt;&gt;"LIBSETS_SETTYPE_BATTLEGROUND",G495&lt;&gt;"LIBSETS_SETTYPE_SPECIAL"),IF(AL495&lt;&gt;"",VLOOKUP(AL495,'ESO zones'!$D$5:$H$4957,5,FALSE),""),"")</f>
        <v/>
      </c>
      <c r="AP495" s="3" t="str">
        <f>IF(AND(G495&lt;&gt;"LIBSETS_SETTYPE_BATTLEGROUND",G495&lt;&gt;"LIBSETS_SETTYPE_SPECIAL"),IF(AQ495&lt;&gt;"",VLOOKUP(AQ495,'ESO zones'!$D$5:$H$4957,5,FALSE),""),"")</f>
        <v/>
      </c>
      <c r="AU495" s="3" t="str">
        <f>IF(AND(G495&lt;&gt;"LIBSETS_SETTYPE_BATTLEGROUND",G495&lt;&gt;"LIBSETS_SETTYPE_SPECIAL"),IF(AV495&lt;&gt;"",VLOOKUP(AV495,'ESO zones'!$D$5:$H$4957,5,FALSE),""),"")</f>
        <v/>
      </c>
      <c r="AZ495" s="49" t="s">
        <v>403</v>
      </c>
      <c r="BA495" s="49"/>
      <c r="BB495" s="49"/>
      <c r="BC495" s="49"/>
      <c r="BD495" s="49"/>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1">
        <v>570</v>
      </c>
      <c r="B496" t="s">
        <v>1537</v>
      </c>
      <c r="C496" t="s">
        <v>1538</v>
      </c>
      <c r="D496" s="3">
        <f t="shared" si="42"/>
        <v>570</v>
      </c>
      <c r="G496" s="3" t="s">
        <v>169</v>
      </c>
      <c r="I496" t="s">
        <v>401</v>
      </c>
      <c r="J496" t="s">
        <v>401</v>
      </c>
      <c r="K496">
        <v>437</v>
      </c>
      <c r="L496">
        <v>437</v>
      </c>
      <c r="M496">
        <v>437</v>
      </c>
      <c r="O496" s="5" t="s">
        <v>1536</v>
      </c>
      <c r="Q496" s="3">
        <f>IF(AND(P496&lt;&gt;"",ISNUMBER(P496),NOT(ISNA(P496))),P496,IF(R496&lt;&gt;"",VLOOKUP(R496,'ESO zones'!$D$5:$H$10005,5,FALSE),""))</f>
        <v>1228</v>
      </c>
      <c r="R496" t="str">
        <f>IF(AND(O496&lt;&gt;"",NOT(ISERROR(O496))),O496,IF(AND(P496&lt;&gt;"",ISNUMBER(P496),P496&gt;0,NOT(ISNA(P496))),VLOOKUP(P496,'ESO zones'!$A$5:$D$10003,4,FALSE),IF(AND(K496&lt;&gt;"",K496&gt;0,NOT(ISERROR(K496))),VLOOKUP(K496,'ESO wayshrines'!$K$3:$N$9972,4,FALSE),"")))</f>
        <v>Black Drake Villa</v>
      </c>
      <c r="T496" s="16" t="str">
        <f>IF(AND(S496&lt;&gt;"",NOT(ISERROR(S496))),S496,VLOOKUP(A496,'ESO Set&amp;DLCs'!$A$3:$D$99998,4,FALSE))</f>
        <v>DLC_FLAMES_OF_AMBITION</v>
      </c>
      <c r="U496" s="3" t="str">
        <f>IF(T496&lt;&gt;"",VLOOKUP(T496,ConstDLCIds!$B$4:$C$1000,2,FALSE),"")</f>
        <v>Flames of Ambition</v>
      </c>
      <c r="V496" s="4" t="s">
        <v>278</v>
      </c>
      <c r="Y496" s="5"/>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zones'!$A$5:$D$10003,4,FALSE),"")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zones'!$A$5:$D$10003,4,FALSE),"")</f>
        <v>Gold Coast</v>
      </c>
      <c r="AK496" s="3" t="str">
        <f>IF(AND(G496&lt;&gt;"LIBSETS_SETTYPE_BATTLEGROUND",G496&lt;&gt;"LIBSETS_SETTYPE_SPECIAL"),IF(AL496&lt;&gt;"",VLOOKUP(AL496,'ESO zones'!$D$5:$H$4957,5,FALSE),""),"")</f>
        <v/>
      </c>
      <c r="AP496" s="3" t="str">
        <f>IF(AND(G496&lt;&gt;"LIBSETS_SETTYPE_BATTLEGROUND",G496&lt;&gt;"LIBSETS_SETTYPE_SPECIAL"),IF(AQ496&lt;&gt;"",VLOOKUP(AQ496,'ESO zones'!$D$5:$H$4957,5,FALSE),""),"")</f>
        <v/>
      </c>
      <c r="AU496" s="3" t="str">
        <f>IF(AND(G496&lt;&gt;"LIBSETS_SETTYPE_BATTLEGROUND",G496&lt;&gt;"LIBSETS_SETTYPE_SPECIAL"),IF(AV496&lt;&gt;"",VLOOKUP(AV496,'ESO zones'!$D$5:$H$4957,5,FALSE),""),"")</f>
        <v/>
      </c>
      <c r="AZ496" s="49" t="s">
        <v>403</v>
      </c>
      <c r="BA496" s="49"/>
      <c r="BB496" s="49"/>
      <c r="BC496" s="49"/>
      <c r="BD496" s="49"/>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1">
        <v>571</v>
      </c>
      <c r="B497" t="s">
        <v>1539</v>
      </c>
      <c r="C497" t="s">
        <v>1540</v>
      </c>
      <c r="D497" s="3">
        <f t="shared" si="42"/>
        <v>571</v>
      </c>
      <c r="G497" s="3" t="s">
        <v>169</v>
      </c>
      <c r="I497" t="s">
        <v>401</v>
      </c>
      <c r="J497" t="s">
        <v>401</v>
      </c>
      <c r="K497">
        <v>437</v>
      </c>
      <c r="L497">
        <v>437</v>
      </c>
      <c r="M497">
        <v>437</v>
      </c>
      <c r="O497" s="5" t="s">
        <v>1536</v>
      </c>
      <c r="Q497" s="3">
        <f>IF(AND(P497&lt;&gt;"",ISNUMBER(P497),NOT(ISNA(P497))),P497,IF(R497&lt;&gt;"",VLOOKUP(R497,'ESO zones'!$D$5:$H$10005,5,FALSE),""))</f>
        <v>1228</v>
      </c>
      <c r="R497" t="str">
        <f>IF(AND(O497&lt;&gt;"",NOT(ISERROR(O497))),O497,IF(AND(P497&lt;&gt;"",ISNUMBER(P497),P497&gt;0,NOT(ISNA(P497))),VLOOKUP(P497,'ESO zones'!$A$5:$D$10003,4,FALSE),IF(AND(K497&lt;&gt;"",K497&gt;0,NOT(ISERROR(K497))),VLOOKUP(K497,'ESO wayshrines'!$K$3:$N$9972,4,FALSE),"")))</f>
        <v>Black Drake Villa</v>
      </c>
      <c r="T497" s="16" t="str">
        <f>IF(AND(S497&lt;&gt;"",NOT(ISERROR(S497))),S497,VLOOKUP(A497,'ESO Set&amp;DLCs'!$A$3:$D$99998,4,FALSE))</f>
        <v>DLC_FLAMES_OF_AMBITION</v>
      </c>
      <c r="U497" s="3" t="str">
        <f>IF(T497&lt;&gt;"",VLOOKUP(T497,ConstDLCIds!$B$4:$C$1000,2,FALSE),"")</f>
        <v>Flames of Ambition</v>
      </c>
      <c r="V497" s="4" t="s">
        <v>278</v>
      </c>
      <c r="Y497" s="5"/>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zones'!$A$5:$D$10003,4,FALSE),"")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zones'!$A$5:$D$10003,4,FALSE),"")</f>
        <v>Gold Coast</v>
      </c>
      <c r="AK497" s="3" t="str">
        <f>IF(AND(G497&lt;&gt;"LIBSETS_SETTYPE_BATTLEGROUND",G497&lt;&gt;"LIBSETS_SETTYPE_SPECIAL"),IF(AL497&lt;&gt;"",VLOOKUP(AL497,'ESO zones'!$D$5:$H$4957,5,FALSE),""),"")</f>
        <v/>
      </c>
      <c r="AP497" s="3" t="str">
        <f>IF(AND(G497&lt;&gt;"LIBSETS_SETTYPE_BATTLEGROUND",G497&lt;&gt;"LIBSETS_SETTYPE_SPECIAL"),IF(AQ497&lt;&gt;"",VLOOKUP(AQ497,'ESO zones'!$D$5:$H$4957,5,FALSE),""),"")</f>
        <v/>
      </c>
      <c r="AU497" s="3" t="str">
        <f>IF(AND(G497&lt;&gt;"LIBSETS_SETTYPE_BATTLEGROUND",G497&lt;&gt;"LIBSETS_SETTYPE_SPECIAL"),IF(AV497&lt;&gt;"",VLOOKUP(AV497,'ESO zones'!$D$5:$H$4957,5,FALSE),""),"")</f>
        <v/>
      </c>
      <c r="AZ497" s="49" t="s">
        <v>403</v>
      </c>
      <c r="BA497" s="49"/>
      <c r="BB497" s="49"/>
      <c r="BC497" s="49"/>
      <c r="BD497" s="49"/>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1">
        <v>572</v>
      </c>
      <c r="B498" t="s">
        <v>1541</v>
      </c>
      <c r="C498" t="s">
        <v>1542</v>
      </c>
      <c r="D498" s="3">
        <f t="shared" si="42"/>
        <v>572</v>
      </c>
      <c r="G498" s="3" t="s">
        <v>169</v>
      </c>
      <c r="I498" t="s">
        <v>401</v>
      </c>
      <c r="J498" t="s">
        <v>401</v>
      </c>
      <c r="K498">
        <v>454</v>
      </c>
      <c r="L498">
        <v>454</v>
      </c>
      <c r="M498">
        <v>454</v>
      </c>
      <c r="O498" s="5" t="s">
        <v>1543</v>
      </c>
      <c r="Q498" s="3">
        <f>IF(AND(P498&lt;&gt;"",ISNUMBER(P498),NOT(ISNA(P498))),P498,IF(R498&lt;&gt;"",VLOOKUP(R498,'ESO zones'!$D$5:$H$10005,5,FALSE),""))</f>
        <v>1229</v>
      </c>
      <c r="R498" t="str">
        <f>IF(AND(O498&lt;&gt;"",NOT(ISERROR(O498))),O498,IF(AND(P498&lt;&gt;"",ISNUMBER(P498),P498&gt;0,NOT(ISNA(P498))),VLOOKUP(P498,'ESO zones'!$A$5:$D$10003,4,FALSE),IF(AND(K498&lt;&gt;"",K498&gt;0,NOT(ISERROR(K498))),VLOOKUP(K498,'ESO wayshrines'!$K$3:$N$9972,4,FALSE),"")))</f>
        <v>The Cauldron</v>
      </c>
      <c r="T498" s="16" t="str">
        <f>IF(AND(S498&lt;&gt;"",NOT(ISERROR(S498))),S498,VLOOKUP(A498,'ESO Set&amp;DLCs'!$A$3:$D$99998,4,FALSE))</f>
        <v>DLC_FLAMES_OF_AMBITION</v>
      </c>
      <c r="U498" s="3" t="str">
        <f>IF(T498&lt;&gt;"",VLOOKUP(T498,ConstDLCIds!$B$4:$C$1000,2,FALSE),"")</f>
        <v>Flames of Ambition</v>
      </c>
      <c r="V498" s="4" t="s">
        <v>278</v>
      </c>
      <c r="Y498" s="5"/>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zones'!$A$5:$D$10003,4,FALSE),"")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zones'!$A$5:$D$10003,4,FALSE),"")</f>
        <v>Deshaan</v>
      </c>
      <c r="AK498" s="3" t="str">
        <f>IF(AND(G498&lt;&gt;"LIBSETS_SETTYPE_BATTLEGROUND",G498&lt;&gt;"LIBSETS_SETTYPE_SPECIAL"),IF(AL498&lt;&gt;"",VLOOKUP(AL498,'ESO zones'!$D$5:$H$4957,5,FALSE),""),"")</f>
        <v/>
      </c>
      <c r="AP498" s="3" t="str">
        <f>IF(AND(G498&lt;&gt;"LIBSETS_SETTYPE_BATTLEGROUND",G498&lt;&gt;"LIBSETS_SETTYPE_SPECIAL"),IF(AQ498&lt;&gt;"",VLOOKUP(AQ498,'ESO zones'!$D$5:$H$4957,5,FALSE),""),"")</f>
        <v/>
      </c>
      <c r="AU498" s="3" t="str">
        <f>IF(AND(G498&lt;&gt;"LIBSETS_SETTYPE_BATTLEGROUND",G498&lt;&gt;"LIBSETS_SETTYPE_SPECIAL"),IF(AV498&lt;&gt;"",VLOOKUP(AV498,'ESO zones'!$D$5:$H$4957,5,FALSE),""),"")</f>
        <v/>
      </c>
      <c r="AZ498" s="49" t="s">
        <v>403</v>
      </c>
      <c r="BA498" s="49"/>
      <c r="BB498" s="49"/>
      <c r="BC498" s="49"/>
      <c r="BD498" s="49"/>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1">
        <v>573</v>
      </c>
      <c r="B499" t="s">
        <v>1544</v>
      </c>
      <c r="C499" t="s">
        <v>1545</v>
      </c>
      <c r="D499" s="3">
        <f t="shared" si="42"/>
        <v>573</v>
      </c>
      <c r="G499" s="3" t="s">
        <v>169</v>
      </c>
      <c r="I499" t="s">
        <v>401</v>
      </c>
      <c r="J499" t="s">
        <v>401</v>
      </c>
      <c r="K499">
        <v>454</v>
      </c>
      <c r="L499">
        <v>454</v>
      </c>
      <c r="M499">
        <v>454</v>
      </c>
      <c r="O499" s="5" t="s">
        <v>1543</v>
      </c>
      <c r="Q499" s="3">
        <f>IF(AND(P499&lt;&gt;"",ISNUMBER(P499),NOT(ISNA(P499))),P499,IF(R499&lt;&gt;"",VLOOKUP(R499,'ESO zones'!$D$5:$H$10005,5,FALSE),""))</f>
        <v>1229</v>
      </c>
      <c r="R499" t="str">
        <f>IF(AND(O499&lt;&gt;"",NOT(ISERROR(O499))),O499,IF(AND(P499&lt;&gt;"",ISNUMBER(P499),P499&gt;0,NOT(ISNA(P499))),VLOOKUP(P499,'ESO zones'!$A$5:$D$10003,4,FALSE),IF(AND(K499&lt;&gt;"",K499&gt;0,NOT(ISERROR(K499))),VLOOKUP(K499,'ESO wayshrines'!$K$3:$N$9972,4,FALSE),"")))</f>
        <v>The Cauldron</v>
      </c>
      <c r="T499" s="16" t="str">
        <f>IF(AND(S499&lt;&gt;"",NOT(ISERROR(S499))),S499,VLOOKUP(A499,'ESO Set&amp;DLCs'!$A$3:$D$99998,4,FALSE))</f>
        <v>DLC_FLAMES_OF_AMBITION</v>
      </c>
      <c r="U499" s="3" t="str">
        <f>IF(T499&lt;&gt;"",VLOOKUP(T499,ConstDLCIds!$B$4:$C$1000,2,FALSE),"")</f>
        <v>Flames of Ambition</v>
      </c>
      <c r="V499" s="4" t="s">
        <v>278</v>
      </c>
      <c r="Y499" s="5"/>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zones'!$A$5:$D$10003,4,FALSE),"")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zones'!$A$5:$D$10003,4,FALSE),"")</f>
        <v>Deshaan</v>
      </c>
      <c r="AK499" s="3" t="str">
        <f>IF(AND(G499&lt;&gt;"LIBSETS_SETTYPE_BATTLEGROUND",G499&lt;&gt;"LIBSETS_SETTYPE_SPECIAL"),IF(AL499&lt;&gt;"",VLOOKUP(AL499,'ESO zones'!$D$5:$H$4957,5,FALSE),""),"")</f>
        <v/>
      </c>
      <c r="AP499" s="3" t="str">
        <f>IF(AND(G499&lt;&gt;"LIBSETS_SETTYPE_BATTLEGROUND",G499&lt;&gt;"LIBSETS_SETTYPE_SPECIAL"),IF(AQ499&lt;&gt;"",VLOOKUP(AQ499,'ESO zones'!$D$5:$H$4957,5,FALSE),""),"")</f>
        <v/>
      </c>
      <c r="AU499" s="3" t="str">
        <f>IF(AND(G499&lt;&gt;"LIBSETS_SETTYPE_BATTLEGROUND",G499&lt;&gt;"LIBSETS_SETTYPE_SPECIAL"),IF(AV499&lt;&gt;"",VLOOKUP(AV499,'ESO zones'!$D$5:$H$4957,5,FALSE),""),"")</f>
        <v/>
      </c>
      <c r="AZ499" s="49" t="s">
        <v>410</v>
      </c>
      <c r="BA499" s="49"/>
      <c r="BB499" s="49"/>
      <c r="BC499" s="49"/>
      <c r="BD499" s="49"/>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1">
        <v>574</v>
      </c>
      <c r="B500" t="s">
        <v>1546</v>
      </c>
      <c r="C500" t="s">
        <v>1547</v>
      </c>
      <c r="D500" s="3">
        <f t="shared" si="42"/>
        <v>574</v>
      </c>
      <c r="G500" s="3" t="s">
        <v>169</v>
      </c>
      <c r="I500" t="s">
        <v>401</v>
      </c>
      <c r="J500" t="s">
        <v>401</v>
      </c>
      <c r="K500">
        <v>454</v>
      </c>
      <c r="L500">
        <v>454</v>
      </c>
      <c r="M500">
        <v>454</v>
      </c>
      <c r="O500" s="5" t="s">
        <v>1543</v>
      </c>
      <c r="Q500" s="3">
        <f>IF(AND(P500&lt;&gt;"",ISNUMBER(P500),NOT(ISNA(P500))),P500,IF(R500&lt;&gt;"",VLOOKUP(R500,'ESO zones'!$D$5:$H$10005,5,FALSE),""))</f>
        <v>1229</v>
      </c>
      <c r="R500" t="str">
        <f>IF(AND(O500&lt;&gt;"",NOT(ISERROR(O500))),O500,IF(AND(P500&lt;&gt;"",ISNUMBER(P500),P500&gt;0,NOT(ISNA(P500))),VLOOKUP(P500,'ESO zones'!$A$5:$D$10003,4,FALSE),IF(AND(K500&lt;&gt;"",K500&gt;0,NOT(ISERROR(K500))),VLOOKUP(K500,'ESO wayshrines'!$K$3:$N$9972,4,FALSE),"")))</f>
        <v>The Cauldron</v>
      </c>
      <c r="T500" s="16" t="str">
        <f>IF(AND(S500&lt;&gt;"",NOT(ISERROR(S500))),S500,VLOOKUP(A500,'ESO Set&amp;DLCs'!$A$3:$D$99998,4,FALSE))</f>
        <v>DLC_FLAMES_OF_AMBITION</v>
      </c>
      <c r="U500" s="3" t="str">
        <f>IF(T500&lt;&gt;"",VLOOKUP(T500,ConstDLCIds!$B$4:$C$1000,2,FALSE),"")</f>
        <v>Flames of Ambition</v>
      </c>
      <c r="V500" s="4" t="s">
        <v>278</v>
      </c>
      <c r="Y500" s="5"/>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zones'!$A$5:$D$10003,4,FALSE),"")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zones'!$A$5:$D$10003,4,FALSE),"")</f>
        <v>Deshaan</v>
      </c>
      <c r="AK500" s="3" t="str">
        <f>IF(AND(G500&lt;&gt;"LIBSETS_SETTYPE_BATTLEGROUND",G500&lt;&gt;"LIBSETS_SETTYPE_SPECIAL"),IF(AL500&lt;&gt;"",VLOOKUP(AL500,'ESO zones'!$D$5:$H$4957,5,FALSE),""),"")</f>
        <v/>
      </c>
      <c r="AP500" s="3" t="str">
        <f>IF(AND(G500&lt;&gt;"LIBSETS_SETTYPE_BATTLEGROUND",G500&lt;&gt;"LIBSETS_SETTYPE_SPECIAL"),IF(AQ500&lt;&gt;"",VLOOKUP(AQ500,'ESO zones'!$D$5:$H$4957,5,FALSE),""),"")</f>
        <v/>
      </c>
      <c r="AU500" s="3" t="str">
        <f>IF(AND(G500&lt;&gt;"LIBSETS_SETTYPE_BATTLEGROUND",G500&lt;&gt;"LIBSETS_SETTYPE_SPECIAL"),IF(AV500&lt;&gt;"",VLOOKUP(AV500,'ESO zones'!$D$5:$H$4957,5,FALSE),""),"")</f>
        <v/>
      </c>
      <c r="AZ500" s="49" t="s">
        <v>403</v>
      </c>
      <c r="BA500" s="49"/>
      <c r="BB500" s="49"/>
      <c r="BC500" s="49"/>
      <c r="BD500" s="49"/>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1">
        <v>575</v>
      </c>
      <c r="B501" t="s">
        <v>1548</v>
      </c>
      <c r="C501" t="s">
        <v>1549</v>
      </c>
      <c r="D501" s="3">
        <f t="shared" si="42"/>
        <v>575</v>
      </c>
      <c r="G501" s="3" t="s">
        <v>180</v>
      </c>
      <c r="I501" t="s">
        <v>401</v>
      </c>
      <c r="J501" t="s">
        <v>401</v>
      </c>
      <c r="K501">
        <v>240</v>
      </c>
      <c r="L501">
        <v>137</v>
      </c>
      <c r="M501">
        <v>62</v>
      </c>
      <c r="Q501" s="3">
        <f>IF(AND(P501&lt;&gt;"",ISNUMBER(P501),NOT(ISNA(P501))),P501,IF(R501&lt;&gt;"",VLOOKUP(R501,'ESO zones'!$D$5:$H$10005,5,FALSE),""))</f>
        <v>684</v>
      </c>
      <c r="R501" t="str">
        <f>IF(AND(O501&lt;&gt;"",NOT(ISERROR(O501))),O501,IF(AND(P501&lt;&gt;"",ISNUMBER(P501),P501&gt;0,NOT(ISNA(P501))),VLOOKUP(P501,'ESO zones'!$A$5:$D$10003,4,FALSE),IF(AND(K501&lt;&gt;"",K501&gt;0,NOT(ISERROR(K501))),VLOOKUP(K501,'ESO wayshrines'!$K$3:$N$9972,4,FALSE),"")))</f>
        <v>Wrothgar</v>
      </c>
      <c r="T501" s="16" t="str">
        <f>IF(AND(S501&lt;&gt;"",NOT(ISERROR(S501))),S501,VLOOKUP(A501,'ESO Set&amp;DLCs'!$A$3:$D$99998,4,FALSE))</f>
        <v>DLC_MARKARTH</v>
      </c>
      <c r="U501" s="3" t="str">
        <f>IF(T501&lt;&gt;"",VLOOKUP(T501,ConstDLCIds!$B$4:$C$1000,2,FALSE),"")</f>
        <v>Markarth</v>
      </c>
      <c r="V501" s="4" t="s">
        <v>218</v>
      </c>
      <c r="Y501" s="5"/>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zones'!$A$5:$D$10003,4,FALSE),"")</f>
        <v>Alik'r Desert</v>
      </c>
      <c r="AB501" s="4" t="s">
        <v>215</v>
      </c>
      <c r="AE501" s="3">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zones'!$A$5:$D$10003,4,FALSE),"")</f>
        <v>Bad Man's Hallows</v>
      </c>
      <c r="AH501" s="4" t="s">
        <v>221</v>
      </c>
      <c r="AK501" s="3">
        <f>IF(AND(G501&lt;&gt;"LIBSETS_SETTYPE_BATTLEGROUND",G501&lt;&gt;"LIBSETS_SETTYPE_SPECIAL"),IF(AL501&lt;&gt;"",VLOOKUP(AL501,'ESO zones'!$D$5:$H$4957,5,FALSE),""),"")</f>
        <v>1224</v>
      </c>
      <c r="AL501" t="s">
        <v>1550</v>
      </c>
      <c r="AM501" s="4" t="s">
        <v>269</v>
      </c>
      <c r="AN501" s="3" t="s">
        <v>1551</v>
      </c>
      <c r="AO501" s="3" t="s">
        <v>1552</v>
      </c>
      <c r="AP501" s="3">
        <f>IF(AND(G501&lt;&gt;"LIBSETS_SETTYPE_BATTLEGROUND",G501&lt;&gt;"LIBSETS_SETTYPE_SPECIAL"),IF(AQ501&lt;&gt;"",VLOOKUP(AQ501,'ESO zones'!$D$5:$H$4957,5,FALSE),""),"")</f>
        <v>92</v>
      </c>
      <c r="AQ501" t="s">
        <v>524</v>
      </c>
      <c r="AR501" s="4" t="s">
        <v>224</v>
      </c>
      <c r="AU501" s="3" t="str">
        <f>IF(AND(G501&lt;&gt;"LIBSETS_SETTYPE_BATTLEGROUND",G501&lt;&gt;"LIBSETS_SETTYPE_SPECIAL"),IF(AV501&lt;&gt;"",VLOOKUP(AV501,'ESO zones'!$D$5:$H$4957,5,FALSE),""),"")</f>
        <v/>
      </c>
      <c r="AV501" s="55"/>
      <c r="AZ501" s="49" t="s">
        <v>403</v>
      </c>
      <c r="BA501" t="s">
        <v>1553</v>
      </c>
      <c r="BB501" t="s">
        <v>1553</v>
      </c>
      <c r="BC501"/>
      <c r="BD501"/>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1">
        <v>576</v>
      </c>
      <c r="B502" t="s">
        <v>1554</v>
      </c>
      <c r="C502" t="s">
        <v>1555</v>
      </c>
      <c r="D502" s="3">
        <f t="shared" si="42"/>
        <v>576</v>
      </c>
      <c r="G502" s="3" t="s">
        <v>180</v>
      </c>
      <c r="I502" t="s">
        <v>401</v>
      </c>
      <c r="J502" t="s">
        <v>401</v>
      </c>
      <c r="K502">
        <v>176</v>
      </c>
      <c r="L502">
        <v>169</v>
      </c>
      <c r="M502">
        <v>449</v>
      </c>
      <c r="Q502" s="3">
        <f>IF(AND(P502&lt;&gt;"",ISNUMBER(P502),NOT(ISNA(P502))),P502,IF(R502&lt;&gt;"",VLOOKUP(R502,'ESO zones'!$D$5:$H$10005,5,FALSE),""))</f>
        <v>381</v>
      </c>
      <c r="R502" t="str">
        <f>IF(AND(O502&lt;&gt;"",NOT(ISERROR(O502))),O502,IF(AND(P502&lt;&gt;"",ISNUMBER(P502),P502&gt;0,NOT(ISNA(P502))),VLOOKUP(P502,'ESO zones'!$A$5:$D$10003,4,FALSE),IF(AND(K502&lt;&gt;"",K502&gt;0,NOT(ISERROR(K502))),VLOOKUP(K502,'ESO wayshrines'!$K$3:$N$9972,4,FALSE),"")))</f>
        <v>Auridon</v>
      </c>
      <c r="T502" s="16" t="str">
        <f>IF(AND(S502&lt;&gt;"",NOT(ISERROR(S502))),S502,VLOOKUP(A502,'ESO Set&amp;DLCs'!$A$3:$D$99998,4,FALSE))</f>
        <v>DLC_MARKARTH</v>
      </c>
      <c r="U502" s="3" t="str">
        <f>IF(T502&lt;&gt;"",VLOOKUP(T502,ConstDLCIds!$B$4:$C$1000,2,FALSE),"")</f>
        <v>Markarth</v>
      </c>
      <c r="V502" s="4" t="s">
        <v>215</v>
      </c>
      <c r="Y502" s="5">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zones'!$A$5:$D$10003,4,FALSE),"")</f>
        <v>Root Sunder Ruins</v>
      </c>
      <c r="AB502" s="4"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zones'!$A$5:$D$10003,4,FALSE),"")</f>
        <v>The Reach</v>
      </c>
      <c r="AH502" s="4" t="s">
        <v>269</v>
      </c>
      <c r="AI502" s="3" t="s">
        <v>1556</v>
      </c>
      <c r="AJ502" s="3" t="s">
        <v>1557</v>
      </c>
      <c r="AK502" s="3">
        <f>IF(AND(G502&lt;&gt;"LIBSETS_SETTYPE_BATTLEGROUND",G502&lt;&gt;"LIBSETS_SETTYPE_SPECIAL"),IF(AL502&lt;&gt;"",VLOOKUP(AL502,'ESO zones'!$D$5:$H$4957,5,FALSE),""),"")</f>
        <v>380</v>
      </c>
      <c r="AL502" t="s">
        <v>611</v>
      </c>
      <c r="AM502" s="4" t="s">
        <v>278</v>
      </c>
      <c r="AN502" s="3" t="s">
        <v>748</v>
      </c>
      <c r="AO502" s="3" t="s">
        <v>749</v>
      </c>
      <c r="AP502" s="3">
        <f>IF(AND(G502&lt;&gt;"LIBSETS_SETTYPE_BATTLEGROUND",G502&lt;&gt;"LIBSETS_SETTYPE_SPECIAL"),IF(AQ502&lt;&gt;"",VLOOKUP(AQ502,'ESO zones'!$D$5:$H$4957,5,FALSE),""),"")</f>
        <v>932</v>
      </c>
      <c r="AQ502" t="s">
        <v>742</v>
      </c>
      <c r="AR502" s="4" t="s">
        <v>278</v>
      </c>
      <c r="AS502" s="3" t="s">
        <v>741</v>
      </c>
      <c r="AT502" s="3" t="s">
        <v>741</v>
      </c>
      <c r="AU502" s="3" t="str">
        <f>IF(AND(G502&lt;&gt;"LIBSETS_SETTYPE_BATTLEGROUND",G502&lt;&gt;"LIBSETS_SETTYPE_SPECIAL"),IF(AV502&lt;&gt;"",VLOOKUP(AV502,'ESO zones'!$D$5:$H$4957,5,FALSE),""),"")</f>
        <v/>
      </c>
      <c r="AZ502" s="49" t="s">
        <v>403</v>
      </c>
      <c r="BA502" t="s">
        <v>1558</v>
      </c>
      <c r="BB502" t="s">
        <v>1558</v>
      </c>
      <c r="BC502"/>
      <c r="BD502"/>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1">
        <v>577</v>
      </c>
      <c r="B503" t="s">
        <v>1559</v>
      </c>
      <c r="C503" t="s">
        <v>1559</v>
      </c>
      <c r="D503" s="3">
        <f t="shared" si="42"/>
        <v>577</v>
      </c>
      <c r="G503" s="3" t="s">
        <v>172</v>
      </c>
      <c r="H503">
        <v>3</v>
      </c>
      <c r="I503" t="s">
        <v>712</v>
      </c>
      <c r="J503" t="s">
        <v>401</v>
      </c>
      <c r="K503">
        <v>437</v>
      </c>
      <c r="L503">
        <v>437</v>
      </c>
      <c r="M503">
        <v>437</v>
      </c>
      <c r="O503" s="5" t="s">
        <v>1536</v>
      </c>
      <c r="Q503" s="3">
        <f>IF(AND(P503&lt;&gt;"",ISNUMBER(P503),NOT(ISNA(P503))),P503,IF(R503&lt;&gt;"",VLOOKUP(R503,'ESO zones'!$D$5:$H$10005,5,FALSE),""))</f>
        <v>1228</v>
      </c>
      <c r="R503" t="str">
        <f>IF(AND(O503&lt;&gt;"",NOT(ISERROR(O503))),O503,IF(AND(P503&lt;&gt;"",ISNUMBER(P503),P503&gt;0,NOT(ISNA(P503))),VLOOKUP(P503,'ESO zones'!$A$5:$D$10003,4,FALSE),IF(AND(K503&lt;&gt;"",K503&gt;0,NOT(ISERROR(K503))),VLOOKUP(K503,'ESO wayshrines'!$K$3:$N$9972,4,FALSE),"")))</f>
        <v>Black Drake Villa</v>
      </c>
      <c r="T503" s="16" t="str">
        <f>IF(AND(S503&lt;&gt;"",NOT(ISERROR(S503))),S503,VLOOKUP(A503,'ESO Set&amp;DLCs'!$A$3:$D$99998,4,FALSE))</f>
        <v>DLC_FLAMES_OF_AMBITION</v>
      </c>
      <c r="U503" s="3" t="str">
        <f>IF(T503&lt;&gt;"",VLOOKUP(T503,ConstDLCIds!$B$4:$C$1000,2,FALSE),"")</f>
        <v>Flames of Ambition</v>
      </c>
      <c r="V503" s="4" t="s">
        <v>212</v>
      </c>
      <c r="W503" s="3" t="s">
        <v>1559</v>
      </c>
      <c r="X503" s="3" t="s">
        <v>1559</v>
      </c>
      <c r="Y503" s="5"/>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zones'!$A$5:$D$10003,4,FALSE),"")</f>
        <v>Gold Coast</v>
      </c>
      <c r="AC503" s="3" t="str">
        <f>IF(AB503&lt;&gt;"",IF(AB503&lt;&gt;"LIBSETS_DROP_MECHANIC_MONSTER_NAME",VLOOKUP(AB503,ConstDropMechs!$B$4:$C$1001,2,FALSE),""),"")</f>
        <v/>
      </c>
      <c r="AD503" s="3" t="str">
        <f>IF(AB503&lt;&gt;"",IF(AB503&lt;&gt;"LIBSETS_DROP_MECHANIC_MONSTER_NAME",VLOOKUP(AB503,ConstDropMechs!$B$4:$D$1001,3,FALSE),""),"")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zones'!$A$5:$D$10003,4,FALSE),"")</f>
        <v>Gold Coast</v>
      </c>
      <c r="AK503" s="3" t="str">
        <f>IF(AND(G503&lt;&gt;"LIBSETS_SETTYPE_BATTLEGROUND",G503&lt;&gt;"LIBSETS_SETTYPE_SPECIAL"),IF(AL503&lt;&gt;"",VLOOKUP(AL503,'ESO zones'!$D$5:$H$4957,5,FALSE),""),"")</f>
        <v/>
      </c>
      <c r="AP503" s="3" t="str">
        <f>IF(AND(G503&lt;&gt;"LIBSETS_SETTYPE_BATTLEGROUND",G503&lt;&gt;"LIBSETS_SETTYPE_SPECIAL"),IF(AQ503&lt;&gt;"",VLOOKUP(AQ503,'ESO zones'!$D$5:$H$4957,5,FALSE),""),"")</f>
        <v/>
      </c>
      <c r="AU503" s="3" t="str">
        <f>IF(AND(G503&lt;&gt;"LIBSETS_SETTYPE_BATTLEGROUND",G503&lt;&gt;"LIBSETS_SETTYPE_SPECIAL"),IF(AV503&lt;&gt;"",VLOOKUP(AV503,'ESO zones'!$D$5:$H$4957,5,FALSE),""),"")</f>
        <v/>
      </c>
      <c r="AZ503" s="49" t="s">
        <v>403</v>
      </c>
      <c r="BA503" s="49"/>
      <c r="BB503" s="49"/>
      <c r="BC503" s="49"/>
      <c r="BD503" s="49"/>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1">
        <v>578</v>
      </c>
      <c r="B504" t="s">
        <v>1560</v>
      </c>
      <c r="C504" t="s">
        <v>1560</v>
      </c>
      <c r="D504" s="3">
        <f t="shared" si="42"/>
        <v>578</v>
      </c>
      <c r="G504" s="3" t="s">
        <v>172</v>
      </c>
      <c r="H504">
        <v>3</v>
      </c>
      <c r="I504" t="s">
        <v>712</v>
      </c>
      <c r="J504" t="s">
        <v>401</v>
      </c>
      <c r="K504">
        <v>454</v>
      </c>
      <c r="L504">
        <v>454</v>
      </c>
      <c r="M504">
        <v>454</v>
      </c>
      <c r="O504" s="5" t="s">
        <v>1543</v>
      </c>
      <c r="Q504" s="3">
        <f>IF(AND(P504&lt;&gt;"",ISNUMBER(P504),NOT(ISNA(P504))),P504,IF(R504&lt;&gt;"",VLOOKUP(R504,'ESO zones'!$D$5:$H$10005,5,FALSE),""))</f>
        <v>1229</v>
      </c>
      <c r="R504" t="str">
        <f>IF(AND(O504&lt;&gt;"",NOT(ISERROR(O504))),O504,IF(AND(P504&lt;&gt;"",ISNUMBER(P504),P504&gt;0,NOT(ISNA(P504))),VLOOKUP(P504,'ESO zones'!$A$5:$D$10003,4,FALSE),IF(AND(K504&lt;&gt;"",K504&gt;0,NOT(ISERROR(K504))),VLOOKUP(K504,'ESO wayshrines'!$K$3:$N$9972,4,FALSE),"")))</f>
        <v>The Cauldron</v>
      </c>
      <c r="T504" s="16" t="str">
        <f>IF(AND(S504&lt;&gt;"",NOT(ISERROR(S504))),S504,VLOOKUP(A504,'ESO Set&amp;DLCs'!$A$3:$D$99998,4,FALSE))</f>
        <v>DLC_FLAMES_OF_AMBITION</v>
      </c>
      <c r="U504" s="3" t="str">
        <f>IF(T504&lt;&gt;"",VLOOKUP(T504,ConstDLCIds!$B$4:$C$1000,2,FALSE),"")</f>
        <v>Flames of Ambition</v>
      </c>
      <c r="V504" s="4" t="s">
        <v>212</v>
      </c>
      <c r="W504" s="3" t="s">
        <v>1560</v>
      </c>
      <c r="X504" s="3" t="s">
        <v>1560</v>
      </c>
      <c r="Y504" s="5"/>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zones'!$A$5:$D$10003,4,FALSE),"")</f>
        <v>Deshaan</v>
      </c>
      <c r="AC504" s="3" t="str">
        <f>IF(AB504&lt;&gt;"",IF(AB504&lt;&gt;"LIBSETS_DROP_MECHANIC_MONSTER_NAME",VLOOKUP(AB504,ConstDropMechs!$B$4:$C$1001,2,FALSE),""),"")</f>
        <v/>
      </c>
      <c r="AD504" s="3" t="str">
        <f>IF(AB504&lt;&gt;"",IF(AB504&lt;&gt;"LIBSETS_DROP_MECHANIC_MONSTER_NAME",VLOOKUP(AB504,ConstDropMechs!$B$4:$D$1001,3,FALSE),""),"")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zones'!$A$5:$D$10003,4,FALSE),"")</f>
        <v>Deshaan</v>
      </c>
      <c r="AK504" s="3" t="str">
        <f>IF(AND(G504&lt;&gt;"LIBSETS_SETTYPE_BATTLEGROUND",G504&lt;&gt;"LIBSETS_SETTYPE_SPECIAL"),IF(AL504&lt;&gt;"",VLOOKUP(AL504,'ESO zones'!$D$5:$H$4957,5,FALSE),""),"")</f>
        <v/>
      </c>
      <c r="AP504" s="3" t="str">
        <f>IF(AND(G504&lt;&gt;"LIBSETS_SETTYPE_BATTLEGROUND",G504&lt;&gt;"LIBSETS_SETTYPE_SPECIAL"),IF(AQ504&lt;&gt;"",VLOOKUP(AQ504,'ESO zones'!$D$5:$H$4957,5,FALSE),""),"")</f>
        <v/>
      </c>
      <c r="AU504" s="3" t="str">
        <f>IF(AND(G504&lt;&gt;"LIBSETS_SETTYPE_BATTLEGROUND",G504&lt;&gt;"LIBSETS_SETTYPE_SPECIAL"),IF(AV504&lt;&gt;"",VLOOKUP(AV504,'ESO zones'!$D$5:$H$4957,5,FALSE),""),"")</f>
        <v/>
      </c>
      <c r="AZ504" s="49" t="s">
        <v>403</v>
      </c>
      <c r="BA504" s="49"/>
      <c r="BB504" s="49"/>
      <c r="BC504" s="49"/>
      <c r="BD504" s="49"/>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1">
        <v>579</v>
      </c>
      <c r="B505" t="s">
        <v>1561</v>
      </c>
      <c r="C505" t="s">
        <v>1562</v>
      </c>
      <c r="D505" s="3">
        <f t="shared" si="42"/>
        <v>579</v>
      </c>
      <c r="G505" s="3" t="s">
        <v>174</v>
      </c>
      <c r="I505" t="s">
        <v>401</v>
      </c>
      <c r="J505" t="s">
        <v>401</v>
      </c>
      <c r="K505">
        <v>458</v>
      </c>
      <c r="L505">
        <v>458</v>
      </c>
      <c r="M505">
        <v>458</v>
      </c>
      <c r="O505" s="5" t="s">
        <v>74</v>
      </c>
      <c r="Q505" s="3">
        <f>IF(AND(P505&lt;&gt;"",ISNUMBER(P505),NOT(ISNA(P505))),P505,IF(R505&lt;&gt;"",VLOOKUP(R505,'ESO zones'!$D$5:$H$10005,5,FALSE),""))</f>
        <v>1261</v>
      </c>
      <c r="R505" t="str">
        <f>IF(AND(O505&lt;&gt;"",NOT(ISERROR(O505))),O505,IF(AND(P505&lt;&gt;"",ISNUMBER(P505),P505&gt;0,NOT(ISNA(P505))),VLOOKUP(P505,'ESO zones'!$A$5:$D$10003,4,FALSE),IF(AND(K505&lt;&gt;"",K505&gt;0,NOT(ISERROR(K505))),VLOOKUP(K505,'ESO wayshrines'!$K$3:$N$9972,4,FALSE),"")))</f>
        <v>Blackwood</v>
      </c>
      <c r="T505" s="16" t="str">
        <f>IF(AND(S505&lt;&gt;"",NOT(ISERROR(S505))),S505,VLOOKUP(A505,'ESO Set&amp;DLCs'!$A$3:$D$99998,4,FALSE))</f>
        <v>DLC_BLACKWOOD</v>
      </c>
      <c r="U505" s="3" t="str">
        <f>IF(T505&lt;&gt;"",VLOOKUP(T505,ConstDLCIds!$B$4:$C$1000,2,FALSE),"")</f>
        <v>Blackwood</v>
      </c>
      <c r="V505" s="4" t="s">
        <v>215</v>
      </c>
      <c r="Y505" s="5"/>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zones'!$A$5:$D$10003,4,FALSE),"")</f>
        <v>Blackwood</v>
      </c>
      <c r="AB505" s="57" t="s">
        <v>218</v>
      </c>
      <c r="AE505" s="3">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zones'!$A$5:$D$10003,4,FALSE),"")</f>
        <v>The Silent Halls</v>
      </c>
      <c r="AH505" s="4" t="s">
        <v>221</v>
      </c>
      <c r="AK505" s="3">
        <f>IF(AND(G505&lt;&gt;"LIBSETS_SETTYPE_BATTLEGROUND",G505&lt;&gt;"LIBSETS_SETTYPE_SPECIAL"),IF(AL505&lt;&gt;"",VLOOKUP(AL505,'ESO zones'!$D$5:$H$4957,5,FALSE),""),"")</f>
        <v>1261</v>
      </c>
      <c r="AL505" t="s">
        <v>74</v>
      </c>
      <c r="AM505" s="4" t="s">
        <v>224</v>
      </c>
      <c r="AP505" s="3">
        <f>IF(AND(G505&lt;&gt;"LIBSETS_SETTYPE_BATTLEGROUND",G505&lt;&gt;"LIBSETS_SETTYPE_SPECIAL"),IF(AQ505&lt;&gt;"",VLOOKUP(AQ505,'ESO zones'!$D$5:$H$4957,5,FALSE),""),"")</f>
        <v>1259</v>
      </c>
      <c r="AQ505" t="s">
        <v>1563</v>
      </c>
      <c r="AR505" s="4" t="s">
        <v>221</v>
      </c>
      <c r="AU505" s="3">
        <f>IF(AND(G505&lt;&gt;"LIBSETS_SETTYPE_BATTLEGROUND",G505&lt;&gt;"LIBSETS_SETTYPE_SPECIAL"),IF(AV505&lt;&gt;"",VLOOKUP(AV505,'ESO zones'!$D$5:$H$4957,5,FALSE),""),"")</f>
        <v>1261</v>
      </c>
      <c r="AV505" t="s">
        <v>74</v>
      </c>
      <c r="AW505" s="4" t="s">
        <v>269</v>
      </c>
      <c r="AZ505" s="49" t="s">
        <v>410</v>
      </c>
      <c r="BA505" s="49"/>
      <c r="BB505" s="49"/>
      <c r="BC505" s="49"/>
      <c r="BD505" s="49"/>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1">
        <v>580</v>
      </c>
      <c r="B506" t="s">
        <v>1564</v>
      </c>
      <c r="C506" t="s">
        <v>1565</v>
      </c>
      <c r="D506" s="3">
        <f t="shared" si="42"/>
        <v>580</v>
      </c>
      <c r="G506" s="3" t="s">
        <v>174</v>
      </c>
      <c r="I506" t="s">
        <v>401</v>
      </c>
      <c r="J506" t="s">
        <v>401</v>
      </c>
      <c r="K506">
        <v>458</v>
      </c>
      <c r="L506">
        <v>458</v>
      </c>
      <c r="M506">
        <v>458</v>
      </c>
      <c r="O506" s="5" t="s">
        <v>74</v>
      </c>
      <c r="Q506" s="3">
        <f>IF(AND(P506&lt;&gt;"",ISNUMBER(P506),NOT(ISNA(P506))),P506,IF(R506&lt;&gt;"",VLOOKUP(R506,'ESO zones'!$D$5:$H$10005,5,FALSE),""))</f>
        <v>1261</v>
      </c>
      <c r="R506" t="str">
        <f>IF(AND(O506&lt;&gt;"",NOT(ISERROR(O506))),O506,IF(AND(P506&lt;&gt;"",ISNUMBER(P506),P506&gt;0,NOT(ISNA(P506))),VLOOKUP(P506,'ESO zones'!$A$5:$D$10003,4,FALSE),IF(AND(K506&lt;&gt;"",K506&gt;0,NOT(ISERROR(K506))),VLOOKUP(K506,'ESO wayshrines'!$K$3:$N$9972,4,FALSE),"")))</f>
        <v>Blackwood</v>
      </c>
      <c r="T506" s="16" t="str">
        <f>IF(AND(S506&lt;&gt;"",NOT(ISERROR(S506))),S506,VLOOKUP(A506,'ESO Set&amp;DLCs'!$A$3:$D$99998,4,FALSE))</f>
        <v>DLC_BLACKWOOD</v>
      </c>
      <c r="U506" s="3" t="str">
        <f>IF(T506&lt;&gt;"",VLOOKUP(T506,ConstDLCIds!$B$4:$C$1000,2,FALSE),"")</f>
        <v>Blackwood</v>
      </c>
      <c r="V506" s="4" t="s">
        <v>215</v>
      </c>
      <c r="Y506" s="5"/>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zones'!$A$5:$D$10003,4,FALSE),"")</f>
        <v>Blackwood</v>
      </c>
      <c r="AB506" s="57" t="s">
        <v>218</v>
      </c>
      <c r="AE506" s="3">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zones'!$A$5:$D$10003,4,FALSE),"")</f>
        <v>The Silent Halls</v>
      </c>
      <c r="AH506" s="4" t="s">
        <v>221</v>
      </c>
      <c r="AK506" s="3">
        <f>IF(AND(G506&lt;&gt;"LIBSETS_SETTYPE_BATTLEGROUND",G506&lt;&gt;"LIBSETS_SETTYPE_SPECIAL"),IF(AL506&lt;&gt;"",VLOOKUP(AL506,'ESO zones'!$D$5:$H$4957,5,FALSE),""),"")</f>
        <v>1261</v>
      </c>
      <c r="AL506" t="s">
        <v>74</v>
      </c>
      <c r="AM506" s="4" t="s">
        <v>224</v>
      </c>
      <c r="AP506" s="3">
        <f>IF(AND(G506&lt;&gt;"LIBSETS_SETTYPE_BATTLEGROUND",G506&lt;&gt;"LIBSETS_SETTYPE_SPECIAL"),IF(AQ506&lt;&gt;"",VLOOKUP(AQ506,'ESO zones'!$D$5:$H$4957,5,FALSE),""),"")</f>
        <v>1259</v>
      </c>
      <c r="AQ506" t="s">
        <v>1563</v>
      </c>
      <c r="AR506" s="4" t="s">
        <v>221</v>
      </c>
      <c r="AU506" s="3">
        <f>IF(AND(G506&lt;&gt;"LIBSETS_SETTYPE_BATTLEGROUND",G506&lt;&gt;"LIBSETS_SETTYPE_SPECIAL"),IF(AV506&lt;&gt;"",VLOOKUP(AV506,'ESO zones'!$D$5:$H$4957,5,FALSE),""),"")</f>
        <v>1261</v>
      </c>
      <c r="AV506" t="s">
        <v>74</v>
      </c>
      <c r="AW506" s="4" t="s">
        <v>269</v>
      </c>
      <c r="AZ506" s="49" t="s">
        <v>403</v>
      </c>
      <c r="BA506" s="49"/>
      <c r="BB506" s="49"/>
      <c r="BC506" s="49"/>
      <c r="BD506" s="49"/>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1">
        <v>581</v>
      </c>
      <c r="B507" t="s">
        <v>1566</v>
      </c>
      <c r="C507" t="s">
        <v>1567</v>
      </c>
      <c r="D507" s="3">
        <f t="shared" si="42"/>
        <v>581</v>
      </c>
      <c r="G507" s="3" t="s">
        <v>174</v>
      </c>
      <c r="I507" t="s">
        <v>401</v>
      </c>
      <c r="J507" t="s">
        <v>401</v>
      </c>
      <c r="K507">
        <v>458</v>
      </c>
      <c r="L507">
        <v>458</v>
      </c>
      <c r="M507">
        <v>458</v>
      </c>
      <c r="O507" s="5" t="s">
        <v>74</v>
      </c>
      <c r="Q507" s="3">
        <f>IF(AND(P507&lt;&gt;"",ISNUMBER(P507),NOT(ISNA(P507))),P507,IF(R507&lt;&gt;"",VLOOKUP(R507,'ESO zones'!$D$5:$H$10005,5,FALSE),""))</f>
        <v>1261</v>
      </c>
      <c r="R507" t="str">
        <f>IF(AND(O507&lt;&gt;"",NOT(ISERROR(O507))),O507,IF(AND(P507&lt;&gt;"",ISNUMBER(P507),P507&gt;0,NOT(ISNA(P507))),VLOOKUP(P507,'ESO zones'!$A$5:$D$10003,4,FALSE),IF(AND(K507&lt;&gt;"",K507&gt;0,NOT(ISERROR(K507))),VLOOKUP(K507,'ESO wayshrines'!$K$3:$N$9972,4,FALSE),"")))</f>
        <v>Blackwood</v>
      </c>
      <c r="T507" s="16" t="str">
        <f>IF(AND(S507&lt;&gt;"",NOT(ISERROR(S507))),S507,VLOOKUP(A507,'ESO Set&amp;DLCs'!$A$3:$D$99998,4,FALSE))</f>
        <v>DLC_BLACKWOOD</v>
      </c>
      <c r="U507" s="3" t="str">
        <f>IF(T507&lt;&gt;"",VLOOKUP(T507,ConstDLCIds!$B$4:$C$1000,2,FALSE),"")</f>
        <v>Blackwood</v>
      </c>
      <c r="V507" s="4" t="s">
        <v>215</v>
      </c>
      <c r="Y507" s="5"/>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zones'!$A$5:$D$10003,4,FALSE),"")</f>
        <v>Blackwood</v>
      </c>
      <c r="AB507" s="57" t="s">
        <v>218</v>
      </c>
      <c r="AE507" s="3">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zones'!$A$5:$D$10003,4,FALSE),"")</f>
        <v>The Silent Halls</v>
      </c>
      <c r="AH507" s="4" t="s">
        <v>221</v>
      </c>
      <c r="AK507" s="3">
        <f>IF(AND(G507&lt;&gt;"LIBSETS_SETTYPE_BATTLEGROUND",G507&lt;&gt;"LIBSETS_SETTYPE_SPECIAL"),IF(AL507&lt;&gt;"",VLOOKUP(AL507,'ESO zones'!$D$5:$H$4957,5,FALSE),""),"")</f>
        <v>1261</v>
      </c>
      <c r="AL507" t="s">
        <v>74</v>
      </c>
      <c r="AM507" s="4" t="s">
        <v>224</v>
      </c>
      <c r="AP507" s="3">
        <f>IF(AND(G507&lt;&gt;"LIBSETS_SETTYPE_BATTLEGROUND",G507&lt;&gt;"LIBSETS_SETTYPE_SPECIAL"),IF(AQ507&lt;&gt;"",VLOOKUP(AQ507,'ESO zones'!$D$5:$H$4957,5,FALSE),""),"")</f>
        <v>1259</v>
      </c>
      <c r="AQ507" t="s">
        <v>1563</v>
      </c>
      <c r="AR507" s="4" t="s">
        <v>221</v>
      </c>
      <c r="AU507" s="3">
        <f>IF(AND(G507&lt;&gt;"LIBSETS_SETTYPE_BATTLEGROUND",G507&lt;&gt;"LIBSETS_SETTYPE_SPECIAL"),IF(AV507&lt;&gt;"",VLOOKUP(AV507,'ESO zones'!$D$5:$H$4957,5,FALSE),""),"")</f>
        <v>1261</v>
      </c>
      <c r="AV507" t="s">
        <v>74</v>
      </c>
      <c r="AW507" s="4" t="s">
        <v>269</v>
      </c>
      <c r="AZ507" s="49" t="s">
        <v>403</v>
      </c>
      <c r="BA507" s="49"/>
      <c r="BB507" s="49"/>
      <c r="BC507" s="49"/>
      <c r="BD507" s="49"/>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1">
        <v>582</v>
      </c>
      <c r="B508" t="s">
        <v>1568</v>
      </c>
      <c r="C508" t="s">
        <v>1569</v>
      </c>
      <c r="D508" s="3">
        <f t="shared" si="42"/>
        <v>582</v>
      </c>
      <c r="G508" s="3" t="s">
        <v>163</v>
      </c>
      <c r="I508" t="s">
        <v>401</v>
      </c>
      <c r="J508" t="s">
        <v>401</v>
      </c>
      <c r="K508">
        <v>484</v>
      </c>
      <c r="L508">
        <v>484</v>
      </c>
      <c r="M508">
        <v>484</v>
      </c>
      <c r="N508">
        <v>3</v>
      </c>
      <c r="Q508" s="3">
        <f>IF(AND(P508&lt;&gt;"",ISNUMBER(P508),NOT(ISNA(P508))),P508,IF(R508&lt;&gt;"",VLOOKUP(R508,'ESO zones'!$D$5:$H$10005,5,FALSE),""))</f>
        <v>1261</v>
      </c>
      <c r="R508" t="str">
        <f>IF(AND(O508&lt;&gt;"",NOT(ISERROR(O508))),O508,IF(AND(P508&lt;&gt;"",ISNUMBER(P508),P508&gt;0,NOT(ISNA(P508))),VLOOKUP(P508,'ESO zones'!$A$5:$D$10003,4,FALSE),IF(AND(K508&lt;&gt;"",K508&gt;0,NOT(ISERROR(K508))),VLOOKUP(K508,'ESO wayshrines'!$K$3:$N$9972,4,FALSE),"")))</f>
        <v>Blackwood</v>
      </c>
      <c r="T508" s="16" t="str">
        <f>IF(AND(S508&lt;&gt;"",NOT(ISERROR(S508))),S508,VLOOKUP(A508,'ESO Set&amp;DLCs'!$A$3:$D$99998,4,FALSE))</f>
        <v>DLC_BLACKWOOD</v>
      </c>
      <c r="U508" s="3" t="str">
        <f>IF(T508&lt;&gt;"",VLOOKUP(T508,ConstDLCIds!$B$4:$C$1000,2,FALSE),"")</f>
        <v>Blackwood</v>
      </c>
      <c r="V508" s="4" t="s">
        <v>281</v>
      </c>
      <c r="Y508" s="5"/>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zones'!$A$5:$D$10003,4,FALSE),"")</f>
        <v>Blackwood</v>
      </c>
      <c r="AB508" s="4"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zones'!$A$5:$D$10003,4,FALSE),"")</f>
        <v>Blackwood</v>
      </c>
      <c r="AH508" s="4" t="s">
        <v>281</v>
      </c>
      <c r="AK508" s="3" t="str">
        <f>IF(AND(G508&lt;&gt;"LIBSETS_SETTYPE_BATTLEGROUND",G508&lt;&gt;"LIBSETS_SETTYPE_SPECIAL"),IF(AL508&lt;&gt;"",VLOOKUP(AL508,'ESO zones'!$D$5:$H$4957,5,FALSE),""),"")</f>
        <v/>
      </c>
      <c r="AP508" s="3" t="str">
        <f>IF(AND(G508&lt;&gt;"LIBSETS_SETTYPE_BATTLEGROUND",G508&lt;&gt;"LIBSETS_SETTYPE_SPECIAL"),IF(AQ508&lt;&gt;"",VLOOKUP(AQ508,'ESO zones'!$D$5:$H$4957,5,FALSE),""),"")</f>
        <v/>
      </c>
      <c r="AU508" s="3" t="str">
        <f>IF(AND(G508&lt;&gt;"LIBSETS_SETTYPE_BATTLEGROUND",G508&lt;&gt;"LIBSETS_SETTYPE_SPECIAL"),IF(AV508&lt;&gt;"",VLOOKUP(AV508,'ESO zones'!$D$5:$H$4957,5,FALSE),""),"")</f>
        <v/>
      </c>
      <c r="AZ508" s="49" t="s">
        <v>403</v>
      </c>
      <c r="BA508" s="49"/>
      <c r="BB508" s="49"/>
      <c r="BC508" s="49"/>
      <c r="BD508" s="49"/>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1">
        <v>583</v>
      </c>
      <c r="B509" t="s">
        <v>1570</v>
      </c>
      <c r="C509" t="s">
        <v>1571</v>
      </c>
      <c r="D509" s="3">
        <f t="shared" si="42"/>
        <v>583</v>
      </c>
      <c r="G509" s="3" t="s">
        <v>163</v>
      </c>
      <c r="I509" t="s">
        <v>401</v>
      </c>
      <c r="J509" t="s">
        <v>401</v>
      </c>
      <c r="K509">
        <v>483</v>
      </c>
      <c r="L509">
        <v>483</v>
      </c>
      <c r="M509">
        <v>483</v>
      </c>
      <c r="N509">
        <v>7</v>
      </c>
      <c r="Q509" s="3">
        <f>IF(AND(P509&lt;&gt;"",ISNUMBER(P509),NOT(ISNA(P509))),P509,IF(R509&lt;&gt;"",VLOOKUP(R509,'ESO zones'!$D$5:$H$10005,5,FALSE),""))</f>
        <v>1261</v>
      </c>
      <c r="R509" t="str">
        <f>IF(AND(O509&lt;&gt;"",NOT(ISERROR(O509))),O509,IF(AND(P509&lt;&gt;"",ISNUMBER(P509),P509&gt;0,NOT(ISNA(P509))),VLOOKUP(P509,'ESO zones'!$A$5:$D$10003,4,FALSE),IF(AND(K509&lt;&gt;"",K509&gt;0,NOT(ISERROR(K509))),VLOOKUP(K509,'ESO wayshrines'!$K$3:$N$9972,4,FALSE),"")))</f>
        <v>Blackwood</v>
      </c>
      <c r="T509" s="16" t="str">
        <f>IF(AND(S509&lt;&gt;"",NOT(ISERROR(S509))),S509,VLOOKUP(A509,'ESO Set&amp;DLCs'!$A$3:$D$99998,4,FALSE))</f>
        <v>DLC_BLACKWOOD</v>
      </c>
      <c r="U509" s="3" t="str">
        <f>IF(T509&lt;&gt;"",VLOOKUP(T509,ConstDLCIds!$B$4:$C$1000,2,FALSE),"")</f>
        <v>Blackwood</v>
      </c>
      <c r="V509" s="4" t="s">
        <v>281</v>
      </c>
      <c r="Y509" s="5"/>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zones'!$A$5:$D$10003,4,FALSE),"")</f>
        <v>Blackwood</v>
      </c>
      <c r="AB509" s="4"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zones'!$A$5:$D$10003,4,FALSE),"")</f>
        <v>Blackwood</v>
      </c>
      <c r="AH509" s="4" t="s">
        <v>281</v>
      </c>
      <c r="AK509" s="3" t="str">
        <f>IF(AND(G509&lt;&gt;"LIBSETS_SETTYPE_BATTLEGROUND",G509&lt;&gt;"LIBSETS_SETTYPE_SPECIAL"),IF(AL509&lt;&gt;"",VLOOKUP(AL509,'ESO zones'!$D$5:$H$4957,5,FALSE),""),"")</f>
        <v/>
      </c>
      <c r="AP509" s="3" t="str">
        <f>IF(AND(G509&lt;&gt;"LIBSETS_SETTYPE_BATTLEGROUND",G509&lt;&gt;"LIBSETS_SETTYPE_SPECIAL"),IF(AQ509&lt;&gt;"",VLOOKUP(AQ509,'ESO zones'!$D$5:$H$4957,5,FALSE),""),"")</f>
        <v/>
      </c>
      <c r="AU509" s="3" t="str">
        <f>IF(AND(G509&lt;&gt;"LIBSETS_SETTYPE_BATTLEGROUND",G509&lt;&gt;"LIBSETS_SETTYPE_SPECIAL"),IF(AV509&lt;&gt;"",VLOOKUP(AV509,'ESO zones'!$D$5:$H$4957,5,FALSE),""),"")</f>
        <v/>
      </c>
      <c r="AZ509" s="49" t="s">
        <v>403</v>
      </c>
      <c r="BA509" s="49"/>
      <c r="BB509" s="49"/>
      <c r="BC509" s="49"/>
      <c r="BD509" s="49"/>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1">
        <v>584</v>
      </c>
      <c r="B510" t="s">
        <v>1572</v>
      </c>
      <c r="C510" t="s">
        <v>1573</v>
      </c>
      <c r="D510" s="3">
        <f t="shared" si="42"/>
        <v>584</v>
      </c>
      <c r="G510" s="3" t="s">
        <v>163</v>
      </c>
      <c r="I510" t="s">
        <v>401</v>
      </c>
      <c r="J510" t="s">
        <v>401</v>
      </c>
      <c r="K510">
        <v>461</v>
      </c>
      <c r="L510">
        <v>461</v>
      </c>
      <c r="M510">
        <v>461</v>
      </c>
      <c r="N510">
        <v>5</v>
      </c>
      <c r="Q510" s="3">
        <f>IF(AND(P510&lt;&gt;"",ISNUMBER(P510),NOT(ISNA(P510))),P510,IF(R510&lt;&gt;"",VLOOKUP(R510,'ESO zones'!$D$5:$H$10005,5,FALSE),""))</f>
        <v>1261</v>
      </c>
      <c r="R510" t="str">
        <f>IF(AND(O510&lt;&gt;"",NOT(ISERROR(O510))),O510,IF(AND(P510&lt;&gt;"",ISNUMBER(P510),P510&gt;0,NOT(ISNA(P510))),VLOOKUP(P510,'ESO zones'!$A$5:$D$10003,4,FALSE),IF(AND(K510&lt;&gt;"",K510&gt;0,NOT(ISERROR(K510))),VLOOKUP(K510,'ESO wayshrines'!$K$3:$N$9972,4,FALSE),"")))</f>
        <v>Blackwood</v>
      </c>
      <c r="T510" s="16" t="str">
        <f>IF(AND(S510&lt;&gt;"",NOT(ISERROR(S510))),S510,VLOOKUP(A510,'ESO Set&amp;DLCs'!$A$3:$D$99998,4,FALSE))</f>
        <v>DLC_BLACKWOOD</v>
      </c>
      <c r="U510" s="3" t="str">
        <f>IF(T510&lt;&gt;"",VLOOKUP(T510,ConstDLCIds!$B$4:$C$1000,2,FALSE),"")</f>
        <v>Blackwood</v>
      </c>
      <c r="V510" s="4" t="s">
        <v>281</v>
      </c>
      <c r="Y510" s="5"/>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zones'!$A$5:$D$10003,4,FALSE),"")</f>
        <v>Blackwood</v>
      </c>
      <c r="AB510" s="4"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zones'!$A$5:$D$10003,4,FALSE),"")</f>
        <v>Blackwood</v>
      </c>
      <c r="AH510" s="4" t="s">
        <v>281</v>
      </c>
      <c r="AK510" s="3" t="str">
        <f>IF(AND(G510&lt;&gt;"LIBSETS_SETTYPE_BATTLEGROUND",G510&lt;&gt;"LIBSETS_SETTYPE_SPECIAL"),IF(AL510&lt;&gt;"",VLOOKUP(AL510,'ESO zones'!$D$5:$H$4957,5,FALSE),""),"")</f>
        <v/>
      </c>
      <c r="AP510" s="3" t="str">
        <f>IF(AND(G510&lt;&gt;"LIBSETS_SETTYPE_BATTLEGROUND",G510&lt;&gt;"LIBSETS_SETTYPE_SPECIAL"),IF(AQ510&lt;&gt;"",VLOOKUP(AQ510,'ESO zones'!$D$5:$H$4957,5,FALSE),""),"")</f>
        <v/>
      </c>
      <c r="AU510" s="3" t="str">
        <f>IF(AND(G510&lt;&gt;"LIBSETS_SETTYPE_BATTLEGROUND",G510&lt;&gt;"LIBSETS_SETTYPE_SPECIAL"),IF(AV510&lt;&gt;"",VLOOKUP(AV510,'ESO zones'!$D$5:$H$4957,5,FALSE),""),"")</f>
        <v/>
      </c>
      <c r="AZ510" s="49" t="s">
        <v>403</v>
      </c>
      <c r="BA510" s="49"/>
      <c r="BB510" s="49"/>
      <c r="BC510" s="49"/>
      <c r="BD510" s="49"/>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1">
        <v>585</v>
      </c>
      <c r="B511" t="s">
        <v>1574</v>
      </c>
      <c r="C511" t="s">
        <v>1575</v>
      </c>
      <c r="D511" s="3">
        <f t="shared" si="42"/>
        <v>585</v>
      </c>
      <c r="G511" s="3" t="s">
        <v>178</v>
      </c>
      <c r="I511" t="s">
        <v>401</v>
      </c>
      <c r="J511" t="s">
        <v>401</v>
      </c>
      <c r="K511">
        <v>468</v>
      </c>
      <c r="L511">
        <v>468</v>
      </c>
      <c r="M511">
        <v>468</v>
      </c>
      <c r="O511" s="5" t="s">
        <v>1576</v>
      </c>
      <c r="Q511" s="3">
        <f>IF(AND(P511&lt;&gt;"",ISNUMBER(P511),NOT(ISNA(P511))),P511,IF(R511&lt;&gt;"",VLOOKUP(R511,'ESO zones'!$D$5:$H$10005,5,FALSE),""))</f>
        <v>1263</v>
      </c>
      <c r="R511" t="str">
        <f>IF(AND(O511&lt;&gt;"",NOT(ISERROR(O511))),O511,IF(AND(P511&lt;&gt;"",ISNUMBER(P511),P511&gt;0,NOT(ISNA(P511))),VLOOKUP(P511,'ESO zones'!$A$5:$D$10003,4,FALSE),IF(AND(K511&lt;&gt;"",K511&gt;0,NOT(ISERROR(K511))),VLOOKUP(K511,'ESO wayshrines'!$K$3:$N$9972,4,FALSE),"")))</f>
        <v>Rockgrove</v>
      </c>
      <c r="T511" s="16" t="str">
        <f>IF(AND(S511&lt;&gt;"",NOT(ISERROR(S511))),S511,VLOOKUP(A511,'ESO Set&amp;DLCs'!$A$3:$D$99998,4,FALSE))</f>
        <v>DLC_BLACKWOOD</v>
      </c>
      <c r="U511" s="3" t="str">
        <f>IF(T511&lt;&gt;"",VLOOKUP(T511,ConstDLCIds!$B$4:$C$1000,2,FALSE),"")</f>
        <v>Blackwood</v>
      </c>
      <c r="V511" s="4" t="s">
        <v>272</v>
      </c>
      <c r="Y511" s="5">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zones'!$A$5:$D$10003,4,FALSE),"")</f>
        <v>Rockgrove</v>
      </c>
      <c r="AB511" s="4" t="s">
        <v>272</v>
      </c>
      <c r="AE511" s="5">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zones'!$A$5:$D$10003,4,FALSE),"")</f>
        <v>Rockgrove</v>
      </c>
      <c r="AH511" s="4" t="s">
        <v>272</v>
      </c>
      <c r="AK511" s="3" t="str">
        <f>IF(AND(G511&lt;&gt;"LIBSETS_SETTYPE_BATTLEGROUND",G511&lt;&gt;"LIBSETS_SETTYPE_SPECIAL"),IF(AL511&lt;&gt;"",VLOOKUP(AL511,'ESO zones'!$D$5:$H$4957,5,FALSE),""),"")</f>
        <v/>
      </c>
      <c r="AP511" s="3" t="str">
        <f>IF(AND(G511&lt;&gt;"LIBSETS_SETTYPE_BATTLEGROUND",G511&lt;&gt;"LIBSETS_SETTYPE_SPECIAL"),IF(AQ511&lt;&gt;"",VLOOKUP(AQ511,'ESO zones'!$D$5:$H$4957,5,FALSE),""),"")</f>
        <v/>
      </c>
      <c r="AU511" s="3" t="str">
        <f>IF(AND(G511&lt;&gt;"LIBSETS_SETTYPE_BATTLEGROUND",G511&lt;&gt;"LIBSETS_SETTYPE_SPECIAL"),IF(AV511&lt;&gt;"",VLOOKUP(AV511,'ESO zones'!$D$5:$H$4957,5,FALSE),""),"")</f>
        <v/>
      </c>
      <c r="AZ511" s="49" t="s">
        <v>403</v>
      </c>
      <c r="BA511" s="49"/>
      <c r="BB511" s="49"/>
      <c r="BC511" s="49"/>
      <c r="BD511" s="49">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1">
        <v>586</v>
      </c>
      <c r="B512" t="s">
        <v>1577</v>
      </c>
      <c r="C512" t="s">
        <v>1578</v>
      </c>
      <c r="D512" s="3">
        <f t="shared" si="42"/>
        <v>586</v>
      </c>
      <c r="G512" s="3" t="s">
        <v>178</v>
      </c>
      <c r="I512" t="s">
        <v>401</v>
      </c>
      <c r="J512" t="s">
        <v>401</v>
      </c>
      <c r="K512">
        <v>468</v>
      </c>
      <c r="L512">
        <v>468</v>
      </c>
      <c r="M512">
        <v>468</v>
      </c>
      <c r="O512" s="5" t="s">
        <v>1576</v>
      </c>
      <c r="Q512" s="3">
        <f>IF(AND(P512&lt;&gt;"",ISNUMBER(P512),NOT(ISNA(P512))),P512,IF(R512&lt;&gt;"",VLOOKUP(R512,'ESO zones'!$D$5:$H$10005,5,FALSE),""))</f>
        <v>1263</v>
      </c>
      <c r="R512" t="str">
        <f>IF(AND(O512&lt;&gt;"",NOT(ISERROR(O512))),O512,IF(AND(P512&lt;&gt;"",ISNUMBER(P512),P512&gt;0,NOT(ISNA(P512))),VLOOKUP(P512,'ESO zones'!$A$5:$D$10003,4,FALSE),IF(AND(K512&lt;&gt;"",K512&gt;0,NOT(ISERROR(K512))),VLOOKUP(K512,'ESO wayshrines'!$K$3:$N$9972,4,FALSE),"")))</f>
        <v>Rockgrove</v>
      </c>
      <c r="T512" s="16" t="str">
        <f>IF(AND(S512&lt;&gt;"",NOT(ISERROR(S512))),S512,VLOOKUP(A512,'ESO Set&amp;DLCs'!$A$3:$D$99998,4,FALSE))</f>
        <v>DLC_BLACKWOOD</v>
      </c>
      <c r="U512" s="3" t="str">
        <f>IF(T512&lt;&gt;"",VLOOKUP(T512,ConstDLCIds!$B$4:$C$1000,2,FALSE),"")</f>
        <v>Blackwood</v>
      </c>
      <c r="V512" s="4" t="s">
        <v>272</v>
      </c>
      <c r="Y512" s="5">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zones'!$A$5:$D$10003,4,FALSE),"")</f>
        <v>Rockgrove</v>
      </c>
      <c r="AB512" s="4" t="s">
        <v>272</v>
      </c>
      <c r="AE512" s="5">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zones'!$A$5:$D$10003,4,FALSE),"")</f>
        <v>Rockgrove</v>
      </c>
      <c r="AH512" s="4" t="s">
        <v>272</v>
      </c>
      <c r="AK512" s="3" t="str">
        <f>IF(AND(G512&lt;&gt;"LIBSETS_SETTYPE_BATTLEGROUND",G512&lt;&gt;"LIBSETS_SETTYPE_SPECIAL"),IF(AL512&lt;&gt;"",VLOOKUP(AL512,'ESO zones'!$D$5:$H$4957,5,FALSE),""),"")</f>
        <v/>
      </c>
      <c r="AP512" s="3" t="str">
        <f>IF(AND(G512&lt;&gt;"LIBSETS_SETTYPE_BATTLEGROUND",G512&lt;&gt;"LIBSETS_SETTYPE_SPECIAL"),IF(AQ512&lt;&gt;"",VLOOKUP(AQ512,'ESO zones'!$D$5:$H$4957,5,FALSE),""),"")</f>
        <v/>
      </c>
      <c r="AU512" s="3" t="str">
        <f>IF(AND(G512&lt;&gt;"LIBSETS_SETTYPE_BATTLEGROUND",G512&lt;&gt;"LIBSETS_SETTYPE_SPECIAL"),IF(AV512&lt;&gt;"",VLOOKUP(AV512,'ESO zones'!$D$5:$H$4957,5,FALSE),""),"")</f>
        <v/>
      </c>
      <c r="AZ512" s="49" t="s">
        <v>403</v>
      </c>
      <c r="BA512" s="49"/>
      <c r="BB512" s="49"/>
      <c r="BC512" s="49"/>
      <c r="BD512" s="49">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1">
        <v>587</v>
      </c>
      <c r="B513" t="s">
        <v>1579</v>
      </c>
      <c r="C513" t="s">
        <v>1580</v>
      </c>
      <c r="D513" s="3">
        <f t="shared" si="42"/>
        <v>587</v>
      </c>
      <c r="G513" s="3" t="s">
        <v>178</v>
      </c>
      <c r="I513" t="s">
        <v>401</v>
      </c>
      <c r="J513" t="s">
        <v>401</v>
      </c>
      <c r="K513">
        <v>468</v>
      </c>
      <c r="L513">
        <v>468</v>
      </c>
      <c r="M513">
        <v>468</v>
      </c>
      <c r="O513" s="5" t="s">
        <v>1576</v>
      </c>
      <c r="Q513" s="3">
        <f>IF(AND(P513&lt;&gt;"",ISNUMBER(P513),NOT(ISNA(P513))),P513,IF(R513&lt;&gt;"",VLOOKUP(R513,'ESO zones'!$D$5:$H$10005,5,FALSE),""))</f>
        <v>1263</v>
      </c>
      <c r="R513" t="str">
        <f>IF(AND(O513&lt;&gt;"",NOT(ISERROR(O513))),O513,IF(AND(P513&lt;&gt;"",ISNUMBER(P513),P513&gt;0,NOT(ISNA(P513))),VLOOKUP(P513,'ESO zones'!$A$5:$D$10003,4,FALSE),IF(AND(K513&lt;&gt;"",K513&gt;0,NOT(ISERROR(K513))),VLOOKUP(K513,'ESO wayshrines'!$K$3:$N$9972,4,FALSE),"")))</f>
        <v>Rockgrove</v>
      </c>
      <c r="T513" s="16" t="str">
        <f>IF(AND(S513&lt;&gt;"",NOT(ISERROR(S513))),S513,VLOOKUP(A513,'ESO Set&amp;DLCs'!$A$3:$D$99998,4,FALSE))</f>
        <v>DLC_BLACKWOOD</v>
      </c>
      <c r="U513" s="3" t="str">
        <f>IF(T513&lt;&gt;"",VLOOKUP(T513,ConstDLCIds!$B$4:$C$1000,2,FALSE),"")</f>
        <v>Blackwood</v>
      </c>
      <c r="V513" s="4" t="s">
        <v>272</v>
      </c>
      <c r="Y513" s="5">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zones'!$A$5:$D$10003,4,FALSE),"")</f>
        <v>Rockgrove</v>
      </c>
      <c r="AB513" s="4" t="s">
        <v>272</v>
      </c>
      <c r="AE513" s="5">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zones'!$A$5:$D$10003,4,FALSE),"")</f>
        <v>Rockgrove</v>
      </c>
      <c r="AH513" s="4" t="s">
        <v>272</v>
      </c>
      <c r="AK513" s="3" t="str">
        <f>IF(AND(G513&lt;&gt;"LIBSETS_SETTYPE_BATTLEGROUND",G513&lt;&gt;"LIBSETS_SETTYPE_SPECIAL"),IF(AL513&lt;&gt;"",VLOOKUP(AL513,'ESO zones'!$D$5:$H$4957,5,FALSE),""),"")</f>
        <v/>
      </c>
      <c r="AP513" s="3" t="str">
        <f>IF(AND(G513&lt;&gt;"LIBSETS_SETTYPE_BATTLEGROUND",G513&lt;&gt;"LIBSETS_SETTYPE_SPECIAL"),IF(AQ513&lt;&gt;"",VLOOKUP(AQ513,'ESO zones'!$D$5:$H$4957,5,FALSE),""),"")</f>
        <v/>
      </c>
      <c r="AU513" s="3" t="str">
        <f>IF(AND(G513&lt;&gt;"LIBSETS_SETTYPE_BATTLEGROUND",G513&lt;&gt;"LIBSETS_SETTYPE_SPECIAL"),IF(AV513&lt;&gt;"",VLOOKUP(AV513,'ESO zones'!$D$5:$H$4957,5,FALSE),""),"")</f>
        <v/>
      </c>
      <c r="AZ513" s="49" t="s">
        <v>403</v>
      </c>
      <c r="BA513" s="49"/>
      <c r="BB513" s="49"/>
      <c r="BC513" s="49"/>
      <c r="BD513" s="49">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1">
        <v>588</v>
      </c>
      <c r="B514" t="s">
        <v>1581</v>
      </c>
      <c r="C514" t="s">
        <v>1582</v>
      </c>
      <c r="D514" s="3">
        <f t="shared" si="42"/>
        <v>588</v>
      </c>
      <c r="G514" s="3" t="s">
        <v>178</v>
      </c>
      <c r="I514" t="s">
        <v>401</v>
      </c>
      <c r="J514" t="s">
        <v>401</v>
      </c>
      <c r="K514">
        <v>468</v>
      </c>
      <c r="L514">
        <v>468</v>
      </c>
      <c r="M514">
        <v>468</v>
      </c>
      <c r="O514" s="5" t="s">
        <v>1576</v>
      </c>
      <c r="Q514" s="3">
        <f>IF(AND(P514&lt;&gt;"",ISNUMBER(P514),NOT(ISNA(P514))),P514,IF(R514&lt;&gt;"",VLOOKUP(R514,'ESO zones'!$D$5:$H$10005,5,FALSE),""))</f>
        <v>1263</v>
      </c>
      <c r="R514" t="str">
        <f>IF(AND(O514&lt;&gt;"",NOT(ISERROR(O514))),O514,IF(AND(P514&lt;&gt;"",ISNUMBER(P514),P514&gt;0,NOT(ISNA(P514))),VLOOKUP(P514,'ESO zones'!$A$5:$D$10003,4,FALSE),IF(AND(K514&lt;&gt;"",K514&gt;0,NOT(ISERROR(K514))),VLOOKUP(K514,'ESO wayshrines'!$K$3:$N$9972,4,FALSE),"")))</f>
        <v>Rockgrove</v>
      </c>
      <c r="T514" s="16" t="str">
        <f>IF(AND(S514&lt;&gt;"",NOT(ISERROR(S514))),S514,VLOOKUP(A514,'ESO Set&amp;DLCs'!$A$3:$D$99998,4,FALSE))</f>
        <v>DLC_BLACKWOOD</v>
      </c>
      <c r="U514" s="3" t="str">
        <f>IF(T514&lt;&gt;"",VLOOKUP(T514,ConstDLCIds!$B$4:$C$1000,2,FALSE),"")</f>
        <v>Blackwood</v>
      </c>
      <c r="V514" s="4" t="s">
        <v>272</v>
      </c>
      <c r="Y514" s="5">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zones'!$A$5:$D$10003,4,FALSE),"")</f>
        <v>Rockgrove</v>
      </c>
      <c r="AB514" s="4" t="s">
        <v>272</v>
      </c>
      <c r="AE514" s="5">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zones'!$A$5:$D$10003,4,FALSE),"")</f>
        <v>Rockgrove</v>
      </c>
      <c r="AH514" s="4" t="s">
        <v>272</v>
      </c>
      <c r="AK514" s="3" t="str">
        <f>IF(AND(G514&lt;&gt;"LIBSETS_SETTYPE_BATTLEGROUND",G514&lt;&gt;"LIBSETS_SETTYPE_SPECIAL"),IF(AL514&lt;&gt;"",VLOOKUP(AL514,'ESO zones'!$D$5:$H$4957,5,FALSE),""),"")</f>
        <v/>
      </c>
      <c r="AP514" s="3" t="str">
        <f>IF(AND(G514&lt;&gt;"LIBSETS_SETTYPE_BATTLEGROUND",G514&lt;&gt;"LIBSETS_SETTYPE_SPECIAL"),IF(AQ514&lt;&gt;"",VLOOKUP(AQ514,'ESO zones'!$D$5:$H$4957,5,FALSE),""),"")</f>
        <v/>
      </c>
      <c r="AU514" s="3" t="str">
        <f>IF(AND(G514&lt;&gt;"LIBSETS_SETTYPE_BATTLEGROUND",G514&lt;&gt;"LIBSETS_SETTYPE_SPECIAL"),IF(AV514&lt;&gt;"",VLOOKUP(AV514,'ESO zones'!$D$5:$H$4957,5,FALSE),""),"")</f>
        <v/>
      </c>
      <c r="AZ514" s="49" t="s">
        <v>403</v>
      </c>
      <c r="BA514" s="49"/>
      <c r="BB514" s="49"/>
      <c r="BC514" s="49"/>
      <c r="BD514" s="49">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1">
        <v>589</v>
      </c>
      <c r="B515" t="s">
        <v>1583</v>
      </c>
      <c r="C515" t="s">
        <v>1584</v>
      </c>
      <c r="D515" s="3">
        <f t="shared" ref="D515:D578" si="48">A515</f>
        <v>589</v>
      </c>
      <c r="G515" s="3" t="s">
        <v>178</v>
      </c>
      <c r="I515" t="s">
        <v>1120</v>
      </c>
      <c r="J515" t="s">
        <v>401</v>
      </c>
      <c r="K515">
        <v>468</v>
      </c>
      <c r="L515">
        <v>468</v>
      </c>
      <c r="M515">
        <v>468</v>
      </c>
      <c r="O515" s="5" t="s">
        <v>1576</v>
      </c>
      <c r="Q515" s="3">
        <f>IF(AND(P515&lt;&gt;"",ISNUMBER(P515),NOT(ISNA(P515))),P515,IF(R515&lt;&gt;"",VLOOKUP(R515,'ESO zones'!$D$5:$H$10005,5,FALSE),""))</f>
        <v>1263</v>
      </c>
      <c r="R515" t="str">
        <f>IF(AND(O515&lt;&gt;"",NOT(ISERROR(O515))),O515,IF(AND(P515&lt;&gt;"",ISNUMBER(P515),P515&gt;0,NOT(ISNA(P515))),VLOOKUP(P515,'ESO zones'!$A$5:$D$10003,4,FALSE),IF(AND(K515&lt;&gt;"",K515&gt;0,NOT(ISERROR(K515))),VLOOKUP(K515,'ESO wayshrines'!$K$3:$N$9972,4,FALSE),"")))</f>
        <v>Rockgrove</v>
      </c>
      <c r="T515" s="16" t="str">
        <f>IF(AND(S515&lt;&gt;"",NOT(ISERROR(S515))),S515,VLOOKUP(A515,'ESO Set&amp;DLCs'!$A$3:$D$99998,4,FALSE))</f>
        <v>DLC_BLACKWOOD</v>
      </c>
      <c r="U515" s="3" t="str">
        <f>IF(T515&lt;&gt;"",VLOOKUP(T515,ConstDLCIds!$B$4:$C$1000,2,FALSE),"")</f>
        <v>Blackwood</v>
      </c>
      <c r="V515" s="4" t="s">
        <v>272</v>
      </c>
      <c r="Y515" s="5">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zones'!$A$5:$D$10003,4,FALSE),"")</f>
        <v>Rockgrove</v>
      </c>
      <c r="AB515" s="4" t="s">
        <v>272</v>
      </c>
      <c r="AE515" s="5">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zones'!$A$5:$D$10003,4,FALSE),"")</f>
        <v>Rockgrove</v>
      </c>
      <c r="AH515" s="4" t="s">
        <v>272</v>
      </c>
      <c r="AK515" s="3" t="str">
        <f>IF(AND(G515&lt;&gt;"LIBSETS_SETTYPE_BATTLEGROUND",G515&lt;&gt;"LIBSETS_SETTYPE_SPECIAL"),IF(AL515&lt;&gt;"",VLOOKUP(AL515,'ESO zones'!$D$5:$H$4957,5,FALSE),""),"")</f>
        <v/>
      </c>
      <c r="AP515" s="3" t="str">
        <f>IF(AND(G515&lt;&gt;"LIBSETS_SETTYPE_BATTLEGROUND",G515&lt;&gt;"LIBSETS_SETTYPE_SPECIAL"),IF(AQ515&lt;&gt;"",VLOOKUP(AQ515,'ESO zones'!$D$5:$H$4957,5,FALSE),""),"")</f>
        <v/>
      </c>
      <c r="AU515" s="3" t="str">
        <f>IF(AND(G515&lt;&gt;"LIBSETS_SETTYPE_BATTLEGROUND",G515&lt;&gt;"LIBSETS_SETTYPE_SPECIAL"),IF(AV515&lt;&gt;"",VLOOKUP(AV515,'ESO zones'!$D$5:$H$4957,5,FALSE),""),"")</f>
        <v/>
      </c>
      <c r="AZ515" s="49" t="s">
        <v>403</v>
      </c>
      <c r="BA515" s="49"/>
      <c r="BB515" s="49"/>
      <c r="BC515" s="49"/>
      <c r="BD515" s="49" t="s">
        <v>1122</v>
      </c>
      <c r="BE515" s="18"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8"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8" t="str">
        <f t="shared" ref="BG515:BG578" si="51">IF(A515&lt;&gt;"",IF(F515&lt;&gt;"Not in the game (anymore)",IF(A515&lt;&gt;"",", setType="&amp;G515,"")&amp;IF(G515="LIBSETS_SETTYPE_CLASS",", classId="&amp;BC515,"")&amp;IF(J515="true",", multiTrialSet=true",""),"")&amp;IF(AND(H515&lt;&gt;"",ISNUMBER(H515)),", undauntedChestId="&amp;H515,""),"")</f>
        <v>, setType=LIBSETS_SETTYPE_TRIAL</v>
      </c>
      <c r="BH515" s="18" t="str">
        <f t="shared" ref="BH515:BH578" si="52">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8" t="str">
        <f t="shared" ref="BI515:BI578" si="53">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1">
        <v>590</v>
      </c>
      <c r="B516" t="s">
        <v>1585</v>
      </c>
      <c r="C516" t="s">
        <v>1585</v>
      </c>
      <c r="D516" s="3">
        <f t="shared" si="48"/>
        <v>590</v>
      </c>
      <c r="G516" s="3" t="s">
        <v>178</v>
      </c>
      <c r="I516" t="s">
        <v>1120</v>
      </c>
      <c r="J516" t="s">
        <v>401</v>
      </c>
      <c r="K516">
        <v>468</v>
      </c>
      <c r="L516">
        <v>468</v>
      </c>
      <c r="M516">
        <v>468</v>
      </c>
      <c r="O516" s="5" t="s">
        <v>1576</v>
      </c>
      <c r="Q516" s="3">
        <f>IF(AND(P516&lt;&gt;"",ISNUMBER(P516),NOT(ISNA(P516))),P516,IF(R516&lt;&gt;"",VLOOKUP(R516,'ESO zones'!$D$5:$H$10005,5,FALSE),""))</f>
        <v>1263</v>
      </c>
      <c r="R516" t="str">
        <f>IF(AND(O516&lt;&gt;"",NOT(ISERROR(O516))),O516,IF(AND(P516&lt;&gt;"",ISNUMBER(P516),P516&gt;0,NOT(ISNA(P516))),VLOOKUP(P516,'ESO zones'!$A$5:$D$10003,4,FALSE),IF(AND(K516&lt;&gt;"",K516&gt;0,NOT(ISERROR(K516))),VLOOKUP(K516,'ESO wayshrines'!$K$3:$N$9972,4,FALSE),"")))</f>
        <v>Rockgrove</v>
      </c>
      <c r="T516" s="16" t="str">
        <f>IF(AND(S516&lt;&gt;"",NOT(ISERROR(S516))),S516,VLOOKUP(A516,'ESO Set&amp;DLCs'!$A$3:$D$99998,4,FALSE))</f>
        <v>DLC_BLACKWOOD</v>
      </c>
      <c r="U516" s="3" t="str">
        <f>IF(T516&lt;&gt;"",VLOOKUP(T516,ConstDLCIds!$B$4:$C$1000,2,FALSE),"")</f>
        <v>Blackwood</v>
      </c>
      <c r="V516" s="4" t="s">
        <v>272</v>
      </c>
      <c r="Y516" s="5">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zones'!$A$5:$D$10003,4,FALSE),"")</f>
        <v>Rockgrove</v>
      </c>
      <c r="AB516" s="4" t="s">
        <v>272</v>
      </c>
      <c r="AE516" s="5">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zones'!$A$5:$D$10003,4,FALSE),"")</f>
        <v>Rockgrove</v>
      </c>
      <c r="AH516" s="4" t="s">
        <v>272</v>
      </c>
      <c r="AK516" s="3" t="str">
        <f>IF(AND(G516&lt;&gt;"LIBSETS_SETTYPE_BATTLEGROUND",G516&lt;&gt;"LIBSETS_SETTYPE_SPECIAL"),IF(AL516&lt;&gt;"",VLOOKUP(AL516,'ESO zones'!$D$5:$H$4957,5,FALSE),""),"")</f>
        <v/>
      </c>
      <c r="AP516" s="3" t="str">
        <f>IF(AND(G516&lt;&gt;"LIBSETS_SETTYPE_BATTLEGROUND",G516&lt;&gt;"LIBSETS_SETTYPE_SPECIAL"),IF(AQ516&lt;&gt;"",VLOOKUP(AQ516,'ESO zones'!$D$5:$H$4957,5,FALSE),""),"")</f>
        <v/>
      </c>
      <c r="AU516" s="3" t="str">
        <f>IF(AND(G516&lt;&gt;"LIBSETS_SETTYPE_BATTLEGROUND",G516&lt;&gt;"LIBSETS_SETTYPE_SPECIAL"),IF(AV516&lt;&gt;"",VLOOKUP(AV516,'ESO zones'!$D$5:$H$4957,5,FALSE),""),"")</f>
        <v/>
      </c>
      <c r="AZ516" s="49" t="s">
        <v>403</v>
      </c>
      <c r="BA516" s="49"/>
      <c r="BB516" s="49"/>
      <c r="BC516" s="49"/>
      <c r="BD516" s="49" t="s">
        <v>1122</v>
      </c>
      <c r="BE516" s="18" t="str">
        <f t="shared" si="49"/>
        <v>[590] = {wayshrines={468,468,468,}, dlcId=DLC_BLACKWOOD</v>
      </c>
      <c r="BF516" s="18" t="str">
        <f t="shared" si="50"/>
        <v>, zoneIds={1263,1263,1263}, veteran=true</v>
      </c>
      <c r="BG516" s="18" t="str">
        <f t="shared" si="51"/>
        <v>, setType=LIBSETS_SETTYPE_TRIAL</v>
      </c>
      <c r="BH516" s="18" t="str">
        <f t="shared" si="52"/>
        <v>, dropMechanic={LIBSETS_DROP_MECHANIC_TRIAL_BOSS,LIBSETS_DROP_MECHANIC_TRIAL_BOSS,LIBSETS_DROP_MECHANIC_TRIAL_BOSS}, isPerfectedSet=1</v>
      </c>
      <c r="BI516" s="18" t="str">
        <f t="shared" si="53"/>
        <v>}, --Perfected Sul-Xan\'s Torment / Perfected Sul-Xan\'s Torment   [Rockgrove, Rockgrove, Rockgrove]</v>
      </c>
    </row>
    <row r="517" spans="1:61" x14ac:dyDescent="0.25">
      <c r="A517" s="1">
        <v>591</v>
      </c>
      <c r="B517" t="s">
        <v>1586</v>
      </c>
      <c r="C517" t="s">
        <v>1587</v>
      </c>
      <c r="D517" s="3">
        <f t="shared" si="48"/>
        <v>591</v>
      </c>
      <c r="G517" s="3" t="s">
        <v>178</v>
      </c>
      <c r="I517" t="s">
        <v>1120</v>
      </c>
      <c r="J517" t="s">
        <v>401</v>
      </c>
      <c r="K517">
        <v>468</v>
      </c>
      <c r="L517">
        <v>468</v>
      </c>
      <c r="M517">
        <v>468</v>
      </c>
      <c r="O517" s="5" t="s">
        <v>1576</v>
      </c>
      <c r="Q517" s="3">
        <f>IF(AND(P517&lt;&gt;"",ISNUMBER(P517),NOT(ISNA(P517))),P517,IF(R517&lt;&gt;"",VLOOKUP(R517,'ESO zones'!$D$5:$H$10005,5,FALSE),""))</f>
        <v>1263</v>
      </c>
      <c r="R517" t="str">
        <f>IF(AND(O517&lt;&gt;"",NOT(ISERROR(O517))),O517,IF(AND(P517&lt;&gt;"",ISNUMBER(P517),P517&gt;0,NOT(ISNA(P517))),VLOOKUP(P517,'ESO zones'!$A$5:$D$10003,4,FALSE),IF(AND(K517&lt;&gt;"",K517&gt;0,NOT(ISERROR(K517))),VLOOKUP(K517,'ESO wayshrines'!$K$3:$N$9972,4,FALSE),"")))</f>
        <v>Rockgrove</v>
      </c>
      <c r="T517" s="16" t="str">
        <f>IF(AND(S517&lt;&gt;"",NOT(ISERROR(S517))),S517,VLOOKUP(A517,'ESO Set&amp;DLCs'!$A$3:$D$99998,4,FALSE))</f>
        <v>DLC_BLACKWOOD</v>
      </c>
      <c r="U517" s="3" t="str">
        <f>IF(T517&lt;&gt;"",VLOOKUP(T517,ConstDLCIds!$B$4:$C$1000,2,FALSE),"")</f>
        <v>Blackwood</v>
      </c>
      <c r="V517" s="4" t="s">
        <v>272</v>
      </c>
      <c r="Y517" s="5">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zones'!$A$5:$D$10003,4,FALSE),"")</f>
        <v>Rockgrove</v>
      </c>
      <c r="AB517" s="4" t="s">
        <v>272</v>
      </c>
      <c r="AE517" s="5">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zones'!$A$5:$D$10003,4,FALSE),"")</f>
        <v>Rockgrove</v>
      </c>
      <c r="AH517" s="4" t="s">
        <v>272</v>
      </c>
      <c r="AK517" s="3" t="str">
        <f>IF(AND(G517&lt;&gt;"LIBSETS_SETTYPE_BATTLEGROUND",G517&lt;&gt;"LIBSETS_SETTYPE_SPECIAL"),IF(AL517&lt;&gt;"",VLOOKUP(AL517,'ESO zones'!$D$5:$H$4957,5,FALSE),""),"")</f>
        <v/>
      </c>
      <c r="AP517" s="3" t="str">
        <f>IF(AND(G517&lt;&gt;"LIBSETS_SETTYPE_BATTLEGROUND",G517&lt;&gt;"LIBSETS_SETTYPE_SPECIAL"),IF(AQ517&lt;&gt;"",VLOOKUP(AQ517,'ESO zones'!$D$5:$H$4957,5,FALSE),""),"")</f>
        <v/>
      </c>
      <c r="AU517" s="3" t="str">
        <f>IF(AND(G517&lt;&gt;"LIBSETS_SETTYPE_BATTLEGROUND",G517&lt;&gt;"LIBSETS_SETTYPE_SPECIAL"),IF(AV517&lt;&gt;"",VLOOKUP(AV517,'ESO zones'!$D$5:$H$4957,5,FALSE),""),"")</f>
        <v/>
      </c>
      <c r="AZ517" s="49" t="s">
        <v>403</v>
      </c>
      <c r="BA517" s="49"/>
      <c r="BB517" s="49"/>
      <c r="BC517" s="49"/>
      <c r="BD517" s="49" t="s">
        <v>1122</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1">
        <v>592</v>
      </c>
      <c r="B518" t="s">
        <v>1588</v>
      </c>
      <c r="C518" t="s">
        <v>1589</v>
      </c>
      <c r="D518" s="3">
        <f t="shared" si="48"/>
        <v>592</v>
      </c>
      <c r="G518" s="3" t="s">
        <v>178</v>
      </c>
      <c r="I518" t="s">
        <v>1120</v>
      </c>
      <c r="J518" t="s">
        <v>401</v>
      </c>
      <c r="K518">
        <v>468</v>
      </c>
      <c r="L518">
        <v>468</v>
      </c>
      <c r="M518">
        <v>468</v>
      </c>
      <c r="O518" s="5" t="s">
        <v>1576</v>
      </c>
      <c r="Q518" s="3">
        <f>IF(AND(P518&lt;&gt;"",ISNUMBER(P518),NOT(ISNA(P518))),P518,IF(R518&lt;&gt;"",VLOOKUP(R518,'ESO zones'!$D$5:$H$10005,5,FALSE),""))</f>
        <v>1263</v>
      </c>
      <c r="R518" t="str">
        <f>IF(AND(O518&lt;&gt;"",NOT(ISERROR(O518))),O518,IF(AND(P518&lt;&gt;"",ISNUMBER(P518),P518&gt;0,NOT(ISNA(P518))),VLOOKUP(P518,'ESO zones'!$A$5:$D$10003,4,FALSE),IF(AND(K518&lt;&gt;"",K518&gt;0,NOT(ISERROR(K518))),VLOOKUP(K518,'ESO wayshrines'!$K$3:$N$9972,4,FALSE),"")))</f>
        <v>Rockgrove</v>
      </c>
      <c r="T518" s="16" t="str">
        <f>IF(AND(S518&lt;&gt;"",NOT(ISERROR(S518))),S518,VLOOKUP(A518,'ESO Set&amp;DLCs'!$A$3:$D$99998,4,FALSE))</f>
        <v>DLC_BLACKWOOD</v>
      </c>
      <c r="U518" s="3" t="str">
        <f>IF(T518&lt;&gt;"",VLOOKUP(T518,ConstDLCIds!$B$4:$C$1000,2,FALSE),"")</f>
        <v>Blackwood</v>
      </c>
      <c r="V518" s="4" t="s">
        <v>272</v>
      </c>
      <c r="Y518" s="5">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zones'!$A$5:$D$10003,4,FALSE),"")</f>
        <v>Rockgrove</v>
      </c>
      <c r="AB518" s="4" t="s">
        <v>272</v>
      </c>
      <c r="AE518" s="5">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zones'!$A$5:$D$10003,4,FALSE),"")</f>
        <v>Rockgrove</v>
      </c>
      <c r="AH518" s="4" t="s">
        <v>272</v>
      </c>
      <c r="AK518" s="3" t="str">
        <f>IF(AND(G518&lt;&gt;"LIBSETS_SETTYPE_BATTLEGROUND",G518&lt;&gt;"LIBSETS_SETTYPE_SPECIAL"),IF(AL518&lt;&gt;"",VLOOKUP(AL518,'ESO zones'!$D$5:$H$4957,5,FALSE),""),"")</f>
        <v/>
      </c>
      <c r="AP518" s="3" t="str">
        <f>IF(AND(G518&lt;&gt;"LIBSETS_SETTYPE_BATTLEGROUND",G518&lt;&gt;"LIBSETS_SETTYPE_SPECIAL"),IF(AQ518&lt;&gt;"",VLOOKUP(AQ518,'ESO zones'!$D$5:$H$4957,5,FALSE),""),"")</f>
        <v/>
      </c>
      <c r="AU518" s="3" t="str">
        <f>IF(AND(G518&lt;&gt;"LIBSETS_SETTYPE_BATTLEGROUND",G518&lt;&gt;"LIBSETS_SETTYPE_SPECIAL"),IF(AV518&lt;&gt;"",VLOOKUP(AV518,'ESO zones'!$D$5:$H$4957,5,FALSE),""),"")</f>
        <v/>
      </c>
      <c r="AZ518" s="49" t="s">
        <v>403</v>
      </c>
      <c r="BA518" s="49"/>
      <c r="BB518" s="49"/>
      <c r="BC518" s="49"/>
      <c r="BD518" s="49" t="s">
        <v>1122</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1">
        <v>593</v>
      </c>
      <c r="B519" t="s">
        <v>1590</v>
      </c>
      <c r="C519" t="s">
        <v>1590</v>
      </c>
      <c r="D519" s="3">
        <f t="shared" si="48"/>
        <v>593</v>
      </c>
      <c r="G519" s="3" t="s">
        <v>180</v>
      </c>
      <c r="I519" t="s">
        <v>401</v>
      </c>
      <c r="J519" t="s">
        <v>401</v>
      </c>
      <c r="K519">
        <v>461</v>
      </c>
      <c r="L519">
        <v>255</v>
      </c>
      <c r="M519">
        <v>30</v>
      </c>
      <c r="Q519" s="3">
        <f>IF(AND(P519&lt;&gt;"",ISNUMBER(P519),NOT(ISNA(P519))),P519,IF(R519&lt;&gt;"",VLOOKUP(R519,'ESO zones'!$D$5:$H$10005,5,FALSE),""))</f>
        <v>1261</v>
      </c>
      <c r="R519" t="str">
        <f>IF(AND(O519&lt;&gt;"",NOT(ISERROR(O519))),O519,IF(AND(P519&lt;&gt;"",ISNUMBER(P519),P519&gt;0,NOT(ISNA(P519))),VLOOKUP(P519,'ESO zones'!$A$5:$D$10003,4,FALSE),IF(AND(K519&lt;&gt;"",K519&gt;0,NOT(ISERROR(K519))),VLOOKUP(K519,'ESO wayshrines'!$K$3:$N$9972,4,FALSE),"")))</f>
        <v>Blackwood</v>
      </c>
      <c r="T519" s="16" t="str">
        <f>IF(AND(S519&lt;&gt;"",NOT(ISERROR(S519))),S519,VLOOKUP(A519,'ESO Set&amp;DLCs'!$A$3:$D$99998,4,FALSE))</f>
        <v>DLC_BLACKWOOD</v>
      </c>
      <c r="U519" s="3" t="str">
        <f>IF(T519&lt;&gt;"",VLOOKUP(T519,ConstDLCIds!$B$4:$C$1000,2,FALSE),"")</f>
        <v>Blackwood</v>
      </c>
      <c r="V519" s="4" t="s">
        <v>221</v>
      </c>
      <c r="Y519" s="5"/>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zones'!$A$5:$D$10003,4,FALSE),"")</f>
        <v>Hew's Bane</v>
      </c>
      <c r="AB519" s="4" t="s">
        <v>251</v>
      </c>
      <c r="AE519" s="3">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zones'!$A$5:$D$10003,4,FALSE),"")</f>
        <v>Forgotten Crypts</v>
      </c>
      <c r="AH519" s="4" t="s">
        <v>221</v>
      </c>
      <c r="AK519" s="3">
        <f>IF(AND(G519&lt;&gt;"LIBSETS_SETTYPE_BATTLEGROUND",G519&lt;&gt;"LIBSETS_SETTYPE_SPECIAL"),IF(AL519&lt;&gt;"",VLOOKUP(AL519,'ESO zones'!$D$5:$H$4957,5,FALSE),""),"")</f>
        <v>117</v>
      </c>
      <c r="AL519" t="s">
        <v>506</v>
      </c>
      <c r="AM519" s="4" t="s">
        <v>215</v>
      </c>
      <c r="AP519" s="3">
        <f>IF(AND(G519&lt;&gt;"LIBSETS_SETTYPE_BATTLEGROUND",G519&lt;&gt;"LIBSETS_SETTYPE_SPECIAL"),IF(AQ519&lt;&gt;"",VLOOKUP(AQ519,'ESO zones'!$D$5:$H$4957,5,FALSE),""),"")</f>
        <v>848</v>
      </c>
      <c r="AQ519" t="s">
        <v>894</v>
      </c>
      <c r="AR519" s="4" t="s">
        <v>278</v>
      </c>
      <c r="AS519" s="3" t="s">
        <v>893</v>
      </c>
      <c r="AT519" s="3" t="s">
        <v>893</v>
      </c>
      <c r="AU519" s="3" t="str">
        <f>IF(AND(G519&lt;&gt;"LIBSETS_SETTYPE_BATTLEGROUND",G519&lt;&gt;"LIBSETS_SETTYPE_SPECIAL"),IF(AV519&lt;&gt;"",VLOOKUP(AV519,'ESO zones'!$D$5:$H$4957,5,FALSE),""),"")</f>
        <v/>
      </c>
      <c r="AZ519" s="49" t="s">
        <v>403</v>
      </c>
      <c r="BA519" t="s">
        <v>1591</v>
      </c>
      <c r="BB519" t="s">
        <v>1591</v>
      </c>
      <c r="BC519"/>
      <c r="BD519"/>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8" t="str">
        <f t="shared" si="53"/>
        <v>, addTooltip={['en']='https://en.uesp.net/wiki/Online:Gaze_of_Sithis',},}, --Gaze of Sithis / Gaze of Sithis   [Blackwood, Hew's Bane, Forgotten Crypts, Shadowfen, Cradle of Shadows]</v>
      </c>
    </row>
    <row r="520" spans="1:61" x14ac:dyDescent="0.25">
      <c r="A520" s="1">
        <v>594</v>
      </c>
      <c r="B520" t="s">
        <v>1592</v>
      </c>
      <c r="C520" t="s">
        <v>1592</v>
      </c>
      <c r="D520" s="3">
        <f t="shared" si="48"/>
        <v>594</v>
      </c>
      <c r="G520" s="3" t="s">
        <v>180</v>
      </c>
      <c r="I520" t="s">
        <v>401</v>
      </c>
      <c r="J520" t="s">
        <v>401</v>
      </c>
      <c r="K520">
        <v>464</v>
      </c>
      <c r="L520">
        <v>173</v>
      </c>
      <c r="M520">
        <v>374</v>
      </c>
      <c r="Q520" s="3">
        <f>IF(AND(P520&lt;&gt;"",ISNUMBER(P520),NOT(ISNA(P520))),P520,IF(R520&lt;&gt;"",VLOOKUP(R520,'ESO zones'!$D$5:$H$10005,5,FALSE),""))</f>
        <v>1261</v>
      </c>
      <c r="R520" t="str">
        <f>IF(AND(O520&lt;&gt;"",NOT(ISERROR(O520))),O520,IF(AND(P520&lt;&gt;"",ISNUMBER(P520),P520&gt;0,NOT(ISNA(P520))),VLOOKUP(P520,'ESO zones'!$A$5:$D$10003,4,FALSE),IF(AND(K520&lt;&gt;"",K520&gt;0,NOT(ISERROR(K520))),VLOOKUP(K520,'ESO wayshrines'!$K$3:$N$9972,4,FALSE),"")))</f>
        <v>Blackwood</v>
      </c>
      <c r="T520" s="16" t="str">
        <f>IF(AND(S520&lt;&gt;"",NOT(ISERROR(S520))),S520,VLOOKUP(A520,'ESO Set&amp;DLCs'!$A$3:$D$99998,4,FALSE))</f>
        <v>DLC_BLACKWOOD</v>
      </c>
      <c r="U520" s="3" t="str">
        <f>IF(T520&lt;&gt;"",VLOOKUP(T520,ConstDLCIds!$B$4:$C$1000,2,FALSE),"")</f>
        <v>Blackwood</v>
      </c>
      <c r="V520" s="4" t="s">
        <v>218</v>
      </c>
      <c r="Y520" s="5"/>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zones'!$A$5:$D$10003,4,FALSE),"")</f>
        <v>Bal Foyen</v>
      </c>
      <c r="AB520" s="4"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zones'!$A$5:$D$10003,4,FALSE),"")</f>
        <v>Murkmire</v>
      </c>
      <c r="AH520" s="4" t="s">
        <v>266</v>
      </c>
      <c r="AI520" s="3" t="s">
        <v>1593</v>
      </c>
      <c r="AJ520" s="3" t="s">
        <v>1594</v>
      </c>
      <c r="AK520" s="3">
        <f>IF(AND(G520&lt;&gt;"LIBSETS_SETTYPE_BATTLEGROUND",G520&lt;&gt;"LIBSETS_SETTYPE_SPECIAL"),IF(AL520&lt;&gt;"",VLOOKUP(AL520,'ESO zones'!$D$5:$H$4957,5,FALSE),""),"")</f>
        <v>843</v>
      </c>
      <c r="AL520" t="s">
        <v>890</v>
      </c>
      <c r="AM520" s="4" t="s">
        <v>278</v>
      </c>
      <c r="AN520" s="3" t="s">
        <v>891</v>
      </c>
      <c r="AO520" s="3" t="s">
        <v>1595</v>
      </c>
      <c r="AP520" s="3">
        <f>IF(AND(G520&lt;&gt;"LIBSETS_SETTYPE_BATTLEGROUND",G520&lt;&gt;"LIBSETS_SETTYPE_SPECIAL"),IF(AQ520&lt;&gt;"",VLOOKUP(AQ520,'ESO zones'!$D$5:$H$4957,5,FALSE),""),"")</f>
        <v>117</v>
      </c>
      <c r="AQ520" t="s">
        <v>506</v>
      </c>
      <c r="AR520" s="4" t="s">
        <v>286</v>
      </c>
      <c r="AS520" s="3" t="s">
        <v>1596</v>
      </c>
      <c r="AT520" s="3" t="s">
        <v>1597</v>
      </c>
      <c r="AU520" s="3" t="str">
        <f>IF(AND(G520&lt;&gt;"LIBSETS_SETTYPE_BATTLEGROUND",G520&lt;&gt;"LIBSETS_SETTYPE_SPECIAL"),IF(AV520&lt;&gt;"",VLOOKUP(AV520,'ESO zones'!$D$5:$H$4957,5,FALSE),""),"")</f>
        <v/>
      </c>
      <c r="AZ520" s="49" t="s">
        <v>403</v>
      </c>
      <c r="BA520" t="s">
        <v>1598</v>
      </c>
      <c r="BB520" t="s">
        <v>1598</v>
      </c>
      <c r="BC520"/>
      <c r="BD520"/>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1">
        <v>596</v>
      </c>
      <c r="B521" t="s">
        <v>1599</v>
      </c>
      <c r="C521" t="s">
        <v>1599</v>
      </c>
      <c r="D521" s="3">
        <f t="shared" si="48"/>
        <v>596</v>
      </c>
      <c r="G521" s="3" t="s">
        <v>180</v>
      </c>
      <c r="I521" t="s">
        <v>401</v>
      </c>
      <c r="J521" t="s">
        <v>401</v>
      </c>
      <c r="K521">
        <v>461</v>
      </c>
      <c r="L521">
        <v>229</v>
      </c>
      <c r="M521">
        <v>270</v>
      </c>
      <c r="Q521" s="3">
        <f>IF(AND(P521&lt;&gt;"",ISNUMBER(P521),NOT(ISNA(P521))),P521,IF(R521&lt;&gt;"",VLOOKUP(R521,'ESO zones'!$D$5:$H$10005,5,FALSE),""))</f>
        <v>1261</v>
      </c>
      <c r="R521" t="str">
        <f>IF(AND(O521&lt;&gt;"",NOT(ISERROR(O521))),O521,IF(AND(P521&lt;&gt;"",ISNUMBER(P521),P521&gt;0,NOT(ISNA(P521))),VLOOKUP(P521,'ESO zones'!$A$5:$D$10003,4,FALSE),IF(AND(K521&lt;&gt;"",K521&gt;0,NOT(ISERROR(K521))),VLOOKUP(K521,'ESO wayshrines'!$K$3:$N$9972,4,FALSE),"")))</f>
        <v>Blackwood</v>
      </c>
      <c r="T521" s="16" t="str">
        <f>IF(AND(S521&lt;&gt;"",NOT(ISERROR(S521))),S521,VLOOKUP(A521,'ESO Set&amp;DLCs'!$A$3:$D$99998,4,FALSE))</f>
        <v>DLC_BLACKWOOD</v>
      </c>
      <c r="U521" s="3" t="str">
        <f>IF(T521&lt;&gt;"",VLOOKUP(T521,ConstDLCIds!$B$4:$C$1000,2,FALSE),"")</f>
        <v>Blackwood</v>
      </c>
      <c r="V521" s="4" t="s">
        <v>254</v>
      </c>
      <c r="Y521" s="5"/>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zones'!$A$5:$D$10003,4,FALSE),"")</f>
        <v>Craglorn</v>
      </c>
      <c r="AB521" s="4"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zones'!$A$5:$D$10003,4,FALSE),"")</f>
        <v>Craglorn</v>
      </c>
      <c r="AH521" s="4" t="s">
        <v>209</v>
      </c>
      <c r="AK521" s="3">
        <f>IF(AND(G521&lt;&gt;"LIBSETS_SETTYPE_BATTLEGROUND",G521&lt;&gt;"LIBSETS_SETTYPE_SPECIAL"),IF(AL521&lt;&gt;"",VLOOKUP(AL521,'ESO zones'!$D$5:$H$4957,5,FALSE),""),"")</f>
        <v>584</v>
      </c>
      <c r="AL521" t="s">
        <v>11</v>
      </c>
      <c r="AM521" s="4" t="s">
        <v>275</v>
      </c>
      <c r="AN521" s="3" t="s">
        <v>1448</v>
      </c>
      <c r="AO521" s="3" t="s">
        <v>1449</v>
      </c>
      <c r="AP521" s="3">
        <f>IF(AND(G521&lt;&gt;"LIBSETS_SETTYPE_BATTLEGROUND",G521&lt;&gt;"LIBSETS_SETTYPE_SPECIAL"),IF(AQ521&lt;&gt;"",VLOOKUP(AQ521,'ESO zones'!$D$5:$H$4957,5,FALSE),""),"")</f>
        <v>181</v>
      </c>
      <c r="AQ521" t="s">
        <v>166</v>
      </c>
      <c r="AR521" s="4" t="s">
        <v>197</v>
      </c>
      <c r="AU521" s="3" t="str">
        <f>IF(AND(G521&lt;&gt;"LIBSETS_SETTYPE_BATTLEGROUND",G521&lt;&gt;"LIBSETS_SETTYPE_SPECIAL"),IF(AV521&lt;&gt;"",VLOOKUP(AV521,'ESO zones'!$D$5:$H$4957,5,FALSE),""),"")</f>
        <v/>
      </c>
      <c r="AZ521" s="49" t="s">
        <v>403</v>
      </c>
      <c r="BA521" t="s">
        <v>1600</v>
      </c>
      <c r="BB521" t="s">
        <v>1600</v>
      </c>
      <c r="BC521"/>
      <c r="BD521"/>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1">
        <v>597</v>
      </c>
      <c r="B522" t="s">
        <v>1601</v>
      </c>
      <c r="C522" t="s">
        <v>1601</v>
      </c>
      <c r="D522" s="3">
        <f t="shared" si="48"/>
        <v>597</v>
      </c>
      <c r="G522" s="3" t="s">
        <v>180</v>
      </c>
      <c r="I522" t="s">
        <v>401</v>
      </c>
      <c r="J522" t="s">
        <v>401</v>
      </c>
      <c r="K522">
        <v>451</v>
      </c>
      <c r="L522">
        <v>184</v>
      </c>
      <c r="M522">
        <v>225</v>
      </c>
      <c r="Q522" s="3">
        <f>IF(AND(P522&lt;&gt;"",ISNUMBER(P522),NOT(ISNA(P522))),P522,IF(R522&lt;&gt;"",VLOOKUP(R522,'ESO zones'!$D$5:$H$10005,5,FALSE),""))</f>
        <v>1160</v>
      </c>
      <c r="R522" t="str">
        <f>IF(AND(O522&lt;&gt;"",NOT(ISERROR(O522))),O522,IF(AND(P522&lt;&gt;"",ISNUMBER(P522),P522&gt;0,NOT(ISNA(P522))),VLOOKUP(P522,'ESO zones'!$A$5:$D$10003,4,FALSE),IF(AND(K522&lt;&gt;"",K522&gt;0,NOT(ISERROR(K522))),VLOOKUP(K522,'ESO wayshrines'!$K$3:$N$9972,4,FALSE),"")))</f>
        <v>Western Skyrim</v>
      </c>
      <c r="T522" s="16" t="str">
        <f>IF(AND(S522&lt;&gt;"",NOT(ISERROR(S522))),S522,VLOOKUP(A522,'ESO Set&amp;DLCs'!$A$3:$D$99998,4,FALSE))</f>
        <v>DLC_BLACKWOOD</v>
      </c>
      <c r="U522" s="3" t="str">
        <f>IF(T522&lt;&gt;"",VLOOKUP(T522,ConstDLCIds!$B$4:$C$1000,2,FALSE),"")</f>
        <v>Blackwood</v>
      </c>
      <c r="V522" s="4" t="s">
        <v>257</v>
      </c>
      <c r="Y522" s="5">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zones'!$A$5:$D$10003,4,FALSE),"")</f>
        <v>Vaults of Madness</v>
      </c>
      <c r="AB522" s="4"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zones'!$A$5:$D$10003,4,FALSE),"")</f>
        <v>Craglorn</v>
      </c>
      <c r="AH522" s="4" t="s">
        <v>215</v>
      </c>
      <c r="AI522" s="3" t="s">
        <v>1602</v>
      </c>
      <c r="AJ522" s="3" t="s">
        <v>1603</v>
      </c>
      <c r="AK522" s="3">
        <f>IF(AND(G522&lt;&gt;"LIBSETS_SETTYPE_BATTLEGROUND",G522&lt;&gt;"LIBSETS_SETTYPE_SPECIAL"),IF(AL522&lt;&gt;"",VLOOKUP(AL522,'ESO zones'!$D$5:$H$4957,5,FALSE),""),"")</f>
        <v>936</v>
      </c>
      <c r="AL522" t="s">
        <v>717</v>
      </c>
      <c r="AM522" s="4" t="s">
        <v>278</v>
      </c>
      <c r="AN522" s="3" t="s">
        <v>718</v>
      </c>
      <c r="AO522" s="3" t="s">
        <v>1604</v>
      </c>
      <c r="AP522" s="3">
        <f>IF(AND(G522&lt;&gt;"LIBSETS_SETTYPE_BATTLEGROUND",G522&lt;&gt;"LIBSETS_SETTYPE_SPECIAL"),IF(AQ522&lt;&gt;"",VLOOKUP(AQ522,'ESO zones'!$D$5:$H$4957,5,FALSE),""),"")</f>
        <v>1260</v>
      </c>
      <c r="AQ522" t="s">
        <v>1605</v>
      </c>
      <c r="AR522" s="4" t="s">
        <v>221</v>
      </c>
      <c r="AU522" s="3" t="str">
        <f>IF(AND(G522&lt;&gt;"LIBSETS_SETTYPE_BATTLEGROUND",G522&lt;&gt;"LIBSETS_SETTYPE_SPECIAL"),IF(AV522&lt;&gt;"",VLOOKUP(AV522,'ESO zones'!$D$5:$H$4957,5,FALSE),""),"")</f>
        <v/>
      </c>
      <c r="AZ522" s="49" t="s">
        <v>410</v>
      </c>
      <c r="BA522" t="s">
        <v>1606</v>
      </c>
      <c r="BB522" t="s">
        <v>1606</v>
      </c>
      <c r="BC522"/>
      <c r="BD522"/>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1">
        <v>598</v>
      </c>
      <c r="B523" t="s">
        <v>1607</v>
      </c>
      <c r="C523" t="s">
        <v>1608</v>
      </c>
      <c r="D523" s="3">
        <f t="shared" si="48"/>
        <v>598</v>
      </c>
      <c r="F523" t="s">
        <v>183</v>
      </c>
      <c r="G523" s="9" t="s">
        <v>182</v>
      </c>
      <c r="I523" t="s">
        <v>401</v>
      </c>
      <c r="J523" t="s">
        <v>401</v>
      </c>
      <c r="K523">
        <v>-1</v>
      </c>
      <c r="L523">
        <v>-1</v>
      </c>
      <c r="M523">
        <v>-1</v>
      </c>
      <c r="O523" s="5" t="s">
        <v>11</v>
      </c>
      <c r="Q523" s="3">
        <f>IF(AND(P523&lt;&gt;"",ISNUMBER(P523),NOT(ISNA(P523))),P523,IF(R523&lt;&gt;"",VLOOKUP(R523,'ESO zones'!$D$5:$H$10005,5,FALSE),""))</f>
        <v>584</v>
      </c>
      <c r="R523" t="str">
        <f>IF(AND(O523&lt;&gt;"",NOT(ISERROR(O523))),O523,IF(AND(P523&lt;&gt;"",ISNUMBER(P523),P523&gt;0,NOT(ISNA(P523))),VLOOKUP(P523,'ESO zones'!$A$5:$D$10003,4,FALSE),IF(AND(K523&lt;&gt;"",K523&gt;0,NOT(ISERROR(K523))),VLOOKUP(K523,'ESO wayshrines'!$K$3:$N$9972,4,FALSE),"")))</f>
        <v>Imperial City</v>
      </c>
      <c r="T523" s="16" t="str">
        <f>IF(AND(S523&lt;&gt;"",NOT(ISERROR(S523))),S523,VLOOKUP(A523,'ESO Set&amp;DLCs'!$A$3:$D$99998,4,FALSE))</f>
        <v>DLC_IMPERIAL_CITY</v>
      </c>
      <c r="U523" s="3" t="str">
        <f>IF(T523&lt;&gt;"",VLOOKUP(T523,ConstDLCIds!$B$4:$C$1000,2,FALSE),"")</f>
        <v>Imperial City</v>
      </c>
      <c r="V523" s="4" t="s">
        <v>212</v>
      </c>
      <c r="W523" s="3" t="s">
        <v>1609</v>
      </c>
      <c r="X523" s="3" t="s">
        <v>1610</v>
      </c>
      <c r="Y523" s="5">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zones'!$A$5:$D$10003,4,FALSE),"")</f>
        <v>Imperial Sewers</v>
      </c>
      <c r="AB523" s="4"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zones'!$A$5:$D$10003,4,FALSE),"")</f>
        <v/>
      </c>
      <c r="AK523" s="3" t="str">
        <f>IF(AND(G523&lt;&gt;"LIBSETS_SETTYPE_BATTLEGROUND",G523&lt;&gt;"LIBSETS_SETTYPE_SPECIAL"),IF(AL523&lt;&gt;"",VLOOKUP(AL523,'ESO zones'!$D$5:$H$4957,5,FALSE),""),"")</f>
        <v/>
      </c>
      <c r="AP523" s="3" t="str">
        <f>IF(AND(G523&lt;&gt;"LIBSETS_SETTYPE_BATTLEGROUND",G523&lt;&gt;"LIBSETS_SETTYPE_SPECIAL"),IF(AQ523&lt;&gt;"",VLOOKUP(AQ523,'ESO zones'!$D$5:$H$4957,5,FALSE),""),"")</f>
        <v/>
      </c>
      <c r="AU523" s="3" t="str">
        <f>IF(AND(G523&lt;&gt;"LIBSETS_SETTYPE_BATTLEGROUND",G523&lt;&gt;"LIBSETS_SETTYPE_SPECIAL"),IF(AV523&lt;&gt;"",VLOOKUP(AV523,'ESO zones'!$D$5:$H$4957,5,FALSE),""),"")</f>
        <v/>
      </c>
      <c r="AZ523" s="49" t="s">
        <v>403</v>
      </c>
      <c r="BA523" s="49"/>
      <c r="BB523" s="49"/>
      <c r="BC523" s="49"/>
      <c r="BD523" s="49"/>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1">
        <v>599</v>
      </c>
      <c r="B524" t="s">
        <v>1611</v>
      </c>
      <c r="C524" t="s">
        <v>1612</v>
      </c>
      <c r="D524" s="3">
        <f t="shared" si="48"/>
        <v>599</v>
      </c>
      <c r="F524" t="s">
        <v>183</v>
      </c>
      <c r="G524" s="9" t="s">
        <v>182</v>
      </c>
      <c r="I524" t="s">
        <v>401</v>
      </c>
      <c r="J524" t="s">
        <v>401</v>
      </c>
      <c r="K524">
        <v>-1</v>
      </c>
      <c r="L524">
        <v>-1</v>
      </c>
      <c r="M524">
        <v>-1</v>
      </c>
      <c r="O524" s="5" t="s">
        <v>11</v>
      </c>
      <c r="Q524" s="3">
        <f>IF(AND(P524&lt;&gt;"",ISNUMBER(P524),NOT(ISNA(P524))),P524,IF(R524&lt;&gt;"",VLOOKUP(R524,'ESO zones'!$D$5:$H$10005,5,FALSE),""))</f>
        <v>584</v>
      </c>
      <c r="R524" t="str">
        <f>IF(AND(O524&lt;&gt;"",NOT(ISERROR(O524))),O524,IF(AND(P524&lt;&gt;"",ISNUMBER(P524),P524&gt;0,NOT(ISNA(P524))),VLOOKUP(P524,'ESO zones'!$A$5:$D$10003,4,FALSE),IF(AND(K524&lt;&gt;"",K524&gt;0,NOT(ISERROR(K524))),VLOOKUP(K524,'ESO wayshrines'!$K$3:$N$9972,4,FALSE),"")))</f>
        <v>Imperial City</v>
      </c>
      <c r="T524" s="16" t="str">
        <f>IF(AND(S524&lt;&gt;"",NOT(ISERROR(S524))),S524,VLOOKUP(A524,'ESO Set&amp;DLCs'!$A$3:$D$99998,4,FALSE))</f>
        <v>DLC_IMPERIAL_CITY</v>
      </c>
      <c r="U524" s="3" t="str">
        <f>IF(T524&lt;&gt;"",VLOOKUP(T524,ConstDLCIds!$B$4:$C$1000,2,FALSE),"")</f>
        <v>Imperial City</v>
      </c>
      <c r="V524" s="4" t="s">
        <v>212</v>
      </c>
      <c r="W524" s="3" t="s">
        <v>1613</v>
      </c>
      <c r="X524" s="3" t="s">
        <v>1614</v>
      </c>
      <c r="Y524" s="5">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zones'!$A$5:$D$10003,4,FALSE),"")</f>
        <v>Imperial Sewers</v>
      </c>
      <c r="AB524" s="4"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zones'!$A$5:$D$10003,4,FALSE),"")</f>
        <v/>
      </c>
      <c r="AK524" s="3" t="str">
        <f>IF(AND(G524&lt;&gt;"LIBSETS_SETTYPE_BATTLEGROUND",G524&lt;&gt;"LIBSETS_SETTYPE_SPECIAL"),IF(AL524&lt;&gt;"",VLOOKUP(AL524,'ESO zones'!$D$5:$H$4957,5,FALSE),""),"")</f>
        <v/>
      </c>
      <c r="AP524" s="3" t="str">
        <f>IF(AND(G524&lt;&gt;"LIBSETS_SETTYPE_BATTLEGROUND",G524&lt;&gt;"LIBSETS_SETTYPE_SPECIAL"),IF(AQ524&lt;&gt;"",VLOOKUP(AQ524,'ESO zones'!$D$5:$H$4957,5,FALSE),""),"")</f>
        <v/>
      </c>
      <c r="AU524" s="3" t="str">
        <f>IF(AND(G524&lt;&gt;"LIBSETS_SETTYPE_BATTLEGROUND",G524&lt;&gt;"LIBSETS_SETTYPE_SPECIAL"),IF(AV524&lt;&gt;"",VLOOKUP(AV524,'ESO zones'!$D$5:$H$4957,5,FALSE),""),"")</f>
        <v/>
      </c>
      <c r="AZ524" s="49" t="s">
        <v>403</v>
      </c>
      <c r="BA524" s="49"/>
      <c r="BB524" s="49"/>
      <c r="BC524" s="49"/>
      <c r="BD524" s="49"/>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1">
        <v>600</v>
      </c>
      <c r="B525" t="s">
        <v>1615</v>
      </c>
      <c r="C525" t="s">
        <v>1616</v>
      </c>
      <c r="D525" s="3">
        <f t="shared" si="48"/>
        <v>600</v>
      </c>
      <c r="F525" t="s">
        <v>183</v>
      </c>
      <c r="G525" s="9" t="s">
        <v>182</v>
      </c>
      <c r="I525" t="s">
        <v>401</v>
      </c>
      <c r="J525" t="s">
        <v>401</v>
      </c>
      <c r="K525">
        <v>-1</v>
      </c>
      <c r="L525">
        <v>-1</v>
      </c>
      <c r="M525">
        <v>-1</v>
      </c>
      <c r="O525" s="5" t="s">
        <v>11</v>
      </c>
      <c r="Q525" s="3">
        <f>IF(AND(P525&lt;&gt;"",ISNUMBER(P525),NOT(ISNA(P525))),P525,IF(R525&lt;&gt;"",VLOOKUP(R525,'ESO zones'!$D$5:$H$10005,5,FALSE),""))</f>
        <v>584</v>
      </c>
      <c r="R525" t="str">
        <f>IF(AND(O525&lt;&gt;"",NOT(ISERROR(O525))),O525,IF(AND(P525&lt;&gt;"",ISNUMBER(P525),P525&gt;0,NOT(ISNA(P525))),VLOOKUP(P525,'ESO zones'!$A$5:$D$10003,4,FALSE),IF(AND(K525&lt;&gt;"",K525&gt;0,NOT(ISERROR(K525))),VLOOKUP(K525,'ESO wayshrines'!$K$3:$N$9972,4,FALSE),"")))</f>
        <v>Imperial City</v>
      </c>
      <c r="T525" s="16" t="str">
        <f>IF(AND(S525&lt;&gt;"",NOT(ISERROR(S525))),S525,VLOOKUP(A525,'ESO Set&amp;DLCs'!$A$3:$D$99998,4,FALSE))</f>
        <v>DLC_IMPERIAL_CITY</v>
      </c>
      <c r="U525" s="3" t="str">
        <f>IF(T525&lt;&gt;"",VLOOKUP(T525,ConstDLCIds!$B$4:$C$1000,2,FALSE),"")</f>
        <v>Imperial City</v>
      </c>
      <c r="V525" s="4" t="s">
        <v>212</v>
      </c>
      <c r="W525" s="3" t="s">
        <v>1617</v>
      </c>
      <c r="X525" s="3" t="s">
        <v>1618</v>
      </c>
      <c r="Y525" s="5">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zones'!$A$5:$D$10003,4,FALSE),"")</f>
        <v>Imperial Sewers</v>
      </c>
      <c r="AB525" s="4"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zones'!$A$5:$D$10003,4,FALSE),"")</f>
        <v/>
      </c>
      <c r="AK525" s="3" t="str">
        <f>IF(AND(G525&lt;&gt;"LIBSETS_SETTYPE_BATTLEGROUND",G525&lt;&gt;"LIBSETS_SETTYPE_SPECIAL"),IF(AL525&lt;&gt;"",VLOOKUP(AL525,'ESO zones'!$D$5:$H$4957,5,FALSE),""),"")</f>
        <v/>
      </c>
      <c r="AP525" s="3" t="str">
        <f>IF(AND(G525&lt;&gt;"LIBSETS_SETTYPE_BATTLEGROUND",G525&lt;&gt;"LIBSETS_SETTYPE_SPECIAL"),IF(AQ525&lt;&gt;"",VLOOKUP(AQ525,'ESO zones'!$D$5:$H$4957,5,FALSE),""),"")</f>
        <v/>
      </c>
      <c r="AU525" s="3" t="str">
        <f>IF(AND(G525&lt;&gt;"LIBSETS_SETTYPE_BATTLEGROUND",G525&lt;&gt;"LIBSETS_SETTYPE_SPECIAL"),IF(AV525&lt;&gt;"",VLOOKUP(AV525,'ESO zones'!$D$5:$H$4957,5,FALSE),""),"")</f>
        <v/>
      </c>
      <c r="AZ525" s="49" t="s">
        <v>403</v>
      </c>
      <c r="BA525" s="49"/>
      <c r="BB525" s="49"/>
      <c r="BC525" s="49"/>
      <c r="BD525" s="49"/>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1">
        <v>602</v>
      </c>
      <c r="B526" t="s">
        <v>1619</v>
      </c>
      <c r="C526" t="s">
        <v>1620</v>
      </c>
      <c r="D526" s="3">
        <f t="shared" si="48"/>
        <v>602</v>
      </c>
      <c r="G526" s="9" t="s">
        <v>169</v>
      </c>
      <c r="I526" t="s">
        <v>401</v>
      </c>
      <c r="J526" t="s">
        <v>401</v>
      </c>
      <c r="K526">
        <v>469</v>
      </c>
      <c r="L526">
        <v>469</v>
      </c>
      <c r="M526">
        <v>469</v>
      </c>
      <c r="O526" s="5" t="s">
        <v>1621</v>
      </c>
      <c r="Q526" s="3">
        <f>IF(AND(P526&lt;&gt;"",ISNUMBER(P526),NOT(ISNA(P526))),P526,IF(R526&lt;&gt;"",VLOOKUP(R526,'ESO zones'!$D$5:$H$10005,5,FALSE),""))</f>
        <v>1268</v>
      </c>
      <c r="R526" t="str">
        <f>IF(AND(O526&lt;&gt;"",NOT(ISERROR(O526))),O526,IF(AND(P526&lt;&gt;"",ISNUMBER(P526),P526&gt;0,NOT(ISNA(P526))),VLOOKUP(P526,'ESO zones'!$A$5:$D$10003,4,FALSE),IF(AND(K526&lt;&gt;"",K526&gt;0,NOT(ISERROR(K526))),VLOOKUP(K526,'ESO wayshrines'!$K$3:$N$9972,4,FALSE),"")))</f>
        <v>The Dread Cellar</v>
      </c>
      <c r="T526" s="16" t="str">
        <f>IF(AND(S526&lt;&gt;"",NOT(ISERROR(S526))),S526,VLOOKUP(A526,'ESO Set&amp;DLCs'!$A$3:$D$99998,4,FALSE))</f>
        <v>DLC_WAKING_FLAME</v>
      </c>
      <c r="U526" s="3" t="str">
        <f>IF(T526&lt;&gt;"",VLOOKUP(T526,ConstDLCIds!$B$4:$C$1000,2,FALSE),"")</f>
        <v>Waking Flame</v>
      </c>
      <c r="V526" s="4" t="s">
        <v>278</v>
      </c>
      <c r="Y526" s="5"/>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zones'!$A$5:$D$10003,4,FALSE),"")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zones'!$A$5:$D$10003,4,FALSE),"")</f>
        <v>Blackwood</v>
      </c>
      <c r="AK526" s="3" t="str">
        <f>IF(AND(G526&lt;&gt;"LIBSETS_SETTYPE_BATTLEGROUND",G526&lt;&gt;"LIBSETS_SETTYPE_SPECIAL"),IF(AL526&lt;&gt;"",VLOOKUP(AL526,'ESO zones'!$D$5:$H$4957,5,FALSE),""),"")</f>
        <v/>
      </c>
      <c r="AP526" s="3" t="str">
        <f>IF(AND(G526&lt;&gt;"LIBSETS_SETTYPE_BATTLEGROUND",G526&lt;&gt;"LIBSETS_SETTYPE_SPECIAL"),IF(AQ526&lt;&gt;"",VLOOKUP(AQ526,'ESO zones'!$D$5:$H$4957,5,FALSE),""),"")</f>
        <v/>
      </c>
      <c r="AU526" s="3" t="str">
        <f>IF(AND(G526&lt;&gt;"LIBSETS_SETTYPE_BATTLEGROUND",G526&lt;&gt;"LIBSETS_SETTYPE_SPECIAL"),IF(AV526&lt;&gt;"",VLOOKUP(AV526,'ESO zones'!$D$5:$H$4957,5,FALSE),""),"")</f>
        <v/>
      </c>
      <c r="AZ526" s="49" t="s">
        <v>403</v>
      </c>
      <c r="BA526" s="49"/>
      <c r="BB526" s="49"/>
      <c r="BC526" s="49"/>
      <c r="BD526" s="49"/>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1">
        <v>603</v>
      </c>
      <c r="B527" t="s">
        <v>1622</v>
      </c>
      <c r="C527" t="s">
        <v>1623</v>
      </c>
      <c r="D527" s="3">
        <f t="shared" si="48"/>
        <v>603</v>
      </c>
      <c r="G527" s="9" t="s">
        <v>169</v>
      </c>
      <c r="I527" t="s">
        <v>401</v>
      </c>
      <c r="J527" t="s">
        <v>401</v>
      </c>
      <c r="K527">
        <v>469</v>
      </c>
      <c r="L527">
        <v>469</v>
      </c>
      <c r="M527">
        <v>469</v>
      </c>
      <c r="O527" s="5" t="s">
        <v>1621</v>
      </c>
      <c r="Q527" s="3">
        <f>IF(AND(P527&lt;&gt;"",ISNUMBER(P527),NOT(ISNA(P527))),P527,IF(R527&lt;&gt;"",VLOOKUP(R527,'ESO zones'!$D$5:$H$10005,5,FALSE),""))</f>
        <v>1268</v>
      </c>
      <c r="R527" t="str">
        <f>IF(AND(O527&lt;&gt;"",NOT(ISERROR(O527))),O527,IF(AND(P527&lt;&gt;"",ISNUMBER(P527),P527&gt;0,NOT(ISNA(P527))),VLOOKUP(P527,'ESO zones'!$A$5:$D$10003,4,FALSE),IF(AND(K527&lt;&gt;"",K527&gt;0,NOT(ISERROR(K527))),VLOOKUP(K527,'ESO wayshrines'!$K$3:$N$9972,4,FALSE),"")))</f>
        <v>The Dread Cellar</v>
      </c>
      <c r="T527" s="16" t="str">
        <f>IF(AND(S527&lt;&gt;"",NOT(ISERROR(S527))),S527,VLOOKUP(A527,'ESO Set&amp;DLCs'!$A$3:$D$99998,4,FALSE))</f>
        <v>DLC_WAKING_FLAME</v>
      </c>
      <c r="U527" s="3" t="str">
        <f>IF(T527&lt;&gt;"",VLOOKUP(T527,ConstDLCIds!$B$4:$C$1000,2,FALSE),"")</f>
        <v>Waking Flame</v>
      </c>
      <c r="V527" s="4" t="s">
        <v>278</v>
      </c>
      <c r="Y527" s="5"/>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zones'!$A$5:$D$10003,4,FALSE),"")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zones'!$A$5:$D$10003,4,FALSE),"")</f>
        <v>Blackwood</v>
      </c>
      <c r="AK527" s="3" t="str">
        <f>IF(AND(G527&lt;&gt;"LIBSETS_SETTYPE_BATTLEGROUND",G527&lt;&gt;"LIBSETS_SETTYPE_SPECIAL"),IF(AL527&lt;&gt;"",VLOOKUP(AL527,'ESO zones'!$D$5:$H$4957,5,FALSE),""),"")</f>
        <v/>
      </c>
      <c r="AP527" s="3" t="str">
        <f>IF(AND(G527&lt;&gt;"LIBSETS_SETTYPE_BATTLEGROUND",G527&lt;&gt;"LIBSETS_SETTYPE_SPECIAL"),IF(AQ527&lt;&gt;"",VLOOKUP(AQ527,'ESO zones'!$D$5:$H$4957,5,FALSE),""),"")</f>
        <v/>
      </c>
      <c r="AU527" s="3" t="str">
        <f>IF(AND(G527&lt;&gt;"LIBSETS_SETTYPE_BATTLEGROUND",G527&lt;&gt;"LIBSETS_SETTYPE_SPECIAL"),IF(AV527&lt;&gt;"",VLOOKUP(AV527,'ESO zones'!$D$5:$H$4957,5,FALSE),""),"")</f>
        <v/>
      </c>
      <c r="AZ527" s="49" t="s">
        <v>403</v>
      </c>
      <c r="BA527" s="49"/>
      <c r="BB527" s="49"/>
      <c r="BC527" s="49"/>
      <c r="BD527" s="49"/>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1">
        <v>604</v>
      </c>
      <c r="B528" t="s">
        <v>1624</v>
      </c>
      <c r="C528" t="s">
        <v>1625</v>
      </c>
      <c r="D528" s="3">
        <f t="shared" si="48"/>
        <v>604</v>
      </c>
      <c r="G528" s="9" t="s">
        <v>169</v>
      </c>
      <c r="I528" t="s">
        <v>401</v>
      </c>
      <c r="J528" t="s">
        <v>401</v>
      </c>
      <c r="K528">
        <v>469</v>
      </c>
      <c r="L528">
        <v>469</v>
      </c>
      <c r="M528">
        <v>469</v>
      </c>
      <c r="O528" s="5" t="s">
        <v>1621</v>
      </c>
      <c r="Q528" s="3">
        <f>IF(AND(P528&lt;&gt;"",ISNUMBER(P528),NOT(ISNA(P528))),P528,IF(R528&lt;&gt;"",VLOOKUP(R528,'ESO zones'!$D$5:$H$10005,5,FALSE),""))</f>
        <v>1268</v>
      </c>
      <c r="R528" t="str">
        <f>IF(AND(O528&lt;&gt;"",NOT(ISERROR(O528))),O528,IF(AND(P528&lt;&gt;"",ISNUMBER(P528),P528&gt;0,NOT(ISNA(P528))),VLOOKUP(P528,'ESO zones'!$A$5:$D$10003,4,FALSE),IF(AND(K528&lt;&gt;"",K528&gt;0,NOT(ISERROR(K528))),VLOOKUP(K528,'ESO wayshrines'!$K$3:$N$9972,4,FALSE),"")))</f>
        <v>The Dread Cellar</v>
      </c>
      <c r="T528" s="16" t="str">
        <f>IF(AND(S528&lt;&gt;"",NOT(ISERROR(S528))),S528,VLOOKUP(A528,'ESO Set&amp;DLCs'!$A$3:$D$99998,4,FALSE))</f>
        <v>DLC_WAKING_FLAME</v>
      </c>
      <c r="U528" s="3" t="str">
        <f>IF(T528&lt;&gt;"",VLOOKUP(T528,ConstDLCIds!$B$4:$C$1000,2,FALSE),"")</f>
        <v>Waking Flame</v>
      </c>
      <c r="V528" s="4" t="s">
        <v>278</v>
      </c>
      <c r="Y528" s="5"/>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zones'!$A$5:$D$10003,4,FALSE),"")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zones'!$A$5:$D$10003,4,FALSE),"")</f>
        <v>Blackwood</v>
      </c>
      <c r="AK528" s="3" t="str">
        <f>IF(AND(G528&lt;&gt;"LIBSETS_SETTYPE_BATTLEGROUND",G528&lt;&gt;"LIBSETS_SETTYPE_SPECIAL"),IF(AL528&lt;&gt;"",VLOOKUP(AL528,'ESO zones'!$D$5:$H$4957,5,FALSE),""),"")</f>
        <v/>
      </c>
      <c r="AP528" s="3" t="str">
        <f>IF(AND(G528&lt;&gt;"LIBSETS_SETTYPE_BATTLEGROUND",G528&lt;&gt;"LIBSETS_SETTYPE_SPECIAL"),IF(AQ528&lt;&gt;"",VLOOKUP(AQ528,'ESO zones'!$D$5:$H$4957,5,FALSE),""),"")</f>
        <v/>
      </c>
      <c r="AU528" s="3" t="str">
        <f>IF(AND(G528&lt;&gt;"LIBSETS_SETTYPE_BATTLEGROUND",G528&lt;&gt;"LIBSETS_SETTYPE_SPECIAL"),IF(AV528&lt;&gt;"",VLOOKUP(AV528,'ESO zones'!$D$5:$H$4957,5,FALSE),""),"")</f>
        <v/>
      </c>
      <c r="AZ528" s="49" t="s">
        <v>403</v>
      </c>
      <c r="BA528" s="49"/>
      <c r="BB528" s="49"/>
      <c r="BC528" s="49"/>
      <c r="BD528" s="49"/>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1">
        <v>605</v>
      </c>
      <c r="B529" t="s">
        <v>1626</v>
      </c>
      <c r="C529" t="s">
        <v>1627</v>
      </c>
      <c r="D529" s="3">
        <f t="shared" si="48"/>
        <v>605</v>
      </c>
      <c r="G529" s="9" t="s">
        <v>169</v>
      </c>
      <c r="I529" t="s">
        <v>401</v>
      </c>
      <c r="J529" t="s">
        <v>401</v>
      </c>
      <c r="K529">
        <v>470</v>
      </c>
      <c r="L529">
        <v>470</v>
      </c>
      <c r="M529">
        <v>470</v>
      </c>
      <c r="O529" s="5" t="s">
        <v>1628</v>
      </c>
      <c r="Q529" s="3">
        <f>IF(AND(P529&lt;&gt;"",ISNUMBER(P529),NOT(ISNA(P529))),P529,IF(R529&lt;&gt;"",VLOOKUP(R529,'ESO zones'!$D$5:$H$10005,5,FALSE),""))</f>
        <v>1267</v>
      </c>
      <c r="R529" t="str">
        <f>IF(AND(O529&lt;&gt;"",NOT(ISERROR(O529))),O529,IF(AND(P529&lt;&gt;"",ISNUMBER(P529),P529&gt;0,NOT(ISNA(P529))),VLOOKUP(P529,'ESO zones'!$A$5:$D$10003,4,FALSE),IF(AND(K529&lt;&gt;"",K529&gt;0,NOT(ISERROR(K529))),VLOOKUP(K529,'ESO wayshrines'!$K$3:$N$9972,4,FALSE),"")))</f>
        <v>Red Petal Bastion</v>
      </c>
      <c r="T529" s="16" t="str">
        <f>IF(AND(S529&lt;&gt;"",NOT(ISERROR(S529))),S529,VLOOKUP(A529,'ESO Set&amp;DLCs'!$A$3:$D$99998,4,FALSE))</f>
        <v>DLC_WAKING_FLAME</v>
      </c>
      <c r="U529" s="3" t="str">
        <f>IF(T529&lt;&gt;"",VLOOKUP(T529,ConstDLCIds!$B$4:$C$1000,2,FALSE),"")</f>
        <v>Waking Flame</v>
      </c>
      <c r="V529" s="4" t="s">
        <v>278</v>
      </c>
      <c r="Y529" s="5"/>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zones'!$A$5:$D$10003,4,FALSE),"")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zones'!$A$5:$D$10003,4,FALSE),"")</f>
        <v>Glenumbra</v>
      </c>
      <c r="AK529" s="3" t="str">
        <f>IF(AND(G529&lt;&gt;"LIBSETS_SETTYPE_BATTLEGROUND",G529&lt;&gt;"LIBSETS_SETTYPE_SPECIAL"),IF(AL529&lt;&gt;"",VLOOKUP(AL529,'ESO zones'!$D$5:$H$4957,5,FALSE),""),"")</f>
        <v/>
      </c>
      <c r="AP529" s="3" t="str">
        <f>IF(AND(G529&lt;&gt;"LIBSETS_SETTYPE_BATTLEGROUND",G529&lt;&gt;"LIBSETS_SETTYPE_SPECIAL"),IF(AQ529&lt;&gt;"",VLOOKUP(AQ529,'ESO zones'!$D$5:$H$4957,5,FALSE),""),"")</f>
        <v/>
      </c>
      <c r="AU529" s="3" t="str">
        <f>IF(AND(G529&lt;&gt;"LIBSETS_SETTYPE_BATTLEGROUND",G529&lt;&gt;"LIBSETS_SETTYPE_SPECIAL"),IF(AV529&lt;&gt;"",VLOOKUP(AV529,'ESO zones'!$D$5:$H$4957,5,FALSE),""),"")</f>
        <v/>
      </c>
      <c r="AZ529" s="49" t="s">
        <v>403</v>
      </c>
      <c r="BA529" s="49"/>
      <c r="BB529" s="49"/>
      <c r="BC529" s="49"/>
      <c r="BD529" s="49"/>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1">
        <v>606</v>
      </c>
      <c r="B530" t="s">
        <v>1629</v>
      </c>
      <c r="C530" t="s">
        <v>1630</v>
      </c>
      <c r="D530" s="3">
        <f t="shared" si="48"/>
        <v>606</v>
      </c>
      <c r="G530" s="9" t="s">
        <v>169</v>
      </c>
      <c r="I530" t="s">
        <v>401</v>
      </c>
      <c r="J530" t="s">
        <v>401</v>
      </c>
      <c r="K530">
        <v>470</v>
      </c>
      <c r="L530">
        <v>470</v>
      </c>
      <c r="M530">
        <v>470</v>
      </c>
      <c r="O530" s="5" t="s">
        <v>1628</v>
      </c>
      <c r="Q530" s="3">
        <f>IF(AND(P530&lt;&gt;"",ISNUMBER(P530),NOT(ISNA(P530))),P530,IF(R530&lt;&gt;"",VLOOKUP(R530,'ESO zones'!$D$5:$H$10005,5,FALSE),""))</f>
        <v>1267</v>
      </c>
      <c r="R530" t="str">
        <f>IF(AND(O530&lt;&gt;"",NOT(ISERROR(O530))),O530,IF(AND(P530&lt;&gt;"",ISNUMBER(P530),P530&gt;0,NOT(ISNA(P530))),VLOOKUP(P530,'ESO zones'!$A$5:$D$10003,4,FALSE),IF(AND(K530&lt;&gt;"",K530&gt;0,NOT(ISERROR(K530))),VLOOKUP(K530,'ESO wayshrines'!$K$3:$N$9972,4,FALSE),"")))</f>
        <v>Red Petal Bastion</v>
      </c>
      <c r="T530" s="16" t="str">
        <f>IF(AND(S530&lt;&gt;"",NOT(ISERROR(S530))),S530,VLOOKUP(A530,'ESO Set&amp;DLCs'!$A$3:$D$99998,4,FALSE))</f>
        <v>DLC_WAKING_FLAME</v>
      </c>
      <c r="U530" s="3" t="str">
        <f>IF(T530&lt;&gt;"",VLOOKUP(T530,ConstDLCIds!$B$4:$C$1000,2,FALSE),"")</f>
        <v>Waking Flame</v>
      </c>
      <c r="V530" s="4" t="s">
        <v>278</v>
      </c>
      <c r="Y530" s="5"/>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zones'!$A$5:$D$10003,4,FALSE),"")</f>
        <v>Glenumbra</v>
      </c>
      <c r="AE530" s="30"/>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zones'!$A$5:$D$10003,4,FALSE),"")</f>
        <v>Glenumbra</v>
      </c>
      <c r="AK530" s="3" t="str">
        <f>IF(AND(G530&lt;&gt;"LIBSETS_SETTYPE_BATTLEGROUND",G530&lt;&gt;"LIBSETS_SETTYPE_SPECIAL"),IF(AL530&lt;&gt;"",VLOOKUP(AL530,'ESO zones'!$D$5:$H$4957,5,FALSE),""),"")</f>
        <v/>
      </c>
      <c r="AP530" s="3" t="str">
        <f>IF(AND(G530&lt;&gt;"LIBSETS_SETTYPE_BATTLEGROUND",G530&lt;&gt;"LIBSETS_SETTYPE_SPECIAL"),IF(AQ530&lt;&gt;"",VLOOKUP(AQ530,'ESO zones'!$D$5:$H$4957,5,FALSE),""),"")</f>
        <v/>
      </c>
      <c r="AU530" s="3" t="str">
        <f>IF(AND(G530&lt;&gt;"LIBSETS_SETTYPE_BATTLEGROUND",G530&lt;&gt;"LIBSETS_SETTYPE_SPECIAL"),IF(AV530&lt;&gt;"",VLOOKUP(AV530,'ESO zones'!$D$5:$H$4957,5,FALSE),""),"")</f>
        <v/>
      </c>
      <c r="AZ530" s="49" t="s">
        <v>403</v>
      </c>
      <c r="BA530" s="49"/>
      <c r="BB530" s="49"/>
      <c r="BC530" s="49"/>
      <c r="BD530" s="49"/>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1">
        <v>607</v>
      </c>
      <c r="B531" t="s">
        <v>1631</v>
      </c>
      <c r="C531" t="s">
        <v>1632</v>
      </c>
      <c r="D531" s="3">
        <f t="shared" si="48"/>
        <v>607</v>
      </c>
      <c r="G531" s="9" t="s">
        <v>169</v>
      </c>
      <c r="I531" t="s">
        <v>401</v>
      </c>
      <c r="J531" t="s">
        <v>401</v>
      </c>
      <c r="K531">
        <v>470</v>
      </c>
      <c r="L531">
        <v>470</v>
      </c>
      <c r="M531">
        <v>470</v>
      </c>
      <c r="O531" s="5" t="s">
        <v>1628</v>
      </c>
      <c r="Q531" s="3">
        <f>IF(AND(P531&lt;&gt;"",ISNUMBER(P531),NOT(ISNA(P531))),P531,IF(R531&lt;&gt;"",VLOOKUP(R531,'ESO zones'!$D$5:$H$10005,5,FALSE),""))</f>
        <v>1267</v>
      </c>
      <c r="R531" t="str">
        <f>IF(AND(O531&lt;&gt;"",NOT(ISERROR(O531))),O531,IF(AND(P531&lt;&gt;"",ISNUMBER(P531),P531&gt;0,NOT(ISNA(P531))),VLOOKUP(P531,'ESO zones'!$A$5:$D$10003,4,FALSE),IF(AND(K531&lt;&gt;"",K531&gt;0,NOT(ISERROR(K531))),VLOOKUP(K531,'ESO wayshrines'!$K$3:$N$9972,4,FALSE),"")))</f>
        <v>Red Petal Bastion</v>
      </c>
      <c r="T531" s="16" t="str">
        <f>IF(AND(S531&lt;&gt;"",NOT(ISERROR(S531))),S531,VLOOKUP(A531,'ESO Set&amp;DLCs'!$A$3:$D$99998,4,FALSE))</f>
        <v>DLC_WAKING_FLAME</v>
      </c>
      <c r="U531" s="3" t="str">
        <f>IF(T531&lt;&gt;"",VLOOKUP(T531,ConstDLCIds!$B$4:$C$1000,2,FALSE),"")</f>
        <v>Waking Flame</v>
      </c>
      <c r="V531" s="4" t="s">
        <v>278</v>
      </c>
      <c r="Y531" s="5"/>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zones'!$A$5:$D$10003,4,FALSE),"")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zones'!$A$5:$D$10003,4,FALSE),"")</f>
        <v>Glenumbra</v>
      </c>
      <c r="AK531" s="3" t="str">
        <f>IF(AND(G531&lt;&gt;"LIBSETS_SETTYPE_BATTLEGROUND",G531&lt;&gt;"LIBSETS_SETTYPE_SPECIAL"),IF(AL531&lt;&gt;"",VLOOKUP(AL531,'ESO zones'!$D$5:$H$4957,5,FALSE),""),"")</f>
        <v/>
      </c>
      <c r="AP531" s="3" t="str">
        <f>IF(AND(G531&lt;&gt;"LIBSETS_SETTYPE_BATTLEGROUND",G531&lt;&gt;"LIBSETS_SETTYPE_SPECIAL"),IF(AQ531&lt;&gt;"",VLOOKUP(AQ531,'ESO zones'!$D$5:$H$4957,5,FALSE),""),"")</f>
        <v/>
      </c>
      <c r="AU531" s="3" t="str">
        <f>IF(AND(G531&lt;&gt;"LIBSETS_SETTYPE_BATTLEGROUND",G531&lt;&gt;"LIBSETS_SETTYPE_SPECIAL"),IF(AV531&lt;&gt;"",VLOOKUP(AV531,'ESO zones'!$D$5:$H$4957,5,FALSE),""),"")</f>
        <v/>
      </c>
      <c r="AZ531" s="49" t="s">
        <v>403</v>
      </c>
      <c r="BA531" s="49"/>
      <c r="BB531" s="49"/>
      <c r="BC531" s="49"/>
      <c r="BD531" s="49"/>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1">
        <v>608</v>
      </c>
      <c r="B532" t="s">
        <v>1633</v>
      </c>
      <c r="C532" t="s">
        <v>1633</v>
      </c>
      <c r="D532" s="3">
        <f t="shared" si="48"/>
        <v>608</v>
      </c>
      <c r="G532" s="9" t="s">
        <v>172</v>
      </c>
      <c r="H532">
        <v>3</v>
      </c>
      <c r="I532" t="s">
        <v>712</v>
      </c>
      <c r="J532" t="s">
        <v>401</v>
      </c>
      <c r="K532">
        <v>470</v>
      </c>
      <c r="L532">
        <v>470</v>
      </c>
      <c r="M532">
        <v>470</v>
      </c>
      <c r="O532" s="5" t="s">
        <v>1628</v>
      </c>
      <c r="Q532" s="3">
        <f>IF(AND(P532&lt;&gt;"",ISNUMBER(P532),NOT(ISNA(P532))),P532,IF(R532&lt;&gt;"",VLOOKUP(R532,'ESO zones'!$D$5:$H$10005,5,FALSE),""))</f>
        <v>1267</v>
      </c>
      <c r="R532" t="str">
        <f>IF(AND(O532&lt;&gt;"",NOT(ISERROR(O532))),O532,IF(AND(P532&lt;&gt;"",ISNUMBER(P532),P532&gt;0,NOT(ISNA(P532))),VLOOKUP(P532,'ESO zones'!$A$5:$D$10003,4,FALSE),IF(AND(K532&lt;&gt;"",K532&gt;0,NOT(ISERROR(K532))),VLOOKUP(K532,'ESO wayshrines'!$K$3:$N$9972,4,FALSE),"")))</f>
        <v>Red Petal Bastion</v>
      </c>
      <c r="T532" s="16" t="str">
        <f>IF(AND(S532&lt;&gt;"",NOT(ISERROR(S532))),S532,VLOOKUP(A532,'ESO Set&amp;DLCs'!$A$3:$D$99998,4,FALSE))</f>
        <v>DLC_WAKING_FLAME</v>
      </c>
      <c r="U532" s="3" t="str">
        <f>IF(T532&lt;&gt;"",VLOOKUP(T532,ConstDLCIds!$B$4:$C$1000,2,FALSE),"")</f>
        <v>Waking Flame</v>
      </c>
      <c r="V532" s="4" t="s">
        <v>212</v>
      </c>
      <c r="W532" s="3" t="s">
        <v>1634</v>
      </c>
      <c r="X532" s="3" t="s">
        <v>1634</v>
      </c>
      <c r="Y532" s="5"/>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zones'!$A$5:$D$10003,4,FALSE),"")</f>
        <v>Glenumbra</v>
      </c>
      <c r="AC532" s="3" t="str">
        <f>IF(AB532&lt;&gt;"",IF(AB532&lt;&gt;"LIBSETS_DROP_MECHANIC_MONSTER_NAME",VLOOKUP(AB532,ConstDropMechs!$B$4:$C$1001,2,FALSE),""),"")</f>
        <v/>
      </c>
      <c r="AD532" s="3" t="str">
        <f>IF(AB532&lt;&gt;"",IF(AB532&lt;&gt;"LIBSETS_DROP_MECHANIC_MONSTER_NAME",VLOOKUP(AB532,ConstDropMechs!$B$4:$D$1001,3,FALSE),""),"")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zones'!$A$5:$D$10003,4,FALSE),"")</f>
        <v>Glenumbra</v>
      </c>
      <c r="AK532" s="3" t="str">
        <f>IF(AND(G532&lt;&gt;"LIBSETS_SETTYPE_BATTLEGROUND",G532&lt;&gt;"LIBSETS_SETTYPE_SPECIAL"),IF(AL532&lt;&gt;"",VLOOKUP(AL532,'ESO zones'!$D$5:$H$4957,5,FALSE),""),"")</f>
        <v/>
      </c>
      <c r="AP532" s="3" t="str">
        <f>IF(AND(G532&lt;&gt;"LIBSETS_SETTYPE_BATTLEGROUND",G532&lt;&gt;"LIBSETS_SETTYPE_SPECIAL"),IF(AQ532&lt;&gt;"",VLOOKUP(AQ532,'ESO zones'!$D$5:$H$4957,5,FALSE),""),"")</f>
        <v/>
      </c>
      <c r="AU532" s="3" t="str">
        <f>IF(AND(G532&lt;&gt;"LIBSETS_SETTYPE_BATTLEGROUND",G532&lt;&gt;"LIBSETS_SETTYPE_SPECIAL"),IF(AV532&lt;&gt;"",VLOOKUP(AV532,'ESO zones'!$D$5:$H$4957,5,FALSE),""),"")</f>
        <v/>
      </c>
      <c r="AZ532" s="49" t="s">
        <v>403</v>
      </c>
      <c r="BA532" s="49"/>
      <c r="BB532" s="49"/>
      <c r="BC532" s="49"/>
      <c r="BD532" s="49"/>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1">
        <v>609</v>
      </c>
      <c r="B533" t="s">
        <v>1635</v>
      </c>
      <c r="C533" t="s">
        <v>1636</v>
      </c>
      <c r="D533" s="3">
        <f t="shared" si="48"/>
        <v>609</v>
      </c>
      <c r="G533" s="9" t="s">
        <v>172</v>
      </c>
      <c r="H533">
        <v>3</v>
      </c>
      <c r="I533" t="s">
        <v>712</v>
      </c>
      <c r="J533" t="s">
        <v>401</v>
      </c>
      <c r="K533">
        <v>469</v>
      </c>
      <c r="L533">
        <v>469</v>
      </c>
      <c r="M533">
        <v>469</v>
      </c>
      <c r="O533" s="5" t="s">
        <v>1621</v>
      </c>
      <c r="Q533" s="3">
        <f>IF(AND(P533&lt;&gt;"",ISNUMBER(P533),NOT(ISNA(P533))),P533,IF(R533&lt;&gt;"",VLOOKUP(R533,'ESO zones'!$D$5:$H$10005,5,FALSE),""))</f>
        <v>1268</v>
      </c>
      <c r="R533" t="str">
        <f>IF(AND(O533&lt;&gt;"",NOT(ISERROR(O533))),O533,IF(AND(P533&lt;&gt;"",ISNUMBER(P533),P533&gt;0,NOT(ISNA(P533))),VLOOKUP(P533,'ESO zones'!$A$5:$D$10003,4,FALSE),IF(AND(K533&lt;&gt;"",K533&gt;0,NOT(ISERROR(K533))),VLOOKUP(K533,'ESO wayshrines'!$K$3:$N$9972,4,FALSE),"")))</f>
        <v>The Dread Cellar</v>
      </c>
      <c r="T533" s="16" t="str">
        <f>IF(AND(S533&lt;&gt;"",NOT(ISERROR(S533))),S533,VLOOKUP(A533,'ESO Set&amp;DLCs'!$A$3:$D$99998,4,FALSE))</f>
        <v>DLC_WAKING_FLAME</v>
      </c>
      <c r="U533" s="3" t="str">
        <f>IF(T533&lt;&gt;"",VLOOKUP(T533,ConstDLCIds!$B$4:$C$1000,2,FALSE),"")</f>
        <v>Waking Flame</v>
      </c>
      <c r="V533" s="4" t="s">
        <v>212</v>
      </c>
      <c r="W533" s="3" t="s">
        <v>1636</v>
      </c>
      <c r="X533" s="3" t="s">
        <v>1635</v>
      </c>
      <c r="Y533" s="5"/>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zones'!$A$5:$D$10003,4,FALSE),"")</f>
        <v>Blackwood</v>
      </c>
      <c r="AC533" s="3" t="str">
        <f>IF(AB533&lt;&gt;"",IF(AB533&lt;&gt;"LIBSETS_DROP_MECHANIC_MONSTER_NAME",VLOOKUP(AB533,ConstDropMechs!$B$4:$C$1001,2,FALSE),""),"")</f>
        <v/>
      </c>
      <c r="AD533" s="3" t="str">
        <f>IF(AB533&lt;&gt;"",IF(AB533&lt;&gt;"LIBSETS_DROP_MECHANIC_MONSTER_NAME",VLOOKUP(AB533,ConstDropMechs!$B$4:$D$1001,3,FALSE),""),"")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zones'!$A$5:$D$10003,4,FALSE),"")</f>
        <v>Blackwood</v>
      </c>
      <c r="AK533" s="3" t="str">
        <f>IF(AND(G533&lt;&gt;"LIBSETS_SETTYPE_BATTLEGROUND",G533&lt;&gt;"LIBSETS_SETTYPE_SPECIAL"),IF(AL533&lt;&gt;"",VLOOKUP(AL533,'ESO zones'!$D$5:$H$4957,5,FALSE),""),"")</f>
        <v/>
      </c>
      <c r="AP533" s="3" t="str">
        <f>IF(AND(G533&lt;&gt;"LIBSETS_SETTYPE_BATTLEGROUND",G533&lt;&gt;"LIBSETS_SETTYPE_SPECIAL"),IF(AQ533&lt;&gt;"",VLOOKUP(AQ533,'ESO zones'!$D$5:$H$4957,5,FALSE),""),"")</f>
        <v/>
      </c>
      <c r="AU533" s="3" t="str">
        <f>IF(AND(G533&lt;&gt;"LIBSETS_SETTYPE_BATTLEGROUND",G533&lt;&gt;"LIBSETS_SETTYPE_SPECIAL"),IF(AV533&lt;&gt;"",VLOOKUP(AV533,'ESO zones'!$D$5:$H$4957,5,FALSE),""),"")</f>
        <v/>
      </c>
      <c r="AZ533" s="49" t="s">
        <v>403</v>
      </c>
      <c r="BA533" s="49"/>
      <c r="BB533" s="49"/>
      <c r="BC533" s="49"/>
      <c r="BD533" s="49"/>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1">
        <v>610</v>
      </c>
      <c r="B534" t="s">
        <v>1637</v>
      </c>
      <c r="C534" t="s">
        <v>1638</v>
      </c>
      <c r="D534" s="3">
        <f t="shared" si="48"/>
        <v>610</v>
      </c>
      <c r="G534" s="3" t="s">
        <v>163</v>
      </c>
      <c r="I534" t="s">
        <v>401</v>
      </c>
      <c r="J534" t="s">
        <v>401</v>
      </c>
      <c r="K534">
        <v>478</v>
      </c>
      <c r="L534">
        <v>478</v>
      </c>
      <c r="M534">
        <v>478</v>
      </c>
      <c r="N534">
        <v>3</v>
      </c>
      <c r="O534" s="5" t="s">
        <v>80</v>
      </c>
      <c r="Q534" s="3">
        <f>IF(AND(P534&lt;&gt;"",ISNUMBER(P534),NOT(ISNA(P534))),P534,IF(R534&lt;&gt;"",VLOOKUP(R534,'ESO zones'!$D$5:$H$10005,5,FALSE),""))</f>
        <v>1286</v>
      </c>
      <c r="R534" t="str">
        <f>IF(AND(O534&lt;&gt;"",NOT(ISERROR(O534))),O534,IF(AND(P534&lt;&gt;"",ISNUMBER(P534),P534&gt;0,NOT(ISNA(P534))),VLOOKUP(P534,'ESO zones'!$A$5:$D$10003,4,FALSE),IF(AND(K534&lt;&gt;"",K534&gt;0,NOT(ISERROR(K534))),VLOOKUP(K534,'ESO wayshrines'!$K$3:$N$9972,4,FALSE),"")))</f>
        <v>The Deadlands</v>
      </c>
      <c r="T534" s="16" t="str">
        <f>IF(AND(S534&lt;&gt;"",NOT(ISERROR(S534))),S534,VLOOKUP(A534,'ESO Set&amp;DLCs'!$A$3:$D$99998,4,FALSE))</f>
        <v>DLC_DEADLANDS</v>
      </c>
      <c r="U534" s="3" t="str">
        <f>IF(T534&lt;&gt;"",VLOOKUP(T534,ConstDLCIds!$B$4:$C$1000,2,FALSE),"")</f>
        <v>The Deadlands</v>
      </c>
      <c r="V534" s="4" t="s">
        <v>281</v>
      </c>
      <c r="W534" s="29"/>
      <c r="X534" s="29"/>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zones'!$A$5:$D$10003,4,FALSE),"")</f>
        <v>The Deadlands</v>
      </c>
      <c r="AB534" s="4"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zones'!$A$5:$D$10003,4,FALSE),"")</f>
        <v>The Deadlands</v>
      </c>
      <c r="AH534" s="4" t="s">
        <v>281</v>
      </c>
      <c r="AK534" s="3" t="str">
        <f>IF(AND(G534&lt;&gt;"LIBSETS_SETTYPE_BATTLEGROUND",G534&lt;&gt;"LIBSETS_SETTYPE_SPECIAL"),IF(AL534&lt;&gt;"",VLOOKUP(AL534,'ESO zones'!$D$5:$H$4957,5,FALSE),""),"")</f>
        <v/>
      </c>
      <c r="AP534" s="3" t="str">
        <f>IF(AND(G534&lt;&gt;"LIBSETS_SETTYPE_BATTLEGROUND",G534&lt;&gt;"LIBSETS_SETTYPE_SPECIAL"),IF(AQ534&lt;&gt;"",VLOOKUP(AQ534,'ESO zones'!$D$5:$H$4957,5,FALSE),""),"")</f>
        <v/>
      </c>
      <c r="AU534" s="3" t="str">
        <f>IF(AND(G534&lt;&gt;"LIBSETS_SETTYPE_BATTLEGROUND",G534&lt;&gt;"LIBSETS_SETTYPE_SPECIAL"),IF(AV534&lt;&gt;"",VLOOKUP(AV534,'ESO zones'!$D$5:$H$4957,5,FALSE),""),"")</f>
        <v/>
      </c>
      <c r="AZ534" s="52"/>
      <c r="BA534" s="52"/>
      <c r="BB534" s="52"/>
      <c r="BC534" s="52"/>
      <c r="BD534" s="52"/>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1">
        <v>611</v>
      </c>
      <c r="B535" t="s">
        <v>1639</v>
      </c>
      <c r="C535" t="s">
        <v>1640</v>
      </c>
      <c r="D535" s="3">
        <f t="shared" si="48"/>
        <v>611</v>
      </c>
      <c r="G535" s="3" t="s">
        <v>163</v>
      </c>
      <c r="I535" t="s">
        <v>401</v>
      </c>
      <c r="J535" t="s">
        <v>401</v>
      </c>
      <c r="K535">
        <v>494</v>
      </c>
      <c r="L535">
        <v>494</v>
      </c>
      <c r="M535">
        <v>494</v>
      </c>
      <c r="N535">
        <v>7</v>
      </c>
      <c r="O535" s="5" t="s">
        <v>80</v>
      </c>
      <c r="Q535" s="3">
        <f>IF(AND(P535&lt;&gt;"",ISNUMBER(P535),NOT(ISNA(P535))),P535,IF(R535&lt;&gt;"",VLOOKUP(R535,'ESO zones'!$D$5:$H$10005,5,FALSE),""))</f>
        <v>1286</v>
      </c>
      <c r="R535" t="str">
        <f>IF(AND(O535&lt;&gt;"",NOT(ISERROR(O535))),O535,IF(AND(P535&lt;&gt;"",ISNUMBER(P535),P535&gt;0,NOT(ISNA(P535))),VLOOKUP(P535,'ESO zones'!$A$5:$D$10003,4,FALSE),IF(AND(K535&lt;&gt;"",K535&gt;0,NOT(ISERROR(K535))),VLOOKUP(K535,'ESO wayshrines'!$K$3:$N$9972,4,FALSE),"")))</f>
        <v>The Deadlands</v>
      </c>
      <c r="T535" s="16" t="str">
        <f>IF(AND(S535&lt;&gt;"",NOT(ISERROR(S535))),S535,VLOOKUP(A535,'ESO Set&amp;DLCs'!$A$3:$D$99998,4,FALSE))</f>
        <v>DLC_DEADLANDS</v>
      </c>
      <c r="U535" s="3" t="str">
        <f>IF(T535&lt;&gt;"",VLOOKUP(T535,ConstDLCIds!$B$4:$C$1000,2,FALSE),"")</f>
        <v>The Deadlands</v>
      </c>
      <c r="V535" s="4" t="s">
        <v>281</v>
      </c>
      <c r="Y535" s="5"/>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zones'!$A$5:$D$10003,4,FALSE),"")</f>
        <v>The Deadlands</v>
      </c>
      <c r="AB535" s="4"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zones'!$A$5:$D$10003,4,FALSE),"")</f>
        <v>The Deadlands</v>
      </c>
      <c r="AH535" s="4" t="s">
        <v>281</v>
      </c>
      <c r="AK535" s="3" t="str">
        <f>IF(AND(G535&lt;&gt;"LIBSETS_SETTYPE_BATTLEGROUND",G535&lt;&gt;"LIBSETS_SETTYPE_SPECIAL"),IF(AL535&lt;&gt;"",VLOOKUP(AL535,'ESO zones'!$D$5:$H$4957,5,FALSE),""),"")</f>
        <v/>
      </c>
      <c r="AP535" s="3" t="str">
        <f>IF(AND(G535&lt;&gt;"LIBSETS_SETTYPE_BATTLEGROUND",G535&lt;&gt;"LIBSETS_SETTYPE_SPECIAL"),IF(AQ535&lt;&gt;"",VLOOKUP(AQ535,'ESO zones'!$D$5:$H$4957,5,FALSE),""),"")</f>
        <v/>
      </c>
      <c r="AU535" s="3" t="str">
        <f>IF(AND(G535&lt;&gt;"LIBSETS_SETTYPE_BATTLEGROUND",G535&lt;&gt;"LIBSETS_SETTYPE_SPECIAL"),IF(AV535&lt;&gt;"",VLOOKUP(AV535,'ESO zones'!$D$5:$H$4957,5,FALSE),""),"")</f>
        <v/>
      </c>
      <c r="AZ535" s="52"/>
      <c r="BA535" s="52"/>
      <c r="BB535" s="52"/>
      <c r="BC535" s="52"/>
      <c r="BD535" s="52"/>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1">
        <v>612</v>
      </c>
      <c r="B536" t="s">
        <v>1641</v>
      </c>
      <c r="C536" t="s">
        <v>1642</v>
      </c>
      <c r="D536" s="3">
        <f t="shared" si="48"/>
        <v>612</v>
      </c>
      <c r="G536" s="3" t="s">
        <v>163</v>
      </c>
      <c r="I536" t="s">
        <v>401</v>
      </c>
      <c r="J536" t="s">
        <v>401</v>
      </c>
      <c r="K536">
        <v>489</v>
      </c>
      <c r="L536">
        <v>489</v>
      </c>
      <c r="M536">
        <v>489</v>
      </c>
      <c r="N536">
        <v>5</v>
      </c>
      <c r="O536" s="5" t="s">
        <v>1643</v>
      </c>
      <c r="Q536" s="3">
        <f>IF(AND(P536&lt;&gt;"",ISNUMBER(P536),NOT(ISNA(P536))),P536,IF(R536&lt;&gt;"",VLOOKUP(R536,'ESO zones'!$D$5:$H$10005,5,FALSE),""))</f>
        <v>1283</v>
      </c>
      <c r="R536" t="str">
        <f>IF(AND(O536&lt;&gt;"",NOT(ISERROR(O536))),O536,IF(AND(P536&lt;&gt;"",ISNUMBER(P536),P536&gt;0,NOT(ISNA(P536))),VLOOKUP(P536,'ESO zones'!$A$5:$D$10003,4,FALSE),IF(AND(K536&lt;&gt;"",K536&gt;0,NOT(ISERROR(K536))),VLOOKUP(K536,'ESO wayshrines'!$K$3:$N$9972,4,FALSE),"")))</f>
        <v>The Shambles</v>
      </c>
      <c r="T536" s="16" t="str">
        <f>IF(AND(S536&lt;&gt;"",NOT(ISERROR(S536))),S536,VLOOKUP(A536,'ESO Set&amp;DLCs'!$A$3:$D$99998,4,FALSE))</f>
        <v>DLC_DEADLANDS</v>
      </c>
      <c r="U536" s="3" t="str">
        <f>IF(T536&lt;&gt;"",VLOOKUP(T536,ConstDLCIds!$B$4:$C$1000,2,FALSE),"")</f>
        <v>The Deadlands</v>
      </c>
      <c r="V536" s="4" t="s">
        <v>281</v>
      </c>
      <c r="Y536" s="5"/>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zones'!$A$5:$D$10003,4,FALSE),"")</f>
        <v>The Shambles</v>
      </c>
      <c r="AB536" s="4" t="s">
        <v>281</v>
      </c>
      <c r="AE536" s="30"/>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zones'!$A$5:$D$10003,4,FALSE),"")</f>
        <v>The Shambles</v>
      </c>
      <c r="AH536" s="4" t="s">
        <v>281</v>
      </c>
      <c r="AK536" s="3" t="str">
        <f>IF(AND(G536&lt;&gt;"LIBSETS_SETTYPE_BATTLEGROUND",G536&lt;&gt;"LIBSETS_SETTYPE_SPECIAL"),IF(AL536&lt;&gt;"",VLOOKUP(AL536,'ESO zones'!$D$5:$H$4957,5,FALSE),""),"")</f>
        <v/>
      </c>
      <c r="AP536" s="3" t="str">
        <f>IF(AND(G536&lt;&gt;"LIBSETS_SETTYPE_BATTLEGROUND",G536&lt;&gt;"LIBSETS_SETTYPE_SPECIAL"),IF(AQ536&lt;&gt;"",VLOOKUP(AQ536,'ESO zones'!$D$5:$H$4957,5,FALSE),""),"")</f>
        <v/>
      </c>
      <c r="AU536" s="3" t="str">
        <f>IF(AND(G536&lt;&gt;"LIBSETS_SETTYPE_BATTLEGROUND",G536&lt;&gt;"LIBSETS_SETTYPE_SPECIAL"),IF(AV536&lt;&gt;"",VLOOKUP(AV536,'ESO zones'!$D$5:$H$4957,5,FALSE),""),"")</f>
        <v/>
      </c>
      <c r="AZ536" s="52"/>
      <c r="BA536" s="52"/>
      <c r="BB536" s="52"/>
      <c r="BC536" s="52"/>
      <c r="BD536" s="52"/>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1">
        <v>613</v>
      </c>
      <c r="B537" t="s">
        <v>1644</v>
      </c>
      <c r="C537" t="s">
        <v>1645</v>
      </c>
      <c r="D537" s="3">
        <f t="shared" si="48"/>
        <v>613</v>
      </c>
      <c r="G537" s="3" t="s">
        <v>174</v>
      </c>
      <c r="I537" t="s">
        <v>401</v>
      </c>
      <c r="J537" t="s">
        <v>401</v>
      </c>
      <c r="K537">
        <v>493</v>
      </c>
      <c r="L537">
        <v>493</v>
      </c>
      <c r="M537">
        <v>493</v>
      </c>
      <c r="O537" s="5" t="s">
        <v>80</v>
      </c>
      <c r="Q537" s="3">
        <f>IF(AND(P537&lt;&gt;"",ISNUMBER(P537),NOT(ISNA(P537))),P537,IF(R537&lt;&gt;"",VLOOKUP(R537,'ESO zones'!$D$5:$H$10005,5,FALSE),""))</f>
        <v>1286</v>
      </c>
      <c r="R537" t="str">
        <f>IF(AND(O537&lt;&gt;"",NOT(ISERROR(O537))),O537,IF(AND(P537&lt;&gt;"",ISNUMBER(P537),P537&gt;0,NOT(ISNA(P537))),VLOOKUP(P537,'ESO zones'!$A$5:$D$10003,4,FALSE),IF(AND(K537&lt;&gt;"",K537&gt;0,NOT(ISERROR(K537))),VLOOKUP(K537,'ESO wayshrines'!$K$3:$N$9972,4,FALSE),"")))</f>
        <v>The Deadlands</v>
      </c>
      <c r="T537" s="16" t="str">
        <f>IF(AND(S537&lt;&gt;"",NOT(ISERROR(S537))),S537,VLOOKUP(A537,'ESO Set&amp;DLCs'!$A$3:$D$99998,4,FALSE))</f>
        <v>DLC_DEADLANDS</v>
      </c>
      <c r="U537" s="3" t="str">
        <f>IF(T537&lt;&gt;"",VLOOKUP(T537,ConstDLCIds!$B$4:$C$1000,2,FALSE),"")</f>
        <v>The Deadlands</v>
      </c>
      <c r="V537" s="4" t="s">
        <v>215</v>
      </c>
      <c r="Y537" s="5"/>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zones'!$A$5:$D$10003,4,FALSE),"")</f>
        <v>The Shambles</v>
      </c>
      <c r="AB537" s="57" t="s">
        <v>218</v>
      </c>
      <c r="AE537" s="30">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zones'!$A$5:$D$10003,4,FALSE),"")</f>
        <v>Atoll of Immolation</v>
      </c>
      <c r="AH537" s="4" t="s">
        <v>221</v>
      </c>
      <c r="AK537" s="3">
        <f>IF(AND(G537&lt;&gt;"LIBSETS_SETTYPE_BATTLEGROUND",G537&lt;&gt;"LIBSETS_SETTYPE_SPECIAL"),IF(AL537&lt;&gt;"",VLOOKUP(AL537,'ESO zones'!$D$5:$H$4957,5,FALSE),""),"")</f>
        <v>1283</v>
      </c>
      <c r="AL537" t="s">
        <v>1643</v>
      </c>
      <c r="AM537" s="4" t="s">
        <v>224</v>
      </c>
      <c r="AP537" s="3">
        <f>IF(AND(G537&lt;&gt;"LIBSETS_SETTYPE_BATTLEGROUND",G537&lt;&gt;"LIBSETS_SETTYPE_SPECIAL"),IF(AQ537&lt;&gt;"",VLOOKUP(AQ537,'ESO zones'!$D$5:$H$4957,5,FALSE),""),"")</f>
        <v>1283</v>
      </c>
      <c r="AQ537" t="s">
        <v>1643</v>
      </c>
      <c r="AR537" s="4" t="s">
        <v>269</v>
      </c>
      <c r="AU537" s="3" t="str">
        <f>IF(AND(G537&lt;&gt;"LIBSETS_SETTYPE_BATTLEGROUND",G537&lt;&gt;"LIBSETS_SETTYPE_SPECIAL"),IF(AV537&lt;&gt;"",VLOOKUP(AV537,'ESO zones'!$D$5:$H$4957,5,FALSE),""),"")</f>
        <v/>
      </c>
      <c r="AZ537" s="52"/>
      <c r="BA537" s="52"/>
      <c r="BB537" s="52"/>
      <c r="BC537" s="52"/>
      <c r="BD537" s="52"/>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1">
        <v>614</v>
      </c>
      <c r="B538" t="s">
        <v>1646</v>
      </c>
      <c r="C538" t="s">
        <v>1647</v>
      </c>
      <c r="D538" s="3">
        <f t="shared" si="48"/>
        <v>614</v>
      </c>
      <c r="G538" s="3" t="s">
        <v>174</v>
      </c>
      <c r="I538" t="s">
        <v>401</v>
      </c>
      <c r="J538" t="s">
        <v>401</v>
      </c>
      <c r="K538">
        <v>493</v>
      </c>
      <c r="L538">
        <v>493</v>
      </c>
      <c r="M538">
        <v>493</v>
      </c>
      <c r="O538" s="5" t="s">
        <v>80</v>
      </c>
      <c r="Q538" s="3">
        <f>IF(AND(P538&lt;&gt;"",ISNUMBER(P538),NOT(ISNA(P538))),P538,IF(R538&lt;&gt;"",VLOOKUP(R538,'ESO zones'!$D$5:$H$10005,5,FALSE),""))</f>
        <v>1286</v>
      </c>
      <c r="R538" t="str">
        <f>IF(AND(O538&lt;&gt;"",NOT(ISERROR(O538))),O538,IF(AND(P538&lt;&gt;"",ISNUMBER(P538),P538&gt;0,NOT(ISNA(P538))),VLOOKUP(P538,'ESO zones'!$A$5:$D$10003,4,FALSE),IF(AND(K538&lt;&gt;"",K538&gt;0,NOT(ISERROR(K538))),VLOOKUP(K538,'ESO wayshrines'!$K$3:$N$9972,4,FALSE),"")))</f>
        <v>The Deadlands</v>
      </c>
      <c r="T538" s="16" t="str">
        <f>IF(AND(S538&lt;&gt;"",NOT(ISERROR(S538))),S538,VLOOKUP(A538,'ESO Set&amp;DLCs'!$A$3:$D$99998,4,FALSE))</f>
        <v>DLC_DEADLANDS</v>
      </c>
      <c r="U538" s="3" t="str">
        <f>IF(T538&lt;&gt;"",VLOOKUP(T538,ConstDLCIds!$B$4:$C$1000,2,FALSE),"")</f>
        <v>The Deadlands</v>
      </c>
      <c r="V538" s="4" t="s">
        <v>215</v>
      </c>
      <c r="Y538" s="5"/>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zones'!$A$5:$D$10003,4,FALSE),"")</f>
        <v>The Shambles</v>
      </c>
      <c r="AB538" s="57" t="s">
        <v>218</v>
      </c>
      <c r="AE538" s="30">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zones'!$A$5:$D$10003,4,FALSE),"")</f>
        <v>Atoll of Immolation</v>
      </c>
      <c r="AH538" s="4" t="s">
        <v>221</v>
      </c>
      <c r="AK538" s="3">
        <f>IF(AND(G538&lt;&gt;"LIBSETS_SETTYPE_BATTLEGROUND",G538&lt;&gt;"LIBSETS_SETTYPE_SPECIAL"),IF(AL538&lt;&gt;"",VLOOKUP(AL538,'ESO zones'!$D$5:$H$4957,5,FALSE),""),"")</f>
        <v>1283</v>
      </c>
      <c r="AL538" t="s">
        <v>1643</v>
      </c>
      <c r="AM538" s="4" t="s">
        <v>224</v>
      </c>
      <c r="AP538" s="3">
        <f>IF(AND(G538&lt;&gt;"LIBSETS_SETTYPE_BATTLEGROUND",G538&lt;&gt;"LIBSETS_SETTYPE_SPECIAL"),IF(AQ538&lt;&gt;"",VLOOKUP(AQ538,'ESO zones'!$D$5:$H$4957,5,FALSE),""),"")</f>
        <v>1283</v>
      </c>
      <c r="AQ538" t="s">
        <v>1643</v>
      </c>
      <c r="AR538" s="4" t="s">
        <v>269</v>
      </c>
      <c r="AU538" s="3" t="str">
        <f>IF(AND(G538&lt;&gt;"LIBSETS_SETTYPE_BATTLEGROUND",G538&lt;&gt;"LIBSETS_SETTYPE_SPECIAL"),IF(AV538&lt;&gt;"",VLOOKUP(AV538,'ESO zones'!$D$5:$H$4957,5,FALSE),""),"")</f>
        <v/>
      </c>
      <c r="BA538" s="52"/>
      <c r="BB538" s="52"/>
      <c r="BC538" s="52"/>
      <c r="BD538" s="52"/>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1">
        <v>615</v>
      </c>
      <c r="B539" t="s">
        <v>1648</v>
      </c>
      <c r="C539" t="s">
        <v>1649</v>
      </c>
      <c r="D539" s="3">
        <f t="shared" si="48"/>
        <v>615</v>
      </c>
      <c r="G539" s="3" t="s">
        <v>174</v>
      </c>
      <c r="I539" t="s">
        <v>401</v>
      </c>
      <c r="J539" t="s">
        <v>401</v>
      </c>
      <c r="K539">
        <v>493</v>
      </c>
      <c r="L539">
        <v>493</v>
      </c>
      <c r="M539">
        <v>493</v>
      </c>
      <c r="O539" s="5" t="s">
        <v>80</v>
      </c>
      <c r="Q539" s="3">
        <f>IF(AND(P539&lt;&gt;"",ISNUMBER(P539),NOT(ISNA(P539))),P539,IF(R539&lt;&gt;"",VLOOKUP(R539,'ESO zones'!$D$5:$H$10005,5,FALSE),""))</f>
        <v>1286</v>
      </c>
      <c r="R539" t="str">
        <f>IF(AND(O539&lt;&gt;"",NOT(ISERROR(O539))),O539,IF(AND(P539&lt;&gt;"",ISNUMBER(P539),P539&gt;0,NOT(ISNA(P539))),VLOOKUP(P539,'ESO zones'!$A$5:$D$10003,4,FALSE),IF(AND(K539&lt;&gt;"",K539&gt;0,NOT(ISERROR(K539))),VLOOKUP(K539,'ESO wayshrines'!$K$3:$N$9972,4,FALSE),"")))</f>
        <v>The Deadlands</v>
      </c>
      <c r="T539" s="16" t="str">
        <f>IF(AND(S539&lt;&gt;"",NOT(ISERROR(S539))),S539,VLOOKUP(A539,'ESO Set&amp;DLCs'!$A$3:$D$99998,4,FALSE))</f>
        <v>DLC_DEADLANDS</v>
      </c>
      <c r="U539" s="3" t="str">
        <f>IF(T539&lt;&gt;"",VLOOKUP(T539,ConstDLCIds!$B$4:$C$1000,2,FALSE),"")</f>
        <v>The Deadlands</v>
      </c>
      <c r="V539" s="4" t="s">
        <v>215</v>
      </c>
      <c r="Y539" s="5"/>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zones'!$A$5:$D$10003,4,FALSE),"")</f>
        <v>The Shambles</v>
      </c>
      <c r="AB539" s="57" t="s">
        <v>218</v>
      </c>
      <c r="AE539" s="30">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zones'!$A$5:$D$10003,4,FALSE),"")</f>
        <v>Atoll of Immolation</v>
      </c>
      <c r="AH539" s="4" t="s">
        <v>221</v>
      </c>
      <c r="AK539" s="3">
        <f>IF(AND(G539&lt;&gt;"LIBSETS_SETTYPE_BATTLEGROUND",G539&lt;&gt;"LIBSETS_SETTYPE_SPECIAL"),IF(AL539&lt;&gt;"",VLOOKUP(AL539,'ESO zones'!$D$5:$H$4957,5,FALSE),""),"")</f>
        <v>1283</v>
      </c>
      <c r="AL539" t="s">
        <v>1643</v>
      </c>
      <c r="AM539" s="4" t="s">
        <v>224</v>
      </c>
      <c r="AP539" s="3">
        <f>IF(AND(G539&lt;&gt;"LIBSETS_SETTYPE_BATTLEGROUND",G539&lt;&gt;"LIBSETS_SETTYPE_SPECIAL"),IF(AQ539&lt;&gt;"",VLOOKUP(AQ539,'ESO zones'!$D$5:$H$4957,5,FALSE),""),"")</f>
        <v>1283</v>
      </c>
      <c r="AQ539" t="s">
        <v>1643</v>
      </c>
      <c r="AR539" s="4" t="s">
        <v>269</v>
      </c>
      <c r="AU539" s="3" t="str">
        <f>IF(AND(G539&lt;&gt;"LIBSETS_SETTYPE_BATTLEGROUND",G539&lt;&gt;"LIBSETS_SETTYPE_SPECIAL"),IF(AV539&lt;&gt;"",VLOOKUP(AV539,'ESO zones'!$D$5:$H$4957,5,FALSE),""),"")</f>
        <v/>
      </c>
      <c r="BA539" s="52"/>
      <c r="BB539" s="52"/>
      <c r="BC539" s="52"/>
      <c r="BD539" s="52"/>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1">
        <v>616</v>
      </c>
      <c r="B540" t="s">
        <v>1650</v>
      </c>
      <c r="C540" t="s">
        <v>1651</v>
      </c>
      <c r="D540" s="3">
        <f t="shared" si="48"/>
        <v>616</v>
      </c>
      <c r="G540" s="3" t="s">
        <v>165</v>
      </c>
      <c r="I540" t="s">
        <v>401</v>
      </c>
      <c r="J540" t="s">
        <v>401</v>
      </c>
      <c r="K540">
        <v>-1</v>
      </c>
      <c r="L540">
        <v>-1</v>
      </c>
      <c r="M540">
        <v>-1</v>
      </c>
      <c r="O540" s="5" t="s">
        <v>166</v>
      </c>
      <c r="Q540" s="3">
        <f>IF(AND(P540&lt;&gt;"",ISNUMBER(P540),NOT(ISNA(P540))),P540,IF(R540&lt;&gt;"",VLOOKUP(R540,'ESO zones'!$D$5:$H$10005,5,FALSE),""))</f>
        <v>181</v>
      </c>
      <c r="R540" t="str">
        <f>IF(AND(O540&lt;&gt;"",NOT(ISERROR(O540))),O540,IF(AND(P540&lt;&gt;"",ISNUMBER(P540),P540&gt;0,NOT(ISNA(P540))),VLOOKUP(P540,'ESO zones'!$A$5:$D$10003,4,FALSE),IF(AND(K540&lt;&gt;"",K540&gt;0,NOT(ISERROR(K540))),VLOOKUP(K540,'ESO wayshrines'!$K$3:$N$9972,4,FALSE),"")))</f>
        <v>Cyrodiil</v>
      </c>
      <c r="T540" s="16" t="str">
        <f>IF(AND(S540&lt;&gt;"",NOT(ISERROR(S540))),S540,VLOOKUP(A540,'ESO Set&amp;DLCs'!$A$3:$D$99998,4,FALSE))</f>
        <v>DLC_BASE_GAME</v>
      </c>
      <c r="U540" s="3" t="str">
        <f>IF(T540&lt;&gt;"",VLOOKUP(T540,ConstDLCIds!$B$4:$C$1000,2,FALSE),"")</f>
        <v>Included in base game</v>
      </c>
      <c r="V540" s="4" t="s">
        <v>197</v>
      </c>
      <c r="Y540" s="5">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zones'!$A$5:$D$10003,4,FALSE),"")</f>
        <v>Cyrodiil</v>
      </c>
      <c r="AB540" s="4" t="s">
        <v>301</v>
      </c>
      <c r="AE540" s="5">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zones'!$A$5:$D$10003,4,FALSE),"")</f>
        <v>Cyrodiil</v>
      </c>
      <c r="AH540" s="4" t="s">
        <v>248</v>
      </c>
      <c r="AK540" s="3">
        <f>IF(AND(G540&lt;&gt;"LIBSETS_SETTYPE_BATTLEGROUND",G540&lt;&gt;"LIBSETS_SETTYPE_SPECIAL"),IF(AL540&lt;&gt;"",VLOOKUP(AL540,'ESO zones'!$D$5:$H$4957,5,FALSE),""),"")</f>
        <v>181</v>
      </c>
      <c r="AL540" t="s">
        <v>166</v>
      </c>
      <c r="AM540" s="4" t="s">
        <v>298</v>
      </c>
      <c r="AP540" s="3">
        <f>IF(AND(G540&lt;&gt;"LIBSETS_SETTYPE_BATTLEGROUND",G540&lt;&gt;"LIBSETS_SETTYPE_SPECIAL"),IF(AQ540&lt;&gt;"",VLOOKUP(AQ540,'ESO zones'!$D$5:$H$4957,5,FALSE),""),"")</f>
        <v>181</v>
      </c>
      <c r="AQ540" t="s">
        <v>166</v>
      </c>
      <c r="AR540" s="4" t="s">
        <v>215</v>
      </c>
      <c r="AU540" s="3">
        <f>IF(AND(G540&lt;&gt;"LIBSETS_SETTYPE_BATTLEGROUND",G540&lt;&gt;"LIBSETS_SETTYPE_SPECIAL"),IF(AV540&lt;&gt;"",VLOOKUP(AV540,'ESO zones'!$D$5:$H$4957,5,FALSE),""),"")</f>
        <v>181</v>
      </c>
      <c r="AV540" t="s">
        <v>166</v>
      </c>
      <c r="AW540" s="4" t="s">
        <v>257</v>
      </c>
      <c r="AZ540" s="53" t="s">
        <v>403</v>
      </c>
      <c r="BA540" s="49"/>
      <c r="BB540" s="49"/>
      <c r="BC540" s="49"/>
      <c r="BD540" s="49"/>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1">
        <v>617</v>
      </c>
      <c r="B541" t="s">
        <v>1652</v>
      </c>
      <c r="C541" t="s">
        <v>1653</v>
      </c>
      <c r="D541" s="3">
        <f t="shared" si="48"/>
        <v>617</v>
      </c>
      <c r="G541" s="3" t="s">
        <v>165</v>
      </c>
      <c r="I541" t="s">
        <v>401</v>
      </c>
      <c r="J541" t="s">
        <v>401</v>
      </c>
      <c r="K541">
        <v>-1</v>
      </c>
      <c r="L541">
        <v>-1</v>
      </c>
      <c r="M541">
        <v>-1</v>
      </c>
      <c r="O541" s="5" t="s">
        <v>166</v>
      </c>
      <c r="Q541" s="3">
        <f>IF(AND(P541&lt;&gt;"",ISNUMBER(P541),NOT(ISNA(P541))),P541,IF(R541&lt;&gt;"",VLOOKUP(R541,'ESO zones'!$D$5:$H$10005,5,FALSE),""))</f>
        <v>181</v>
      </c>
      <c r="R541" t="str">
        <f>IF(AND(O541&lt;&gt;"",NOT(ISERROR(O541))),O541,IF(AND(P541&lt;&gt;"",ISNUMBER(P541),P541&gt;0,NOT(ISNA(P541))),VLOOKUP(P541,'ESO zones'!$A$5:$D$10003,4,FALSE),IF(AND(K541&lt;&gt;"",K541&gt;0,NOT(ISERROR(K541))),VLOOKUP(K541,'ESO wayshrines'!$K$3:$N$9972,4,FALSE),"")))</f>
        <v>Cyrodiil</v>
      </c>
      <c r="T541" s="16" t="str">
        <f>IF(AND(S541&lt;&gt;"",NOT(ISERROR(S541))),S541,VLOOKUP(A541,'ESO Set&amp;DLCs'!$A$3:$D$99998,4,FALSE))</f>
        <v>DLC_BASE_GAME</v>
      </c>
      <c r="U541" s="3" t="str">
        <f>IF(T541&lt;&gt;"",VLOOKUP(T541,ConstDLCIds!$B$4:$C$1000,2,FALSE),"")</f>
        <v>Included in base game</v>
      </c>
      <c r="V541" s="4" t="s">
        <v>197</v>
      </c>
      <c r="Y541" s="5">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zones'!$A$5:$D$10003,4,FALSE),"")</f>
        <v>Cyrodiil</v>
      </c>
      <c r="AB541" s="4" t="s">
        <v>301</v>
      </c>
      <c r="AE541" s="5">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zones'!$A$5:$D$10003,4,FALSE),"")</f>
        <v>Cyrodiil</v>
      </c>
      <c r="AH541" s="4" t="s">
        <v>248</v>
      </c>
      <c r="AK541" s="3">
        <f>IF(AND(G541&lt;&gt;"LIBSETS_SETTYPE_BATTLEGROUND",G541&lt;&gt;"LIBSETS_SETTYPE_SPECIAL"),IF(AL541&lt;&gt;"",VLOOKUP(AL541,'ESO zones'!$D$5:$H$4957,5,FALSE),""),"")</f>
        <v>181</v>
      </c>
      <c r="AL541" t="s">
        <v>166</v>
      </c>
      <c r="AM541" s="4" t="s">
        <v>298</v>
      </c>
      <c r="AP541" s="3">
        <f>IF(AND(G541&lt;&gt;"LIBSETS_SETTYPE_BATTLEGROUND",G541&lt;&gt;"LIBSETS_SETTYPE_SPECIAL"),IF(AQ541&lt;&gt;"",VLOOKUP(AQ541,'ESO zones'!$D$5:$H$4957,5,FALSE),""),"")</f>
        <v>181</v>
      </c>
      <c r="AQ541" t="s">
        <v>166</v>
      </c>
      <c r="AR541" s="4" t="s">
        <v>215</v>
      </c>
      <c r="AU541" s="3">
        <f>IF(AND(G541&lt;&gt;"LIBSETS_SETTYPE_BATTLEGROUND",G541&lt;&gt;"LIBSETS_SETTYPE_SPECIAL"),IF(AV541&lt;&gt;"",VLOOKUP(AV541,'ESO zones'!$D$5:$H$4957,5,FALSE),""),"")</f>
        <v>181</v>
      </c>
      <c r="AV541" t="s">
        <v>166</v>
      </c>
      <c r="AW541" s="4" t="s">
        <v>257</v>
      </c>
      <c r="AZ541" s="53" t="s">
        <v>403</v>
      </c>
      <c r="BA541" s="49"/>
      <c r="BB541" s="49"/>
      <c r="BC541" s="49"/>
      <c r="BD541" s="49"/>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1">
        <v>618</v>
      </c>
      <c r="B542" t="s">
        <v>1654</v>
      </c>
      <c r="C542" t="s">
        <v>1655</v>
      </c>
      <c r="D542" s="3">
        <f t="shared" si="48"/>
        <v>618</v>
      </c>
      <c r="G542" s="3" t="s">
        <v>165</v>
      </c>
      <c r="I542" t="s">
        <v>401</v>
      </c>
      <c r="J542" t="s">
        <v>401</v>
      </c>
      <c r="K542">
        <v>-1</v>
      </c>
      <c r="L542">
        <v>-1</v>
      </c>
      <c r="M542">
        <v>-1</v>
      </c>
      <c r="O542" s="5" t="s">
        <v>166</v>
      </c>
      <c r="Q542" s="3">
        <f>IF(AND(P542&lt;&gt;"",ISNUMBER(P542),NOT(ISNA(P542))),P542,IF(R542&lt;&gt;"",VLOOKUP(R542,'ESO zones'!$D$5:$H$10005,5,FALSE),""))</f>
        <v>181</v>
      </c>
      <c r="R542" t="str">
        <f>IF(AND(O542&lt;&gt;"",NOT(ISERROR(O542))),O542,IF(AND(P542&lt;&gt;"",ISNUMBER(P542),P542&gt;0,NOT(ISNA(P542))),VLOOKUP(P542,'ESO zones'!$A$5:$D$10003,4,FALSE),IF(AND(K542&lt;&gt;"",K542&gt;0,NOT(ISERROR(K542))),VLOOKUP(K542,'ESO wayshrines'!$K$3:$N$9972,4,FALSE),"")))</f>
        <v>Cyrodiil</v>
      </c>
      <c r="T542" s="16" t="str">
        <f>IF(AND(S542&lt;&gt;"",NOT(ISERROR(S542))),S542,VLOOKUP(A542,'ESO Set&amp;DLCs'!$A$3:$D$99998,4,FALSE))</f>
        <v>DLC_BASE_GAME</v>
      </c>
      <c r="U542" s="3" t="str">
        <f>IF(T542&lt;&gt;"",VLOOKUP(T542,ConstDLCIds!$B$4:$C$1000,2,FALSE),"")</f>
        <v>Included in base game</v>
      </c>
      <c r="V542" s="4" t="s">
        <v>197</v>
      </c>
      <c r="Y542" s="5">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zones'!$A$5:$D$10003,4,FALSE),"")</f>
        <v>Cyrodiil</v>
      </c>
      <c r="AB542" s="4" t="s">
        <v>301</v>
      </c>
      <c r="AE542" s="5">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zones'!$A$5:$D$10003,4,FALSE),"")</f>
        <v>Cyrodiil</v>
      </c>
      <c r="AH542" s="4" t="s">
        <v>248</v>
      </c>
      <c r="AK542" s="3">
        <f>IF(AND(G542&lt;&gt;"LIBSETS_SETTYPE_BATTLEGROUND",G542&lt;&gt;"LIBSETS_SETTYPE_SPECIAL"),IF(AL542&lt;&gt;"",VLOOKUP(AL542,'ESO zones'!$D$5:$H$4957,5,FALSE),""),"")</f>
        <v>181</v>
      </c>
      <c r="AL542" t="s">
        <v>166</v>
      </c>
      <c r="AM542" s="4" t="s">
        <v>298</v>
      </c>
      <c r="AP542" s="3">
        <f>IF(AND(G542&lt;&gt;"LIBSETS_SETTYPE_BATTLEGROUND",G542&lt;&gt;"LIBSETS_SETTYPE_SPECIAL"),IF(AQ542&lt;&gt;"",VLOOKUP(AQ542,'ESO zones'!$D$5:$H$4957,5,FALSE),""),"")</f>
        <v>181</v>
      </c>
      <c r="AQ542" t="s">
        <v>166</v>
      </c>
      <c r="AR542" s="4" t="s">
        <v>215</v>
      </c>
      <c r="AU542" s="3">
        <f>IF(AND(G542&lt;&gt;"LIBSETS_SETTYPE_BATTLEGROUND",G542&lt;&gt;"LIBSETS_SETTYPE_SPECIAL"),IF(AV542&lt;&gt;"",VLOOKUP(AV542,'ESO zones'!$D$5:$H$4957,5,FALSE),""),"")</f>
        <v>181</v>
      </c>
      <c r="AV542" t="s">
        <v>166</v>
      </c>
      <c r="AW542" s="4" t="s">
        <v>257</v>
      </c>
      <c r="AZ542" s="53" t="s">
        <v>403</v>
      </c>
      <c r="BA542" s="49"/>
      <c r="BB542" s="49"/>
      <c r="BC542" s="49"/>
      <c r="BD542" s="49"/>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1">
        <v>619</v>
      </c>
      <c r="B543" t="s">
        <v>1656</v>
      </c>
      <c r="C543" t="s">
        <v>1657</v>
      </c>
      <c r="D543" s="3">
        <f t="shared" si="48"/>
        <v>619</v>
      </c>
      <c r="G543" s="9" t="s">
        <v>169</v>
      </c>
      <c r="I543" t="s">
        <v>401</v>
      </c>
      <c r="J543" t="s">
        <v>401</v>
      </c>
      <c r="K543">
        <v>497</v>
      </c>
      <c r="L543">
        <v>497</v>
      </c>
      <c r="M543">
        <v>497</v>
      </c>
      <c r="O543" s="5" t="s">
        <v>1658</v>
      </c>
      <c r="Q543" s="3">
        <f>IF(AND(P543&lt;&gt;"",ISNUMBER(P543),NOT(ISNA(P543))),P543,IF(R543&lt;&gt;"",VLOOKUP(R543,'ESO zones'!$D$5:$H$10005,5,FALSE),""))</f>
        <v>1301</v>
      </c>
      <c r="R543" t="str">
        <f>IF(AND(O543&lt;&gt;"",NOT(ISERROR(O543))),O543,IF(AND(P543&lt;&gt;"",ISNUMBER(P543),P543&gt;0,NOT(ISNA(P543))),VLOOKUP(P543,'ESO zones'!$A$5:$D$10003,4,FALSE),IF(AND(K543&lt;&gt;"",K543&gt;0,NOT(ISERROR(K543))),VLOOKUP(K543,'ESO wayshrines'!$K$3:$N$9972,4,FALSE),"")))</f>
        <v>Coral Aerie</v>
      </c>
      <c r="T543" s="16" t="str">
        <f>IF(AND(S543&lt;&gt;"",NOT(ISERROR(S543))),S543,VLOOKUP(A543,'ESO Set&amp;DLCs'!$A$3:$D$99998,4,FALSE))</f>
        <v>DLC_ASCENDING_TIDE</v>
      </c>
      <c r="U543" s="3" t="str">
        <f>IF(T543&lt;&gt;"",VLOOKUP(T543,ConstDLCIds!$B$4:$C$1000,2,FALSE),"")</f>
        <v>Ascending Tide</v>
      </c>
      <c r="V543" s="57" t="s">
        <v>278</v>
      </c>
      <c r="Y543" s="5"/>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zones'!$A$5:$D$10003,4,FALSE),"")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zones'!$A$5:$D$10003,4,FALSE),"")</f>
        <v>Summerset</v>
      </c>
      <c r="AK543" s="3" t="str">
        <f>IF(AND(G543&lt;&gt;"LIBSETS_SETTYPE_BATTLEGROUND",G543&lt;&gt;"LIBSETS_SETTYPE_SPECIAL"),IF(AL543&lt;&gt;"",VLOOKUP(AL543,'ESO zones'!$D$5:$H$4957,5,FALSE),""),"")</f>
        <v/>
      </c>
      <c r="AP543" s="3" t="str">
        <f>IF(AND(G543&lt;&gt;"LIBSETS_SETTYPE_BATTLEGROUND",G543&lt;&gt;"LIBSETS_SETTYPE_SPECIAL"),IF(AQ543&lt;&gt;"",VLOOKUP(AQ543,'ESO zones'!$D$5:$H$4957,5,FALSE),""),"")</f>
        <v/>
      </c>
      <c r="AU543" s="3" t="str">
        <f>IF(AND(G543&lt;&gt;"LIBSETS_SETTYPE_BATTLEGROUND",G543&lt;&gt;"LIBSETS_SETTYPE_SPECIAL"),IF(AV543&lt;&gt;"",VLOOKUP(AV543,'ESO zones'!$D$5:$H$4957,5,FALSE),""),"")</f>
        <v/>
      </c>
      <c r="BA543" s="52"/>
      <c r="BB543" s="52"/>
      <c r="BC543" s="52"/>
      <c r="BD543" s="52"/>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1">
        <v>620</v>
      </c>
      <c r="B544" t="s">
        <v>1659</v>
      </c>
      <c r="C544" t="s">
        <v>1660</v>
      </c>
      <c r="D544" s="3">
        <f t="shared" si="48"/>
        <v>620</v>
      </c>
      <c r="G544" s="9" t="s">
        <v>169</v>
      </c>
      <c r="I544" t="s">
        <v>401</v>
      </c>
      <c r="J544" t="s">
        <v>401</v>
      </c>
      <c r="K544">
        <v>497</v>
      </c>
      <c r="L544">
        <v>497</v>
      </c>
      <c r="M544">
        <v>497</v>
      </c>
      <c r="O544" s="5" t="s">
        <v>1658</v>
      </c>
      <c r="Q544" s="3">
        <f>IF(AND(P544&lt;&gt;"",ISNUMBER(P544),NOT(ISNA(P544))),P544,IF(R544&lt;&gt;"",VLOOKUP(R544,'ESO zones'!$D$5:$H$10005,5,FALSE),""))</f>
        <v>1301</v>
      </c>
      <c r="R544" t="str">
        <f>IF(AND(O544&lt;&gt;"",NOT(ISERROR(O544))),O544,IF(AND(P544&lt;&gt;"",ISNUMBER(P544),P544&gt;0,NOT(ISNA(P544))),VLOOKUP(P544,'ESO zones'!$A$5:$D$10003,4,FALSE),IF(AND(K544&lt;&gt;"",K544&gt;0,NOT(ISERROR(K544))),VLOOKUP(K544,'ESO wayshrines'!$K$3:$N$9972,4,FALSE),"")))</f>
        <v>Coral Aerie</v>
      </c>
      <c r="T544" s="16" t="str">
        <f>IF(AND(S544&lt;&gt;"",NOT(ISERROR(S544))),S544,VLOOKUP(A544,'ESO Set&amp;DLCs'!$A$3:$D$99998,4,FALSE))</f>
        <v>DLC_ASCENDING_TIDE</v>
      </c>
      <c r="U544" s="3" t="str">
        <f>IF(T544&lt;&gt;"",VLOOKUP(T544,ConstDLCIds!$B$4:$C$1000,2,FALSE),"")</f>
        <v>Ascending Tide</v>
      </c>
      <c r="V544" s="57" t="s">
        <v>278</v>
      </c>
      <c r="Y544" s="5"/>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zones'!$A$5:$D$10003,4,FALSE),"")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zones'!$A$5:$D$10003,4,FALSE),"")</f>
        <v>Summerset</v>
      </c>
      <c r="AK544" s="3" t="str">
        <f>IF(AND(G544&lt;&gt;"LIBSETS_SETTYPE_BATTLEGROUND",G544&lt;&gt;"LIBSETS_SETTYPE_SPECIAL"),IF(AL544&lt;&gt;"",VLOOKUP(AL544,'ESO zones'!$D$5:$H$4957,5,FALSE),""),"")</f>
        <v/>
      </c>
      <c r="AP544" s="3" t="str">
        <f>IF(AND(G544&lt;&gt;"LIBSETS_SETTYPE_BATTLEGROUND",G544&lt;&gt;"LIBSETS_SETTYPE_SPECIAL"),IF(AQ544&lt;&gt;"",VLOOKUP(AQ544,'ESO zones'!$D$5:$H$4957,5,FALSE),""),"")</f>
        <v/>
      </c>
      <c r="AU544" s="3" t="str">
        <f>IF(AND(G544&lt;&gt;"LIBSETS_SETTYPE_BATTLEGROUND",G544&lt;&gt;"LIBSETS_SETTYPE_SPECIAL"),IF(AV544&lt;&gt;"",VLOOKUP(AV544,'ESO zones'!$D$5:$H$4957,5,FALSE),""),"")</f>
        <v/>
      </c>
      <c r="BA544" s="52"/>
      <c r="BB544" s="52"/>
      <c r="BC544" s="52"/>
      <c r="BD544" s="52"/>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1">
        <v>621</v>
      </c>
      <c r="B545" t="s">
        <v>1661</v>
      </c>
      <c r="C545" t="s">
        <v>1662</v>
      </c>
      <c r="D545" s="3">
        <f t="shared" si="48"/>
        <v>621</v>
      </c>
      <c r="G545" s="9" t="s">
        <v>169</v>
      </c>
      <c r="I545" t="s">
        <v>401</v>
      </c>
      <c r="J545" t="s">
        <v>401</v>
      </c>
      <c r="K545">
        <v>497</v>
      </c>
      <c r="L545">
        <v>497</v>
      </c>
      <c r="M545">
        <v>497</v>
      </c>
      <c r="O545" s="5" t="s">
        <v>1658</v>
      </c>
      <c r="Q545" s="3">
        <f>IF(AND(P545&lt;&gt;"",ISNUMBER(P545),NOT(ISNA(P545))),P545,IF(R545&lt;&gt;"",VLOOKUP(R545,'ESO zones'!$D$5:$H$10005,5,FALSE),""))</f>
        <v>1301</v>
      </c>
      <c r="R545" t="str">
        <f>IF(AND(O545&lt;&gt;"",NOT(ISERROR(O545))),O545,IF(AND(P545&lt;&gt;"",ISNUMBER(P545),P545&gt;0,NOT(ISNA(P545))),VLOOKUP(P545,'ESO zones'!$A$5:$D$10003,4,FALSE),IF(AND(K545&lt;&gt;"",K545&gt;0,NOT(ISERROR(K545))),VLOOKUP(K545,'ESO wayshrines'!$K$3:$N$9972,4,FALSE),"")))</f>
        <v>Coral Aerie</v>
      </c>
      <c r="T545" s="16" t="str">
        <f>IF(AND(S545&lt;&gt;"",NOT(ISERROR(S545))),S545,VLOOKUP(A545,'ESO Set&amp;DLCs'!$A$3:$D$99998,4,FALSE))</f>
        <v>DLC_ASCENDING_TIDE</v>
      </c>
      <c r="U545" s="3" t="str">
        <f>IF(T545&lt;&gt;"",VLOOKUP(T545,ConstDLCIds!$B$4:$C$1000,2,FALSE),"")</f>
        <v>Ascending Tide</v>
      </c>
      <c r="V545" s="57" t="s">
        <v>278</v>
      </c>
      <c r="Y545" s="5"/>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zones'!$A$5:$D$10003,4,FALSE),"")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zones'!$A$5:$D$10003,4,FALSE),"")</f>
        <v>Summerset</v>
      </c>
      <c r="AK545" s="3" t="str">
        <f>IF(AND(G545&lt;&gt;"LIBSETS_SETTYPE_BATTLEGROUND",G545&lt;&gt;"LIBSETS_SETTYPE_SPECIAL"),IF(AL545&lt;&gt;"",VLOOKUP(AL545,'ESO zones'!$D$5:$H$4957,5,FALSE),""),"")</f>
        <v/>
      </c>
      <c r="AP545" s="3" t="str">
        <f>IF(AND(G545&lt;&gt;"LIBSETS_SETTYPE_BATTLEGROUND",G545&lt;&gt;"LIBSETS_SETTYPE_SPECIAL"),IF(AQ545&lt;&gt;"",VLOOKUP(AQ545,'ESO zones'!$D$5:$H$4957,5,FALSE),""),"")</f>
        <v/>
      </c>
      <c r="AU545" s="3" t="str">
        <f>IF(AND(G545&lt;&gt;"LIBSETS_SETTYPE_BATTLEGROUND",G545&lt;&gt;"LIBSETS_SETTYPE_SPECIAL"),IF(AV545&lt;&gt;"",VLOOKUP(AV545,'ESO zones'!$D$5:$H$4957,5,FALSE),""),"")</f>
        <v/>
      </c>
      <c r="BA545" s="52"/>
      <c r="BB545" s="52"/>
      <c r="BC545" s="52"/>
      <c r="BD545" s="52"/>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1">
        <v>622</v>
      </c>
      <c r="B546" t="s">
        <v>1663</v>
      </c>
      <c r="C546" t="s">
        <v>1664</v>
      </c>
      <c r="D546" s="3">
        <f t="shared" si="48"/>
        <v>622</v>
      </c>
      <c r="G546" s="9" t="s">
        <v>169</v>
      </c>
      <c r="I546" t="s">
        <v>401</v>
      </c>
      <c r="J546" t="s">
        <v>401</v>
      </c>
      <c r="K546">
        <v>498</v>
      </c>
      <c r="L546">
        <v>498</v>
      </c>
      <c r="M546">
        <v>498</v>
      </c>
      <c r="O546" s="5" t="s">
        <v>1665</v>
      </c>
      <c r="Q546" s="3">
        <f>IF(AND(P546&lt;&gt;"",ISNUMBER(P546),NOT(ISNA(P546))),P546,IF(R546&lt;&gt;"",VLOOKUP(R546,'ESO zones'!$D$5:$H$10005,5,FALSE),""))</f>
        <v>1302</v>
      </c>
      <c r="R546" t="str">
        <f>IF(AND(O546&lt;&gt;"",NOT(ISERROR(O546))),O546,IF(AND(P546&lt;&gt;"",ISNUMBER(P546),P546&gt;0,NOT(ISNA(P546))),VLOOKUP(P546,'ESO zones'!$A$5:$D$10003,4,FALSE),IF(AND(K546&lt;&gt;"",K546&gt;0,NOT(ISERROR(K546))),VLOOKUP(K546,'ESO wayshrines'!$K$3:$N$9972,4,FALSE),"")))</f>
        <v>Shipwright's Regret</v>
      </c>
      <c r="T546" s="16" t="str">
        <f>IF(AND(S546&lt;&gt;"",NOT(ISERROR(S546))),S546,VLOOKUP(A546,'ESO Set&amp;DLCs'!$A$3:$D$99998,4,FALSE))</f>
        <v>DLC_ASCENDING_TIDE</v>
      </c>
      <c r="U546" s="3" t="str">
        <f>IF(T546&lt;&gt;"",VLOOKUP(T546,ConstDLCIds!$B$4:$C$1000,2,FALSE),"")</f>
        <v>Ascending Tide</v>
      </c>
      <c r="V546" s="57" t="s">
        <v>278</v>
      </c>
      <c r="Y546" s="5"/>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zones'!$A$5:$D$10003,4,FALSE),"")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zones'!$A$5:$D$10003,4,FALSE),"")</f>
        <v>Rivenspire</v>
      </c>
      <c r="AK546" s="3" t="str">
        <f>IF(AND(G546&lt;&gt;"LIBSETS_SETTYPE_BATTLEGROUND",G546&lt;&gt;"LIBSETS_SETTYPE_SPECIAL"),IF(AL546&lt;&gt;"",VLOOKUP(AL546,'ESO zones'!$D$5:$H$4957,5,FALSE),""),"")</f>
        <v/>
      </c>
      <c r="AP546" s="3" t="str">
        <f>IF(AND(G546&lt;&gt;"LIBSETS_SETTYPE_BATTLEGROUND",G546&lt;&gt;"LIBSETS_SETTYPE_SPECIAL"),IF(AQ546&lt;&gt;"",VLOOKUP(AQ546,'ESO zones'!$D$5:$H$4957,5,FALSE),""),"")</f>
        <v/>
      </c>
      <c r="AU546" s="3" t="str">
        <f>IF(AND(G546&lt;&gt;"LIBSETS_SETTYPE_BATTLEGROUND",G546&lt;&gt;"LIBSETS_SETTYPE_SPECIAL"),IF(AV546&lt;&gt;"",VLOOKUP(AV546,'ESO zones'!$D$5:$H$4957,5,FALSE),""),"")</f>
        <v/>
      </c>
      <c r="BA546" s="52"/>
      <c r="BB546" s="52"/>
      <c r="BC546" s="52"/>
      <c r="BD546" s="52"/>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1">
        <v>623</v>
      </c>
      <c r="B547" t="s">
        <v>1666</v>
      </c>
      <c r="C547" t="s">
        <v>1667</v>
      </c>
      <c r="D547" s="3">
        <f t="shared" si="48"/>
        <v>623</v>
      </c>
      <c r="G547" s="9" t="s">
        <v>169</v>
      </c>
      <c r="I547" t="s">
        <v>401</v>
      </c>
      <c r="J547" t="s">
        <v>401</v>
      </c>
      <c r="K547">
        <v>498</v>
      </c>
      <c r="L547">
        <v>498</v>
      </c>
      <c r="M547">
        <v>498</v>
      </c>
      <c r="O547" s="5" t="s">
        <v>1665</v>
      </c>
      <c r="Q547" s="3">
        <f>IF(AND(P547&lt;&gt;"",ISNUMBER(P547),NOT(ISNA(P547))),P547,IF(R547&lt;&gt;"",VLOOKUP(R547,'ESO zones'!$D$5:$H$10005,5,FALSE),""))</f>
        <v>1302</v>
      </c>
      <c r="R547" t="str">
        <f>IF(AND(O547&lt;&gt;"",NOT(ISERROR(O547))),O547,IF(AND(P547&lt;&gt;"",ISNUMBER(P547),P547&gt;0,NOT(ISNA(P547))),VLOOKUP(P547,'ESO zones'!$A$5:$D$10003,4,FALSE),IF(AND(K547&lt;&gt;"",K547&gt;0,NOT(ISERROR(K547))),VLOOKUP(K547,'ESO wayshrines'!$K$3:$N$9972,4,FALSE),"")))</f>
        <v>Shipwright's Regret</v>
      </c>
      <c r="T547" s="16" t="str">
        <f>IF(AND(S547&lt;&gt;"",NOT(ISERROR(S547))),S547,VLOOKUP(A547,'ESO Set&amp;DLCs'!$A$3:$D$99998,4,FALSE))</f>
        <v>DLC_ASCENDING_TIDE</v>
      </c>
      <c r="U547" s="3" t="str">
        <f>IF(T547&lt;&gt;"",VLOOKUP(T547,ConstDLCIds!$B$4:$C$1000,2,FALSE),"")</f>
        <v>Ascending Tide</v>
      </c>
      <c r="V547" s="57" t="s">
        <v>278</v>
      </c>
      <c r="Y547" s="5"/>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zones'!$A$5:$D$10003,4,FALSE),"")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zones'!$A$5:$D$10003,4,FALSE),"")</f>
        <v>Rivenspire</v>
      </c>
      <c r="AK547" s="3" t="str">
        <f>IF(AND(G547&lt;&gt;"LIBSETS_SETTYPE_BATTLEGROUND",G547&lt;&gt;"LIBSETS_SETTYPE_SPECIAL"),IF(AL547&lt;&gt;"",VLOOKUP(AL547,'ESO zones'!$D$5:$H$4957,5,FALSE),""),"")</f>
        <v/>
      </c>
      <c r="AP547" s="3" t="str">
        <f>IF(AND(G547&lt;&gt;"LIBSETS_SETTYPE_BATTLEGROUND",G547&lt;&gt;"LIBSETS_SETTYPE_SPECIAL"),IF(AQ547&lt;&gt;"",VLOOKUP(AQ547,'ESO zones'!$D$5:$H$4957,5,FALSE),""),"")</f>
        <v/>
      </c>
      <c r="AU547" s="3" t="str">
        <f>IF(AND(G547&lt;&gt;"LIBSETS_SETTYPE_BATTLEGROUND",G547&lt;&gt;"LIBSETS_SETTYPE_SPECIAL"),IF(AV547&lt;&gt;"",VLOOKUP(AV547,'ESO zones'!$D$5:$H$4957,5,FALSE),""),"")</f>
        <v/>
      </c>
      <c r="BA547" s="52"/>
      <c r="BB547" s="52"/>
      <c r="BC547" s="52"/>
      <c r="BD547" s="52"/>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1">
        <v>624</v>
      </c>
      <c r="B548" t="s">
        <v>1668</v>
      </c>
      <c r="C548" t="s">
        <v>1669</v>
      </c>
      <c r="D548" s="3">
        <f t="shared" si="48"/>
        <v>624</v>
      </c>
      <c r="G548" s="9" t="s">
        <v>169</v>
      </c>
      <c r="I548" t="s">
        <v>401</v>
      </c>
      <c r="J548" t="s">
        <v>401</v>
      </c>
      <c r="K548">
        <v>498</v>
      </c>
      <c r="L548">
        <v>498</v>
      </c>
      <c r="M548">
        <v>498</v>
      </c>
      <c r="O548" s="5" t="s">
        <v>1665</v>
      </c>
      <c r="Q548" s="3">
        <f>IF(AND(P548&lt;&gt;"",ISNUMBER(P548),NOT(ISNA(P548))),P548,IF(R548&lt;&gt;"",VLOOKUP(R548,'ESO zones'!$D$5:$H$10005,5,FALSE),""))</f>
        <v>1302</v>
      </c>
      <c r="R548" t="str">
        <f>IF(AND(O548&lt;&gt;"",NOT(ISERROR(O548))),O548,IF(AND(P548&lt;&gt;"",ISNUMBER(P548),P548&gt;0,NOT(ISNA(P548))),VLOOKUP(P548,'ESO zones'!$A$5:$D$10003,4,FALSE),IF(AND(K548&lt;&gt;"",K548&gt;0,NOT(ISERROR(K548))),VLOOKUP(K548,'ESO wayshrines'!$K$3:$N$9972,4,FALSE),"")))</f>
        <v>Shipwright's Regret</v>
      </c>
      <c r="T548" s="16" t="str">
        <f>IF(AND(S548&lt;&gt;"",NOT(ISERROR(S548))),S548,VLOOKUP(A548,'ESO Set&amp;DLCs'!$A$3:$D$99998,4,FALSE))</f>
        <v>DLC_ASCENDING_TIDE</v>
      </c>
      <c r="U548" s="3" t="str">
        <f>IF(T548&lt;&gt;"",VLOOKUP(T548,ConstDLCIds!$B$4:$C$1000,2,FALSE),"")</f>
        <v>Ascending Tide</v>
      </c>
      <c r="V548" s="57" t="s">
        <v>278</v>
      </c>
      <c r="Y548" s="5"/>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zones'!$A$5:$D$10003,4,FALSE),"")</f>
        <v>Rivenspire</v>
      </c>
      <c r="AE548" s="30"/>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zones'!$A$5:$D$10003,4,FALSE),"")</f>
        <v>Rivenspire</v>
      </c>
      <c r="AK548" s="3" t="str">
        <f>IF(AND(G548&lt;&gt;"LIBSETS_SETTYPE_BATTLEGROUND",G548&lt;&gt;"LIBSETS_SETTYPE_SPECIAL"),IF(AL548&lt;&gt;"",VLOOKUP(AL548,'ESO zones'!$D$5:$H$4957,5,FALSE),""),"")</f>
        <v/>
      </c>
      <c r="AP548" s="3" t="str">
        <f>IF(AND(G548&lt;&gt;"LIBSETS_SETTYPE_BATTLEGROUND",G548&lt;&gt;"LIBSETS_SETTYPE_SPECIAL"),IF(AQ548&lt;&gt;"",VLOOKUP(AQ548,'ESO zones'!$D$5:$H$4957,5,FALSE),""),"")</f>
        <v/>
      </c>
      <c r="AU548" s="3" t="str">
        <f>IF(AND(G548&lt;&gt;"LIBSETS_SETTYPE_BATTLEGROUND",G548&lt;&gt;"LIBSETS_SETTYPE_SPECIAL"),IF(AV548&lt;&gt;"",VLOOKUP(AV548,'ESO zones'!$D$5:$H$4957,5,FALSE),""),"")</f>
        <v/>
      </c>
      <c r="BA548" s="52"/>
      <c r="BB548" s="52"/>
      <c r="BC548" s="52"/>
      <c r="BD548" s="52"/>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1">
        <v>625</v>
      </c>
      <c r="B549" t="s">
        <v>1670</v>
      </c>
      <c r="C549" t="s">
        <v>1671</v>
      </c>
      <c r="D549" s="3">
        <f t="shared" si="48"/>
        <v>625</v>
      </c>
      <c r="G549" s="3" t="s">
        <v>180</v>
      </c>
      <c r="I549" t="s">
        <v>401</v>
      </c>
      <c r="J549" t="s">
        <v>401</v>
      </c>
      <c r="K549">
        <v>130</v>
      </c>
      <c r="L549">
        <v>491</v>
      </c>
      <c r="M549">
        <v>493</v>
      </c>
      <c r="Q549" s="3">
        <f>IF(AND(P549&lt;&gt;"",ISNUMBER(P549),NOT(ISNA(P549))),P549,IF(R549&lt;&gt;"",VLOOKUP(R549,'ESO zones'!$D$5:$H$10005,5,FALSE),""))</f>
        <v>347</v>
      </c>
      <c r="R549" t="str">
        <f>IF(AND(O549&lt;&gt;"",NOT(ISERROR(O549))),O549,IF(AND(P549&lt;&gt;"",ISNUMBER(P549),P549&gt;0,NOT(ISNA(P549))),VLOOKUP(P549,'ESO zones'!$A$5:$D$10003,4,FALSE),IF(AND(K549&lt;&gt;"",K549&gt;0,NOT(ISERROR(K549))),VLOOKUP(K549,'ESO wayshrines'!$K$3:$N$9972,4,FALSE),"")))</f>
        <v>Coldharbour</v>
      </c>
      <c r="T549" s="16" t="str">
        <f>IF(AND(S549&lt;&gt;"",NOT(ISERROR(S549))),S549,VLOOKUP(A549,'ESO Set&amp;DLCs'!$A$3:$D$99998,4,FALSE))</f>
        <v>DLC_DEADLANDS</v>
      </c>
      <c r="U549" s="3" t="str">
        <f>IF(T549&lt;&gt;"",VLOOKUP(T549,ConstDLCIds!$B$4:$C$1000,2,FALSE),"")</f>
        <v>The Deadlands</v>
      </c>
      <c r="V549" s="4" t="s">
        <v>224</v>
      </c>
      <c r="Y549" s="5"/>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zones'!$A$5:$D$10003,4,FALSE),"")</f>
        <v>The Deadlands</v>
      </c>
      <c r="AB549" s="4"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zones'!$A$5:$D$10003,4,FALSE),"")</f>
        <v>The Shambles</v>
      </c>
      <c r="AH549" s="4" t="s">
        <v>218</v>
      </c>
      <c r="AI549" s="3" t="s">
        <v>1672</v>
      </c>
      <c r="AJ549" s="3" t="s">
        <v>1673</v>
      </c>
      <c r="AK549" s="3">
        <f>IF(AND(G549&lt;&gt;"LIBSETS_SETTYPE_BATTLEGROUND",G549&lt;&gt;"LIBSETS_SETTYPE_SPECIAL"),IF(AL549&lt;&gt;"",VLOOKUP(AL549,'ESO zones'!$D$5:$H$4957,5,FALSE),""),"")</f>
        <v>380</v>
      </c>
      <c r="AL549" t="s">
        <v>611</v>
      </c>
      <c r="AM549" s="4" t="s">
        <v>275</v>
      </c>
      <c r="AN549" s="3" t="s">
        <v>1451</v>
      </c>
      <c r="AO549" s="3" t="s">
        <v>1452</v>
      </c>
      <c r="AP549" s="3">
        <f>IF(AND(G549&lt;&gt;"LIBSETS_SETTYPE_BATTLEGROUND",G549&lt;&gt;"LIBSETS_SETTYPE_SPECIAL"),IF(AQ549&lt;&gt;"",VLOOKUP(AQ549,'ESO zones'!$D$5:$H$4957,5,FALSE),""),"")</f>
        <v>935</v>
      </c>
      <c r="AQ549" t="s">
        <v>747</v>
      </c>
      <c r="AR549" s="4" t="s">
        <v>275</v>
      </c>
      <c r="AS549" s="3" t="s">
        <v>1451</v>
      </c>
      <c r="AT549" s="3" t="s">
        <v>1452</v>
      </c>
      <c r="AU549" s="3">
        <f>IF(AND(G549&lt;&gt;"LIBSETS_SETTYPE_BATTLEGROUND",G549&lt;&gt;"LIBSETS_SETTYPE_SPECIAL"),IF(AV549&lt;&gt;"",VLOOKUP(AV549,'ESO zones'!$D$5:$H$4957,5,FALSE),""),"")</f>
        <v>1282</v>
      </c>
      <c r="AV549" t="s">
        <v>1674</v>
      </c>
      <c r="AW549" s="4" t="s">
        <v>263</v>
      </c>
      <c r="BA549" t="s">
        <v>1675</v>
      </c>
      <c r="BB549" t="s">
        <v>1675</v>
      </c>
      <c r="BC549"/>
      <c r="BD549"/>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1">
        <v>626</v>
      </c>
      <c r="B550" t="s">
        <v>1676</v>
      </c>
      <c r="C550" t="s">
        <v>1677</v>
      </c>
      <c r="D550" s="3">
        <f t="shared" si="48"/>
        <v>626</v>
      </c>
      <c r="G550" s="3" t="s">
        <v>180</v>
      </c>
      <c r="I550" t="s">
        <v>401</v>
      </c>
      <c r="J550" t="s">
        <v>401</v>
      </c>
      <c r="K550">
        <v>479</v>
      </c>
      <c r="L550">
        <v>253</v>
      </c>
      <c r="M550">
        <v>253</v>
      </c>
      <c r="Q550" s="3">
        <f>IF(AND(P550&lt;&gt;"",ISNUMBER(P550),NOT(ISNA(P550))),P550,IF(R550&lt;&gt;"",VLOOKUP(R550,'ESO zones'!$D$5:$H$10005,5,FALSE),""))</f>
        <v>1286</v>
      </c>
      <c r="R550" t="str">
        <f>IF(AND(O550&lt;&gt;"",NOT(ISERROR(O550))),O550,IF(AND(P550&lt;&gt;"",ISNUMBER(P550),P550&gt;0,NOT(ISNA(P550))),VLOOKUP(P550,'ESO zones'!$A$5:$D$10003,4,FALSE),IF(AND(K550&lt;&gt;"",K550&gt;0,NOT(ISERROR(K550))),VLOOKUP(K550,'ESO wayshrines'!$K$3:$N$9972,4,FALSE),"")))</f>
        <v>The Deadlands</v>
      </c>
      <c r="T550" s="16" t="str">
        <f>IF(AND(S550&lt;&gt;"",NOT(ISERROR(S550))),S550,VLOOKUP(A550,'ESO Set&amp;DLCs'!$A$3:$D$99998,4,FALSE))</f>
        <v>DLC_DEADLANDS</v>
      </c>
      <c r="U550" s="3" t="str">
        <f>IF(T550&lt;&gt;"",VLOOKUP(T550,ConstDLCIds!$B$4:$C$1000,2,FALSE),"")</f>
        <v>The Deadlands</v>
      </c>
      <c r="V550" s="4" t="s">
        <v>263</v>
      </c>
      <c r="Y550" s="5"/>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zones'!$A$5:$D$10003,4,FALSE),"")</f>
        <v>Gold Coast</v>
      </c>
      <c r="AB550" s="4" t="s">
        <v>218</v>
      </c>
      <c r="AE550" s="30"/>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zones'!$A$5:$D$10003,4,FALSE),"")</f>
        <v>Gold Coast</v>
      </c>
      <c r="AH550" s="4" t="s">
        <v>224</v>
      </c>
      <c r="AK550" s="3">
        <f>IF(AND(G550&lt;&gt;"LIBSETS_SETTYPE_BATTLEGROUND",G550&lt;&gt;"LIBSETS_SETTYPE_SPECIAL"),IF(AL550&lt;&gt;"",VLOOKUP(AL550,'ESO zones'!$D$5:$H$4957,5,FALSE),""),"")</f>
        <v>1228</v>
      </c>
      <c r="AL550" t="s">
        <v>1536</v>
      </c>
      <c r="AM550" s="4" t="s">
        <v>275</v>
      </c>
      <c r="AN550" s="3" t="s">
        <v>1451</v>
      </c>
      <c r="AO550" s="3" t="s">
        <v>1452</v>
      </c>
      <c r="AP550" s="3">
        <f>IF(AND(G550&lt;&gt;"LIBSETS_SETTYPE_BATTLEGROUND",G550&lt;&gt;"LIBSETS_SETTYPE_SPECIAL"),IF(AQ550&lt;&gt;"",VLOOKUP(AQ550,'ESO zones'!$D$5:$H$4957,5,FALSE),""),"")</f>
        <v>974</v>
      </c>
      <c r="AQ550" t="s">
        <v>1071</v>
      </c>
      <c r="AR550" s="4" t="s">
        <v>260</v>
      </c>
      <c r="AU550" s="3" t="str">
        <f>IF(AND(G550&lt;&gt;"LIBSETS_SETTYPE_BATTLEGROUND",G550&lt;&gt;"LIBSETS_SETTYPE_SPECIAL"),IF(AV550&lt;&gt;"",VLOOKUP(AV550,'ESO zones'!$D$5:$H$4957,5,FALSE),""),"")</f>
        <v/>
      </c>
      <c r="AV550" s="30"/>
      <c r="BA550" t="s">
        <v>1678</v>
      </c>
      <c r="BB550" t="s">
        <v>1678</v>
      </c>
      <c r="BC550"/>
      <c r="BD550"/>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dropMechanicDropLocationNames={['en']={'','','','Any mob','','',},['de']={'','','','Alle Gegner','','',},}</v>
      </c>
      <c r="BI550" s="18" t="str">
        <f t="shared" si="53"/>
        <v>, addTooltip={['en']='https://en.uesp.net/wiki/Online:Belharza%27s_Band',},}, --Belharza's Band / Belharzas Band   [The Deadlands, Gold Coast, Gold Coast, Black Drake Villa, Falkreath Hold]</v>
      </c>
    </row>
    <row r="551" spans="1:61" x14ac:dyDescent="0.25">
      <c r="A551" s="1">
        <v>627</v>
      </c>
      <c r="B551" t="s">
        <v>1679</v>
      </c>
      <c r="C551" t="s">
        <v>1680</v>
      </c>
      <c r="D551" s="3">
        <f t="shared" si="48"/>
        <v>627</v>
      </c>
      <c r="G551" s="3" t="s">
        <v>180</v>
      </c>
      <c r="I551" t="s">
        <v>401</v>
      </c>
      <c r="J551" t="s">
        <v>401</v>
      </c>
      <c r="K551">
        <v>479</v>
      </c>
      <c r="L551">
        <v>458</v>
      </c>
      <c r="M551">
        <v>75</v>
      </c>
      <c r="Q551" s="3">
        <f>IF(AND(P551&lt;&gt;"",ISNUMBER(P551),NOT(ISNA(P551))),P551,IF(R551&lt;&gt;"",VLOOKUP(R551,'ESO zones'!$D$5:$H$10005,5,FALSE),""))</f>
        <v>1286</v>
      </c>
      <c r="R551" t="str">
        <f>IF(AND(O551&lt;&gt;"",NOT(ISERROR(O551))),O551,IF(AND(P551&lt;&gt;"",ISNUMBER(P551),P551&gt;0,NOT(ISNA(P551))),VLOOKUP(P551,'ESO zones'!$A$5:$D$10003,4,FALSE),IF(AND(K551&lt;&gt;"",K551&gt;0,NOT(ISERROR(K551))),VLOOKUP(K551,'ESO wayshrines'!$K$3:$N$9972,4,FALSE),"")))</f>
        <v>The Deadlands</v>
      </c>
      <c r="T551" s="16" t="str">
        <f>IF(AND(S551&lt;&gt;"",NOT(ISERROR(S551))),S551,VLOOKUP(A551,'ESO Set&amp;DLCs'!$A$3:$D$99998,4,FALSE))</f>
        <v>DLC_DEADLANDS</v>
      </c>
      <c r="U551" s="3" t="str">
        <f>IF(T551&lt;&gt;"",VLOOKUP(T551,ConstDLCIds!$B$4:$C$1000,2,FALSE),"")</f>
        <v>The Deadlands</v>
      </c>
      <c r="V551" s="4" t="s">
        <v>218</v>
      </c>
      <c r="W551" s="3" t="s">
        <v>1681</v>
      </c>
      <c r="X551" s="3" t="s">
        <v>1681</v>
      </c>
      <c r="Y551" s="5"/>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zones'!$A$5:$D$10003,4,FALSE),"")</f>
        <v>Blackwood</v>
      </c>
      <c r="AB551" s="4" t="s">
        <v>269</v>
      </c>
      <c r="AE551" s="30"/>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zones'!$A$5:$D$10003,4,FALSE),"")</f>
        <v>Stonefalls</v>
      </c>
      <c r="AH551" s="4" t="s">
        <v>218</v>
      </c>
      <c r="AI551" s="3" t="s">
        <v>1682</v>
      </c>
      <c r="AJ551" s="3" t="s">
        <v>1683</v>
      </c>
      <c r="AK551" s="3">
        <f>IF(AND(G551&lt;&gt;"LIBSETS_SETTYPE_BATTLEGROUND",G551&lt;&gt;"LIBSETS_SETTYPE_SPECIAL"),IF(AL551&lt;&gt;"",VLOOKUP(AL551,'ESO zones'!$D$5:$H$4957,5,FALSE),""),"")</f>
        <v>0</v>
      </c>
      <c r="AL551" t="s">
        <v>1684</v>
      </c>
      <c r="AM551" s="4" t="s">
        <v>275</v>
      </c>
      <c r="AN551" s="3" t="s">
        <v>1685</v>
      </c>
      <c r="AO551" s="3" t="s">
        <v>1686</v>
      </c>
      <c r="AP551" s="3">
        <f>IF(AND(G551&lt;&gt;"LIBSETS_SETTYPE_BATTLEGROUND",G551&lt;&gt;"LIBSETS_SETTYPE_SPECIAL"),IF(AQ551&lt;&gt;"",VLOOKUP(AQ551,'ESO zones'!$D$5:$H$4957,5,FALSE),""),"")</f>
        <v>0</v>
      </c>
      <c r="AQ551" t="s">
        <v>1684</v>
      </c>
      <c r="AR551" s="4" t="s">
        <v>275</v>
      </c>
      <c r="AS551" s="3" t="s">
        <v>1687</v>
      </c>
      <c r="AT551" s="3" t="s">
        <v>1687</v>
      </c>
      <c r="AU551" s="3" t="str">
        <f>IF(AND(G551&lt;&gt;"LIBSETS_SETTYPE_BATTLEGROUND",G551&lt;&gt;"LIBSETS_SETTYPE_SPECIAL"),IF(AV551&lt;&gt;"",VLOOKUP(AV551,'ESO zones'!$D$5:$H$4957,5,FALSE),""),"")</f>
        <v/>
      </c>
      <c r="BA551" t="s">
        <v>1688</v>
      </c>
      <c r="BB551" t="s">
        <v>1688</v>
      </c>
      <c r="BC551"/>
      <c r="BD551"/>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1">
        <v>629</v>
      </c>
      <c r="B552" t="s">
        <v>1689</v>
      </c>
      <c r="C552" t="s">
        <v>1690</v>
      </c>
      <c r="D552" s="3">
        <f t="shared" si="48"/>
        <v>629</v>
      </c>
      <c r="G552" s="9" t="s">
        <v>165</v>
      </c>
      <c r="I552" t="s">
        <v>401</v>
      </c>
      <c r="J552" t="s">
        <v>401</v>
      </c>
      <c r="K552">
        <v>-1</v>
      </c>
      <c r="L552">
        <v>-1</v>
      </c>
      <c r="M552">
        <v>-1</v>
      </c>
      <c r="O552" s="5" t="s">
        <v>166</v>
      </c>
      <c r="Q552" s="3">
        <f>IF(AND(P552&lt;&gt;"",ISNUMBER(P552),NOT(ISNA(P552))),P552,IF(R552&lt;&gt;"",VLOOKUP(R552,'ESO zones'!$D$5:$H$10005,5,FALSE),""))</f>
        <v>181</v>
      </c>
      <c r="R552" t="str">
        <f>IF(AND(O552&lt;&gt;"",NOT(ISERROR(O552))),O552,IF(AND(P552&lt;&gt;"",ISNUMBER(P552),P552&gt;0,NOT(ISNA(P552))),VLOOKUP(P552,'ESO zones'!$A$5:$D$10003,4,FALSE),IF(AND(K552&lt;&gt;"",K552&gt;0,NOT(ISERROR(K552))),VLOOKUP(K552,'ESO wayshrines'!$K$3:$N$9972,4,FALSE),"")))</f>
        <v>Cyrodiil</v>
      </c>
      <c r="T552" s="16" t="str">
        <f>IF(AND(S552&lt;&gt;"",NOT(ISERROR(S552))),S552,VLOOKUP(A552,'ESO Set&amp;DLCs'!$A$3:$D$99998,4,FALSE))</f>
        <v>DLC_BASE_GAME</v>
      </c>
      <c r="U552" s="3" t="str">
        <f>IF(T552&lt;&gt;"",VLOOKUP(T552,ConstDLCIds!$B$4:$C$1000,2,FALSE),"")</f>
        <v>Included in base game</v>
      </c>
      <c r="V552" s="4" t="s">
        <v>197</v>
      </c>
      <c r="Y552" s="5">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zones'!$A$5:$D$10003,4,FALSE),"")</f>
        <v>Cyrodiil</v>
      </c>
      <c r="AB552" s="4" t="s">
        <v>301</v>
      </c>
      <c r="AE552" s="5">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zones'!$A$5:$D$10003,4,FALSE),"")</f>
        <v>Cyrodiil</v>
      </c>
      <c r="AH552" s="4" t="s">
        <v>248</v>
      </c>
      <c r="AK552" s="3">
        <f>IF(AND(G552&lt;&gt;"LIBSETS_SETTYPE_BATTLEGROUND",G552&lt;&gt;"LIBSETS_SETTYPE_SPECIAL"),IF(AL552&lt;&gt;"",VLOOKUP(AL552,'ESO zones'!$D$5:$H$4957,5,FALSE),""),"")</f>
        <v>181</v>
      </c>
      <c r="AL552" t="s">
        <v>166</v>
      </c>
      <c r="AM552" s="4" t="s">
        <v>298</v>
      </c>
      <c r="AP552" s="3">
        <f>IF(AND(G552&lt;&gt;"LIBSETS_SETTYPE_BATTLEGROUND",G552&lt;&gt;"LIBSETS_SETTYPE_SPECIAL"),IF(AQ552&lt;&gt;"",VLOOKUP(AQ552,'ESO zones'!$D$5:$H$4957,5,FALSE),""),"")</f>
        <v>181</v>
      </c>
      <c r="AQ552" t="s">
        <v>166</v>
      </c>
      <c r="AR552" s="4" t="s">
        <v>215</v>
      </c>
      <c r="AU552" s="3">
        <f>IF(AND(G552&lt;&gt;"LIBSETS_SETTYPE_BATTLEGROUND",G552&lt;&gt;"LIBSETS_SETTYPE_SPECIAL"),IF(AV552&lt;&gt;"",VLOOKUP(AV552,'ESO zones'!$D$5:$H$4957,5,FALSE),""),"")</f>
        <v>181</v>
      </c>
      <c r="AV552" t="s">
        <v>166</v>
      </c>
      <c r="AW552" s="4" t="s">
        <v>257</v>
      </c>
      <c r="AZ552" s="49" t="s">
        <v>403</v>
      </c>
      <c r="BA552" s="49"/>
      <c r="BB552" s="49"/>
      <c r="BC552" s="49"/>
      <c r="BD552" s="49"/>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1">
        <v>630</v>
      </c>
      <c r="B553" t="s">
        <v>1691</v>
      </c>
      <c r="C553" t="s">
        <v>1692</v>
      </c>
      <c r="D553" s="3">
        <f t="shared" si="48"/>
        <v>630</v>
      </c>
      <c r="G553" s="9" t="s">
        <v>165</v>
      </c>
      <c r="I553" t="s">
        <v>401</v>
      </c>
      <c r="J553" t="s">
        <v>401</v>
      </c>
      <c r="K553">
        <v>-1</v>
      </c>
      <c r="L553">
        <v>-1</v>
      </c>
      <c r="M553">
        <v>-1</v>
      </c>
      <c r="O553" s="5" t="s">
        <v>166</v>
      </c>
      <c r="Q553" s="3">
        <f>IF(AND(P553&lt;&gt;"",ISNUMBER(P553),NOT(ISNA(P553))),P553,IF(R553&lt;&gt;"",VLOOKUP(R553,'ESO zones'!$D$5:$H$10005,5,FALSE),""))</f>
        <v>181</v>
      </c>
      <c r="R553" t="str">
        <f>IF(AND(O553&lt;&gt;"",NOT(ISERROR(O553))),O553,IF(AND(P553&lt;&gt;"",ISNUMBER(P553),P553&gt;0,NOT(ISNA(P553))),VLOOKUP(P553,'ESO zones'!$A$5:$D$10003,4,FALSE),IF(AND(K553&lt;&gt;"",K553&gt;0,NOT(ISERROR(K553))),VLOOKUP(K553,'ESO wayshrines'!$K$3:$N$9972,4,FALSE),"")))</f>
        <v>Cyrodiil</v>
      </c>
      <c r="T553" s="16" t="str">
        <f>IF(AND(S553&lt;&gt;"",NOT(ISERROR(S553))),S553,VLOOKUP(A553,'ESO Set&amp;DLCs'!$A$3:$D$99998,4,FALSE))</f>
        <v>DLC_BASE_GAME</v>
      </c>
      <c r="U553" s="3" t="str">
        <f>IF(T553&lt;&gt;"",VLOOKUP(T553,ConstDLCIds!$B$4:$C$1000,2,FALSE),"")</f>
        <v>Included in base game</v>
      </c>
      <c r="V553" s="4" t="s">
        <v>197</v>
      </c>
      <c r="Y553" s="5">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zones'!$A$5:$D$10003,4,FALSE),"")</f>
        <v>Cyrodiil</v>
      </c>
      <c r="AB553" s="4" t="s">
        <v>301</v>
      </c>
      <c r="AE553" s="5">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zones'!$A$5:$D$10003,4,FALSE),"")</f>
        <v>Cyrodiil</v>
      </c>
      <c r="AH553" s="4" t="s">
        <v>248</v>
      </c>
      <c r="AK553" s="3">
        <f>IF(AND(G553&lt;&gt;"LIBSETS_SETTYPE_BATTLEGROUND",G553&lt;&gt;"LIBSETS_SETTYPE_SPECIAL"),IF(AL553&lt;&gt;"",VLOOKUP(AL553,'ESO zones'!$D$5:$H$4957,5,FALSE),""),"")</f>
        <v>181</v>
      </c>
      <c r="AL553" t="s">
        <v>166</v>
      </c>
      <c r="AM553" s="4" t="s">
        <v>298</v>
      </c>
      <c r="AP553" s="3">
        <f>IF(AND(G553&lt;&gt;"LIBSETS_SETTYPE_BATTLEGROUND",G553&lt;&gt;"LIBSETS_SETTYPE_SPECIAL"),IF(AQ553&lt;&gt;"",VLOOKUP(AQ553,'ESO zones'!$D$5:$H$4957,5,FALSE),""),"")</f>
        <v>181</v>
      </c>
      <c r="AQ553" t="s">
        <v>166</v>
      </c>
      <c r="AR553" s="4" t="s">
        <v>215</v>
      </c>
      <c r="AU553" s="3">
        <f>IF(AND(G553&lt;&gt;"LIBSETS_SETTYPE_BATTLEGROUND",G553&lt;&gt;"LIBSETS_SETTYPE_SPECIAL"),IF(AV553&lt;&gt;"",VLOOKUP(AV553,'ESO zones'!$D$5:$H$4957,5,FALSE),""),"")</f>
        <v>181</v>
      </c>
      <c r="AV553" t="s">
        <v>166</v>
      </c>
      <c r="AW553" s="4" t="s">
        <v>257</v>
      </c>
      <c r="AZ553" s="49" t="s">
        <v>403</v>
      </c>
      <c r="BA553" s="49"/>
      <c r="BB553" s="49"/>
      <c r="BC553" s="49"/>
      <c r="BD553" s="49"/>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1">
        <v>631</v>
      </c>
      <c r="B554" t="s">
        <v>1693</v>
      </c>
      <c r="C554" t="s">
        <v>1694</v>
      </c>
      <c r="D554" s="3">
        <f t="shared" si="48"/>
        <v>631</v>
      </c>
      <c r="G554" s="9" t="s">
        <v>165</v>
      </c>
      <c r="I554" t="s">
        <v>401</v>
      </c>
      <c r="J554" t="s">
        <v>401</v>
      </c>
      <c r="K554">
        <v>-1</v>
      </c>
      <c r="L554">
        <v>-1</v>
      </c>
      <c r="M554">
        <v>-1</v>
      </c>
      <c r="O554" s="5" t="s">
        <v>166</v>
      </c>
      <c r="Q554" s="3">
        <f>IF(AND(P554&lt;&gt;"",ISNUMBER(P554),NOT(ISNA(P554))),P554,IF(R554&lt;&gt;"",VLOOKUP(R554,'ESO zones'!$D$5:$H$10005,5,FALSE),""))</f>
        <v>181</v>
      </c>
      <c r="R554" t="str">
        <f>IF(AND(O554&lt;&gt;"",NOT(ISERROR(O554))),O554,IF(AND(P554&lt;&gt;"",ISNUMBER(P554),P554&gt;0,NOT(ISNA(P554))),VLOOKUP(P554,'ESO zones'!$A$5:$D$10003,4,FALSE),IF(AND(K554&lt;&gt;"",K554&gt;0,NOT(ISERROR(K554))),VLOOKUP(K554,'ESO wayshrines'!$K$3:$N$9972,4,FALSE),"")))</f>
        <v>Cyrodiil</v>
      </c>
      <c r="T554" s="16" t="str">
        <f>IF(AND(S554&lt;&gt;"",NOT(ISERROR(S554))),S554,VLOOKUP(A554,'ESO Set&amp;DLCs'!$A$3:$D$99998,4,FALSE))</f>
        <v>DLC_BASE_GAME</v>
      </c>
      <c r="U554" s="3" t="str">
        <f>IF(T554&lt;&gt;"",VLOOKUP(T554,ConstDLCIds!$B$4:$C$1000,2,FALSE),"")</f>
        <v>Included in base game</v>
      </c>
      <c r="V554" s="4" t="s">
        <v>197</v>
      </c>
      <c r="Y554" s="5">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zones'!$A$5:$D$10003,4,FALSE),"")</f>
        <v>Cyrodiil</v>
      </c>
      <c r="AB554" s="4" t="s">
        <v>301</v>
      </c>
      <c r="AE554" s="5">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zones'!$A$5:$D$10003,4,FALSE),"")</f>
        <v>Cyrodiil</v>
      </c>
      <c r="AH554" s="4" t="s">
        <v>248</v>
      </c>
      <c r="AK554" s="3">
        <f>IF(AND(G554&lt;&gt;"LIBSETS_SETTYPE_BATTLEGROUND",G554&lt;&gt;"LIBSETS_SETTYPE_SPECIAL"),IF(AL554&lt;&gt;"",VLOOKUP(AL554,'ESO zones'!$D$5:$H$4957,5,FALSE),""),"")</f>
        <v>181</v>
      </c>
      <c r="AL554" t="s">
        <v>166</v>
      </c>
      <c r="AM554" s="4" t="s">
        <v>298</v>
      </c>
      <c r="AP554" s="3">
        <f>IF(AND(G554&lt;&gt;"LIBSETS_SETTYPE_BATTLEGROUND",G554&lt;&gt;"LIBSETS_SETTYPE_SPECIAL"),IF(AQ554&lt;&gt;"",VLOOKUP(AQ554,'ESO zones'!$D$5:$H$4957,5,FALSE),""),"")</f>
        <v>181</v>
      </c>
      <c r="AQ554" t="s">
        <v>166</v>
      </c>
      <c r="AR554" s="4" t="s">
        <v>215</v>
      </c>
      <c r="AU554" s="3">
        <f>IF(AND(G554&lt;&gt;"LIBSETS_SETTYPE_BATTLEGROUND",G554&lt;&gt;"LIBSETS_SETTYPE_SPECIAL"),IF(AV554&lt;&gt;"",VLOOKUP(AV554,'ESO zones'!$D$5:$H$4957,5,FALSE),""),"")</f>
        <v>181</v>
      </c>
      <c r="AV554" t="s">
        <v>166</v>
      </c>
      <c r="AW554" s="4" t="s">
        <v>257</v>
      </c>
      <c r="AZ554" s="49" t="s">
        <v>403</v>
      </c>
      <c r="BA554" s="49"/>
      <c r="BB554" s="49"/>
      <c r="BC554" s="49"/>
      <c r="BD554" s="49"/>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1">
        <v>632</v>
      </c>
      <c r="B555" t="s">
        <v>1695</v>
      </c>
      <c r="C555" t="s">
        <v>1695</v>
      </c>
      <c r="D555" s="3">
        <f t="shared" si="48"/>
        <v>632</v>
      </c>
      <c r="G555" s="9" t="s">
        <v>172</v>
      </c>
      <c r="H555">
        <v>3</v>
      </c>
      <c r="I555" t="s">
        <v>712</v>
      </c>
      <c r="J555" t="s">
        <v>401</v>
      </c>
      <c r="K555">
        <v>497</v>
      </c>
      <c r="L555">
        <v>497</v>
      </c>
      <c r="M555">
        <v>497</v>
      </c>
      <c r="O555" s="5" t="s">
        <v>1658</v>
      </c>
      <c r="Q555" s="3">
        <f>IF(AND(P555&lt;&gt;"",ISNUMBER(P555),NOT(ISNA(P555))),P555,IF(R555&lt;&gt;"",VLOOKUP(R555,'ESO zones'!$D$5:$H$10005,5,FALSE),""))</f>
        <v>1301</v>
      </c>
      <c r="R555" t="str">
        <f>IF(AND(O555&lt;&gt;"",NOT(ISERROR(O555))),O555,IF(AND(P555&lt;&gt;"",ISNUMBER(P555),P555&gt;0,NOT(ISNA(P555))),VLOOKUP(P555,'ESO zones'!$A$5:$D$10003,4,FALSE),IF(AND(K555&lt;&gt;"",K555&gt;0,NOT(ISERROR(K555))),VLOOKUP(K555,'ESO wayshrines'!$K$3:$N$9972,4,FALSE),"")))</f>
        <v>Coral Aerie</v>
      </c>
      <c r="T555" s="16" t="str">
        <f>IF(AND(S555&lt;&gt;"",NOT(ISERROR(S555))),S555,VLOOKUP(A555,'ESO Set&amp;DLCs'!$A$3:$D$99998,4,FALSE))</f>
        <v>DLC_ASCENDING_TIDE</v>
      </c>
      <c r="U555" s="3" t="str">
        <f>IF(T555&lt;&gt;"",VLOOKUP(T555,ConstDLCIds!$B$4:$C$1000,2,FALSE),"")</f>
        <v>Ascending Tide</v>
      </c>
      <c r="V555" s="4" t="s">
        <v>212</v>
      </c>
      <c r="W555" s="3" t="s">
        <v>1696</v>
      </c>
      <c r="X555" s="3" t="s">
        <v>1696</v>
      </c>
      <c r="Y555" s="5"/>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zones'!$A$5:$D$10003,4,FALSE),"")</f>
        <v>Summerset</v>
      </c>
      <c r="AC555" s="3" t="str">
        <f>IF(AB555&lt;&gt;"",IF(AB555&lt;&gt;"LIBSETS_DROP_MECHANIC_MONSTER_NAME",VLOOKUP(AB555,ConstDropMechs!$B$4:$C$1001,2,FALSE),""),"")</f>
        <v/>
      </c>
      <c r="AD555" s="3" t="str">
        <f>IF(AB555&lt;&gt;"",IF(AB555&lt;&gt;"LIBSETS_DROP_MECHANIC_MONSTER_NAME",VLOOKUP(AB555,ConstDropMechs!$B$4:$D$1001,3,FALSE),""),"")</f>
        <v/>
      </c>
      <c r="AE555" s="30"/>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zones'!$A$5:$D$10003,4,FALSE),"")</f>
        <v>Summerset</v>
      </c>
      <c r="AI555" s="30"/>
      <c r="AJ555" s="30"/>
      <c r="AK555" s="3" t="str">
        <f>IF(AND(G555&lt;&gt;"LIBSETS_SETTYPE_BATTLEGROUND",G555&lt;&gt;"LIBSETS_SETTYPE_SPECIAL"),IF(AL555&lt;&gt;"",VLOOKUP(AL555,'ESO zones'!$D$5:$H$4957,5,FALSE),""),"")</f>
        <v/>
      </c>
      <c r="AN555" s="30"/>
      <c r="AO555" s="30"/>
      <c r="AP555" s="3" t="str">
        <f>IF(AND(G555&lt;&gt;"LIBSETS_SETTYPE_BATTLEGROUND",G555&lt;&gt;"LIBSETS_SETTYPE_SPECIAL"),IF(AQ555&lt;&gt;"",VLOOKUP(AQ555,'ESO zones'!$D$5:$H$4957,5,FALSE),""),"")</f>
        <v/>
      </c>
      <c r="AS555" s="30"/>
      <c r="AT555" s="30"/>
      <c r="AU555" s="3" t="str">
        <f>IF(AND(G555&lt;&gt;"LIBSETS_SETTYPE_BATTLEGROUND",G555&lt;&gt;"LIBSETS_SETTYPE_SPECIAL"),IF(AV555&lt;&gt;"",VLOOKUP(AV555,'ESO zones'!$D$5:$H$4957,5,FALSE),""),"")</f>
        <v/>
      </c>
      <c r="AX555" s="30"/>
      <c r="AY555" s="30"/>
      <c r="AZ555" s="52"/>
      <c r="BA555" s="52"/>
      <c r="BB555" s="52"/>
      <c r="BC555" s="52"/>
      <c r="BD555" s="52"/>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1">
        <v>633</v>
      </c>
      <c r="B556" t="s">
        <v>1697</v>
      </c>
      <c r="C556" t="s">
        <v>1697</v>
      </c>
      <c r="D556" s="3">
        <f t="shared" si="48"/>
        <v>633</v>
      </c>
      <c r="G556" s="9" t="s">
        <v>172</v>
      </c>
      <c r="H556">
        <v>3</v>
      </c>
      <c r="I556" t="s">
        <v>712</v>
      </c>
      <c r="J556" t="s">
        <v>401</v>
      </c>
      <c r="K556">
        <v>498</v>
      </c>
      <c r="L556">
        <v>498</v>
      </c>
      <c r="M556">
        <v>498</v>
      </c>
      <c r="O556" s="5" t="s">
        <v>1665</v>
      </c>
      <c r="Q556" s="3">
        <f>IF(AND(P556&lt;&gt;"",ISNUMBER(P556),NOT(ISNA(P556))),P556,IF(R556&lt;&gt;"",VLOOKUP(R556,'ESO zones'!$D$5:$H$10005,5,FALSE),""))</f>
        <v>1302</v>
      </c>
      <c r="R556" t="str">
        <f>IF(AND(O556&lt;&gt;"",NOT(ISERROR(O556))),O556,IF(AND(P556&lt;&gt;"",ISNUMBER(P556),P556&gt;0,NOT(ISNA(P556))),VLOOKUP(P556,'ESO zones'!$A$5:$D$10003,4,FALSE),IF(AND(K556&lt;&gt;"",K556&gt;0,NOT(ISERROR(K556))),VLOOKUP(K556,'ESO wayshrines'!$K$3:$N$9972,4,FALSE),"")))</f>
        <v>Shipwright's Regret</v>
      </c>
      <c r="T556" s="16" t="str">
        <f>IF(AND(S556&lt;&gt;"",NOT(ISERROR(S556))),S556,VLOOKUP(A556,'ESO Set&amp;DLCs'!$A$3:$D$99998,4,FALSE))</f>
        <v>DLC_ASCENDING_TIDE</v>
      </c>
      <c r="U556" s="3" t="str">
        <f>IF(T556&lt;&gt;"",VLOOKUP(T556,ConstDLCIds!$B$4:$C$1000,2,FALSE),"")</f>
        <v>Ascending Tide</v>
      </c>
      <c r="V556" s="4" t="s">
        <v>212</v>
      </c>
      <c r="W556" s="3" t="s">
        <v>1697</v>
      </c>
      <c r="X556" s="3" t="s">
        <v>1697</v>
      </c>
      <c r="Y556" s="5"/>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zones'!$A$5:$D$10003,4,FALSE),"")</f>
        <v>Rivenspire</v>
      </c>
      <c r="AC556" s="3" t="str">
        <f>IF(AB556&lt;&gt;"",IF(AB556&lt;&gt;"LIBSETS_DROP_MECHANIC_MONSTER_NAME",VLOOKUP(AB556,ConstDropMechs!$B$4:$C$1001,2,FALSE),""),"")</f>
        <v/>
      </c>
      <c r="AD556" s="3" t="str">
        <f>IF(AB556&lt;&gt;"",IF(AB556&lt;&gt;"LIBSETS_DROP_MECHANIC_MONSTER_NAME",VLOOKUP(AB556,ConstDropMechs!$B$4:$D$1001,3,FALSE),""),"")</f>
        <v/>
      </c>
      <c r="AE556" s="30"/>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zones'!$A$5:$D$10003,4,FALSE),"")</f>
        <v>Rivenspire</v>
      </c>
      <c r="AI556" s="30"/>
      <c r="AJ556" s="30"/>
      <c r="AK556" s="3" t="str">
        <f>IF(AND(G556&lt;&gt;"LIBSETS_SETTYPE_BATTLEGROUND",G556&lt;&gt;"LIBSETS_SETTYPE_SPECIAL"),IF(AL556&lt;&gt;"",VLOOKUP(AL556,'ESO zones'!$D$5:$H$4957,5,FALSE),""),"")</f>
        <v/>
      </c>
      <c r="AN556" s="30"/>
      <c r="AO556" s="30"/>
      <c r="AP556" s="3" t="str">
        <f>IF(AND(G556&lt;&gt;"LIBSETS_SETTYPE_BATTLEGROUND",G556&lt;&gt;"LIBSETS_SETTYPE_SPECIAL"),IF(AQ556&lt;&gt;"",VLOOKUP(AQ556,'ESO zones'!$D$5:$H$4957,5,FALSE),""),"")</f>
        <v/>
      </c>
      <c r="AS556" s="30"/>
      <c r="AT556" s="30"/>
      <c r="AU556" s="3" t="str">
        <f>IF(AND(G556&lt;&gt;"LIBSETS_SETTYPE_BATTLEGROUND",G556&lt;&gt;"LIBSETS_SETTYPE_SPECIAL"),IF(AV556&lt;&gt;"",VLOOKUP(AV556,'ESO zones'!$D$5:$H$4957,5,FALSE),""),"")</f>
        <v/>
      </c>
      <c r="AX556" s="30"/>
      <c r="AY556" s="30"/>
      <c r="AZ556" s="52"/>
      <c r="BA556" s="52"/>
      <c r="BB556" s="52"/>
      <c r="BC556" s="52"/>
      <c r="BD556" s="52"/>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1">
        <v>634</v>
      </c>
      <c r="B557" t="s">
        <v>1698</v>
      </c>
      <c r="C557" t="s">
        <v>1698</v>
      </c>
      <c r="D557" s="3">
        <f t="shared" si="48"/>
        <v>634</v>
      </c>
      <c r="F557" t="s">
        <v>183</v>
      </c>
      <c r="G557" s="9" t="s">
        <v>182</v>
      </c>
      <c r="I557" t="s">
        <v>401</v>
      </c>
      <c r="J557" t="s">
        <v>401</v>
      </c>
      <c r="K557">
        <v>-1</v>
      </c>
      <c r="L557">
        <v>-1</v>
      </c>
      <c r="M557">
        <v>-1</v>
      </c>
      <c r="N557" s="54"/>
      <c r="O557" s="5" t="s">
        <v>11</v>
      </c>
      <c r="Q557" s="3">
        <f>IF(AND(P557&lt;&gt;"",ISNUMBER(P557),NOT(ISNA(P557))),P557,IF(R557&lt;&gt;"",VLOOKUP(R557,'ESO zones'!$D$5:$H$10005,5,FALSE),""))</f>
        <v>584</v>
      </c>
      <c r="R557" t="str">
        <f>IF(AND(O557&lt;&gt;"",NOT(ISERROR(O557))),O557,IF(AND(P557&lt;&gt;"",ISNUMBER(P557),P557&gt;0,NOT(ISNA(P557))),VLOOKUP(P557,'ESO zones'!$A$5:$D$10003,4,FALSE),IF(AND(K557&lt;&gt;"",K557&gt;0,NOT(ISERROR(K557))),VLOOKUP(K557,'ESO wayshrines'!$K$3:$N$9972,4,FALSE),"")))</f>
        <v>Imperial City</v>
      </c>
      <c r="T557" s="16" t="str">
        <f>IF(AND(S557&lt;&gt;"",NOT(ISERROR(S557))),S557,VLOOKUP(A557,'ESO Set&amp;DLCs'!$A$3:$D$99998,4,FALSE))</f>
        <v>DLC_IMPERIAL_CITY</v>
      </c>
      <c r="U557" s="3" t="str">
        <f>IF(T557&lt;&gt;"",VLOOKUP(T557,ConstDLCIds!$B$4:$C$1000,2,FALSE),"")</f>
        <v>Imperial City</v>
      </c>
      <c r="V557" s="4" t="s">
        <v>212</v>
      </c>
      <c r="W557" s="3" t="s">
        <v>1699</v>
      </c>
      <c r="X557" s="3" t="s">
        <v>1700</v>
      </c>
      <c r="Y557" s="5">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zones'!$A$5:$D$10003,4,FALSE),"")</f>
        <v>Imperial Sewers</v>
      </c>
      <c r="AB557" s="4" t="s">
        <v>245</v>
      </c>
      <c r="AE557" s="30"/>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zones'!$A$5:$D$10003,4,FALSE),"")</f>
        <v/>
      </c>
      <c r="AI557" s="30"/>
      <c r="AJ557" s="30"/>
      <c r="AK557" s="3" t="str">
        <f>IF(AND(G557&lt;&gt;"LIBSETS_SETTYPE_BATTLEGROUND",G557&lt;&gt;"LIBSETS_SETTYPE_SPECIAL"),IF(AL557&lt;&gt;"",VLOOKUP(AL557,'ESO zones'!$D$5:$H$4957,5,FALSE),""),"")</f>
        <v/>
      </c>
      <c r="AN557" s="30"/>
      <c r="AO557" s="30"/>
      <c r="AP557" s="3" t="str">
        <f>IF(AND(G557&lt;&gt;"LIBSETS_SETTYPE_BATTLEGROUND",G557&lt;&gt;"LIBSETS_SETTYPE_SPECIAL"),IF(AQ557&lt;&gt;"",VLOOKUP(AQ557,'ESO zones'!$D$5:$H$4957,5,FALSE),""),"")</f>
        <v/>
      </c>
      <c r="AS557" s="30"/>
      <c r="AT557" s="30"/>
      <c r="AU557" s="3" t="str">
        <f>IF(AND(G557&lt;&gt;"LIBSETS_SETTYPE_BATTLEGROUND",G557&lt;&gt;"LIBSETS_SETTYPE_SPECIAL"),IF(AV557&lt;&gt;"",VLOOKUP(AV557,'ESO zones'!$D$5:$H$4957,5,FALSE),""),"")</f>
        <v/>
      </c>
      <c r="AX557" s="30"/>
      <c r="AY557" s="30"/>
      <c r="AZ557" s="49" t="s">
        <v>403</v>
      </c>
      <c r="BA557" s="49"/>
      <c r="BB557" s="49"/>
      <c r="BC557" s="49"/>
      <c r="BD557" s="49"/>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1">
        <v>635</v>
      </c>
      <c r="B558" t="s">
        <v>1701</v>
      </c>
      <c r="C558" t="s">
        <v>1702</v>
      </c>
      <c r="D558" s="3">
        <f t="shared" si="48"/>
        <v>635</v>
      </c>
      <c r="F558" t="s">
        <v>183</v>
      </c>
      <c r="G558" s="9" t="s">
        <v>182</v>
      </c>
      <c r="I558" t="s">
        <v>401</v>
      </c>
      <c r="J558" t="s">
        <v>401</v>
      </c>
      <c r="K558">
        <v>-1</v>
      </c>
      <c r="L558">
        <v>-1</v>
      </c>
      <c r="M558">
        <v>-1</v>
      </c>
      <c r="N558" s="54"/>
      <c r="O558" s="5" t="s">
        <v>11</v>
      </c>
      <c r="Q558" s="3">
        <f>IF(AND(P558&lt;&gt;"",ISNUMBER(P558),NOT(ISNA(P558))),P558,IF(R558&lt;&gt;"",VLOOKUP(R558,'ESO zones'!$D$5:$H$10005,5,FALSE),""))</f>
        <v>584</v>
      </c>
      <c r="R558" t="str">
        <f>IF(AND(O558&lt;&gt;"",NOT(ISERROR(O558))),O558,IF(AND(P558&lt;&gt;"",ISNUMBER(P558),P558&gt;0,NOT(ISNA(P558))),VLOOKUP(P558,'ESO zones'!$A$5:$D$10003,4,FALSE),IF(AND(K558&lt;&gt;"",K558&gt;0,NOT(ISERROR(K558))),VLOOKUP(K558,'ESO wayshrines'!$K$3:$N$9972,4,FALSE),"")))</f>
        <v>Imperial City</v>
      </c>
      <c r="T558" s="16" t="str">
        <f>IF(AND(S558&lt;&gt;"",NOT(ISERROR(S558))),S558,VLOOKUP(A558,'ESO Set&amp;DLCs'!$A$3:$D$99998,4,FALSE))</f>
        <v>DLC_IMPERIAL_CITY</v>
      </c>
      <c r="U558" s="3" t="str">
        <f>IF(T558&lt;&gt;"",VLOOKUP(T558,ConstDLCIds!$B$4:$C$1000,2,FALSE),"")</f>
        <v>Imperial City</v>
      </c>
      <c r="V558" s="4" t="s">
        <v>212</v>
      </c>
      <c r="W558" s="3" t="s">
        <v>1703</v>
      </c>
      <c r="X558" s="3" t="s">
        <v>1704</v>
      </c>
      <c r="Y558" s="5">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zones'!$A$5:$D$10003,4,FALSE),"")</f>
        <v>Imperial Sewers</v>
      </c>
      <c r="AB558" s="4" t="s">
        <v>245</v>
      </c>
      <c r="AE558" s="30"/>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zones'!$A$5:$D$10003,4,FALSE),"")</f>
        <v/>
      </c>
      <c r="AI558" s="30"/>
      <c r="AJ558" s="30"/>
      <c r="AK558" s="3" t="str">
        <f>IF(AND(G558&lt;&gt;"LIBSETS_SETTYPE_BATTLEGROUND",G558&lt;&gt;"LIBSETS_SETTYPE_SPECIAL"),IF(AL558&lt;&gt;"",VLOOKUP(AL558,'ESO zones'!$D$5:$H$4957,5,FALSE),""),"")</f>
        <v/>
      </c>
      <c r="AN558" s="30"/>
      <c r="AO558" s="30"/>
      <c r="AP558" s="3" t="str">
        <f>IF(AND(G558&lt;&gt;"LIBSETS_SETTYPE_BATTLEGROUND",G558&lt;&gt;"LIBSETS_SETTYPE_SPECIAL"),IF(AQ558&lt;&gt;"",VLOOKUP(AQ558,'ESO zones'!$D$5:$H$4957,5,FALSE),""),"")</f>
        <v/>
      </c>
      <c r="AS558" s="30"/>
      <c r="AT558" s="30"/>
      <c r="AU558" s="3" t="str">
        <f>IF(AND(G558&lt;&gt;"LIBSETS_SETTYPE_BATTLEGROUND",G558&lt;&gt;"LIBSETS_SETTYPE_SPECIAL"),IF(AV558&lt;&gt;"",VLOOKUP(AV558,'ESO zones'!$D$5:$H$4957,5,FALSE),""),"")</f>
        <v/>
      </c>
      <c r="AX558" s="30"/>
      <c r="AY558" s="30"/>
      <c r="AZ558" s="49" t="s">
        <v>403</v>
      </c>
      <c r="BA558" s="49"/>
      <c r="BB558" s="49"/>
      <c r="BC558" s="49"/>
      <c r="BD558" s="49"/>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1">
        <v>636</v>
      </c>
      <c r="B559" t="s">
        <v>1705</v>
      </c>
      <c r="C559" t="s">
        <v>1705</v>
      </c>
      <c r="D559" s="3">
        <f t="shared" si="48"/>
        <v>636</v>
      </c>
      <c r="F559" t="s">
        <v>183</v>
      </c>
      <c r="G559" s="9" t="s">
        <v>182</v>
      </c>
      <c r="I559" t="s">
        <v>401</v>
      </c>
      <c r="J559" t="s">
        <v>401</v>
      </c>
      <c r="K559">
        <v>-1</v>
      </c>
      <c r="L559">
        <v>-1</v>
      </c>
      <c r="M559">
        <v>-1</v>
      </c>
      <c r="N559" s="54"/>
      <c r="O559" s="5" t="s">
        <v>11</v>
      </c>
      <c r="Q559" s="3">
        <f>IF(AND(P559&lt;&gt;"",ISNUMBER(P559),NOT(ISNA(P559))),P559,IF(R559&lt;&gt;"",VLOOKUP(R559,'ESO zones'!$D$5:$H$10005,5,FALSE),""))</f>
        <v>584</v>
      </c>
      <c r="R559" t="str">
        <f>IF(AND(O559&lt;&gt;"",NOT(ISERROR(O559))),O559,IF(AND(P559&lt;&gt;"",ISNUMBER(P559),P559&gt;0,NOT(ISNA(P559))),VLOOKUP(P559,'ESO zones'!$A$5:$D$10003,4,FALSE),IF(AND(K559&lt;&gt;"",K559&gt;0,NOT(ISERROR(K559))),VLOOKUP(K559,'ESO wayshrines'!$K$3:$N$9972,4,FALSE),"")))</f>
        <v>Imperial City</v>
      </c>
      <c r="T559" s="16" t="str">
        <f>IF(AND(S559&lt;&gt;"",NOT(ISERROR(S559))),S559,VLOOKUP(A559,'ESO Set&amp;DLCs'!$A$3:$D$99998,4,FALSE))</f>
        <v>DLC_IMPERIAL_CITY</v>
      </c>
      <c r="U559" s="3" t="str">
        <f>IF(T559&lt;&gt;"",VLOOKUP(T559,ConstDLCIds!$B$4:$C$1000,2,FALSE),"")</f>
        <v>Imperial City</v>
      </c>
      <c r="V559" s="4" t="s">
        <v>212</v>
      </c>
      <c r="W559" s="3" t="s">
        <v>1706</v>
      </c>
      <c r="X559" s="3" t="s">
        <v>1707</v>
      </c>
      <c r="Y559" s="5">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zones'!$A$5:$D$10003,4,FALSE),"")</f>
        <v>Imperial Sewers</v>
      </c>
      <c r="AB559" s="4" t="s">
        <v>245</v>
      </c>
      <c r="AE559" s="30"/>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zones'!$A$5:$D$10003,4,FALSE),"")</f>
        <v/>
      </c>
      <c r="AI559" s="30"/>
      <c r="AJ559" s="30"/>
      <c r="AK559" s="3" t="str">
        <f>IF(AND(G559&lt;&gt;"LIBSETS_SETTYPE_BATTLEGROUND",G559&lt;&gt;"LIBSETS_SETTYPE_SPECIAL"),IF(AL559&lt;&gt;"",VLOOKUP(AL559,'ESO zones'!$D$5:$H$4957,5,FALSE),""),"")</f>
        <v/>
      </c>
      <c r="AN559" s="30"/>
      <c r="AO559" s="30"/>
      <c r="AP559" s="3" t="str">
        <f>IF(AND(G559&lt;&gt;"LIBSETS_SETTYPE_BATTLEGROUND",G559&lt;&gt;"LIBSETS_SETTYPE_SPECIAL"),IF(AQ559&lt;&gt;"",VLOOKUP(AQ559,'ESO zones'!$D$5:$H$4957,5,FALSE),""),"")</f>
        <v/>
      </c>
      <c r="AS559" s="30"/>
      <c r="AT559" s="30"/>
      <c r="AU559" s="3" t="str">
        <f>IF(AND(G559&lt;&gt;"LIBSETS_SETTYPE_BATTLEGROUND",G559&lt;&gt;"LIBSETS_SETTYPE_SPECIAL"),IF(AV559&lt;&gt;"",VLOOKUP(AV559,'ESO zones'!$D$5:$H$4957,5,FALSE),""),"")</f>
        <v/>
      </c>
      <c r="AX559" s="30"/>
      <c r="AY559" s="30"/>
      <c r="AZ559" s="49" t="s">
        <v>403</v>
      </c>
      <c r="BA559" s="49"/>
      <c r="BB559" s="49"/>
      <c r="BC559" s="49"/>
      <c r="BD559" s="49"/>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1">
        <v>640</v>
      </c>
      <c r="B560" t="s">
        <v>1708</v>
      </c>
      <c r="C560" t="s">
        <v>1709</v>
      </c>
      <c r="D560" s="3">
        <f t="shared" si="48"/>
        <v>640</v>
      </c>
      <c r="G560" s="3" t="s">
        <v>163</v>
      </c>
      <c r="I560" t="s">
        <v>401</v>
      </c>
      <c r="J560" t="s">
        <v>401</v>
      </c>
      <c r="K560">
        <v>503</v>
      </c>
      <c r="L560">
        <v>503</v>
      </c>
      <c r="M560">
        <v>503</v>
      </c>
      <c r="N560">
        <v>3</v>
      </c>
      <c r="Q560" s="3">
        <f>IF(AND(P560&lt;&gt;"",ISNUMBER(P560),NOT(ISNA(P560))),P560,IF(R560&lt;&gt;"",VLOOKUP(R560,'ESO zones'!$D$5:$H$10005,5,FALSE),""))</f>
        <v>1318</v>
      </c>
      <c r="R560" t="str">
        <f>IF(AND(O560&lt;&gt;"",NOT(ISERROR(O560))),O560,IF(AND(P560&lt;&gt;"",ISNUMBER(P560),P560&gt;0,NOT(ISNA(P560))),VLOOKUP(P560,'ESO zones'!$A$5:$D$10003,4,FALSE),IF(AND(K560&lt;&gt;"",K560&gt;0,NOT(ISERROR(K560))),VLOOKUP(K560,'ESO wayshrines'!$K$3:$N$9972,4,FALSE),"")))</f>
        <v>High Isle</v>
      </c>
      <c r="T560" s="16" t="str">
        <f>IF(AND(S560&lt;&gt;"",NOT(ISERROR(S560))),S560,VLOOKUP(A560,'ESO Set&amp;DLCs'!$A$3:$D$99998,4,FALSE))</f>
        <v>DLC_HIGH_ISLE</v>
      </c>
      <c r="U560" s="3" t="str">
        <f>IF(T560&lt;&gt;"",VLOOKUP(T560,ConstDLCIds!$B$4:$C$1000,2,FALSE),"")</f>
        <v>High Isle</v>
      </c>
      <c r="V560" s="4" t="s">
        <v>281</v>
      </c>
      <c r="W560" s="29"/>
      <c r="X560" s="29"/>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zones'!$A$5:$D$10003,4,FALSE),"")</f>
        <v>High Isle</v>
      </c>
      <c r="AB560" s="4" t="s">
        <v>281</v>
      </c>
      <c r="AE560" s="30"/>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zones'!$A$5:$D$10003,4,FALSE),"")</f>
        <v>High Isle</v>
      </c>
      <c r="AH560" s="4" t="s">
        <v>281</v>
      </c>
      <c r="AI560" s="30"/>
      <c r="AJ560" s="30"/>
      <c r="AK560" s="3" t="str">
        <f>IF(AND(G560&lt;&gt;"LIBSETS_SETTYPE_BATTLEGROUND",G560&lt;&gt;"LIBSETS_SETTYPE_SPECIAL"),IF(AL560&lt;&gt;"",VLOOKUP(AL560,'ESO zones'!$D$5:$H$4957,5,FALSE),""),"")</f>
        <v/>
      </c>
      <c r="AN560" s="30"/>
      <c r="AO560" s="30"/>
      <c r="AP560" s="3" t="str">
        <f>IF(AND(G560&lt;&gt;"LIBSETS_SETTYPE_BATTLEGROUND",G560&lt;&gt;"LIBSETS_SETTYPE_SPECIAL"),IF(AQ560&lt;&gt;"",VLOOKUP(AQ560,'ESO zones'!$D$5:$H$4957,5,FALSE),""),"")</f>
        <v/>
      </c>
      <c r="AS560" s="30"/>
      <c r="AT560" s="30"/>
      <c r="AU560" s="3" t="str">
        <f>IF(AND(G560&lt;&gt;"LIBSETS_SETTYPE_BATTLEGROUND",G560&lt;&gt;"LIBSETS_SETTYPE_SPECIAL"),IF(AV560&lt;&gt;"",VLOOKUP(AV560,'ESO zones'!$D$5:$H$4957,5,FALSE),""),"")</f>
        <v/>
      </c>
      <c r="AX560" s="30"/>
      <c r="AY560" s="30"/>
      <c r="AZ560" s="52"/>
      <c r="BA560" s="52"/>
      <c r="BB560" s="52"/>
      <c r="BC560" s="52"/>
      <c r="BD560" s="52"/>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1">
        <v>641</v>
      </c>
      <c r="B561" t="s">
        <v>1710</v>
      </c>
      <c r="C561" t="s">
        <v>1711</v>
      </c>
      <c r="D561" s="3">
        <f t="shared" si="48"/>
        <v>641</v>
      </c>
      <c r="G561" s="3" t="s">
        <v>163</v>
      </c>
      <c r="I561" t="s">
        <v>401</v>
      </c>
      <c r="J561" t="s">
        <v>401</v>
      </c>
      <c r="K561">
        <v>506</v>
      </c>
      <c r="L561">
        <v>506</v>
      </c>
      <c r="M561">
        <v>506</v>
      </c>
      <c r="N561">
        <v>5</v>
      </c>
      <c r="Q561" s="3">
        <f>IF(AND(P561&lt;&gt;"",ISNUMBER(P561),NOT(ISNA(P561))),P561,IF(R561&lt;&gt;"",VLOOKUP(R561,'ESO zones'!$D$5:$H$10005,5,FALSE),""))</f>
        <v>1318</v>
      </c>
      <c r="R561" t="str">
        <f>IF(AND(O561&lt;&gt;"",NOT(ISERROR(O561))),O561,IF(AND(P561&lt;&gt;"",ISNUMBER(P561),P561&gt;0,NOT(ISNA(P561))),VLOOKUP(P561,'ESO zones'!$A$5:$D$10003,4,FALSE),IF(AND(K561&lt;&gt;"",K561&gt;0,NOT(ISERROR(K561))),VLOOKUP(K561,'ESO wayshrines'!$K$3:$N$9972,4,FALSE),"")))</f>
        <v>High Isle</v>
      </c>
      <c r="T561" s="16" t="str">
        <f>IF(AND(S561&lt;&gt;"",NOT(ISERROR(S561))),S561,VLOOKUP(A561,'ESO Set&amp;DLCs'!$A$3:$D$99998,4,FALSE))</f>
        <v>DLC_HIGH_ISLE</v>
      </c>
      <c r="U561" s="3" t="str">
        <f>IF(T561&lt;&gt;"",VLOOKUP(T561,ConstDLCIds!$B$4:$C$1000,2,FALSE),"")</f>
        <v>High Isle</v>
      </c>
      <c r="V561" s="4"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zones'!$A$5:$D$10003,4,FALSE),"")</f>
        <v>High Isle</v>
      </c>
      <c r="AB561" s="4"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zones'!$A$5:$D$10003,4,FALSE),"")</f>
        <v>High Isle</v>
      </c>
      <c r="AH561" s="4" t="s">
        <v>281</v>
      </c>
      <c r="AK561" s="3" t="str">
        <f>IF(AND(G561&lt;&gt;"LIBSETS_SETTYPE_BATTLEGROUND",G561&lt;&gt;"LIBSETS_SETTYPE_SPECIAL"),IF(AL561&lt;&gt;"",VLOOKUP(AL561,'ESO zones'!$D$5:$H$4957,5,FALSE),""),"")</f>
        <v/>
      </c>
      <c r="AP561" s="3" t="str">
        <f>IF(AND(G561&lt;&gt;"LIBSETS_SETTYPE_BATTLEGROUND",G561&lt;&gt;"LIBSETS_SETTYPE_SPECIAL"),IF(AQ561&lt;&gt;"",VLOOKUP(AQ561,'ESO zones'!$D$5:$H$4957,5,FALSE),""),"")</f>
        <v/>
      </c>
      <c r="AU561" s="3" t="str">
        <f>IF(AND(G561&lt;&gt;"LIBSETS_SETTYPE_BATTLEGROUND",G561&lt;&gt;"LIBSETS_SETTYPE_SPECIAL"),IF(AV561&lt;&gt;"",VLOOKUP(AV561,'ESO zones'!$D$5:$H$4957,5,FALSE),""),"")</f>
        <v/>
      </c>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1">
        <v>642</v>
      </c>
      <c r="B562" t="s">
        <v>1712</v>
      </c>
      <c r="C562" t="s">
        <v>1713</v>
      </c>
      <c r="D562" s="3">
        <f t="shared" si="48"/>
        <v>642</v>
      </c>
      <c r="G562" s="3" t="s">
        <v>163</v>
      </c>
      <c r="I562" t="s">
        <v>401</v>
      </c>
      <c r="J562" t="s">
        <v>401</v>
      </c>
      <c r="K562">
        <v>511</v>
      </c>
      <c r="L562">
        <v>511</v>
      </c>
      <c r="M562">
        <v>511</v>
      </c>
      <c r="N562">
        <v>7</v>
      </c>
      <c r="Q562" s="3">
        <f>IF(AND(P562&lt;&gt;"",ISNUMBER(P562),NOT(ISNA(P562))),P562,IF(R562&lt;&gt;"",VLOOKUP(R562,'ESO zones'!$D$5:$H$10005,5,FALSE),""))</f>
        <v>1318</v>
      </c>
      <c r="R562" t="str">
        <f>IF(AND(O562&lt;&gt;"",NOT(ISERROR(O562))),O562,IF(AND(P562&lt;&gt;"",ISNUMBER(P562),P562&gt;0,NOT(ISNA(P562))),VLOOKUP(P562,'ESO zones'!$A$5:$D$10003,4,FALSE),IF(AND(K562&lt;&gt;"",K562&gt;0,NOT(ISERROR(K562))),VLOOKUP(K562,'ESO wayshrines'!$K$3:$N$9972,4,FALSE),"")))</f>
        <v>High Isle</v>
      </c>
      <c r="T562" s="16" t="str">
        <f>IF(AND(S562&lt;&gt;"",NOT(ISERROR(S562))),S562,VLOOKUP(A562,'ESO Set&amp;DLCs'!$A$3:$D$99998,4,FALSE))</f>
        <v>DLC_HIGH_ISLE</v>
      </c>
      <c r="U562" s="3" t="str">
        <f>IF(T562&lt;&gt;"",VLOOKUP(T562,ConstDLCIds!$B$4:$C$1000,2,FALSE),"")</f>
        <v>High Isle</v>
      </c>
      <c r="V562" s="4"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zones'!$A$5:$D$10003,4,FALSE),"")</f>
        <v>High Isle</v>
      </c>
      <c r="AB562" s="4"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zones'!$A$5:$D$10003,4,FALSE),"")</f>
        <v>High Isle</v>
      </c>
      <c r="AH562" s="4" t="s">
        <v>281</v>
      </c>
      <c r="AK562" s="3" t="str">
        <f>IF(AND(G562&lt;&gt;"LIBSETS_SETTYPE_BATTLEGROUND",G562&lt;&gt;"LIBSETS_SETTYPE_SPECIAL"),IF(AL562&lt;&gt;"",VLOOKUP(AL562,'ESO zones'!$D$5:$H$4957,5,FALSE),""),"")</f>
        <v/>
      </c>
      <c r="AP562" s="3" t="str">
        <f>IF(AND(G562&lt;&gt;"LIBSETS_SETTYPE_BATTLEGROUND",G562&lt;&gt;"LIBSETS_SETTYPE_SPECIAL"),IF(AQ562&lt;&gt;"",VLOOKUP(AQ562,'ESO zones'!$D$5:$H$4957,5,FALSE),""),"")</f>
        <v/>
      </c>
      <c r="AU562" s="3" t="str">
        <f>IF(AND(G562&lt;&gt;"LIBSETS_SETTYPE_BATTLEGROUND",G562&lt;&gt;"LIBSETS_SETTYPE_SPECIAL"),IF(AV562&lt;&gt;"",VLOOKUP(AV562,'ESO zones'!$D$5:$H$4957,5,FALSE),""),"")</f>
        <v/>
      </c>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1">
        <v>643</v>
      </c>
      <c r="B563" t="s">
        <v>1714</v>
      </c>
      <c r="C563" t="s">
        <v>1715</v>
      </c>
      <c r="D563" s="3">
        <f t="shared" si="48"/>
        <v>643</v>
      </c>
      <c r="G563" s="3" t="s">
        <v>174</v>
      </c>
      <c r="I563" t="s">
        <v>401</v>
      </c>
      <c r="J563" t="s">
        <v>401</v>
      </c>
      <c r="K563">
        <v>512</v>
      </c>
      <c r="L563">
        <v>512</v>
      </c>
      <c r="M563">
        <v>512</v>
      </c>
      <c r="O563" s="5" t="s">
        <v>86</v>
      </c>
      <c r="Q563" s="3">
        <f>IF(AND(P563&lt;&gt;"",ISNUMBER(P563),NOT(ISNA(P563))),P563,IF(R563&lt;&gt;"",VLOOKUP(R563,'ESO zones'!$D$5:$H$10005,5,FALSE),""))</f>
        <v>1318</v>
      </c>
      <c r="R563" t="str">
        <f>IF(AND(O563&lt;&gt;"",NOT(ISERROR(O563))),O563,IF(AND(P563&lt;&gt;"",ISNUMBER(P563),P563&gt;0,NOT(ISNA(P563))),VLOOKUP(P563,'ESO zones'!$A$5:$D$10003,4,FALSE),IF(AND(K563&lt;&gt;"",K563&gt;0,NOT(ISERROR(K563))),VLOOKUP(K563,'ESO wayshrines'!$K$3:$N$9972,4,FALSE),"")))</f>
        <v>High Isle</v>
      </c>
      <c r="T563" s="16" t="str">
        <f>IF(AND(S563&lt;&gt;"",NOT(ISERROR(S563))),S563,VLOOKUP(A563,'ESO Set&amp;DLCs'!$A$3:$D$99998,4,FALSE))</f>
        <v>DLC_HIGH_ISLE</v>
      </c>
      <c r="U563" s="3" t="str">
        <f>IF(T563&lt;&gt;"",VLOOKUP(T563,ConstDLCIds!$B$4:$C$1000,2,FALSE),"")</f>
        <v>High Isle</v>
      </c>
      <c r="V563" s="4"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zones'!$A$5:$D$10003,4,FALSE),"")</f>
        <v>High Isle</v>
      </c>
      <c r="AB563" s="57" t="s">
        <v>218</v>
      </c>
      <c r="AE563" s="3">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zones'!$A$5:$D$10003,4,FALSE),"")</f>
        <v>Ghost Haven Bay</v>
      </c>
      <c r="AH563" s="4" t="s">
        <v>221</v>
      </c>
      <c r="AK563" s="3">
        <f>IF(AND(G563&lt;&gt;"LIBSETS_SETTYPE_BATTLEGROUND",G563&lt;&gt;"LIBSETS_SETTYPE_SPECIAL"),IF(AL563&lt;&gt;"",VLOOKUP(AL563,'ESO zones'!$D$5:$H$4957,5,FALSE),""),"")</f>
        <v>1318</v>
      </c>
      <c r="AL563" t="s">
        <v>86</v>
      </c>
      <c r="AM563" s="4" t="s">
        <v>224</v>
      </c>
      <c r="AP563" s="3">
        <f>IF(AND(G563&lt;&gt;"LIBSETS_SETTYPE_BATTLEGROUND",G563&lt;&gt;"LIBSETS_SETTYPE_SPECIAL"),IF(AQ563&lt;&gt;"",VLOOKUP(AQ563,'ESO zones'!$D$5:$H$4957,5,FALSE),""),"")</f>
        <v>1337</v>
      </c>
      <c r="AQ563" t="s">
        <v>1716</v>
      </c>
      <c r="AR563" s="4" t="s">
        <v>221</v>
      </c>
      <c r="AU563" s="3">
        <f>IF(AND(G563&lt;&gt;"LIBSETS_SETTYPE_BATTLEGROUND",G563&lt;&gt;"LIBSETS_SETTYPE_SPECIAL"),IF(AV563&lt;&gt;"",VLOOKUP(AV563,'ESO zones'!$D$5:$H$4957,5,FALSE),""),"")</f>
        <v>1318</v>
      </c>
      <c r="AV563" t="s">
        <v>86</v>
      </c>
      <c r="AW563" s="4" t="s">
        <v>269</v>
      </c>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1">
        <v>644</v>
      </c>
      <c r="B564" t="s">
        <v>1717</v>
      </c>
      <c r="C564" t="s">
        <v>1718</v>
      </c>
      <c r="D564" s="3">
        <f t="shared" si="48"/>
        <v>644</v>
      </c>
      <c r="G564" s="3" t="s">
        <v>174</v>
      </c>
      <c r="I564" t="s">
        <v>401</v>
      </c>
      <c r="J564" t="s">
        <v>401</v>
      </c>
      <c r="K564">
        <v>512</v>
      </c>
      <c r="L564">
        <v>512</v>
      </c>
      <c r="M564">
        <v>512</v>
      </c>
      <c r="O564" s="5" t="s">
        <v>86</v>
      </c>
      <c r="Q564" s="3">
        <f>IF(AND(P564&lt;&gt;"",ISNUMBER(P564),NOT(ISNA(P564))),P564,IF(R564&lt;&gt;"",VLOOKUP(R564,'ESO zones'!$D$5:$H$10005,5,FALSE),""))</f>
        <v>1318</v>
      </c>
      <c r="R564" t="str">
        <f>IF(AND(O564&lt;&gt;"",NOT(ISERROR(O564))),O564,IF(AND(P564&lt;&gt;"",ISNUMBER(P564),P564&gt;0,NOT(ISNA(P564))),VLOOKUP(P564,'ESO zones'!$A$5:$D$10003,4,FALSE),IF(AND(K564&lt;&gt;"",K564&gt;0,NOT(ISERROR(K564))),VLOOKUP(K564,'ESO wayshrines'!$K$3:$N$9972,4,FALSE),"")))</f>
        <v>High Isle</v>
      </c>
      <c r="T564" s="16" t="str">
        <f>IF(AND(S564&lt;&gt;"",NOT(ISERROR(S564))),S564,VLOOKUP(A564,'ESO Set&amp;DLCs'!$A$3:$D$99998,4,FALSE))</f>
        <v>DLC_HIGH_ISLE</v>
      </c>
      <c r="U564" s="3" t="str">
        <f>IF(T564&lt;&gt;"",VLOOKUP(T564,ConstDLCIds!$B$4:$C$1000,2,FALSE),"")</f>
        <v>High Isle</v>
      </c>
      <c r="V564" s="4"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zones'!$A$5:$D$10003,4,FALSE),"")</f>
        <v>High Isle</v>
      </c>
      <c r="AB564" s="57" t="s">
        <v>218</v>
      </c>
      <c r="AE564" s="3">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zones'!$A$5:$D$10003,4,FALSE),"")</f>
        <v>Ghost Haven Bay</v>
      </c>
      <c r="AH564" s="4" t="s">
        <v>221</v>
      </c>
      <c r="AK564" s="3">
        <f>IF(AND(G564&lt;&gt;"LIBSETS_SETTYPE_BATTLEGROUND",G564&lt;&gt;"LIBSETS_SETTYPE_SPECIAL"),IF(AL564&lt;&gt;"",VLOOKUP(AL564,'ESO zones'!$D$5:$H$4957,5,FALSE),""),"")</f>
        <v>1318</v>
      </c>
      <c r="AL564" t="s">
        <v>86</v>
      </c>
      <c r="AM564" s="4" t="s">
        <v>224</v>
      </c>
      <c r="AP564" s="3">
        <f>IF(AND(G564&lt;&gt;"LIBSETS_SETTYPE_BATTLEGROUND",G564&lt;&gt;"LIBSETS_SETTYPE_SPECIAL"),IF(AQ564&lt;&gt;"",VLOOKUP(AQ564,'ESO zones'!$D$5:$H$4957,5,FALSE),""),"")</f>
        <v>1337</v>
      </c>
      <c r="AQ564" t="s">
        <v>1716</v>
      </c>
      <c r="AR564" s="4" t="s">
        <v>221</v>
      </c>
      <c r="AU564" s="3">
        <f>IF(AND(G564&lt;&gt;"LIBSETS_SETTYPE_BATTLEGROUND",G564&lt;&gt;"LIBSETS_SETTYPE_SPECIAL"),IF(AV564&lt;&gt;"",VLOOKUP(AV564,'ESO zones'!$D$5:$H$4957,5,FALSE),""),"")</f>
        <v>1318</v>
      </c>
      <c r="AV564" t="s">
        <v>86</v>
      </c>
      <c r="AW564" s="4" t="s">
        <v>269</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1">
        <v>645</v>
      </c>
      <c r="B565" t="s">
        <v>1719</v>
      </c>
      <c r="C565" t="s">
        <v>1720</v>
      </c>
      <c r="D565" s="3">
        <f t="shared" si="48"/>
        <v>645</v>
      </c>
      <c r="G565" s="3" t="s">
        <v>174</v>
      </c>
      <c r="I565" t="s">
        <v>401</v>
      </c>
      <c r="J565" t="s">
        <v>401</v>
      </c>
      <c r="K565">
        <v>512</v>
      </c>
      <c r="L565">
        <v>512</v>
      </c>
      <c r="M565">
        <v>512</v>
      </c>
      <c r="O565" s="5" t="s">
        <v>86</v>
      </c>
      <c r="Q565" s="3">
        <f>IF(AND(P565&lt;&gt;"",ISNUMBER(P565),NOT(ISNA(P565))),P565,IF(R565&lt;&gt;"",VLOOKUP(R565,'ESO zones'!$D$5:$H$10005,5,FALSE),""))</f>
        <v>1318</v>
      </c>
      <c r="R565" t="str">
        <f>IF(AND(O565&lt;&gt;"",NOT(ISERROR(O565))),O565,IF(AND(P565&lt;&gt;"",ISNUMBER(P565),P565&gt;0,NOT(ISNA(P565))),VLOOKUP(P565,'ESO zones'!$A$5:$D$10003,4,FALSE),IF(AND(K565&lt;&gt;"",K565&gt;0,NOT(ISERROR(K565))),VLOOKUP(K565,'ESO wayshrines'!$K$3:$N$9972,4,FALSE),"")))</f>
        <v>High Isle</v>
      </c>
      <c r="T565" s="16" t="str">
        <f>IF(AND(S565&lt;&gt;"",NOT(ISERROR(S565))),S565,VLOOKUP(A565,'ESO Set&amp;DLCs'!$A$3:$D$99998,4,FALSE))</f>
        <v>DLC_HIGH_ISLE</v>
      </c>
      <c r="U565" s="3" t="str">
        <f>IF(T565&lt;&gt;"",VLOOKUP(T565,ConstDLCIds!$B$4:$C$1000,2,FALSE),"")</f>
        <v>High Isle</v>
      </c>
      <c r="V565" s="4"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zones'!$A$5:$D$10003,4,FALSE),"")</f>
        <v>High Isle</v>
      </c>
      <c r="AB565" s="57" t="s">
        <v>218</v>
      </c>
      <c r="AE565" s="3">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zones'!$A$5:$D$10003,4,FALSE),"")</f>
        <v>Ghost Haven Bay</v>
      </c>
      <c r="AH565" s="4" t="s">
        <v>221</v>
      </c>
      <c r="AK565" s="3">
        <f>IF(AND(G565&lt;&gt;"LIBSETS_SETTYPE_BATTLEGROUND",G565&lt;&gt;"LIBSETS_SETTYPE_SPECIAL"),IF(AL565&lt;&gt;"",VLOOKUP(AL565,'ESO zones'!$D$5:$H$4957,5,FALSE),""),"")</f>
        <v>1318</v>
      </c>
      <c r="AL565" t="s">
        <v>86</v>
      </c>
      <c r="AM565" s="4" t="s">
        <v>224</v>
      </c>
      <c r="AP565" s="3">
        <f>IF(AND(G565&lt;&gt;"LIBSETS_SETTYPE_BATTLEGROUND",G565&lt;&gt;"LIBSETS_SETTYPE_SPECIAL"),IF(AQ565&lt;&gt;"",VLOOKUP(AQ565,'ESO zones'!$D$5:$H$4957,5,FALSE),""),"")</f>
        <v>1337</v>
      </c>
      <c r="AQ565" t="s">
        <v>1716</v>
      </c>
      <c r="AR565" s="4" t="s">
        <v>221</v>
      </c>
      <c r="AU565" s="3">
        <f>IF(AND(G565&lt;&gt;"LIBSETS_SETTYPE_BATTLEGROUND",G565&lt;&gt;"LIBSETS_SETTYPE_SPECIAL"),IF(AV565&lt;&gt;"",VLOOKUP(AV565,'ESO zones'!$D$5:$H$4957,5,FALSE),""),"")</f>
        <v>1318</v>
      </c>
      <c r="AV565" t="s">
        <v>86</v>
      </c>
      <c r="AW565" s="4" t="s">
        <v>269</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1">
        <v>646</v>
      </c>
      <c r="B566" t="s">
        <v>1721</v>
      </c>
      <c r="C566" t="s">
        <v>1722</v>
      </c>
      <c r="D566" s="3">
        <f t="shared" si="48"/>
        <v>646</v>
      </c>
      <c r="G566" s="3" t="s">
        <v>178</v>
      </c>
      <c r="I566" t="s">
        <v>401</v>
      </c>
      <c r="J566" t="s">
        <v>401</v>
      </c>
      <c r="K566">
        <v>505</v>
      </c>
      <c r="L566">
        <v>505</v>
      </c>
      <c r="M566">
        <v>505</v>
      </c>
      <c r="O566" s="5" t="s">
        <v>1723</v>
      </c>
      <c r="Q566" s="3">
        <f>IF(AND(P566&lt;&gt;"",ISNUMBER(P566),NOT(ISNA(P566))),P566,IF(R566&lt;&gt;"",VLOOKUP(R566,'ESO zones'!$D$5:$H$10005,5,FALSE),""))</f>
        <v>1344</v>
      </c>
      <c r="R566" t="str">
        <f>IF(AND(O566&lt;&gt;"",NOT(ISERROR(O566))),O566,IF(AND(P566&lt;&gt;"",ISNUMBER(P566),P566&gt;0,NOT(ISNA(P566))),VLOOKUP(P566,'ESO zones'!$A$5:$D$10003,4,FALSE),IF(AND(K566&lt;&gt;"",K566&gt;0,NOT(ISERROR(K566))),VLOOKUP(K566,'ESO wayshrines'!$K$3:$N$9972,4,FALSE),"")))</f>
        <v>Dreadsail Reef</v>
      </c>
      <c r="T566" s="16" t="str">
        <f>IF(AND(S566&lt;&gt;"",NOT(ISERROR(S566))),S566,VLOOKUP(A566,'ESO Set&amp;DLCs'!$A$3:$D$99998,4,FALSE))</f>
        <v>DLC_HIGH_ISLE</v>
      </c>
      <c r="U566" s="3" t="str">
        <f>IF(T566&lt;&gt;"",VLOOKUP(T566,ConstDLCIds!$B$4:$C$1000,2,FALSE),"")</f>
        <v>High Isle</v>
      </c>
      <c r="V566" s="4" t="s">
        <v>272</v>
      </c>
      <c r="Y566" s="43">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zones'!$A$5:$D$10003,4,FALSE),"")</f>
        <v>Dreadsail Reef</v>
      </c>
      <c r="AB566" s="4" t="s">
        <v>272</v>
      </c>
      <c r="AE566" s="43">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zones'!$A$5:$D$10003,4,FALSE),"")</f>
        <v>Dreadsail Reef</v>
      </c>
      <c r="AH566" s="4" t="s">
        <v>272</v>
      </c>
      <c r="AK566" s="3"/>
      <c r="AU566" s="3" t="str">
        <f>IF(AND(G566&lt;&gt;"LIBSETS_SETTYPE_BATTLEGROUND",G566&lt;&gt;"LIBSETS_SETTYPE_SPECIAL"),IF(AV566&lt;&gt;"",VLOOKUP(AV566,'ESO zones'!$D$5:$H$4957,5,FALSE),""),"")</f>
        <v/>
      </c>
      <c r="BD566" s="53">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1">
        <v>647</v>
      </c>
      <c r="B567" t="s">
        <v>1724</v>
      </c>
      <c r="C567" t="s">
        <v>1725</v>
      </c>
      <c r="D567" s="3">
        <f t="shared" si="48"/>
        <v>647</v>
      </c>
      <c r="G567" s="3" t="s">
        <v>178</v>
      </c>
      <c r="I567" t="s">
        <v>401</v>
      </c>
      <c r="J567" t="s">
        <v>401</v>
      </c>
      <c r="K567">
        <v>505</v>
      </c>
      <c r="L567">
        <v>505</v>
      </c>
      <c r="M567">
        <v>505</v>
      </c>
      <c r="O567" s="5" t="s">
        <v>1723</v>
      </c>
      <c r="Q567" s="3">
        <f>IF(AND(P567&lt;&gt;"",ISNUMBER(P567),NOT(ISNA(P567))),P567,IF(R567&lt;&gt;"",VLOOKUP(R567,'ESO zones'!$D$5:$H$10005,5,FALSE),""))</f>
        <v>1344</v>
      </c>
      <c r="R567" t="str">
        <f>IF(AND(O567&lt;&gt;"",NOT(ISERROR(O567))),O567,IF(AND(P567&lt;&gt;"",ISNUMBER(P567),P567&gt;0,NOT(ISNA(P567))),VLOOKUP(P567,'ESO zones'!$A$5:$D$10003,4,FALSE),IF(AND(K567&lt;&gt;"",K567&gt;0,NOT(ISERROR(K567))),VLOOKUP(K567,'ESO wayshrines'!$K$3:$N$9972,4,FALSE),"")))</f>
        <v>Dreadsail Reef</v>
      </c>
      <c r="T567" s="16" t="str">
        <f>IF(AND(S567&lt;&gt;"",NOT(ISERROR(S567))),S567,VLOOKUP(A567,'ESO Set&amp;DLCs'!$A$3:$D$99998,4,FALSE))</f>
        <v>DLC_HIGH_ISLE</v>
      </c>
      <c r="U567" s="3" t="str">
        <f>IF(T567&lt;&gt;"",VLOOKUP(T567,ConstDLCIds!$B$4:$C$1000,2,FALSE),"")</f>
        <v>High Isle</v>
      </c>
      <c r="V567" s="4" t="s">
        <v>272</v>
      </c>
      <c r="Y567" s="43">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zones'!$A$5:$D$10003,4,FALSE),"")</f>
        <v>Dreadsail Reef</v>
      </c>
      <c r="AB567" s="4" t="s">
        <v>272</v>
      </c>
      <c r="AE567" s="43">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zones'!$A$5:$D$10003,4,FALSE),"")</f>
        <v>Dreadsail Reef</v>
      </c>
      <c r="AH567" s="4" t="s">
        <v>272</v>
      </c>
      <c r="AK567" s="3"/>
      <c r="AU567" s="3" t="str">
        <f>IF(AND(G567&lt;&gt;"LIBSETS_SETTYPE_BATTLEGROUND",G567&lt;&gt;"LIBSETS_SETTYPE_SPECIAL"),IF(AV567&lt;&gt;"",VLOOKUP(AV567,'ESO zones'!$D$5:$H$4957,5,FALSE),""),"")</f>
        <v/>
      </c>
      <c r="BD567" s="53">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1">
        <v>648</v>
      </c>
      <c r="B568" t="s">
        <v>1726</v>
      </c>
      <c r="C568" t="s">
        <v>1727</v>
      </c>
      <c r="D568" s="3">
        <f t="shared" si="48"/>
        <v>648</v>
      </c>
      <c r="G568" s="3" t="s">
        <v>178</v>
      </c>
      <c r="I568" t="s">
        <v>401</v>
      </c>
      <c r="J568" t="s">
        <v>401</v>
      </c>
      <c r="K568">
        <v>505</v>
      </c>
      <c r="L568">
        <v>505</v>
      </c>
      <c r="M568">
        <v>505</v>
      </c>
      <c r="O568" s="5" t="s">
        <v>1723</v>
      </c>
      <c r="Q568" s="3">
        <f>IF(AND(P568&lt;&gt;"",ISNUMBER(P568),NOT(ISNA(P568))),P568,IF(R568&lt;&gt;"",VLOOKUP(R568,'ESO zones'!$D$5:$H$10005,5,FALSE),""))</f>
        <v>1344</v>
      </c>
      <c r="R568" t="str">
        <f>IF(AND(O568&lt;&gt;"",NOT(ISERROR(O568))),O568,IF(AND(P568&lt;&gt;"",ISNUMBER(P568),P568&gt;0,NOT(ISNA(P568))),VLOOKUP(P568,'ESO zones'!$A$5:$D$10003,4,FALSE),IF(AND(K568&lt;&gt;"",K568&gt;0,NOT(ISERROR(K568))),VLOOKUP(K568,'ESO wayshrines'!$K$3:$N$9972,4,FALSE),"")))</f>
        <v>Dreadsail Reef</v>
      </c>
      <c r="T568" s="16" t="str">
        <f>IF(AND(S568&lt;&gt;"",NOT(ISERROR(S568))),S568,VLOOKUP(A568,'ESO Set&amp;DLCs'!$A$3:$D$99998,4,FALSE))</f>
        <v>DLC_HIGH_ISLE</v>
      </c>
      <c r="U568" s="3" t="str">
        <f>IF(T568&lt;&gt;"",VLOOKUP(T568,ConstDLCIds!$B$4:$C$1000,2,FALSE),"")</f>
        <v>High Isle</v>
      </c>
      <c r="V568" s="4" t="s">
        <v>272</v>
      </c>
      <c r="Y568" s="43">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zones'!$A$5:$D$10003,4,FALSE),"")</f>
        <v>Dreadsail Reef</v>
      </c>
      <c r="AB568" s="4" t="s">
        <v>272</v>
      </c>
      <c r="AE568" s="43">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zones'!$A$5:$D$10003,4,FALSE),"")</f>
        <v>Dreadsail Reef</v>
      </c>
      <c r="AH568" s="4" t="s">
        <v>272</v>
      </c>
      <c r="AK568" s="3"/>
      <c r="AU568" s="3" t="str">
        <f>IF(AND(G568&lt;&gt;"LIBSETS_SETTYPE_BATTLEGROUND",G568&lt;&gt;"LIBSETS_SETTYPE_SPECIAL"),IF(AV568&lt;&gt;"",VLOOKUP(AV568,'ESO zones'!$D$5:$H$4957,5,FALSE),""),"")</f>
        <v/>
      </c>
      <c r="BD568" s="53">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1">
        <v>649</v>
      </c>
      <c r="B569" t="s">
        <v>1728</v>
      </c>
      <c r="C569" t="s">
        <v>1729</v>
      </c>
      <c r="D569" s="3">
        <f t="shared" si="48"/>
        <v>649</v>
      </c>
      <c r="G569" s="3" t="s">
        <v>178</v>
      </c>
      <c r="I569" t="s">
        <v>401</v>
      </c>
      <c r="J569" t="s">
        <v>401</v>
      </c>
      <c r="K569">
        <v>505</v>
      </c>
      <c r="L569">
        <v>505</v>
      </c>
      <c r="M569">
        <v>505</v>
      </c>
      <c r="O569" s="5" t="s">
        <v>1723</v>
      </c>
      <c r="Q569" s="3">
        <f>IF(AND(P569&lt;&gt;"",ISNUMBER(P569),NOT(ISNA(P569))),P569,IF(R569&lt;&gt;"",VLOOKUP(R569,'ESO zones'!$D$5:$H$10005,5,FALSE),""))</f>
        <v>1344</v>
      </c>
      <c r="R569" t="str">
        <f>IF(AND(O569&lt;&gt;"",NOT(ISERROR(O569))),O569,IF(AND(P569&lt;&gt;"",ISNUMBER(P569),P569&gt;0,NOT(ISNA(P569))),VLOOKUP(P569,'ESO zones'!$A$5:$D$10003,4,FALSE),IF(AND(K569&lt;&gt;"",K569&gt;0,NOT(ISERROR(K569))),VLOOKUP(K569,'ESO wayshrines'!$K$3:$N$9972,4,FALSE),"")))</f>
        <v>Dreadsail Reef</v>
      </c>
      <c r="T569" s="16" t="str">
        <f>IF(AND(S569&lt;&gt;"",NOT(ISERROR(S569))),S569,VLOOKUP(A569,'ESO Set&amp;DLCs'!$A$3:$D$99998,4,FALSE))</f>
        <v>DLC_HIGH_ISLE</v>
      </c>
      <c r="U569" s="3" t="str">
        <f>IF(T569&lt;&gt;"",VLOOKUP(T569,ConstDLCIds!$B$4:$C$1000,2,FALSE),"")</f>
        <v>High Isle</v>
      </c>
      <c r="V569" s="4" t="s">
        <v>272</v>
      </c>
      <c r="Y569" s="43">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zones'!$A$5:$D$10003,4,FALSE),"")</f>
        <v>Dreadsail Reef</v>
      </c>
      <c r="AB569" s="4" t="s">
        <v>272</v>
      </c>
      <c r="AE569" s="43">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zones'!$A$5:$D$10003,4,FALSE),"")</f>
        <v>Dreadsail Reef</v>
      </c>
      <c r="AH569" s="4" t="s">
        <v>272</v>
      </c>
      <c r="AK569" s="3"/>
      <c r="AU569" s="3" t="str">
        <f>IF(AND(G569&lt;&gt;"LIBSETS_SETTYPE_BATTLEGROUND",G569&lt;&gt;"LIBSETS_SETTYPE_SPECIAL"),IF(AV569&lt;&gt;"",VLOOKUP(AV569,'ESO zones'!$D$5:$H$4957,5,FALSE),""),"")</f>
        <v/>
      </c>
      <c r="BD569" s="53">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1">
        <v>650</v>
      </c>
      <c r="B570" t="s">
        <v>1730</v>
      </c>
      <c r="C570" t="s">
        <v>1731</v>
      </c>
      <c r="D570" s="3">
        <f t="shared" si="48"/>
        <v>650</v>
      </c>
      <c r="G570" s="3" t="s">
        <v>178</v>
      </c>
      <c r="I570" t="s">
        <v>1120</v>
      </c>
      <c r="J570" t="s">
        <v>401</v>
      </c>
      <c r="K570">
        <v>505</v>
      </c>
      <c r="L570">
        <v>505</v>
      </c>
      <c r="M570">
        <v>505</v>
      </c>
      <c r="O570" s="5" t="s">
        <v>1723</v>
      </c>
      <c r="Q570" s="3">
        <f>IF(AND(P570&lt;&gt;"",ISNUMBER(P570),NOT(ISNA(P570))),P570,IF(R570&lt;&gt;"",VLOOKUP(R570,'ESO zones'!$D$5:$H$10005,5,FALSE),""))</f>
        <v>1344</v>
      </c>
      <c r="R570" t="str">
        <f>IF(AND(O570&lt;&gt;"",NOT(ISERROR(O570))),O570,IF(AND(P570&lt;&gt;"",ISNUMBER(P570),P570&gt;0,NOT(ISNA(P570))),VLOOKUP(P570,'ESO zones'!$A$5:$D$10003,4,FALSE),IF(AND(K570&lt;&gt;"",K570&gt;0,NOT(ISERROR(K570))),VLOOKUP(K570,'ESO wayshrines'!$K$3:$N$9972,4,FALSE),"")))</f>
        <v>Dreadsail Reef</v>
      </c>
      <c r="T570" s="16" t="str">
        <f>IF(AND(S570&lt;&gt;"",NOT(ISERROR(S570))),S570,VLOOKUP(A570,'ESO Set&amp;DLCs'!$A$3:$D$99998,4,FALSE))</f>
        <v>DLC_HIGH_ISLE</v>
      </c>
      <c r="U570" s="3" t="str">
        <f>IF(T570&lt;&gt;"",VLOOKUP(T570,ConstDLCIds!$B$4:$C$1000,2,FALSE),"")</f>
        <v>High Isle</v>
      </c>
      <c r="V570" s="4" t="s">
        <v>272</v>
      </c>
      <c r="Y570" s="43">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zones'!$A$5:$D$10003,4,FALSE),"")</f>
        <v>Dreadsail Reef</v>
      </c>
      <c r="AB570" s="4" t="s">
        <v>272</v>
      </c>
      <c r="AE570" s="43">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zones'!$A$5:$D$10003,4,FALSE),"")</f>
        <v>Dreadsail Reef</v>
      </c>
      <c r="AH570" s="4" t="s">
        <v>272</v>
      </c>
      <c r="AK570" s="3"/>
      <c r="AU570" s="3" t="str">
        <f>IF(AND(G570&lt;&gt;"LIBSETS_SETTYPE_BATTLEGROUND",G570&lt;&gt;"LIBSETS_SETTYPE_SPECIAL"),IF(AV570&lt;&gt;"",VLOOKUP(AV570,'ESO zones'!$D$5:$H$4957,5,FALSE),""),"")</f>
        <v/>
      </c>
      <c r="BD570" s="53" t="s">
        <v>1122</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1">
        <v>651</v>
      </c>
      <c r="B571" t="s">
        <v>1732</v>
      </c>
      <c r="C571" t="s">
        <v>1733</v>
      </c>
      <c r="D571" s="3">
        <f t="shared" si="48"/>
        <v>651</v>
      </c>
      <c r="G571" s="3" t="s">
        <v>178</v>
      </c>
      <c r="I571" t="s">
        <v>1120</v>
      </c>
      <c r="J571" t="s">
        <v>401</v>
      </c>
      <c r="K571">
        <v>505</v>
      </c>
      <c r="L571">
        <v>505</v>
      </c>
      <c r="M571">
        <v>505</v>
      </c>
      <c r="O571" s="5" t="s">
        <v>1723</v>
      </c>
      <c r="Q571" s="3">
        <f>IF(AND(P571&lt;&gt;"",ISNUMBER(P571),NOT(ISNA(P571))),P571,IF(R571&lt;&gt;"",VLOOKUP(R571,'ESO zones'!$D$5:$H$10005,5,FALSE),""))</f>
        <v>1344</v>
      </c>
      <c r="R571" t="str">
        <f>IF(AND(O571&lt;&gt;"",NOT(ISERROR(O571))),O571,IF(AND(P571&lt;&gt;"",ISNUMBER(P571),P571&gt;0,NOT(ISNA(P571))),VLOOKUP(P571,'ESO zones'!$A$5:$D$10003,4,FALSE),IF(AND(K571&lt;&gt;"",K571&gt;0,NOT(ISERROR(K571))),VLOOKUP(K571,'ESO wayshrines'!$K$3:$N$9972,4,FALSE),"")))</f>
        <v>Dreadsail Reef</v>
      </c>
      <c r="T571" s="16" t="str">
        <f>IF(AND(S571&lt;&gt;"",NOT(ISERROR(S571))),S571,VLOOKUP(A571,'ESO Set&amp;DLCs'!$A$3:$D$99998,4,FALSE))</f>
        <v>DLC_HIGH_ISLE</v>
      </c>
      <c r="U571" s="3" t="str">
        <f>IF(T571&lt;&gt;"",VLOOKUP(T571,ConstDLCIds!$B$4:$C$1000,2,FALSE),"")</f>
        <v>High Isle</v>
      </c>
      <c r="V571" s="4" t="s">
        <v>272</v>
      </c>
      <c r="Y571" s="43">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zones'!$A$5:$D$10003,4,FALSE),"")</f>
        <v>Dreadsail Reef</v>
      </c>
      <c r="AB571" s="4" t="s">
        <v>272</v>
      </c>
      <c r="AE571" s="43">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zones'!$A$5:$D$10003,4,FALSE),"")</f>
        <v>Dreadsail Reef</v>
      </c>
      <c r="AH571" s="4" t="s">
        <v>272</v>
      </c>
      <c r="AK571" s="3"/>
      <c r="AU571" s="3" t="str">
        <f>IF(AND(G571&lt;&gt;"LIBSETS_SETTYPE_BATTLEGROUND",G571&lt;&gt;"LIBSETS_SETTYPE_SPECIAL"),IF(AV571&lt;&gt;"",VLOOKUP(AV571,'ESO zones'!$D$5:$H$4957,5,FALSE),""),"")</f>
        <v/>
      </c>
      <c r="BD571" s="53" t="s">
        <v>1122</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1">
        <v>652</v>
      </c>
      <c r="B572" t="s">
        <v>1734</v>
      </c>
      <c r="C572" t="s">
        <v>1735</v>
      </c>
      <c r="D572" s="3">
        <f t="shared" si="48"/>
        <v>652</v>
      </c>
      <c r="G572" s="3" t="s">
        <v>178</v>
      </c>
      <c r="I572" t="s">
        <v>1120</v>
      </c>
      <c r="J572" t="s">
        <v>401</v>
      </c>
      <c r="K572">
        <v>505</v>
      </c>
      <c r="L572">
        <v>505</v>
      </c>
      <c r="M572">
        <v>505</v>
      </c>
      <c r="O572" s="5" t="s">
        <v>1723</v>
      </c>
      <c r="Q572" s="3">
        <f>IF(AND(P572&lt;&gt;"",ISNUMBER(P572),NOT(ISNA(P572))),P572,IF(R572&lt;&gt;"",VLOOKUP(R572,'ESO zones'!$D$5:$H$10005,5,FALSE),""))</f>
        <v>1344</v>
      </c>
      <c r="R572" t="str">
        <f>IF(AND(O572&lt;&gt;"",NOT(ISERROR(O572))),O572,IF(AND(P572&lt;&gt;"",ISNUMBER(P572),P572&gt;0,NOT(ISNA(P572))),VLOOKUP(P572,'ESO zones'!$A$5:$D$10003,4,FALSE),IF(AND(K572&lt;&gt;"",K572&gt;0,NOT(ISERROR(K572))),VLOOKUP(K572,'ESO wayshrines'!$K$3:$N$9972,4,FALSE),"")))</f>
        <v>Dreadsail Reef</v>
      </c>
      <c r="T572" s="16" t="str">
        <f>IF(AND(S572&lt;&gt;"",NOT(ISERROR(S572))),S572,VLOOKUP(A572,'ESO Set&amp;DLCs'!$A$3:$D$99998,4,FALSE))</f>
        <v>DLC_HIGH_ISLE</v>
      </c>
      <c r="U572" s="3" t="str">
        <f>IF(T572&lt;&gt;"",VLOOKUP(T572,ConstDLCIds!$B$4:$C$1000,2,FALSE),"")</f>
        <v>High Isle</v>
      </c>
      <c r="V572" s="4" t="s">
        <v>272</v>
      </c>
      <c r="Y572" s="43">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zones'!$A$5:$D$10003,4,FALSE),"")</f>
        <v>Dreadsail Reef</v>
      </c>
      <c r="AB572" s="4" t="s">
        <v>272</v>
      </c>
      <c r="AE572" s="43">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zones'!$A$5:$D$10003,4,FALSE),"")</f>
        <v>Dreadsail Reef</v>
      </c>
      <c r="AH572" s="4" t="s">
        <v>272</v>
      </c>
      <c r="AK572" s="3"/>
      <c r="AU572" s="3" t="str">
        <f>IF(AND(G572&lt;&gt;"LIBSETS_SETTYPE_BATTLEGROUND",G572&lt;&gt;"LIBSETS_SETTYPE_SPECIAL"),IF(AV572&lt;&gt;"",VLOOKUP(AV572,'ESO zones'!$D$5:$H$4957,5,FALSE),""),"")</f>
        <v/>
      </c>
      <c r="BD572" s="53" t="s">
        <v>1122</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1">
        <v>653</v>
      </c>
      <c r="B573" t="s">
        <v>1736</v>
      </c>
      <c r="C573" t="s">
        <v>1737</v>
      </c>
      <c r="D573" s="3">
        <f t="shared" si="48"/>
        <v>653</v>
      </c>
      <c r="G573" s="3" t="s">
        <v>178</v>
      </c>
      <c r="I573" t="s">
        <v>1120</v>
      </c>
      <c r="J573" t="s">
        <v>401</v>
      </c>
      <c r="K573">
        <v>505</v>
      </c>
      <c r="L573">
        <v>505</v>
      </c>
      <c r="M573">
        <v>505</v>
      </c>
      <c r="O573" s="5" t="s">
        <v>1723</v>
      </c>
      <c r="Q573" s="3">
        <f>IF(AND(P573&lt;&gt;"",ISNUMBER(P573),NOT(ISNA(P573))),P573,IF(R573&lt;&gt;"",VLOOKUP(R573,'ESO zones'!$D$5:$H$10005,5,FALSE),""))</f>
        <v>1344</v>
      </c>
      <c r="R573" t="str">
        <f>IF(AND(O573&lt;&gt;"",NOT(ISERROR(O573))),O573,IF(AND(P573&lt;&gt;"",ISNUMBER(P573),P573&gt;0,NOT(ISNA(P573))),VLOOKUP(P573,'ESO zones'!$A$5:$D$10003,4,FALSE),IF(AND(K573&lt;&gt;"",K573&gt;0,NOT(ISERROR(K573))),VLOOKUP(K573,'ESO wayshrines'!$K$3:$N$9972,4,FALSE),"")))</f>
        <v>Dreadsail Reef</v>
      </c>
      <c r="T573" s="16" t="str">
        <f>IF(AND(S573&lt;&gt;"",NOT(ISERROR(S573))),S573,VLOOKUP(A573,'ESO Set&amp;DLCs'!$A$3:$D$99998,4,FALSE))</f>
        <v>DLC_HIGH_ISLE</v>
      </c>
      <c r="U573" s="3" t="str">
        <f>IF(T573&lt;&gt;"",VLOOKUP(T573,ConstDLCIds!$B$4:$C$1000,2,FALSE),"")</f>
        <v>High Isle</v>
      </c>
      <c r="V573" s="4" t="s">
        <v>272</v>
      </c>
      <c r="Y573" s="43">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zones'!$A$5:$D$10003,4,FALSE),"")</f>
        <v>Dreadsail Reef</v>
      </c>
      <c r="AB573" s="4" t="s">
        <v>272</v>
      </c>
      <c r="AE573" s="43">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zones'!$A$5:$D$10003,4,FALSE),"")</f>
        <v>Dreadsail Reef</v>
      </c>
      <c r="AH573" s="4" t="s">
        <v>272</v>
      </c>
      <c r="AK573" s="3"/>
      <c r="AU573" s="3" t="str">
        <f>IF(AND(G573&lt;&gt;"LIBSETS_SETTYPE_BATTLEGROUND",G573&lt;&gt;"LIBSETS_SETTYPE_SPECIAL"),IF(AV573&lt;&gt;"",VLOOKUP(AV573,'ESO zones'!$D$5:$H$4957,5,FALSE),""),"")</f>
        <v/>
      </c>
      <c r="BD573" s="53" t="s">
        <v>1122</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1">
        <v>654</v>
      </c>
      <c r="B574" t="s">
        <v>1738</v>
      </c>
      <c r="C574" t="s">
        <v>1739</v>
      </c>
      <c r="D574" s="3">
        <f t="shared" si="48"/>
        <v>654</v>
      </c>
      <c r="G574" s="59" t="s">
        <v>180</v>
      </c>
      <c r="I574" t="s">
        <v>401</v>
      </c>
      <c r="J574" t="s">
        <v>401</v>
      </c>
      <c r="K574">
        <v>479</v>
      </c>
      <c r="L574">
        <v>156</v>
      </c>
      <c r="M574">
        <v>479</v>
      </c>
      <c r="Q574" s="3">
        <f>IF(AND(P574&lt;&gt;"",ISNUMBER(P574),NOT(ISNA(P574))),P574,IF(R574&lt;&gt;"",VLOOKUP(R574,'ESO zones'!$D$5:$H$10005,5,FALSE),""))</f>
        <v>1286</v>
      </c>
      <c r="R574" t="str">
        <f>IF(AND(O574&lt;&gt;"",NOT(ISERROR(O574))),O574,IF(AND(P574&lt;&gt;"",ISNUMBER(P574),P574&gt;0,NOT(ISNA(P574))),VLOOKUP(P574,'ESO zones'!$A$5:$D$10003,4,FALSE),IF(AND(K574&lt;&gt;"",K574&gt;0,NOT(ISERROR(K574))),VLOOKUP(K574,'ESO wayshrines'!$K$3:$N$9972,4,FALSE),"")))</f>
        <v>The Deadlands</v>
      </c>
      <c r="T574" s="16" t="str">
        <f>IF(AND(S574&lt;&gt;"",NOT(ISERROR(S574))),S574,VLOOKUP(A574,'ESO Set&amp;DLCs'!$A$3:$D$99998,4,FALSE))</f>
        <v>DLC_HIGH_ISLE</v>
      </c>
      <c r="U574" s="3" t="str">
        <f>IF(T574&lt;&gt;"",VLOOKUP(T574,ConstDLCIds!$B$4:$C$1000,2,FALSE),"")</f>
        <v>High Isle</v>
      </c>
      <c r="V574" s="4" t="s">
        <v>275</v>
      </c>
      <c r="W574" s="3" t="s">
        <v>1740</v>
      </c>
      <c r="X574" s="3" t="s">
        <v>1741</v>
      </c>
      <c r="Y574" s="43">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zones'!$A$5:$D$10003,4,FALSE),"")</f>
        <v>The Vile Manse</v>
      </c>
      <c r="AB574" s="4"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zones'!$A$5:$D$10003,4,FALSE),"")</f>
        <v>The Deadlands</v>
      </c>
      <c r="AH574" s="4" t="s">
        <v>275</v>
      </c>
      <c r="AI574" s="3" t="s">
        <v>1742</v>
      </c>
      <c r="AJ574" s="3" t="s">
        <v>1743</v>
      </c>
      <c r="AK574" s="3">
        <f>IF(AND(G574&lt;&gt;"LIBSETS_SETTYPE_BATTLEGROUND",G574&lt;&gt;"LIBSETS_SETTYPE_SPECIAL"),IF(AL574&lt;&gt;"",VLOOKUP(AL574,'ESO zones'!$D$5:$H$4957,5,FALSE),""),"")</f>
        <v>1286</v>
      </c>
      <c r="AL574" t="s">
        <v>80</v>
      </c>
      <c r="AM574" s="4" t="s">
        <v>286</v>
      </c>
      <c r="AN574" s="3" t="s">
        <v>1744</v>
      </c>
      <c r="AO574" s="3" t="s">
        <v>1745</v>
      </c>
      <c r="AP574" s="3">
        <f>IF(AND(G574&lt;&gt;"LIBSETS_SETTYPE_BATTLEGROUND",G574&lt;&gt;"LIBSETS_SETTYPE_SPECIAL"),IF(AQ574&lt;&gt;"",VLOOKUP(AQ574,'ESO zones'!$D$5:$H$4957,5,FALSE),""),"")</f>
        <v>678</v>
      </c>
      <c r="AQ574" t="s">
        <v>722</v>
      </c>
      <c r="AR574" s="4" t="s">
        <v>278</v>
      </c>
      <c r="AS574" s="3" t="s">
        <v>1746</v>
      </c>
      <c r="AT574" s="3" t="s">
        <v>1747</v>
      </c>
      <c r="AU574" s="3" t="str">
        <f>IF(AND(G574&lt;&gt;"LIBSETS_SETTYPE_BATTLEGROUND",G574&lt;&gt;"LIBSETS_SETTYPE_SPECIAL"),IF(AV574&lt;&gt;"",VLOOKUP(AV574,'ESO zones'!$D$5:$H$4957,5,FALSE),""),"")</f>
        <v/>
      </c>
      <c r="BA574" s="53" t="s">
        <v>1748</v>
      </c>
      <c r="BB574" s="53" t="s">
        <v>1748</v>
      </c>
      <c r="BC574" s="53"/>
      <c r="BD574" s="53"/>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1">
        <v>655</v>
      </c>
      <c r="B575" t="s">
        <v>1749</v>
      </c>
      <c r="C575" t="s">
        <v>1750</v>
      </c>
      <c r="D575" s="3">
        <f t="shared" si="48"/>
        <v>655</v>
      </c>
      <c r="G575" s="59" t="s">
        <v>180</v>
      </c>
      <c r="I575" t="s">
        <v>401</v>
      </c>
      <c r="J575" t="s">
        <v>401</v>
      </c>
      <c r="K575">
        <v>383</v>
      </c>
      <c r="L575">
        <v>402</v>
      </c>
      <c r="M575">
        <v>-1</v>
      </c>
      <c r="Q575" s="3">
        <f>IF(AND(P575&lt;&gt;"",ISNUMBER(P575),NOT(ISNA(P575))),P575,IF(R575&lt;&gt;"",VLOOKUP(R575,'ESO zones'!$D$5:$H$10005,5,FALSE),""))</f>
        <v>1086</v>
      </c>
      <c r="R575" t="str">
        <f>IF(AND(O575&lt;&gt;"",NOT(ISERROR(O575))),O575,IF(AND(P575&lt;&gt;"",ISNUMBER(P575),P575&gt;0,NOT(ISNA(P575))),VLOOKUP(P575,'ESO zones'!$A$5:$D$10003,4,FALSE),IF(AND(K575&lt;&gt;"",K575&gt;0,NOT(ISERROR(K575))),VLOOKUP(K575,'ESO wayshrines'!$K$3:$N$9972,4,FALSE),"")))</f>
        <v>Northern Elsweyr</v>
      </c>
      <c r="T575" s="16" t="str">
        <f>IF(AND(S575&lt;&gt;"",NOT(ISERROR(S575))),S575,VLOOKUP(A575,'ESO Set&amp;DLCs'!$A$3:$D$99998,4,FALSE))</f>
        <v>DLC_HIGH_ISLE</v>
      </c>
      <c r="U575" s="3" t="str">
        <f>IF(T575&lt;&gt;"",VLOOKUP(T575,ConstDLCIds!$B$4:$C$1000,2,FALSE),"")</f>
        <v>High Isle</v>
      </c>
      <c r="V575" s="4" t="s">
        <v>269</v>
      </c>
      <c r="W575" s="3" t="s">
        <v>1556</v>
      </c>
      <c r="X575" s="3" t="s">
        <v>1557</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zones'!$A$5:$D$10003,4,FALSE),"")</f>
        <v>Southern Elsweyr</v>
      </c>
      <c r="AB575" s="4" t="s">
        <v>269</v>
      </c>
      <c r="AF575" s="3">
        <v>1121</v>
      </c>
      <c r="AG575" t="s">
        <v>1296</v>
      </c>
      <c r="AH575" s="4" t="s">
        <v>275</v>
      </c>
      <c r="AI575" s="3" t="s">
        <v>1751</v>
      </c>
      <c r="AJ575" s="3" t="s">
        <v>1752</v>
      </c>
      <c r="AK575" s="3">
        <f>IF(AND(G575&lt;&gt;"LIBSETS_SETTYPE_BATTLEGROUND",G575&lt;&gt;"LIBSETS_SETTYPE_SPECIAL"),IF(AL575&lt;&gt;"",VLOOKUP(AL575,'ESO zones'!$D$5:$H$4957,5,FALSE),""),"")</f>
        <v>1123</v>
      </c>
      <c r="AL575" t="s">
        <v>1320</v>
      </c>
      <c r="AM575" s="4" t="s">
        <v>278</v>
      </c>
      <c r="AN575" s="3" t="s">
        <v>1326</v>
      </c>
      <c r="AO575" s="3" t="s">
        <v>1326</v>
      </c>
      <c r="AP575" s="3">
        <f>IF(AND(G575&lt;&gt;"LIBSETS_SETTYPE_BATTLEGROUND",G575&lt;&gt;"LIBSETS_SETTYPE_SPECIAL"),IF(AQ575&lt;&gt;"",VLOOKUP(AQ575,'ESO zones'!$D$5:$H$4957,5,FALSE),""),"")</f>
        <v>1122</v>
      </c>
      <c r="AQ575" t="s">
        <v>1313</v>
      </c>
      <c r="AR575" s="4" t="s">
        <v>275</v>
      </c>
      <c r="AS575" s="3" t="s">
        <v>1753</v>
      </c>
      <c r="AT575" s="3" t="s">
        <v>1754</v>
      </c>
      <c r="AU575" s="3" t="str">
        <f>IF(AND(G575&lt;&gt;"LIBSETS_SETTYPE_BATTLEGROUND",G575&lt;&gt;"LIBSETS_SETTYPE_SPECIAL"),IF(AV575&lt;&gt;"",VLOOKUP(AV575,'ESO zones'!$D$5:$H$4957,5,FALSE),""),"")</f>
        <v/>
      </c>
      <c r="BA575" s="53" t="s">
        <v>1755</v>
      </c>
      <c r="BB575" s="53" t="s">
        <v>1755</v>
      </c>
      <c r="BC575" s="53"/>
      <c r="BD575" s="53"/>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1">
        <v>656</v>
      </c>
      <c r="B576" t="s">
        <v>1756</v>
      </c>
      <c r="C576" t="s">
        <v>1757</v>
      </c>
      <c r="D576" s="3">
        <f t="shared" si="48"/>
        <v>656</v>
      </c>
      <c r="G576" s="59" t="s">
        <v>180</v>
      </c>
      <c r="I576" t="s">
        <v>401</v>
      </c>
      <c r="J576" t="s">
        <v>401</v>
      </c>
      <c r="K576">
        <v>354</v>
      </c>
      <c r="L576">
        <v>519</v>
      </c>
      <c r="M576">
        <v>43</v>
      </c>
      <c r="Q576" s="3">
        <f>IF(AND(P576&lt;&gt;"",ISNUMBER(P576),NOT(ISNA(P576))),P576,IF(R576&lt;&gt;"",VLOOKUP(R576,'ESO zones'!$D$5:$H$10005,5,FALSE),""))</f>
        <v>1011</v>
      </c>
      <c r="R576" t="str">
        <f>IF(AND(O576&lt;&gt;"",NOT(ISERROR(O576))),O576,IF(AND(P576&lt;&gt;"",ISNUMBER(P576),P576&gt;0,NOT(ISNA(P576))),VLOOKUP(P576,'ESO zones'!$A$5:$D$10003,4,FALSE),IF(AND(K576&lt;&gt;"",K576&gt;0,NOT(ISERROR(K576))),VLOOKUP(K576,'ESO wayshrines'!$K$3:$N$9972,4,FALSE),"")))</f>
        <v>Summerset</v>
      </c>
      <c r="T576" s="16" t="str">
        <f>IF(AND(S576&lt;&gt;"",NOT(ISERROR(S576))),S576,VLOOKUP(A576,'ESO Set&amp;DLCs'!$A$3:$D$99998,4,FALSE))</f>
        <v>DLC_HIGH_ISLE</v>
      </c>
      <c r="U576" s="3" t="str">
        <f>IF(T576&lt;&gt;"",VLOOKUP(T576,ConstDLCIds!$B$4:$C$1000,2,FALSE),"")</f>
        <v>High Isle</v>
      </c>
      <c r="V576" s="4" t="s">
        <v>275</v>
      </c>
      <c r="W576" s="3" t="s">
        <v>1758</v>
      </c>
      <c r="X576" s="3" t="s">
        <v>1759</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zones'!$A$5:$D$10003,4,FALSE),"")</f>
        <v>High Isle</v>
      </c>
      <c r="AB576" s="4"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zones'!$A$5:$D$10003,4,FALSE),"")</f>
        <v>Alik'r Desert</v>
      </c>
      <c r="AH576" s="4" t="s">
        <v>224</v>
      </c>
      <c r="AK576" s="3">
        <f>IF(AND(G576&lt;&gt;"LIBSETS_SETTYPE_BATTLEGROUND",G576&lt;&gt;"LIBSETS_SETTYPE_SPECIAL"),IF(AL576&lt;&gt;"",VLOOKUP(AL576,'ESO zones'!$D$5:$H$4957,5,FALSE),""),"")</f>
        <v>0</v>
      </c>
      <c r="AL576" t="s">
        <v>1684</v>
      </c>
      <c r="AM576" s="4" t="s">
        <v>281</v>
      </c>
      <c r="AN576" s="3" t="s">
        <v>1760</v>
      </c>
      <c r="AO576" s="3" t="s">
        <v>1761</v>
      </c>
      <c r="AP576" s="3">
        <f>IF(AND(G576&lt;&gt;"LIBSETS_SETTYPE_BATTLEGROUND",G576&lt;&gt;"LIBSETS_SETTYPE_SPECIAL"),IF(AQ576&lt;&gt;"",VLOOKUP(AQ576,'ESO zones'!$D$5:$H$4957,5,FALSE),""),"")</f>
        <v>1011</v>
      </c>
      <c r="AQ576" t="s">
        <v>38</v>
      </c>
      <c r="AR576" s="4" t="s">
        <v>257</v>
      </c>
      <c r="AS576" s="3" t="s">
        <v>1762</v>
      </c>
      <c r="AT576" s="3" t="s">
        <v>1763</v>
      </c>
      <c r="AU576" s="3" t="str">
        <f>IF(AND(G576&lt;&gt;"LIBSETS_SETTYPE_BATTLEGROUND",G576&lt;&gt;"LIBSETS_SETTYPE_SPECIAL"),IF(AV576&lt;&gt;"",VLOOKUP(AV576,'ESO zones'!$D$5:$H$4957,5,FALSE),""),"")</f>
        <v/>
      </c>
      <c r="BA576" s="53" t="s">
        <v>1755</v>
      </c>
      <c r="BB576" s="53" t="s">
        <v>1755</v>
      </c>
      <c r="BC576" s="53"/>
      <c r="BD576" s="53"/>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1">
        <v>657</v>
      </c>
      <c r="B577" t="s">
        <v>1764</v>
      </c>
      <c r="C577" t="s">
        <v>1765</v>
      </c>
      <c r="D577" s="3">
        <f t="shared" si="48"/>
        <v>657</v>
      </c>
      <c r="G577" s="59" t="s">
        <v>180</v>
      </c>
      <c r="I577" t="s">
        <v>401</v>
      </c>
      <c r="J577" t="s">
        <v>401</v>
      </c>
      <c r="K577">
        <v>511</v>
      </c>
      <c r="L577">
        <v>117</v>
      </c>
      <c r="M577">
        <v>502</v>
      </c>
      <c r="Q577" s="3">
        <f>IF(AND(P577&lt;&gt;"",ISNUMBER(P577),NOT(ISNA(P577))),P577,IF(R577&lt;&gt;"",VLOOKUP(R577,'ESO zones'!$D$5:$H$10005,5,FALSE),""))</f>
        <v>1318</v>
      </c>
      <c r="R577" t="str">
        <f>IF(AND(O577&lt;&gt;"",NOT(ISERROR(O577))),O577,IF(AND(P577&lt;&gt;"",ISNUMBER(P577),P577&gt;0,NOT(ISNA(P577))),VLOOKUP(P577,'ESO zones'!$A$5:$D$10003,4,FALSE),IF(AND(K577&lt;&gt;"",K577&gt;0,NOT(ISERROR(K577))),VLOOKUP(K577,'ESO wayshrines'!$K$3:$N$9972,4,FALSE),"")))</f>
        <v>High Isle</v>
      </c>
      <c r="T577" s="16" t="str">
        <f>IF(AND(S577&lt;&gt;"",NOT(ISERROR(S577))),S577,VLOOKUP(A577,'ESO Set&amp;DLCs'!$A$3:$D$99998,4,FALSE))</f>
        <v>DLC_HIGH_ISLE</v>
      </c>
      <c r="U577" s="3" t="str">
        <f>IF(T577&lt;&gt;"",VLOOKUP(T577,ConstDLCIds!$B$4:$C$1000,2,FALSE),"")</f>
        <v>High Isle</v>
      </c>
      <c r="V577" s="4" t="s">
        <v>269</v>
      </c>
      <c r="W577" s="3" t="s">
        <v>1766</v>
      </c>
      <c r="X577" s="3" t="s">
        <v>1767</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zones'!$A$5:$D$10003,4,FALSE),"")</f>
        <v>The Rift</v>
      </c>
      <c r="AB577" s="4"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zones'!$A$5:$D$10003,4,FALSE),"")</f>
        <v>High Isle</v>
      </c>
      <c r="AH577" s="4" t="s">
        <v>218</v>
      </c>
      <c r="AI577" s="3" t="s">
        <v>1768</v>
      </c>
      <c r="AJ577" s="3" t="s">
        <v>1769</v>
      </c>
      <c r="AK577" s="3">
        <f>IF(AND(G577&lt;&gt;"LIBSETS_SETTYPE_BATTLEGROUND",G577&lt;&gt;"LIBSETS_SETTYPE_SPECIAL"),IF(AL577&lt;&gt;"",VLOOKUP(AL577,'ESO zones'!$D$5:$H$4957,5,FALSE),""),"")</f>
        <v>0</v>
      </c>
      <c r="AL577" t="s">
        <v>1684</v>
      </c>
      <c r="AM577" s="4" t="s">
        <v>269</v>
      </c>
      <c r="AN577" s="3" t="s">
        <v>1770</v>
      </c>
      <c r="AO577" s="3" t="s">
        <v>1771</v>
      </c>
      <c r="AP577" s="3">
        <f>IF(AND(G577&lt;&gt;"LIBSETS_SETTYPE_BATTLEGROUND",G577&lt;&gt;"LIBSETS_SETTYPE_SPECIAL"),IF(AQ577&lt;&gt;"",VLOOKUP(AQ577,'ESO zones'!$D$5:$H$4957,5,FALSE),""),"")</f>
        <v>57</v>
      </c>
      <c r="AQ577" t="s">
        <v>436</v>
      </c>
      <c r="AR577" s="4" t="s">
        <v>1772</v>
      </c>
      <c r="AS577" s="3" t="s">
        <v>1773</v>
      </c>
      <c r="AT577" s="3" t="s">
        <v>1774</v>
      </c>
      <c r="AU577" s="3">
        <f>IF(AND(G577&lt;&gt;"LIBSETS_SETTYPE_BATTLEGROUND",G577&lt;&gt;"LIBSETS_SETTYPE_SPECIAL"),IF(AV577&lt;&gt;"",VLOOKUP(AV577,'ESO zones'!$D$5:$H$4957,5,FALSE),""),"")</f>
        <v>383</v>
      </c>
      <c r="AV577" t="s">
        <v>451</v>
      </c>
      <c r="AW577" s="4" t="s">
        <v>1772</v>
      </c>
      <c r="AX577" s="3" t="s">
        <v>1773</v>
      </c>
      <c r="AY577" s="3" t="s">
        <v>1774</v>
      </c>
      <c r="BA577" s="53" t="s">
        <v>1775</v>
      </c>
      <c r="BB577" s="53" t="s">
        <v>1775</v>
      </c>
      <c r="BC577" s="53"/>
      <c r="BD577" s="53"/>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1">
        <v>658</v>
      </c>
      <c r="B578" t="s">
        <v>1776</v>
      </c>
      <c r="C578" t="s">
        <v>1777</v>
      </c>
      <c r="D578" s="3">
        <f t="shared" si="48"/>
        <v>658</v>
      </c>
      <c r="G578" s="59" t="s">
        <v>180</v>
      </c>
      <c r="I578" t="s">
        <v>401</v>
      </c>
      <c r="J578" t="s">
        <v>401</v>
      </c>
      <c r="K578">
        <v>518</v>
      </c>
      <c r="L578">
        <v>18</v>
      </c>
      <c r="M578">
        <v>100</v>
      </c>
      <c r="Q578" s="3">
        <f>IF(AND(P578&lt;&gt;"",ISNUMBER(P578),NOT(ISNA(P578))),P578,IF(R578&lt;&gt;"",VLOOKUP(R578,'ESO zones'!$D$5:$H$10005,5,FALSE),""))</f>
        <v>1318</v>
      </c>
      <c r="R578" t="str">
        <f>IF(AND(O578&lt;&gt;"",NOT(ISERROR(O578))),O578,IF(AND(P578&lt;&gt;"",ISNUMBER(P578),P578&gt;0,NOT(ISNA(P578))),VLOOKUP(P578,'ESO zones'!$A$5:$D$10003,4,FALSE),IF(AND(K578&lt;&gt;"",K578&gt;0,NOT(ISERROR(K578))),VLOOKUP(K578,'ESO wayshrines'!$K$3:$N$9972,4,FALSE),"")))</f>
        <v>High Isle</v>
      </c>
      <c r="T578" s="16" t="str">
        <f>IF(AND(S578&lt;&gt;"",NOT(ISERROR(S578))),S578,VLOOKUP(A578,'ESO Set&amp;DLCs'!$A$3:$D$99998,4,FALSE))</f>
        <v>DLC_HIGH_ISLE</v>
      </c>
      <c r="U578" s="3" t="str">
        <f>IF(T578&lt;&gt;"",VLOOKUP(T578,ConstDLCIds!$B$4:$C$1000,2,FALSE),"")</f>
        <v>High Isle</v>
      </c>
      <c r="V578" s="4" t="s">
        <v>257</v>
      </c>
      <c r="W578" s="3" t="s">
        <v>1778</v>
      </c>
      <c r="X578" s="3" t="s">
        <v>1779</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zones'!$A$5:$D$10003,4,FALSE),"")</f>
        <v>Stormhaven</v>
      </c>
      <c r="AB578" s="4"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zones'!$A$5:$D$10003,4,FALSE),"")</f>
        <v>Malabal Tor</v>
      </c>
      <c r="AH578" s="4" t="s">
        <v>275</v>
      </c>
      <c r="AI578" s="3" t="s">
        <v>1780</v>
      </c>
      <c r="AJ578" s="3" t="s">
        <v>1781</v>
      </c>
      <c r="AK578" s="3">
        <f>IF(AND(G578&lt;&gt;"LIBSETS_SETTYPE_BATTLEGROUND",G578&lt;&gt;"LIBSETS_SETTYPE_SPECIAL"),IF(AL578&lt;&gt;"",VLOOKUP(AL578,'ESO zones'!$D$5:$H$4957,5,FALSE),""),"")</f>
        <v>3</v>
      </c>
      <c r="AL578" t="s">
        <v>496</v>
      </c>
      <c r="AM578" s="4" t="s">
        <v>286</v>
      </c>
      <c r="AN578" s="3" t="s">
        <v>1782</v>
      </c>
      <c r="AO578" s="3" t="s">
        <v>1783</v>
      </c>
      <c r="AP578" s="3">
        <f>IF(AND(G578&lt;&gt;"LIBSETS_SETTYPE_BATTLEGROUND",G578&lt;&gt;"LIBSETS_SETTYPE_SPECIAL"),IF(AQ578&lt;&gt;"",VLOOKUP(AQ578,'ESO zones'!$D$5:$H$4957,5,FALSE),""),"")</f>
        <v>726</v>
      </c>
      <c r="AQ578" t="s">
        <v>44</v>
      </c>
      <c r="AR578" s="4" t="s">
        <v>269</v>
      </c>
      <c r="AS578" s="3" t="s">
        <v>1784</v>
      </c>
      <c r="AT578" s="3" t="s">
        <v>1785</v>
      </c>
      <c r="AU578" s="3" t="str">
        <f>IF(AND(G578&lt;&gt;"LIBSETS_SETTYPE_BATTLEGROUND",G578&lt;&gt;"LIBSETS_SETTYPE_SPECIAL"),IF(AV578&lt;&gt;"",VLOOKUP(AV578,'ESO zones'!$D$5:$H$4957,5,FALSE),""),"")</f>
        <v/>
      </c>
      <c r="BA578" s="53" t="s">
        <v>1786</v>
      </c>
      <c r="BB578" s="53" t="s">
        <v>1786</v>
      </c>
      <c r="BC578" s="53"/>
      <c r="BD578" s="53"/>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8" t="str">
        <f t="shared" si="53"/>
        <v>, addTooltip={['en']='https://en.uesp.net/wiki/Online:Oakensoul_Ring',},}, --Oakensoul Ring / Eichenseelenring   [High Isle, Stormhaven, Malabal Tor, Glenumbra, Murkmire]</v>
      </c>
    </row>
    <row r="579" spans="1:61" x14ac:dyDescent="0.25">
      <c r="A579" s="1">
        <v>660</v>
      </c>
      <c r="B579" t="s">
        <v>1787</v>
      </c>
      <c r="C579" t="s">
        <v>1788</v>
      </c>
      <c r="D579" s="3">
        <f t="shared" ref="D579:D642" si="54">A579</f>
        <v>660</v>
      </c>
      <c r="G579" s="9" t="s">
        <v>169</v>
      </c>
      <c r="I579" t="s">
        <v>401</v>
      </c>
      <c r="J579" t="s">
        <v>401</v>
      </c>
      <c r="K579" s="58">
        <v>520</v>
      </c>
      <c r="L579" s="58">
        <v>520</v>
      </c>
      <c r="M579" s="58">
        <v>520</v>
      </c>
      <c r="O579" s="5" t="s">
        <v>1789</v>
      </c>
      <c r="Q579" s="3">
        <f>IF(AND(P579&lt;&gt;"",ISNUMBER(P579),NOT(ISNA(P579))),P579,IF(R579&lt;&gt;"",VLOOKUP(R579,'ESO zones'!$D$5:$H$10005,5,FALSE),""))</f>
        <v>1360</v>
      </c>
      <c r="R579" t="str">
        <f>IF(AND(O579&lt;&gt;"",NOT(ISERROR(O579))),O579,IF(AND(P579&lt;&gt;"",ISNUMBER(P579),P579&gt;0,NOT(ISNA(P579))),VLOOKUP(P579,'ESO zones'!$A$5:$D$10003,4,FALSE),IF(AND(K579&lt;&gt;"",K579&gt;0,NOT(ISERROR(K579))),VLOOKUP(K579,'ESO wayshrines'!$K$3:$N$9972,4,FALSE),"")))</f>
        <v>Earthen Root Enclave</v>
      </c>
      <c r="T579" s="16" t="str">
        <f>IF(AND(S579&lt;&gt;"",NOT(ISERROR(S579))),S579,VLOOKUP(A579,'ESO Set&amp;DLCs'!$A$3:$D$99998,4,FALSE))</f>
        <v>DLC_LOST_DEPTHS</v>
      </c>
      <c r="U579" s="3" t="str">
        <f>IF(T579&lt;&gt;"",VLOOKUP(T579,ConstDLCIds!$B$4:$C$1000,2,FALSE),"")</f>
        <v>Lost Depths</v>
      </c>
      <c r="V579" s="57"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zones'!$A$5:$D$10003,4,FALSE),"")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zones'!$A$5:$D$10003,4,FALSE),"")</f>
        <v>High Isle</v>
      </c>
      <c r="AK579" s="3" t="str">
        <f>IF(AND(G579&lt;&gt;"LIBSETS_SETTYPE_BATTLEGROUND",G579&lt;&gt;"LIBSETS_SETTYPE_SPECIAL"),IF(AL579&lt;&gt;"",VLOOKUP(AL579,'ESO zones'!$D$5:$H$4957,5,FALSE),""),"")</f>
        <v/>
      </c>
      <c r="AP579" s="3" t="str">
        <f>IF(AND(G579&lt;&gt;"LIBSETS_SETTYPE_BATTLEGROUND",G579&lt;&gt;"LIBSETS_SETTYPE_SPECIAL"),IF(AQ579&lt;&gt;"",VLOOKUP(AQ579,'ESO zones'!$D$5:$H$4957,5,FALSE),""),"")</f>
        <v/>
      </c>
      <c r="AU579" s="3" t="str">
        <f>IF(AND(G579&lt;&gt;"LIBSETS_SETTYPE_BATTLEGROUND",G579&lt;&gt;"LIBSETS_SETTYPE_SPECIAL"),IF(AV579&lt;&gt;"",VLOOKUP(AV579,'ESO zones'!$D$5:$H$4957,5,FALSE),""),"")</f>
        <v/>
      </c>
      <c r="BE579" s="18"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8"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8" t="str">
        <f t="shared" ref="BG579:BG642" si="57">IF(A579&lt;&gt;"",IF(F579&lt;&gt;"Not in the game (anymore)",IF(A579&lt;&gt;"",", setType="&amp;G579,"")&amp;IF(G579="LIBSETS_SETTYPE_CLASS",", classId="&amp;BC579,"")&amp;IF(J579="true",", multiTrialSet=true",""),"")&amp;IF(AND(H579&lt;&gt;"",ISNUMBER(H579)),", undauntedChestId="&amp;H579,""),"")</f>
        <v>, setType=LIBSETS_SETTYPE_DUNGEON</v>
      </c>
      <c r="BH579" s="18" t="str">
        <f t="shared" ref="BH579:BH642" si="58">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8" t="str">
        <f t="shared" ref="BI579:BI642" si="59">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row>
    <row r="580" spans="1:61" x14ac:dyDescent="0.25">
      <c r="A580" s="1">
        <v>661</v>
      </c>
      <c r="B580" t="s">
        <v>1790</v>
      </c>
      <c r="C580" t="s">
        <v>1791</v>
      </c>
      <c r="D580" s="3">
        <f t="shared" si="54"/>
        <v>661</v>
      </c>
      <c r="G580" s="9" t="s">
        <v>169</v>
      </c>
      <c r="I580" t="s">
        <v>401</v>
      </c>
      <c r="J580" t="s">
        <v>401</v>
      </c>
      <c r="K580" s="58">
        <v>520</v>
      </c>
      <c r="L580" s="58">
        <v>520</v>
      </c>
      <c r="M580" s="58">
        <v>520</v>
      </c>
      <c r="O580" s="5" t="s">
        <v>1789</v>
      </c>
      <c r="Q580" s="3">
        <f>IF(AND(P580&lt;&gt;"",ISNUMBER(P580),NOT(ISNA(P580))),P580,IF(R580&lt;&gt;"",VLOOKUP(R580,'ESO zones'!$D$5:$H$10005,5,FALSE),""))</f>
        <v>1360</v>
      </c>
      <c r="R580" t="str">
        <f>IF(AND(O580&lt;&gt;"",NOT(ISERROR(O580))),O580,IF(AND(P580&lt;&gt;"",ISNUMBER(P580),P580&gt;0,NOT(ISNA(P580))),VLOOKUP(P580,'ESO zones'!$A$5:$D$10003,4,FALSE),IF(AND(K580&lt;&gt;"",K580&gt;0,NOT(ISERROR(K580))),VLOOKUP(K580,'ESO wayshrines'!$K$3:$N$9972,4,FALSE),"")))</f>
        <v>Earthen Root Enclave</v>
      </c>
      <c r="T580" s="16" t="str">
        <f>IF(AND(S580&lt;&gt;"",NOT(ISERROR(S580))),S580,VLOOKUP(A580,'ESO Set&amp;DLCs'!$A$3:$D$99998,4,FALSE))</f>
        <v>DLC_LOST_DEPTHS</v>
      </c>
      <c r="U580" s="3" t="str">
        <f>IF(T580&lt;&gt;"",VLOOKUP(T580,ConstDLCIds!$B$4:$C$1000,2,FALSE),"")</f>
        <v>Lost Depths</v>
      </c>
      <c r="V580" s="57"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zones'!$A$5:$D$10003,4,FALSE),"")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zones'!$A$5:$D$10003,4,FALSE),"")</f>
        <v>High Isle</v>
      </c>
      <c r="AK580" s="3" t="str">
        <f>IF(AND(G580&lt;&gt;"LIBSETS_SETTYPE_BATTLEGROUND",G580&lt;&gt;"LIBSETS_SETTYPE_SPECIAL"),IF(AL580&lt;&gt;"",VLOOKUP(AL580,'ESO zones'!$D$5:$H$4957,5,FALSE),""),"")</f>
        <v/>
      </c>
      <c r="AP580" s="3" t="str">
        <f>IF(AND(G580&lt;&gt;"LIBSETS_SETTYPE_BATTLEGROUND",G580&lt;&gt;"LIBSETS_SETTYPE_SPECIAL"),IF(AQ580&lt;&gt;"",VLOOKUP(AQ580,'ESO zones'!$D$5:$H$4957,5,FALSE),""),"")</f>
        <v/>
      </c>
      <c r="AU580" s="3" t="str">
        <f>IF(AND(G580&lt;&gt;"LIBSETS_SETTYPE_BATTLEGROUND",G580&lt;&gt;"LIBSETS_SETTYPE_SPECIAL"),IF(AV580&lt;&gt;"",VLOOKUP(AV580,'ESO zones'!$D$5:$H$4957,5,FALSE),""),"")</f>
        <v/>
      </c>
      <c r="BE580" s="18" t="str">
        <f t="shared" si="55"/>
        <v>[661] = {wayshrines={520,520,520,}, dlcId=DLC_LOST_DEPTHS</v>
      </c>
      <c r="BF580" s="18" t="str">
        <f t="shared" si="56"/>
        <v>, zoneIds={1360,1318,1318}, veteran=false</v>
      </c>
      <c r="BG580" s="18" t="str">
        <f t="shared" si="57"/>
        <v>, setType=LIBSETS_SETTYPE_DUNGEON</v>
      </c>
      <c r="BH580" s="18" t="str">
        <f t="shared" si="58"/>
        <v>, dropMechanic={LIBSETS_DROP_MECHANIC_GROUP_DUNGEON_BOSS}</v>
      </c>
      <c r="BI580" s="18" t="str">
        <f t="shared" si="59"/>
        <v>}, --Stone\'s Accord / Steinabkommen   [Earthen Root Enclave, High Isle, High Isle]</v>
      </c>
    </row>
    <row r="581" spans="1:61" x14ac:dyDescent="0.25">
      <c r="A581" s="1">
        <v>662</v>
      </c>
      <c r="B581" t="s">
        <v>1792</v>
      </c>
      <c r="C581" t="s">
        <v>1793</v>
      </c>
      <c r="D581" s="3">
        <f t="shared" si="54"/>
        <v>662</v>
      </c>
      <c r="G581" s="9" t="s">
        <v>169</v>
      </c>
      <c r="I581" t="s">
        <v>401</v>
      </c>
      <c r="J581" t="s">
        <v>401</v>
      </c>
      <c r="K581" s="58">
        <v>520</v>
      </c>
      <c r="L581" s="58">
        <v>520</v>
      </c>
      <c r="M581" s="58">
        <v>520</v>
      </c>
      <c r="O581" s="5" t="s">
        <v>1789</v>
      </c>
      <c r="Q581" s="3">
        <f>IF(AND(P581&lt;&gt;"",ISNUMBER(P581),NOT(ISNA(P581))),P581,IF(R581&lt;&gt;"",VLOOKUP(R581,'ESO zones'!$D$5:$H$10005,5,FALSE),""))</f>
        <v>1360</v>
      </c>
      <c r="R581" t="str">
        <f>IF(AND(O581&lt;&gt;"",NOT(ISERROR(O581))),O581,IF(AND(P581&lt;&gt;"",ISNUMBER(P581),P581&gt;0,NOT(ISNA(P581))),VLOOKUP(P581,'ESO zones'!$A$5:$D$10003,4,FALSE),IF(AND(K581&lt;&gt;"",K581&gt;0,NOT(ISERROR(K581))),VLOOKUP(K581,'ESO wayshrines'!$K$3:$N$9972,4,FALSE),"")))</f>
        <v>Earthen Root Enclave</v>
      </c>
      <c r="T581" s="16" t="str">
        <f>IF(AND(S581&lt;&gt;"",NOT(ISERROR(S581))),S581,VLOOKUP(A581,'ESO Set&amp;DLCs'!$A$3:$D$99998,4,FALSE))</f>
        <v>DLC_LOST_DEPTHS</v>
      </c>
      <c r="U581" s="3" t="str">
        <f>IF(T581&lt;&gt;"",VLOOKUP(T581,ConstDLCIds!$B$4:$C$1000,2,FALSE),"")</f>
        <v>Lost Depths</v>
      </c>
      <c r="V581" s="57"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zones'!$A$5:$D$10003,4,FALSE),"")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zones'!$A$5:$D$10003,4,FALSE),"")</f>
        <v>High Isle</v>
      </c>
      <c r="AK581" s="3" t="str">
        <f>IF(AND(G581&lt;&gt;"LIBSETS_SETTYPE_BATTLEGROUND",G581&lt;&gt;"LIBSETS_SETTYPE_SPECIAL"),IF(AL581&lt;&gt;"",VLOOKUP(AL581,'ESO zones'!$D$5:$H$4957,5,FALSE),""),"")</f>
        <v/>
      </c>
      <c r="AP581" s="3" t="str">
        <f>IF(AND(G581&lt;&gt;"LIBSETS_SETTYPE_BATTLEGROUND",G581&lt;&gt;"LIBSETS_SETTYPE_SPECIAL"),IF(AQ581&lt;&gt;"",VLOOKUP(AQ581,'ESO zones'!$D$5:$H$4957,5,FALSE),""),"")</f>
        <v/>
      </c>
      <c r="AU581" s="3" t="str">
        <f>IF(AND(G581&lt;&gt;"LIBSETS_SETTYPE_BATTLEGROUND",G581&lt;&gt;"LIBSETS_SETTYPE_SPECIAL"),IF(AV581&lt;&gt;"",VLOOKUP(AV581,'ESO zones'!$D$5:$H$4957,5,FALSE),""),"")</f>
        <v/>
      </c>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1">
        <v>663</v>
      </c>
      <c r="B582" t="s">
        <v>1794</v>
      </c>
      <c r="C582" t="s">
        <v>1795</v>
      </c>
      <c r="D582" s="3">
        <f t="shared" si="54"/>
        <v>663</v>
      </c>
      <c r="G582" s="9" t="s">
        <v>169</v>
      </c>
      <c r="I582" t="s">
        <v>401</v>
      </c>
      <c r="J582" t="s">
        <v>401</v>
      </c>
      <c r="K582">
        <v>521</v>
      </c>
      <c r="L582">
        <v>521</v>
      </c>
      <c r="M582">
        <v>521</v>
      </c>
      <c r="O582" s="5" t="s">
        <v>1796</v>
      </c>
      <c r="Q582" s="3">
        <f>IF(AND(P582&lt;&gt;"",ISNUMBER(P582),NOT(ISNA(P582))),P582,IF(R582&lt;&gt;"",VLOOKUP(R582,'ESO zones'!$D$5:$H$10005,5,FALSE),""))</f>
        <v>1361</v>
      </c>
      <c r="R582" t="str">
        <f>IF(AND(O582&lt;&gt;"",NOT(ISERROR(O582))),O582,IF(AND(P582&lt;&gt;"",ISNUMBER(P582),P582&gt;0,NOT(ISNA(P582))),VLOOKUP(P582,'ESO zones'!$A$5:$D$10003,4,FALSE),IF(AND(K582&lt;&gt;"",K582&gt;0,NOT(ISERROR(K582))),VLOOKUP(K582,'ESO wayshrines'!$K$3:$N$9972,4,FALSE),"")))</f>
        <v>Graven Deep</v>
      </c>
      <c r="T582" s="16" t="str">
        <f>IF(AND(S582&lt;&gt;"",NOT(ISERROR(S582))),S582,VLOOKUP(A582,'ESO Set&amp;DLCs'!$A$3:$D$99998,4,FALSE))</f>
        <v>DLC_LOST_DEPTHS</v>
      </c>
      <c r="U582" s="3" t="str">
        <f>IF(T582&lt;&gt;"",VLOOKUP(T582,ConstDLCIds!$B$4:$C$1000,2,FALSE),"")</f>
        <v>Lost Depths</v>
      </c>
      <c r="V582" s="57"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zones'!$A$5:$D$10003,4,FALSE),"")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zones'!$A$5:$D$10003,4,FALSE),"")</f>
        <v>High Isle</v>
      </c>
      <c r="AK582" s="3" t="str">
        <f>IF(AND(G582&lt;&gt;"LIBSETS_SETTYPE_BATTLEGROUND",G582&lt;&gt;"LIBSETS_SETTYPE_SPECIAL"),IF(AL582&lt;&gt;"",VLOOKUP(AL582,'ESO zones'!$D$5:$H$4957,5,FALSE),""),"")</f>
        <v/>
      </c>
      <c r="AP582" s="3" t="str">
        <f>IF(AND(G582&lt;&gt;"LIBSETS_SETTYPE_BATTLEGROUND",G582&lt;&gt;"LIBSETS_SETTYPE_SPECIAL"),IF(AQ582&lt;&gt;"",VLOOKUP(AQ582,'ESO zones'!$D$5:$H$4957,5,FALSE),""),"")</f>
        <v/>
      </c>
      <c r="AU582" s="3" t="str">
        <f>IF(AND(G582&lt;&gt;"LIBSETS_SETTYPE_BATTLEGROUND",G582&lt;&gt;"LIBSETS_SETTYPE_SPECIAL"),IF(AV582&lt;&gt;"",VLOOKUP(AV582,'ESO zones'!$D$5:$H$4957,5,FALSE),""),"")</f>
        <v/>
      </c>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1">
        <v>664</v>
      </c>
      <c r="B583" t="s">
        <v>1797</v>
      </c>
      <c r="C583" t="s">
        <v>1798</v>
      </c>
      <c r="D583" s="3">
        <f t="shared" si="54"/>
        <v>664</v>
      </c>
      <c r="G583" s="9" t="s">
        <v>169</v>
      </c>
      <c r="I583" t="s">
        <v>401</v>
      </c>
      <c r="J583" t="s">
        <v>401</v>
      </c>
      <c r="K583">
        <v>521</v>
      </c>
      <c r="L583">
        <v>521</v>
      </c>
      <c r="M583">
        <v>521</v>
      </c>
      <c r="O583" s="5" t="s">
        <v>1796</v>
      </c>
      <c r="Q583" s="3">
        <f>IF(AND(P583&lt;&gt;"",ISNUMBER(P583),NOT(ISNA(P583))),P583,IF(R583&lt;&gt;"",VLOOKUP(R583,'ESO zones'!$D$5:$H$10005,5,FALSE),""))</f>
        <v>1361</v>
      </c>
      <c r="R583" t="str">
        <f>IF(AND(O583&lt;&gt;"",NOT(ISERROR(O583))),O583,IF(AND(P583&lt;&gt;"",ISNUMBER(P583),P583&gt;0,NOT(ISNA(P583))),VLOOKUP(P583,'ESO zones'!$A$5:$D$10003,4,FALSE),IF(AND(K583&lt;&gt;"",K583&gt;0,NOT(ISERROR(K583))),VLOOKUP(K583,'ESO wayshrines'!$K$3:$N$9972,4,FALSE),"")))</f>
        <v>Graven Deep</v>
      </c>
      <c r="T583" s="16" t="str">
        <f>IF(AND(S583&lt;&gt;"",NOT(ISERROR(S583))),S583,VLOOKUP(A583,'ESO Set&amp;DLCs'!$A$3:$D$99998,4,FALSE))</f>
        <v>DLC_LOST_DEPTHS</v>
      </c>
      <c r="U583" s="3" t="str">
        <f>IF(T583&lt;&gt;"",VLOOKUP(T583,ConstDLCIds!$B$4:$C$1000,2,FALSE),"")</f>
        <v>Lost Depths</v>
      </c>
      <c r="V583" s="57"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zones'!$A$5:$D$10003,4,FALSE),"")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zones'!$A$5:$D$10003,4,FALSE),"")</f>
        <v>High Isle</v>
      </c>
      <c r="AK583" s="3" t="str">
        <f>IF(AND(G583&lt;&gt;"LIBSETS_SETTYPE_BATTLEGROUND",G583&lt;&gt;"LIBSETS_SETTYPE_SPECIAL"),IF(AL583&lt;&gt;"",VLOOKUP(AL583,'ESO zones'!$D$5:$H$4957,5,FALSE),""),"")</f>
        <v/>
      </c>
      <c r="AP583" s="3" t="str">
        <f>IF(AND(G583&lt;&gt;"LIBSETS_SETTYPE_BATTLEGROUND",G583&lt;&gt;"LIBSETS_SETTYPE_SPECIAL"),IF(AQ583&lt;&gt;"",VLOOKUP(AQ583,'ESO zones'!$D$5:$H$4957,5,FALSE),""),"")</f>
        <v/>
      </c>
      <c r="AU583" s="3" t="str">
        <f>IF(AND(G583&lt;&gt;"LIBSETS_SETTYPE_BATTLEGROUND",G583&lt;&gt;"LIBSETS_SETTYPE_SPECIAL"),IF(AV583&lt;&gt;"",VLOOKUP(AV583,'ESO zones'!$D$5:$H$4957,5,FALSE),""),"")</f>
        <v/>
      </c>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1">
        <v>665</v>
      </c>
      <c r="B584" t="s">
        <v>1799</v>
      </c>
      <c r="C584" t="s">
        <v>1800</v>
      </c>
      <c r="D584" s="3">
        <f t="shared" si="54"/>
        <v>665</v>
      </c>
      <c r="G584" s="9" t="s">
        <v>169</v>
      </c>
      <c r="I584" t="s">
        <v>401</v>
      </c>
      <c r="J584" t="s">
        <v>401</v>
      </c>
      <c r="K584">
        <v>521</v>
      </c>
      <c r="L584">
        <v>521</v>
      </c>
      <c r="M584">
        <v>521</v>
      </c>
      <c r="O584" s="5" t="s">
        <v>1796</v>
      </c>
      <c r="Q584" s="3">
        <f>IF(AND(P584&lt;&gt;"",ISNUMBER(P584),NOT(ISNA(P584))),P584,IF(R584&lt;&gt;"",VLOOKUP(R584,'ESO zones'!$D$5:$H$10005,5,FALSE),""))</f>
        <v>1361</v>
      </c>
      <c r="R584" t="str">
        <f>IF(AND(O584&lt;&gt;"",NOT(ISERROR(O584))),O584,IF(AND(P584&lt;&gt;"",ISNUMBER(P584),P584&gt;0,NOT(ISNA(P584))),VLOOKUP(P584,'ESO zones'!$A$5:$D$10003,4,FALSE),IF(AND(K584&lt;&gt;"",K584&gt;0,NOT(ISERROR(K584))),VLOOKUP(K584,'ESO wayshrines'!$K$3:$N$9972,4,FALSE),"")))</f>
        <v>Graven Deep</v>
      </c>
      <c r="T584" s="16" t="str">
        <f>IF(AND(S584&lt;&gt;"",NOT(ISERROR(S584))),S584,VLOOKUP(A584,'ESO Set&amp;DLCs'!$A$3:$D$99998,4,FALSE))</f>
        <v>DLC_LOST_DEPTHS</v>
      </c>
      <c r="U584" s="3" t="str">
        <f>IF(T584&lt;&gt;"",VLOOKUP(T584,ConstDLCIds!$B$4:$C$1000,2,FALSE),"")</f>
        <v>Lost Depths</v>
      </c>
      <c r="V584" s="57"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zones'!$A$5:$D$10003,4,FALSE),"")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zones'!$A$5:$D$10003,4,FALSE),"")</f>
        <v>High Isle</v>
      </c>
      <c r="AK584" s="3" t="str">
        <f>IF(AND(G584&lt;&gt;"LIBSETS_SETTYPE_BATTLEGROUND",G584&lt;&gt;"LIBSETS_SETTYPE_SPECIAL"),IF(AL584&lt;&gt;"",VLOOKUP(AL584,'ESO zones'!$D$5:$H$4957,5,FALSE),""),"")</f>
        <v/>
      </c>
      <c r="AP584" s="3" t="str">
        <f>IF(AND(G584&lt;&gt;"LIBSETS_SETTYPE_BATTLEGROUND",G584&lt;&gt;"LIBSETS_SETTYPE_SPECIAL"),IF(AQ584&lt;&gt;"",VLOOKUP(AQ584,'ESO zones'!$D$5:$H$4957,5,FALSE),""),"")</f>
        <v/>
      </c>
      <c r="AU584" s="3" t="str">
        <f>IF(AND(G584&lt;&gt;"LIBSETS_SETTYPE_BATTLEGROUND",G584&lt;&gt;"LIBSETS_SETTYPE_SPECIAL"),IF(AV584&lt;&gt;"",VLOOKUP(AV584,'ESO zones'!$D$5:$H$4957,5,FALSE),""),"")</f>
        <v/>
      </c>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1">
        <v>666</v>
      </c>
      <c r="B585" t="s">
        <v>1801</v>
      </c>
      <c r="C585" t="s">
        <v>1802</v>
      </c>
      <c r="D585" s="3">
        <f t="shared" si="54"/>
        <v>666</v>
      </c>
      <c r="G585" s="9" t="s">
        <v>172</v>
      </c>
      <c r="H585">
        <v>3</v>
      </c>
      <c r="I585" t="s">
        <v>712</v>
      </c>
      <c r="J585" t="s">
        <v>401</v>
      </c>
      <c r="K585">
        <v>520</v>
      </c>
      <c r="L585">
        <v>520</v>
      </c>
      <c r="M585">
        <v>520</v>
      </c>
      <c r="O585" s="5" t="s">
        <v>1789</v>
      </c>
      <c r="Q585" s="3">
        <f>IF(AND(P585&lt;&gt;"",ISNUMBER(P585),NOT(ISNA(P585))),P585,IF(R585&lt;&gt;"",VLOOKUP(R585,'ESO zones'!$D$5:$H$10005,5,FALSE),""))</f>
        <v>1360</v>
      </c>
      <c r="R585" t="str">
        <f>IF(AND(O585&lt;&gt;"",NOT(ISERROR(O585))),O585,IF(AND(P585&lt;&gt;"",ISNUMBER(P585),P585&gt;0,NOT(ISNA(P585))),VLOOKUP(P585,'ESO zones'!$A$5:$D$10003,4,FALSE),IF(AND(K585&lt;&gt;"",K585&gt;0,NOT(ISERROR(K585))),VLOOKUP(K585,'ESO wayshrines'!$K$3:$N$9972,4,FALSE),"")))</f>
        <v>Earthen Root Enclave</v>
      </c>
      <c r="T585" s="16" t="str">
        <f>IF(AND(S585&lt;&gt;"",NOT(ISERROR(S585))),S585,VLOOKUP(A585,'ESO Set&amp;DLCs'!$A$3:$D$99998,4,FALSE))</f>
        <v>DLC_LOST_DEPTHS</v>
      </c>
      <c r="U585" s="3" t="str">
        <f>IF(T585&lt;&gt;"",VLOOKUP(T585,ConstDLCIds!$B$4:$C$1000,2,FALSE),"")</f>
        <v>Lost Depths</v>
      </c>
      <c r="V585" s="4" t="s">
        <v>212</v>
      </c>
      <c r="W585" s="3" t="s">
        <v>1802</v>
      </c>
      <c r="X585" s="3" t="s">
        <v>1801</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zones'!$A$5:$D$10003,4,FALSE),"")</f>
        <v>High Isle</v>
      </c>
      <c r="AC585" s="3" t="str">
        <f>IF(AB585&lt;&gt;"",IF(AB585&lt;&gt;"LIBSETS_DROP_MECHANIC_MONSTER_NAME",VLOOKUP(AB585,ConstDropMechs!$B$4:$C$1001,2,FALSE),""),"")</f>
        <v/>
      </c>
      <c r="AD585" s="3" t="str">
        <f>IF(AB585&lt;&gt;"",IF(AB585&lt;&gt;"LIBSETS_DROP_MECHANIC_MONSTER_NAME",VLOOKUP(AB585,ConstDropMechs!$B$4:$D$1001,3,FALSE),""),"")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zones'!$A$5:$D$10003,4,FALSE),"")</f>
        <v>High Isle</v>
      </c>
      <c r="AK585" s="3" t="str">
        <f>IF(AND(G585&lt;&gt;"LIBSETS_SETTYPE_BATTLEGROUND",G585&lt;&gt;"LIBSETS_SETTYPE_SPECIAL"),IF(AL585&lt;&gt;"",VLOOKUP(AL585,'ESO zones'!$D$5:$H$4957,5,FALSE),""),"")</f>
        <v/>
      </c>
      <c r="AP585" s="3" t="str">
        <f>IF(AND(G585&lt;&gt;"LIBSETS_SETTYPE_BATTLEGROUND",G585&lt;&gt;"LIBSETS_SETTYPE_SPECIAL"),IF(AQ585&lt;&gt;"",VLOOKUP(AQ585,'ESO zones'!$D$5:$H$4957,5,FALSE),""),"")</f>
        <v/>
      </c>
      <c r="AU585" s="3" t="str">
        <f>IF(AND(G585&lt;&gt;"LIBSETS_SETTYPE_BATTLEGROUND",G585&lt;&gt;"LIBSETS_SETTYPE_SPECIAL"),IF(AV585&lt;&gt;"",VLOOKUP(AV585,'ESO zones'!$D$5:$H$4957,5,FALSE),""),"")</f>
        <v/>
      </c>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1">
        <v>667</v>
      </c>
      <c r="B586" t="s">
        <v>1803</v>
      </c>
      <c r="C586" t="s">
        <v>1804</v>
      </c>
      <c r="D586" s="3">
        <f t="shared" si="54"/>
        <v>667</v>
      </c>
      <c r="G586" s="9" t="s">
        <v>172</v>
      </c>
      <c r="H586">
        <v>3</v>
      </c>
      <c r="I586" t="s">
        <v>712</v>
      </c>
      <c r="J586" t="s">
        <v>401</v>
      </c>
      <c r="K586">
        <v>521</v>
      </c>
      <c r="L586">
        <v>521</v>
      </c>
      <c r="M586">
        <v>521</v>
      </c>
      <c r="O586" s="5" t="s">
        <v>1796</v>
      </c>
      <c r="Q586" s="3">
        <f>IF(AND(P586&lt;&gt;"",ISNUMBER(P586),NOT(ISNA(P586))),P586,IF(R586&lt;&gt;"",VLOOKUP(R586,'ESO zones'!$D$5:$H$10005,5,FALSE),""))</f>
        <v>1361</v>
      </c>
      <c r="R586" t="str">
        <f>IF(AND(O586&lt;&gt;"",NOT(ISERROR(O586))),O586,IF(AND(P586&lt;&gt;"",ISNUMBER(P586),P586&gt;0,NOT(ISNA(P586))),VLOOKUP(P586,'ESO zones'!$A$5:$D$10003,4,FALSE),IF(AND(K586&lt;&gt;"",K586&gt;0,NOT(ISERROR(K586))),VLOOKUP(K586,'ESO wayshrines'!$K$3:$N$9972,4,FALSE),"")))</f>
        <v>Graven Deep</v>
      </c>
      <c r="T586" s="16" t="str">
        <f>IF(AND(S586&lt;&gt;"",NOT(ISERROR(S586))),S586,VLOOKUP(A586,'ESO Set&amp;DLCs'!$A$3:$D$99998,4,FALSE))</f>
        <v>DLC_LOST_DEPTHS</v>
      </c>
      <c r="U586" s="3" t="str">
        <f>IF(T586&lt;&gt;"",VLOOKUP(T586,ConstDLCIds!$B$4:$C$1000,2,FALSE),"")</f>
        <v>Lost Depths</v>
      </c>
      <c r="V586" s="4" t="s">
        <v>212</v>
      </c>
      <c r="W586" s="3" t="s">
        <v>1804</v>
      </c>
      <c r="X586" s="3" t="s">
        <v>1803</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zones'!$A$5:$D$10003,4,FALSE),"")</f>
        <v>High Isle</v>
      </c>
      <c r="AC586" s="3" t="str">
        <f>IF(AB586&lt;&gt;"",IF(AB586&lt;&gt;"LIBSETS_DROP_MECHANIC_MONSTER_NAME",VLOOKUP(AB586,ConstDropMechs!$B$4:$C$1001,2,FALSE),""),"")</f>
        <v/>
      </c>
      <c r="AD586" s="3" t="str">
        <f>IF(AB586&lt;&gt;"",IF(AB586&lt;&gt;"LIBSETS_DROP_MECHANIC_MONSTER_NAME",VLOOKUP(AB586,ConstDropMechs!$B$4:$D$1001,3,FALSE),""),"")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zones'!$A$5:$D$10003,4,FALSE),"")</f>
        <v>High Isle</v>
      </c>
      <c r="AK586" s="3" t="str">
        <f>IF(AND(G586&lt;&gt;"LIBSETS_SETTYPE_BATTLEGROUND",G586&lt;&gt;"LIBSETS_SETTYPE_SPECIAL"),IF(AL586&lt;&gt;"",VLOOKUP(AL586,'ESO zones'!$D$5:$H$4957,5,FALSE),""),"")</f>
        <v/>
      </c>
      <c r="AP586" s="3" t="str">
        <f>IF(AND(G586&lt;&gt;"LIBSETS_SETTYPE_BATTLEGROUND",G586&lt;&gt;"LIBSETS_SETTYPE_SPECIAL"),IF(AQ586&lt;&gt;"",VLOOKUP(AQ586,'ESO zones'!$D$5:$H$4957,5,FALSE),""),"")</f>
        <v/>
      </c>
      <c r="AU586" s="3" t="str">
        <f>IF(AND(G586&lt;&gt;"LIBSETS_SETTYPE_BATTLEGROUND",G586&lt;&gt;"LIBSETS_SETTYPE_SPECIAL"),IF(AV586&lt;&gt;"",VLOOKUP(AV586,'ESO zones'!$D$5:$H$4957,5,FALSE),""),"")</f>
        <v/>
      </c>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1">
        <v>668</v>
      </c>
      <c r="B587" t="s">
        <v>1805</v>
      </c>
      <c r="C587" t="s">
        <v>1806</v>
      </c>
      <c r="D587" s="3">
        <f t="shared" si="54"/>
        <v>668</v>
      </c>
      <c r="G587" s="3" t="s">
        <v>165</v>
      </c>
      <c r="I587" t="s">
        <v>401</v>
      </c>
      <c r="J587" t="s">
        <v>401</v>
      </c>
      <c r="K587">
        <v>-1</v>
      </c>
      <c r="L587">
        <v>-1</v>
      </c>
      <c r="M587">
        <v>-1</v>
      </c>
      <c r="O587" s="5" t="s">
        <v>166</v>
      </c>
      <c r="Q587" s="3">
        <f>IF(AND(P587&lt;&gt;"",ISNUMBER(P587),NOT(ISNA(P587))),P587,IF(R587&lt;&gt;"",VLOOKUP(R587,'ESO zones'!$D$5:$H$10005,5,FALSE),""))</f>
        <v>181</v>
      </c>
      <c r="R587" t="str">
        <f>IF(AND(O587&lt;&gt;"",NOT(ISERROR(O587))),O587,IF(AND(P587&lt;&gt;"",ISNUMBER(P587),P587&gt;0,NOT(ISNA(P587))),VLOOKUP(P587,'ESO zones'!$A$5:$D$10003,4,FALSE),IF(AND(K587&lt;&gt;"",K587&gt;0,NOT(ISERROR(K587))),VLOOKUP(K587,'ESO wayshrines'!$K$3:$N$9972,4,FALSE),"")))</f>
        <v>Cyrodiil</v>
      </c>
      <c r="T587" s="16" t="str">
        <f>IF(AND(S587&lt;&gt;"",NOT(ISERROR(S587))),S587,VLOOKUP(A587,'ESO Set&amp;DLCs'!$A$3:$D$99998,4,FALSE))</f>
        <v>DLC_BASE_GAME</v>
      </c>
      <c r="U587" s="3" t="str">
        <f>IF(T587&lt;&gt;"",VLOOKUP(T587,ConstDLCIds!$B$4:$C$1000,2,FALSE),"")</f>
        <v>Included in base game</v>
      </c>
      <c r="V587" s="4" t="s">
        <v>197</v>
      </c>
      <c r="Y587" s="5">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zones'!$A$5:$D$10003,4,FALSE),"")</f>
        <v>Cyrodiil</v>
      </c>
      <c r="AB587" s="4" t="s">
        <v>301</v>
      </c>
      <c r="AE587" s="5">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zones'!$A$5:$D$10003,4,FALSE),"")</f>
        <v>Cyrodiil</v>
      </c>
      <c r="AH587" s="4" t="s">
        <v>248</v>
      </c>
      <c r="AK587" s="3">
        <f>IF(AND(G587&lt;&gt;"LIBSETS_SETTYPE_BATTLEGROUND",G587&lt;&gt;"LIBSETS_SETTYPE_SPECIAL"),IF(AL587&lt;&gt;"",VLOOKUP(AL587,'ESO zones'!$D$5:$H$4957,5,FALSE),""),"")</f>
        <v>181</v>
      </c>
      <c r="AL587" t="s">
        <v>166</v>
      </c>
      <c r="AM587" s="4" t="s">
        <v>298</v>
      </c>
      <c r="AP587" s="3">
        <f>IF(AND(G587&lt;&gt;"LIBSETS_SETTYPE_BATTLEGROUND",G587&lt;&gt;"LIBSETS_SETTYPE_SPECIAL"),IF(AQ587&lt;&gt;"",VLOOKUP(AQ587,'ESO zones'!$D$5:$H$4957,5,FALSE),""),"")</f>
        <v>181</v>
      </c>
      <c r="AQ587" t="s">
        <v>166</v>
      </c>
      <c r="AR587" s="4" t="s">
        <v>215</v>
      </c>
      <c r="AU587" s="3">
        <f>IF(AND(G587&lt;&gt;"LIBSETS_SETTYPE_BATTLEGROUND",G587&lt;&gt;"LIBSETS_SETTYPE_SPECIAL"),IF(AV587&lt;&gt;"",VLOOKUP(AV587,'ESO zones'!$D$5:$H$4957,5,FALSE),""),"")</f>
        <v>181</v>
      </c>
      <c r="AV587" t="s">
        <v>166</v>
      </c>
      <c r="AW587" s="4" t="s">
        <v>257</v>
      </c>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1">
        <v>669</v>
      </c>
      <c r="B588" t="s">
        <v>1807</v>
      </c>
      <c r="C588" t="s">
        <v>1808</v>
      </c>
      <c r="D588" s="3">
        <f t="shared" si="54"/>
        <v>669</v>
      </c>
      <c r="G588" s="3" t="s">
        <v>165</v>
      </c>
      <c r="I588" t="s">
        <v>401</v>
      </c>
      <c r="J588" t="s">
        <v>401</v>
      </c>
      <c r="K588">
        <v>-1</v>
      </c>
      <c r="L588">
        <v>-1</v>
      </c>
      <c r="M588">
        <v>-1</v>
      </c>
      <c r="O588" s="5" t="s">
        <v>166</v>
      </c>
      <c r="Q588" s="3">
        <f>IF(AND(P588&lt;&gt;"",ISNUMBER(P588),NOT(ISNA(P588))),P588,IF(R588&lt;&gt;"",VLOOKUP(R588,'ESO zones'!$D$5:$H$10005,5,FALSE),""))</f>
        <v>181</v>
      </c>
      <c r="R588" t="str">
        <f>IF(AND(O588&lt;&gt;"",NOT(ISERROR(O588))),O588,IF(AND(P588&lt;&gt;"",ISNUMBER(P588),P588&gt;0,NOT(ISNA(P588))),VLOOKUP(P588,'ESO zones'!$A$5:$D$10003,4,FALSE),IF(AND(K588&lt;&gt;"",K588&gt;0,NOT(ISERROR(K588))),VLOOKUP(K588,'ESO wayshrines'!$K$3:$N$9972,4,FALSE),"")))</f>
        <v>Cyrodiil</v>
      </c>
      <c r="T588" s="16" t="str">
        <f>IF(AND(S588&lt;&gt;"",NOT(ISERROR(S588))),S588,VLOOKUP(A588,'ESO Set&amp;DLCs'!$A$3:$D$99998,4,FALSE))</f>
        <v>DLC_BASE_GAME</v>
      </c>
      <c r="U588" s="3" t="str">
        <f>IF(T588&lt;&gt;"",VLOOKUP(T588,ConstDLCIds!$B$4:$C$1000,2,FALSE),"")</f>
        <v>Included in base game</v>
      </c>
      <c r="V588" s="4" t="s">
        <v>197</v>
      </c>
      <c r="Y588" s="5">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zones'!$A$5:$D$10003,4,FALSE),"")</f>
        <v>Cyrodiil</v>
      </c>
      <c r="AB588" s="4" t="s">
        <v>301</v>
      </c>
      <c r="AE588" s="5">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zones'!$A$5:$D$10003,4,FALSE),"")</f>
        <v>Cyrodiil</v>
      </c>
      <c r="AH588" s="4" t="s">
        <v>248</v>
      </c>
      <c r="AK588" s="3">
        <f>IF(AND(G588&lt;&gt;"LIBSETS_SETTYPE_BATTLEGROUND",G588&lt;&gt;"LIBSETS_SETTYPE_SPECIAL"),IF(AL588&lt;&gt;"",VLOOKUP(AL588,'ESO zones'!$D$5:$H$4957,5,FALSE),""),"")</f>
        <v>181</v>
      </c>
      <c r="AL588" t="s">
        <v>166</v>
      </c>
      <c r="AM588" s="4" t="s">
        <v>298</v>
      </c>
      <c r="AP588" s="3">
        <f>IF(AND(G588&lt;&gt;"LIBSETS_SETTYPE_BATTLEGROUND",G588&lt;&gt;"LIBSETS_SETTYPE_SPECIAL"),IF(AQ588&lt;&gt;"",VLOOKUP(AQ588,'ESO zones'!$D$5:$H$4957,5,FALSE),""),"")</f>
        <v>181</v>
      </c>
      <c r="AQ588" t="s">
        <v>166</v>
      </c>
      <c r="AR588" s="4" t="s">
        <v>215</v>
      </c>
      <c r="AU588" s="3">
        <f>IF(AND(G588&lt;&gt;"LIBSETS_SETTYPE_BATTLEGROUND",G588&lt;&gt;"LIBSETS_SETTYPE_SPECIAL"),IF(AV588&lt;&gt;"",VLOOKUP(AV588,'ESO zones'!$D$5:$H$4957,5,FALSE),""),"")</f>
        <v>181</v>
      </c>
      <c r="AV588" t="s">
        <v>166</v>
      </c>
      <c r="AW588" s="4" t="s">
        <v>257</v>
      </c>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1">
        <v>670</v>
      </c>
      <c r="B589" t="s">
        <v>1809</v>
      </c>
      <c r="C589" t="s">
        <v>1810</v>
      </c>
      <c r="D589" s="3">
        <f t="shared" si="54"/>
        <v>670</v>
      </c>
      <c r="G589" s="3" t="s">
        <v>165</v>
      </c>
      <c r="I589" t="s">
        <v>401</v>
      </c>
      <c r="J589" t="s">
        <v>401</v>
      </c>
      <c r="K589">
        <v>-1</v>
      </c>
      <c r="L589">
        <v>-1</v>
      </c>
      <c r="M589">
        <v>-1</v>
      </c>
      <c r="O589" s="5" t="s">
        <v>166</v>
      </c>
      <c r="Q589" s="3">
        <f>IF(AND(P589&lt;&gt;"",ISNUMBER(P589),NOT(ISNA(P589))),P589,IF(R589&lt;&gt;"",VLOOKUP(R589,'ESO zones'!$D$5:$H$10005,5,FALSE),""))</f>
        <v>181</v>
      </c>
      <c r="R589" t="str">
        <f>IF(AND(O589&lt;&gt;"",NOT(ISERROR(O589))),O589,IF(AND(P589&lt;&gt;"",ISNUMBER(P589),P589&gt;0,NOT(ISNA(P589))),VLOOKUP(P589,'ESO zones'!$A$5:$D$10003,4,FALSE),IF(AND(K589&lt;&gt;"",K589&gt;0,NOT(ISERROR(K589))),VLOOKUP(K589,'ESO wayshrines'!$K$3:$N$9972,4,FALSE),"")))</f>
        <v>Cyrodiil</v>
      </c>
      <c r="T589" s="16" t="str">
        <f>IF(AND(S589&lt;&gt;"",NOT(ISERROR(S589))),S589,VLOOKUP(A589,'ESO Set&amp;DLCs'!$A$3:$D$99998,4,FALSE))</f>
        <v>DLC_BASE_GAME</v>
      </c>
      <c r="U589" s="3" t="str">
        <f>IF(T589&lt;&gt;"",VLOOKUP(T589,ConstDLCIds!$B$4:$C$1000,2,FALSE),"")</f>
        <v>Included in base game</v>
      </c>
      <c r="V589" s="4" t="s">
        <v>197</v>
      </c>
      <c r="Y589" s="5">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zones'!$A$5:$D$10003,4,FALSE),"")</f>
        <v>Cyrodiil</v>
      </c>
      <c r="AB589" s="4" t="s">
        <v>301</v>
      </c>
      <c r="AE589" s="5">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zones'!$A$5:$D$10003,4,FALSE),"")</f>
        <v>Cyrodiil</v>
      </c>
      <c r="AH589" s="4" t="s">
        <v>248</v>
      </c>
      <c r="AK589" s="3">
        <f>IF(AND(G589&lt;&gt;"LIBSETS_SETTYPE_BATTLEGROUND",G589&lt;&gt;"LIBSETS_SETTYPE_SPECIAL"),IF(AL589&lt;&gt;"",VLOOKUP(AL589,'ESO zones'!$D$5:$H$4957,5,FALSE),""),"")</f>
        <v>181</v>
      </c>
      <c r="AL589" t="s">
        <v>166</v>
      </c>
      <c r="AM589" s="4" t="s">
        <v>298</v>
      </c>
      <c r="AP589" s="3">
        <f>IF(AND(G589&lt;&gt;"LIBSETS_SETTYPE_BATTLEGROUND",G589&lt;&gt;"LIBSETS_SETTYPE_SPECIAL"),IF(AQ589&lt;&gt;"",VLOOKUP(AQ589,'ESO zones'!$D$5:$H$4957,5,FALSE),""),"")</f>
        <v>181</v>
      </c>
      <c r="AQ589" t="s">
        <v>166</v>
      </c>
      <c r="AR589" s="4" t="s">
        <v>215</v>
      </c>
      <c r="AU589" s="3">
        <f>IF(AND(G589&lt;&gt;"LIBSETS_SETTYPE_BATTLEGROUND",G589&lt;&gt;"LIBSETS_SETTYPE_SPECIAL"),IF(AV589&lt;&gt;"",VLOOKUP(AV589,'ESO zones'!$D$5:$H$4957,5,FALSE),""),"")</f>
        <v>181</v>
      </c>
      <c r="AV589" t="s">
        <v>166</v>
      </c>
      <c r="AW589" s="4" t="s">
        <v>257</v>
      </c>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1">
        <v>671</v>
      </c>
      <c r="B590" t="s">
        <v>1811</v>
      </c>
      <c r="C590" t="s">
        <v>1812</v>
      </c>
      <c r="D590" s="3">
        <f t="shared" si="54"/>
        <v>671</v>
      </c>
      <c r="G590" s="3" t="s">
        <v>174</v>
      </c>
      <c r="I590" t="s">
        <v>401</v>
      </c>
      <c r="J590" t="s">
        <v>401</v>
      </c>
      <c r="K590">
        <v>524</v>
      </c>
      <c r="L590">
        <v>524</v>
      </c>
      <c r="M590">
        <v>524</v>
      </c>
      <c r="O590" s="5" t="s">
        <v>1813</v>
      </c>
      <c r="Q590" s="3">
        <f>IF(AND(P590&lt;&gt;"",ISNUMBER(P590),NOT(ISNA(P590))),P590,IF(R590&lt;&gt;"",VLOOKUP(R590,'ESO zones'!$D$5:$H$10005,5,FALSE),""))</f>
        <v>1383</v>
      </c>
      <c r="R590" t="str">
        <f>IF(AND(O590&lt;&gt;"",NOT(ISERROR(O590))),O590,IF(AND(P590&lt;&gt;"",ISNUMBER(P590),P590&gt;0,NOT(ISNA(P590))),VLOOKUP(P590,'ESO zones'!$A$5:$D$10003,4,FALSE),IF(AND(K590&lt;&gt;"",K590&gt;0,NOT(ISERROR(K590))),VLOOKUP(K590,'ESO wayshrines'!$K$3:$N$9972,4,FALSE),"")))</f>
        <v>Galen</v>
      </c>
      <c r="T590" s="16" t="str">
        <f>IF(AND(S590&lt;&gt;"",NOT(ISERROR(S590))),S590,VLOOKUP(A590,'ESO Set&amp;DLCs'!$A$3:$D$99998,4,FALSE))</f>
        <v>DLC_FIRESONG</v>
      </c>
      <c r="U590" s="3" t="str">
        <f>IF(T590&lt;&gt;"",VLOOKUP(T590,ConstDLCIds!$B$4:$C$1000,2,FALSE),"")</f>
        <v>Firesong</v>
      </c>
      <c r="V590" s="4"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zones'!$A$5:$D$10003,4,FALSE),"")</f>
        <v>Galen</v>
      </c>
      <c r="AB590" s="57"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zones'!$A$5:$D$10003,4,FALSE),"")</f>
        <v>Galen</v>
      </c>
      <c r="AH590" s="4" t="s">
        <v>224</v>
      </c>
      <c r="AK590" s="3">
        <f>IF(AND(G590&lt;&gt;"LIBSETS_SETTYPE_BATTLEGROUND",G590&lt;&gt;"LIBSETS_SETTYPE_SPECIAL"),IF(AL590&lt;&gt;"",VLOOKUP(AL590,'ESO zones'!$D$5:$H$4957,5,FALSE),""),"")</f>
        <v>1383</v>
      </c>
      <c r="AL590" t="s">
        <v>1813</v>
      </c>
      <c r="AM590" s="4" t="s">
        <v>269</v>
      </c>
      <c r="AP590" s="3" t="str">
        <f>IF(AND(G590&lt;&gt;"LIBSETS_SETTYPE_BATTLEGROUND",G590&lt;&gt;"LIBSETS_SETTYPE_SPECIAL"),IF(AQ590&lt;&gt;"",VLOOKUP(AQ590,'ESO zones'!$D$5:$H$4957,5,FALSE),""),"")</f>
        <v/>
      </c>
      <c r="AU590" s="3" t="str">
        <f>IF(AND(G590&lt;&gt;"LIBSETS_SETTYPE_BATTLEGROUND",G590&lt;&gt;"LIBSETS_SETTYPE_SPECIAL"),IF(AV590&lt;&gt;"",VLOOKUP(AV590,'ESO zones'!$D$5:$H$4957,5,FALSE),""),"")</f>
        <v/>
      </c>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1">
        <v>672</v>
      </c>
      <c r="B591" t="s">
        <v>1814</v>
      </c>
      <c r="C591" t="s">
        <v>1815</v>
      </c>
      <c r="D591" s="3">
        <f t="shared" si="54"/>
        <v>672</v>
      </c>
      <c r="G591" s="3" t="s">
        <v>174</v>
      </c>
      <c r="I591" t="s">
        <v>401</v>
      </c>
      <c r="J591" t="s">
        <v>401</v>
      </c>
      <c r="K591">
        <v>524</v>
      </c>
      <c r="L591">
        <v>524</v>
      </c>
      <c r="M591">
        <v>524</v>
      </c>
      <c r="O591" s="5" t="s">
        <v>1813</v>
      </c>
      <c r="Q591" s="3">
        <f>IF(AND(P591&lt;&gt;"",ISNUMBER(P591),NOT(ISNA(P591))),P591,IF(R591&lt;&gt;"",VLOOKUP(R591,'ESO zones'!$D$5:$H$10005,5,FALSE),""))</f>
        <v>1383</v>
      </c>
      <c r="R591" t="str">
        <f>IF(AND(O591&lt;&gt;"",NOT(ISERROR(O591))),O591,IF(AND(P591&lt;&gt;"",ISNUMBER(P591),P591&gt;0,NOT(ISNA(P591))),VLOOKUP(P591,'ESO zones'!$A$5:$D$10003,4,FALSE),IF(AND(K591&lt;&gt;"",K591&gt;0,NOT(ISERROR(K591))),VLOOKUP(K591,'ESO wayshrines'!$K$3:$N$9972,4,FALSE),"")))</f>
        <v>Galen</v>
      </c>
      <c r="T591" s="16" t="str">
        <f>IF(AND(S591&lt;&gt;"",NOT(ISERROR(S591))),S591,VLOOKUP(A591,'ESO Set&amp;DLCs'!$A$3:$D$99998,4,FALSE))</f>
        <v>DLC_FIRESONG</v>
      </c>
      <c r="U591" s="3" t="str">
        <f>IF(T591&lt;&gt;"",VLOOKUP(T591,ConstDLCIds!$B$4:$C$1000,2,FALSE),"")</f>
        <v>Firesong</v>
      </c>
      <c r="V591" s="4"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zones'!$A$5:$D$10003,4,FALSE),"")</f>
        <v>Galen</v>
      </c>
      <c r="AB591" s="57"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zones'!$A$5:$D$10003,4,FALSE),"")</f>
        <v>Galen</v>
      </c>
      <c r="AH591" s="4" t="s">
        <v>224</v>
      </c>
      <c r="AK591" s="3">
        <f>IF(AND(G591&lt;&gt;"LIBSETS_SETTYPE_BATTLEGROUND",G591&lt;&gt;"LIBSETS_SETTYPE_SPECIAL"),IF(AL591&lt;&gt;"",VLOOKUP(AL591,'ESO zones'!$D$5:$H$4957,5,FALSE),""),"")</f>
        <v>1383</v>
      </c>
      <c r="AL591" t="s">
        <v>1813</v>
      </c>
      <c r="AM591" s="4" t="s">
        <v>269</v>
      </c>
      <c r="AP591" s="3" t="str">
        <f>IF(AND(G591&lt;&gt;"LIBSETS_SETTYPE_BATTLEGROUND",G591&lt;&gt;"LIBSETS_SETTYPE_SPECIAL"),IF(AQ591&lt;&gt;"",VLOOKUP(AQ591,'ESO zones'!$D$5:$H$4957,5,FALSE),""),"")</f>
        <v/>
      </c>
      <c r="AU591" s="3" t="str">
        <f>IF(AND(G591&lt;&gt;"LIBSETS_SETTYPE_BATTLEGROUND",G591&lt;&gt;"LIBSETS_SETTYPE_SPECIAL"),IF(AV591&lt;&gt;"",VLOOKUP(AV591,'ESO zones'!$D$5:$H$4957,5,FALSE),""),"")</f>
        <v/>
      </c>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1">
        <v>673</v>
      </c>
      <c r="B592" t="s">
        <v>1816</v>
      </c>
      <c r="C592" t="s">
        <v>1817</v>
      </c>
      <c r="D592" s="3">
        <f t="shared" si="54"/>
        <v>673</v>
      </c>
      <c r="G592" s="3" t="s">
        <v>174</v>
      </c>
      <c r="I592" t="s">
        <v>401</v>
      </c>
      <c r="J592" t="s">
        <v>401</v>
      </c>
      <c r="K592">
        <v>524</v>
      </c>
      <c r="L592">
        <v>524</v>
      </c>
      <c r="M592">
        <v>524</v>
      </c>
      <c r="O592" s="5" t="s">
        <v>1813</v>
      </c>
      <c r="Q592" s="3">
        <f>IF(AND(P592&lt;&gt;"",ISNUMBER(P592),NOT(ISNA(P592))),P592,IF(R592&lt;&gt;"",VLOOKUP(R592,'ESO zones'!$D$5:$H$10005,5,FALSE),""))</f>
        <v>1383</v>
      </c>
      <c r="R592" t="str">
        <f>IF(AND(O592&lt;&gt;"",NOT(ISERROR(O592))),O592,IF(AND(P592&lt;&gt;"",ISNUMBER(P592),P592&gt;0,NOT(ISNA(P592))),VLOOKUP(P592,'ESO zones'!$A$5:$D$10003,4,FALSE),IF(AND(K592&lt;&gt;"",K592&gt;0,NOT(ISERROR(K592))),VLOOKUP(K592,'ESO wayshrines'!$K$3:$N$9972,4,FALSE),"")))</f>
        <v>Galen</v>
      </c>
      <c r="T592" s="16" t="str">
        <f>IF(AND(S592&lt;&gt;"",NOT(ISERROR(S592))),S592,VLOOKUP(A592,'ESO Set&amp;DLCs'!$A$3:$D$99998,4,FALSE))</f>
        <v>DLC_FIRESONG</v>
      </c>
      <c r="U592" s="3" t="str">
        <f>IF(T592&lt;&gt;"",VLOOKUP(T592,ConstDLCIds!$B$4:$C$1000,2,FALSE),"")</f>
        <v>Firesong</v>
      </c>
      <c r="V592" s="4"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zones'!$A$5:$D$10003,4,FALSE),"")</f>
        <v>Galen</v>
      </c>
      <c r="AB592" s="57"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zones'!$A$5:$D$10003,4,FALSE),"")</f>
        <v>Galen</v>
      </c>
      <c r="AH592" s="4" t="s">
        <v>224</v>
      </c>
      <c r="AK592" s="3">
        <f>IF(AND(G592&lt;&gt;"LIBSETS_SETTYPE_BATTLEGROUND",G592&lt;&gt;"LIBSETS_SETTYPE_SPECIAL"),IF(AL592&lt;&gt;"",VLOOKUP(AL592,'ESO zones'!$D$5:$H$4957,5,FALSE),""),"")</f>
        <v>1383</v>
      </c>
      <c r="AL592" t="s">
        <v>1813</v>
      </c>
      <c r="AM592" s="4" t="s">
        <v>269</v>
      </c>
      <c r="AP592" s="3" t="str">
        <f>IF(AND(G592&lt;&gt;"LIBSETS_SETTYPE_BATTLEGROUND",G592&lt;&gt;"LIBSETS_SETTYPE_SPECIAL"),IF(AQ592&lt;&gt;"",VLOOKUP(AQ592,'ESO zones'!$D$5:$H$4957,5,FALSE),""),"")</f>
        <v/>
      </c>
      <c r="AU592" s="3" t="str">
        <f>IF(AND(G592&lt;&gt;"LIBSETS_SETTYPE_BATTLEGROUND",G592&lt;&gt;"LIBSETS_SETTYPE_SPECIAL"),IF(AV592&lt;&gt;"",VLOOKUP(AV592,'ESO zones'!$D$5:$H$4957,5,FALSE),""),"")</f>
        <v/>
      </c>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1">
        <v>674</v>
      </c>
      <c r="B593" t="s">
        <v>1818</v>
      </c>
      <c r="C593" t="s">
        <v>1819</v>
      </c>
      <c r="D593" s="3">
        <f t="shared" si="54"/>
        <v>674</v>
      </c>
      <c r="G593" s="59" t="s">
        <v>180</v>
      </c>
      <c r="I593" t="s">
        <v>401</v>
      </c>
      <c r="J593" t="s">
        <v>401</v>
      </c>
      <c r="K593">
        <v>529</v>
      </c>
      <c r="L593">
        <v>505</v>
      </c>
      <c r="M593">
        <v>529</v>
      </c>
      <c r="Q593" s="3">
        <f>IF(AND(P593&lt;&gt;"",ISNUMBER(P593),NOT(ISNA(P593))),P593,IF(R593&lt;&gt;"",VLOOKUP(R593,'ESO zones'!$D$5:$H$10005,5,FALSE),""))</f>
        <v>1318</v>
      </c>
      <c r="R593" t="str">
        <f>IF(AND(O593&lt;&gt;"",NOT(ISERROR(O593))),O593,IF(AND(P593&lt;&gt;"",ISNUMBER(P593),P593&gt;0,NOT(ISNA(P593))),VLOOKUP(P593,'ESO zones'!$A$5:$D$10003,4,FALSE),IF(AND(L593&lt;&gt;"",L593&gt;0,NOT(ISERROR(L593))),VLOOKUP(L593,'ESO wayshrines'!$K$3:$N$9972,4,FALSE),"")))</f>
        <v>High Isle</v>
      </c>
      <c r="T593" s="16" t="str">
        <f>IF(AND(S593&lt;&gt;"",NOT(ISERROR(S593))),S593,VLOOKUP(A593,'ESO Set&amp;DLCs'!$A$3:$D$99998,4,FALSE))</f>
        <v>DLC_FIRESONG</v>
      </c>
      <c r="U593" s="3" t="str">
        <f>IF(T593&lt;&gt;"",VLOOKUP(T593,ConstDLCIds!$B$4:$C$1000,2,FALSE),"")</f>
        <v>Firesong</v>
      </c>
      <c r="V593" s="4" t="s">
        <v>269</v>
      </c>
      <c r="W593" s="3" t="s">
        <v>1784</v>
      </c>
      <c r="X593" s="3" t="s">
        <v>1785</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zones'!$A$5:$D$10003,4,FALSE),"")</f>
        <v>High Isle</v>
      </c>
      <c r="AB593" s="4" t="s">
        <v>218</v>
      </c>
      <c r="AF593" s="3">
        <v>1318</v>
      </c>
      <c r="AG593" t="str">
        <f>IF(AND(AF593&lt;&gt;"",ISNUMBER(AF593),NOT(ISNA(AF593))),VLOOKUP(AF593,'ESO zones'!$A$5:$D$10003,4,FALSE),"")</f>
        <v>High Isle</v>
      </c>
      <c r="AH593" s="4" t="s">
        <v>286</v>
      </c>
      <c r="AI593" s="3" t="s">
        <v>1820</v>
      </c>
      <c r="AJ593" s="3" t="s">
        <v>1821</v>
      </c>
      <c r="AK593" s="3">
        <f>IF(AND(G593&lt;&gt;"LIBSETS_SETTYPE_BATTLEGROUND",G593&lt;&gt;"LIBSETS_SETTYPE_SPECIAL"),IF(AL593&lt;&gt;"",VLOOKUP(AL593,'ESO zones'!$D$5:$H$4957,5,FALSE),""),"")</f>
        <v>1318</v>
      </c>
      <c r="AL593" t="s">
        <v>86</v>
      </c>
      <c r="AM593" s="4" t="s">
        <v>275</v>
      </c>
      <c r="AN593" s="3" t="s">
        <v>1822</v>
      </c>
      <c r="AO593" s="3" t="s">
        <v>1823</v>
      </c>
      <c r="AP593" s="3">
        <f>IF(AND(G593&lt;&gt;"LIBSETS_SETTYPE_BATTLEGROUND",G593&lt;&gt;"LIBSETS_SETTYPE_SPECIAL"),IF(AQ593&lt;&gt;"",VLOOKUP(AQ593,'ESO zones'!$D$5:$H$4957,5,FALSE),""),"")</f>
        <v>1334</v>
      </c>
      <c r="AQ593" t="s">
        <v>1824</v>
      </c>
      <c r="AR593" s="4" t="s">
        <v>215</v>
      </c>
      <c r="AU593" s="3">
        <f>IF(AND(G593&lt;&gt;"LIBSETS_SETTYPE_BATTLEGROUND",G593&lt;&gt;"LIBSETS_SETTYPE_SPECIAL"),IF(AV593&lt;&gt;"",VLOOKUP(AV593,'ESO zones'!$D$5:$H$4957,5,FALSE),""),"")</f>
        <v>162</v>
      </c>
      <c r="AV593" t="s">
        <v>1825</v>
      </c>
      <c r="AW593" s="4" t="s">
        <v>221</v>
      </c>
      <c r="AX593" s="3" t="s">
        <v>1826</v>
      </c>
      <c r="AY593" s="3" t="s">
        <v>1827</v>
      </c>
      <c r="BA593" s="53" t="s">
        <v>1828</v>
      </c>
      <c r="BB593" s="53" t="s">
        <v>1828</v>
      </c>
      <c r="BC593" s="53"/>
      <c r="BD593" s="53"/>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8" t="str">
        <f t="shared" si="59"/>
        <v>, addTooltip={['en']='https://en.uesp.net/wiki/Online:Mythic_Items#Faun.27s_Lark_Cladding',},}, --Faun\'s Lark Cladding / Faunstreich   [High Isle, High Isle, High Isle, High Isle, Whalefall, Obsidian Scar]</v>
      </c>
    </row>
    <row r="594" spans="1:61" x14ac:dyDescent="0.25">
      <c r="A594" s="1">
        <v>675</v>
      </c>
      <c r="B594" t="s">
        <v>1829</v>
      </c>
      <c r="C594" t="s">
        <v>1830</v>
      </c>
      <c r="D594" s="3">
        <f t="shared" si="54"/>
        <v>675</v>
      </c>
      <c r="G594" s="59" t="s">
        <v>180</v>
      </c>
      <c r="I594" t="s">
        <v>401</v>
      </c>
      <c r="J594" t="s">
        <v>401</v>
      </c>
      <c r="K594">
        <v>176</v>
      </c>
      <c r="L594">
        <v>527</v>
      </c>
      <c r="M594">
        <v>527</v>
      </c>
      <c r="P594" s="5">
        <v>486</v>
      </c>
      <c r="Q594" s="3">
        <f>IF(AND(P594&lt;&gt;"",ISNUMBER(P594),NOT(ISNA(P594))),P594,IF(R594&lt;&gt;"",VLOOKUP(R594,'ESO zones'!$D$5:$H$10005,5,FALSE),""))</f>
        <v>486</v>
      </c>
      <c r="R594" t="str">
        <f>IF(AND(O594&lt;&gt;"",NOT(ISERROR(O594))),O594,IF(AND(P594&lt;&gt;"",ISNUMBER(P594),P594&gt;0,NOT(ISNA(P594))),VLOOKUP(P594,'ESO zones'!$A$5:$D$10003,4,FALSE),IF(AND(K594&lt;&gt;"",K594&gt;0,NOT(ISERROR(K594))),VLOOKUP(K594,'ESO wayshrines'!$K$3:$N$9972,4,FALSE),"")))</f>
        <v>Toothmaul Gully</v>
      </c>
      <c r="T594" s="16" t="str">
        <f>IF(AND(S594&lt;&gt;"",NOT(ISERROR(S594))),S594,VLOOKUP(A594,'ESO Set&amp;DLCs'!$A$3:$D$99998,4,FALSE))</f>
        <v>DLC_FIRESONG</v>
      </c>
      <c r="U594" s="3" t="str">
        <f>IF(T594&lt;&gt;"",VLOOKUP(T594,ConstDLCIds!$B$4:$C$1000,2,FALSE),"")</f>
        <v>Firesong</v>
      </c>
      <c r="V594" s="4" t="s">
        <v>221</v>
      </c>
      <c r="W594" s="3" t="s">
        <v>1831</v>
      </c>
      <c r="X594" s="3" t="s">
        <v>1832</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zones'!$A$5:$D$10003,4,FALSE),"")</f>
        <v>Galen</v>
      </c>
      <c r="AB594" s="4"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zones'!$A$5:$D$10003,4,FALSE),"")</f>
        <v>Galen</v>
      </c>
      <c r="AH594" s="4" t="s">
        <v>263</v>
      </c>
      <c r="AI594" s="3" t="s">
        <v>1833</v>
      </c>
      <c r="AJ594" s="3" t="s">
        <v>1834</v>
      </c>
      <c r="AK594" s="3">
        <f>IF(AND(G595&lt;&gt;"LIBSETS_SETTYPE_BATTLEGROUND",G595&lt;&gt;"LIBSETS_SETTYPE_SPECIAL"),IF(AL594&lt;&gt;"",VLOOKUP(AL594,'ESO zones'!$D$5:$H$4957,5,FALSE),""),"")</f>
        <v>1383</v>
      </c>
      <c r="AL594" t="s">
        <v>1813</v>
      </c>
      <c r="AM594" s="4" t="s">
        <v>257</v>
      </c>
      <c r="AN594" s="3" t="s">
        <v>1778</v>
      </c>
      <c r="AO594" s="3" t="s">
        <v>1835</v>
      </c>
      <c r="AP594" s="3">
        <f>IF(AND(G595&lt;&gt;"LIBSETS_SETTYPE_BATTLEGROUND",G595&lt;&gt;"LIBSETS_SETTYPE_SPECIAL"),IF(AQ594&lt;&gt;"",VLOOKUP(AQ594,'ESO zones'!$D$5:$H$4957,5,FALSE),""),"")</f>
        <v>1383</v>
      </c>
      <c r="AQ594" t="s">
        <v>1813</v>
      </c>
      <c r="AR594" s="4" t="s">
        <v>286</v>
      </c>
      <c r="AS594" s="3" t="s">
        <v>1744</v>
      </c>
      <c r="AT594" s="3" t="s">
        <v>1745</v>
      </c>
      <c r="AU594" s="3" t="str">
        <f>IF(AND(G594&lt;&gt;"LIBSETS_SETTYPE_BATTLEGROUND",G594&lt;&gt;"LIBSETS_SETTYPE_SPECIAL"),IF(AV594&lt;&gt;"",VLOOKUP(AV594,'ESO zones'!$D$5:$H$4957,5,FALSE),""),"")</f>
        <v/>
      </c>
      <c r="BA594" s="53" t="s">
        <v>1836</v>
      </c>
      <c r="BB594" s="53" t="s">
        <v>1836</v>
      </c>
      <c r="BC594" s="53"/>
      <c r="BD594" s="53"/>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1">
        <v>676</v>
      </c>
      <c r="B595" t="s">
        <v>1837</v>
      </c>
      <c r="C595" t="s">
        <v>1838</v>
      </c>
      <c r="D595" s="3">
        <f t="shared" si="54"/>
        <v>676</v>
      </c>
      <c r="G595" s="59" t="s">
        <v>180</v>
      </c>
      <c r="I595" t="s">
        <v>401</v>
      </c>
      <c r="J595" t="s">
        <v>401</v>
      </c>
      <c r="K595">
        <v>529</v>
      </c>
      <c r="L595">
        <v>350</v>
      </c>
      <c r="M595">
        <v>529</v>
      </c>
      <c r="Q595" s="3">
        <f>IF(AND(P595&lt;&gt;"",ISNUMBER(P595),NOT(ISNA(P595))),P595,IF(R595&lt;&gt;"",VLOOKUP(R595,'ESO zones'!$D$5:$H$10005,5,FALSE),""))</f>
        <v>1383</v>
      </c>
      <c r="R595" t="str">
        <f>IF(AND(O595&lt;&gt;"",NOT(ISERROR(O595))),O595,IF(AND(P595&lt;&gt;"",ISNUMBER(P595),P595&gt;0,NOT(ISNA(P595))),VLOOKUP(P595,'ESO zones'!$A$5:$D$10003,4,FALSE),IF(AND(K595&lt;&gt;"",K595&gt;0,NOT(ISERROR(K595))),VLOOKUP(K595,'ESO wayshrines'!$K$3:$N$9972,4,FALSE),"")))</f>
        <v>Galen</v>
      </c>
      <c r="T595" s="16" t="str">
        <f>IF(AND(S595&lt;&gt;"",NOT(ISERROR(S595))),S595,VLOOKUP(A595,'ESO Set&amp;DLCs'!$A$3:$D$99998,4,FALSE))</f>
        <v>DLC_FIRESONG</v>
      </c>
      <c r="U595" s="3" t="str">
        <f>IF(T595&lt;&gt;"",VLOOKUP(T595,ConstDLCIds!$B$4:$C$1000,2,FALSE),"")</f>
        <v>Firesong</v>
      </c>
      <c r="V595" s="4" t="s">
        <v>269</v>
      </c>
      <c r="W595" s="3" t="s">
        <v>1839</v>
      </c>
      <c r="X595" s="3" t="s">
        <v>1840</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zones'!$A$5:$D$10003,4,FALSE),"")</f>
        <v>Summerset</v>
      </c>
      <c r="AB595" s="4"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zones'!$A$5:$D$10003,4,FALSE),"")</f>
        <v>Galen</v>
      </c>
      <c r="AH595" s="4" t="s">
        <v>266</v>
      </c>
      <c r="AI595" s="3" t="s">
        <v>1841</v>
      </c>
      <c r="AJ595" s="3" t="s">
        <v>1842</v>
      </c>
      <c r="AK595" s="3">
        <f>IF(AND(G596&lt;&gt;"LIBSETS_SETTYPE_BATTLEGROUND",G596&lt;&gt;"LIBSETS_SETTYPE_SPECIAL"),IF(AL595&lt;&gt;"",VLOOKUP(AL595,'ESO zones'!$D$5:$H$4957,5,FALSE),""),"")</f>
        <v>1302</v>
      </c>
      <c r="AL595" t="s">
        <v>1665</v>
      </c>
      <c r="AM595" s="4" t="s">
        <v>278</v>
      </c>
      <c r="AN595" s="3" t="s">
        <v>1843</v>
      </c>
      <c r="AO595" s="3" t="s">
        <v>1844</v>
      </c>
      <c r="AP595" s="3">
        <f>IF(AND(G596&lt;&gt;"LIBSETS_SETTYPE_BATTLEGROUND",G596&lt;&gt;"LIBSETS_SETTYPE_SPECIAL"),IF(AQ595&lt;&gt;"",VLOOKUP(AQ595,'ESO zones'!$D$5:$H$4957,5,FALSE),""),"")</f>
        <v>935</v>
      </c>
      <c r="AQ595" t="s">
        <v>747</v>
      </c>
      <c r="AR595" s="4" t="s">
        <v>278</v>
      </c>
      <c r="AS595" s="3" t="s">
        <v>748</v>
      </c>
      <c r="AT595" s="3" t="s">
        <v>749</v>
      </c>
      <c r="AU595" s="3" t="str">
        <f>IF(AND(G595&lt;&gt;"LIBSETS_SETTYPE_BATTLEGROUND",G595&lt;&gt;"LIBSETS_SETTYPE_SPECIAL"),IF(AV595&lt;&gt;"",VLOOKUP(AV595,'ESO zones'!$D$5:$H$4957,5,FALSE),""),"")</f>
        <v/>
      </c>
      <c r="BA595" s="53" t="s">
        <v>1845</v>
      </c>
      <c r="BB595" s="53" t="s">
        <v>1845</v>
      </c>
      <c r="BC595" s="53"/>
      <c r="BD595" s="53"/>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1">
        <v>677</v>
      </c>
      <c r="B596" t="s">
        <v>1846</v>
      </c>
      <c r="C596" t="s">
        <v>1847</v>
      </c>
      <c r="D596" s="3">
        <f t="shared" si="54"/>
        <v>677</v>
      </c>
      <c r="G596" s="59" t="s">
        <v>163</v>
      </c>
      <c r="I596" t="s">
        <v>401</v>
      </c>
      <c r="J596" t="s">
        <v>401</v>
      </c>
      <c r="K596">
        <v>528</v>
      </c>
      <c r="L596">
        <v>528</v>
      </c>
      <c r="M596">
        <v>528</v>
      </c>
      <c r="N596">
        <v>7</v>
      </c>
      <c r="Q596" s="3">
        <f>IF(AND(P596&lt;&gt;"",ISNUMBER(P596),NOT(ISNA(P596))),P596,IF(R596&lt;&gt;"",VLOOKUP(R596,'ESO zones'!$D$5:$H$10005,5,FALSE),""))</f>
        <v>1383</v>
      </c>
      <c r="R596" t="str">
        <f>IF(AND(O596&lt;&gt;"",NOT(ISERROR(O596))),O596,IF(AND(P596&lt;&gt;"",ISNUMBER(P596),P596&gt;0,NOT(ISNA(P596))),VLOOKUP(P596,'ESO zones'!$A$5:$D$10003,4,FALSE),IF(AND(K596&lt;&gt;"",K596&gt;0,NOT(ISERROR(K596))),VLOOKUP(K596,'ESO wayshrines'!$K$3:$N$9972,4,FALSE),"")))</f>
        <v>Galen</v>
      </c>
      <c r="T596" s="16" t="str">
        <f>IF(AND(S596&lt;&gt;"",NOT(ISERROR(S596))),S596,VLOOKUP(A596,'ESO Set&amp;DLCs'!$A$3:$D$99998,4,FALSE))</f>
        <v>DLC_FIRESONG</v>
      </c>
      <c r="U596" s="3" t="str">
        <f>IF(T596&lt;&gt;"",VLOOKUP(T596,ConstDLCIds!$B$4:$C$1000,2,FALSE),"")</f>
        <v>Firesong</v>
      </c>
      <c r="V596" s="4"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zones'!$A$5:$D$10003,4,FALSE),"")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zones'!$A$5:$D$10003,4,FALSE),"")</f>
        <v>Galen</v>
      </c>
      <c r="AK596" s="3" t="str">
        <f>IF(AND(G596&lt;&gt;"LIBSETS_SETTYPE_BATTLEGROUND",G596&lt;&gt;"LIBSETS_SETTYPE_SPECIAL"),IF(AL596&lt;&gt;"",VLOOKUP(AL596,'ESO zones'!$D$5:$H$4957,5,FALSE),""),"")</f>
        <v/>
      </c>
      <c r="AP596" s="3" t="str">
        <f>IF(AND(G596&lt;&gt;"LIBSETS_SETTYPE_BATTLEGROUND",G596&lt;&gt;"LIBSETS_SETTYPE_SPECIAL"),IF(AQ596&lt;&gt;"",VLOOKUP(AQ596,'ESO zones'!$D$5:$H$4957,5,FALSE),""),"")</f>
        <v/>
      </c>
      <c r="AU596" s="3" t="str">
        <f>IF(AND(G596&lt;&gt;"LIBSETS_SETTYPE_BATTLEGROUND",G596&lt;&gt;"LIBSETS_SETTYPE_SPECIAL"),IF(AV596&lt;&gt;"",VLOOKUP(AV596,'ESO zones'!$D$5:$H$4957,5,FALSE),""),"")</f>
        <v/>
      </c>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1">
        <v>678</v>
      </c>
      <c r="B597" t="s">
        <v>1848</v>
      </c>
      <c r="C597" t="s">
        <v>1849</v>
      </c>
      <c r="D597" s="3">
        <f t="shared" si="54"/>
        <v>678</v>
      </c>
      <c r="G597" s="59" t="s">
        <v>163</v>
      </c>
      <c r="I597" t="s">
        <v>401</v>
      </c>
      <c r="J597" t="s">
        <v>401</v>
      </c>
      <c r="K597">
        <v>530</v>
      </c>
      <c r="L597">
        <v>530</v>
      </c>
      <c r="M597">
        <v>530</v>
      </c>
      <c r="N597">
        <v>3</v>
      </c>
      <c r="Q597" s="3">
        <f>IF(AND(P597&lt;&gt;"",ISNUMBER(P597),NOT(ISNA(P597))),P597,IF(R597&lt;&gt;"",VLOOKUP(R597,'ESO zones'!$D$5:$H$10005,5,FALSE),""))</f>
        <v>1383</v>
      </c>
      <c r="R597" t="str">
        <f>IF(AND(O597&lt;&gt;"",NOT(ISERROR(O597))),O597,IF(AND(P597&lt;&gt;"",ISNUMBER(P597),P597&gt;0,NOT(ISNA(P597))),VLOOKUP(P597,'ESO zones'!$A$5:$D$10003,4,FALSE),IF(AND(K597&lt;&gt;"",K597&gt;0,NOT(ISERROR(K597))),VLOOKUP(K597,'ESO wayshrines'!$K$3:$N$9972,4,FALSE),"")))</f>
        <v>Galen</v>
      </c>
      <c r="T597" s="16" t="str">
        <f>IF(AND(S597&lt;&gt;"",NOT(ISERROR(S597))),S597,VLOOKUP(A597,'ESO Set&amp;DLCs'!$A$3:$D$99998,4,FALSE))</f>
        <v>DLC_FIRESONG</v>
      </c>
      <c r="U597" s="3" t="str">
        <f>IF(T597&lt;&gt;"",VLOOKUP(T597,ConstDLCIds!$B$4:$C$1000,2,FALSE),"")</f>
        <v>Firesong</v>
      </c>
      <c r="V597" s="4"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zones'!$A$5:$D$10003,4,FALSE),"")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zones'!$A$5:$D$10003,4,FALSE),"")</f>
        <v>Galen</v>
      </c>
      <c r="AK597" s="3" t="str">
        <f>IF(AND(G597&lt;&gt;"LIBSETS_SETTYPE_BATTLEGROUND",G597&lt;&gt;"LIBSETS_SETTYPE_SPECIAL"),IF(AL597&lt;&gt;"",VLOOKUP(AL597,'ESO zones'!$D$5:$H$4957,5,FALSE),""),"")</f>
        <v/>
      </c>
      <c r="AP597" s="3" t="str">
        <f>IF(AND(G597&lt;&gt;"LIBSETS_SETTYPE_BATTLEGROUND",G597&lt;&gt;"LIBSETS_SETTYPE_SPECIAL"),IF(AQ597&lt;&gt;"",VLOOKUP(AQ597,'ESO zones'!$D$5:$H$4957,5,FALSE),""),"")</f>
        <v/>
      </c>
      <c r="AU597" s="3" t="str">
        <f>IF(AND(G597&lt;&gt;"LIBSETS_SETTYPE_BATTLEGROUND",G597&lt;&gt;"LIBSETS_SETTYPE_SPECIAL"),IF(AV597&lt;&gt;"",VLOOKUP(AV597,'ESO zones'!$D$5:$H$4957,5,FALSE),""),"")</f>
        <v/>
      </c>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1">
        <v>679</v>
      </c>
      <c r="B598" t="s">
        <v>1850</v>
      </c>
      <c r="C598" t="s">
        <v>1851</v>
      </c>
      <c r="D598" s="3">
        <f t="shared" si="54"/>
        <v>679</v>
      </c>
      <c r="G598" s="59" t="s">
        <v>163</v>
      </c>
      <c r="I598" t="s">
        <v>401</v>
      </c>
      <c r="J598" t="s">
        <v>401</v>
      </c>
      <c r="K598">
        <v>527</v>
      </c>
      <c r="L598">
        <v>527</v>
      </c>
      <c r="M598">
        <v>527</v>
      </c>
      <c r="N598">
        <v>5</v>
      </c>
      <c r="Q598" s="3">
        <f>IF(AND(P598&lt;&gt;"",ISNUMBER(P598),NOT(ISNA(P598))),P598,IF(R598&lt;&gt;"",VLOOKUP(R598,'ESO zones'!$D$5:$H$10005,5,FALSE),""))</f>
        <v>1383</v>
      </c>
      <c r="R598" t="str">
        <f>IF(AND(O598&lt;&gt;"",NOT(ISERROR(O598))),O598,IF(AND(P598&lt;&gt;"",ISNUMBER(P598),P598&gt;0,NOT(ISNA(P598))),VLOOKUP(P598,'ESO zones'!$A$5:$D$10003,4,FALSE),IF(AND(K598&lt;&gt;"",K598&gt;0,NOT(ISERROR(K598))),VLOOKUP(K598,'ESO wayshrines'!$K$3:$N$9972,4,FALSE),"")))</f>
        <v>Galen</v>
      </c>
      <c r="T598" s="16" t="str">
        <f>IF(AND(S598&lt;&gt;"",NOT(ISERROR(S598))),S598,VLOOKUP(A598,'ESO Set&amp;DLCs'!$A$3:$D$99998,4,FALSE))</f>
        <v>DLC_FIRESONG</v>
      </c>
      <c r="U598" s="3" t="str">
        <f>IF(T598&lt;&gt;"",VLOOKUP(T598,ConstDLCIds!$B$4:$C$1000,2,FALSE),"")</f>
        <v>Firesong</v>
      </c>
      <c r="V598" s="4"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zones'!$A$5:$D$10003,4,FALSE),"")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zones'!$A$5:$D$10003,4,FALSE),"")</f>
        <v>Galen</v>
      </c>
      <c r="AK598" s="3" t="str">
        <f>IF(AND(G598&lt;&gt;"LIBSETS_SETTYPE_BATTLEGROUND",G598&lt;&gt;"LIBSETS_SETTYPE_SPECIAL"),IF(AL598&lt;&gt;"",VLOOKUP(AL598,'ESO zones'!$D$5:$H$4957,5,FALSE),""),"")</f>
        <v/>
      </c>
      <c r="AP598" s="3" t="str">
        <f>IF(AND(G598&lt;&gt;"LIBSETS_SETTYPE_BATTLEGROUND",G598&lt;&gt;"LIBSETS_SETTYPE_SPECIAL"),IF(AQ598&lt;&gt;"",VLOOKUP(AQ598,'ESO zones'!$D$5:$H$4957,5,FALSE),""),"")</f>
        <v/>
      </c>
      <c r="AU598" s="3" t="str">
        <f>IF(AND(G598&lt;&gt;"LIBSETS_SETTYPE_BATTLEGROUND",G598&lt;&gt;"LIBSETS_SETTYPE_SPECIAL"),IF(AV598&lt;&gt;"",VLOOKUP(AV598,'ESO zones'!$D$5:$H$4957,5,FALSE),""),"")</f>
        <v/>
      </c>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1">
        <v>680</v>
      </c>
      <c r="B599" t="s">
        <v>1852</v>
      </c>
      <c r="C599" t="s">
        <v>1853</v>
      </c>
      <c r="D599" s="3">
        <f t="shared" si="54"/>
        <v>680</v>
      </c>
      <c r="G599" s="9" t="s">
        <v>169</v>
      </c>
      <c r="I599" t="s">
        <v>401</v>
      </c>
      <c r="J599" t="s">
        <v>401</v>
      </c>
      <c r="K599">
        <v>531</v>
      </c>
      <c r="L599">
        <v>531</v>
      </c>
      <c r="M599">
        <v>531</v>
      </c>
      <c r="O599" s="5" t="s">
        <v>1854</v>
      </c>
      <c r="Q599" s="3">
        <f>IF(AND(P599&lt;&gt;"",ISNUMBER(P599),NOT(ISNA(P599))),P599,IF(R599&lt;&gt;"",VLOOKUP(R599,'ESO zones'!$D$5:$H$10005,5,FALSE),""))</f>
        <v>1389</v>
      </c>
      <c r="R599" t="str">
        <f>IF(AND(O599&lt;&gt;"",NOT(ISERROR(O599))),O599,IF(AND(P599&lt;&gt;"",ISNUMBER(P599),P599&gt;0,NOT(ISNA(P599))),VLOOKUP(P599,'ESO zones'!$A$5:$D$10003,4,FALSE),IF(AND(K599&lt;&gt;"",K599&gt;0,NOT(ISERROR(K599))),VLOOKUP(K599,'ESO wayshrines'!$K$3:$N$9972,4,FALSE),"")))</f>
        <v>Bal Sunnar</v>
      </c>
      <c r="T599" s="16" t="str">
        <f>IF(AND(S599&lt;&gt;"",NOT(ISERROR(S599))),S599,VLOOKUP(A599,'ESO Set&amp;DLCs'!$A$3:$D$99998,4,FALSE))</f>
        <v>DLC_SCRIBES_OF_FATE</v>
      </c>
      <c r="U599" s="3" t="str">
        <f>IF(T599&lt;&gt;"",VLOOKUP(T599,ConstDLCIds!$B$4:$C$1000,2,FALSE),"")</f>
        <v>Scribes of Fate</v>
      </c>
      <c r="V599" s="57"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zones'!$A$5:$D$10003,4,FALSE),"")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zones'!$A$5:$D$10003,4,FALSE),"")</f>
        <v>Stonefalls</v>
      </c>
      <c r="AK599" s="3" t="str">
        <f>IF(AND(G599&lt;&gt;"LIBSETS_SETTYPE_BATTLEGROUND",G599&lt;&gt;"LIBSETS_SETTYPE_SPECIAL"),IF(AL599&lt;&gt;"",VLOOKUP(AL599,'ESO zones'!$D$5:$H$4957,5,FALSE),""),"")</f>
        <v/>
      </c>
      <c r="AP599" s="3" t="str">
        <f>IF(AND(G599&lt;&gt;"LIBSETS_SETTYPE_BATTLEGROUND",G599&lt;&gt;"LIBSETS_SETTYPE_SPECIAL"),IF(AQ599&lt;&gt;"",VLOOKUP(AQ599,'ESO zones'!$D$5:$H$4957,5,FALSE),""),"")</f>
        <v/>
      </c>
      <c r="AU599" s="3" t="str">
        <f>IF(AND(G599&lt;&gt;"LIBSETS_SETTYPE_BATTLEGROUND",G599&lt;&gt;"LIBSETS_SETTYPE_SPECIAL"),IF(AV599&lt;&gt;"",VLOOKUP(AV599,'ESO zones'!$D$5:$H$4957,5,FALSE),""),"")</f>
        <v/>
      </c>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1">
        <v>681</v>
      </c>
      <c r="B600" t="s">
        <v>1855</v>
      </c>
      <c r="C600" t="s">
        <v>1856</v>
      </c>
      <c r="D600" s="3">
        <f t="shared" si="54"/>
        <v>681</v>
      </c>
      <c r="G600" s="9" t="s">
        <v>169</v>
      </c>
      <c r="I600" t="s">
        <v>401</v>
      </c>
      <c r="J600" t="s">
        <v>401</v>
      </c>
      <c r="K600">
        <v>531</v>
      </c>
      <c r="L600">
        <v>531</v>
      </c>
      <c r="M600">
        <v>531</v>
      </c>
      <c r="O600" s="5" t="s">
        <v>1854</v>
      </c>
      <c r="Q600" s="3">
        <f>IF(AND(P600&lt;&gt;"",ISNUMBER(P600),NOT(ISNA(P600))),P600,IF(R600&lt;&gt;"",VLOOKUP(R600,'ESO zones'!$D$5:$H$10005,5,FALSE),""))</f>
        <v>1389</v>
      </c>
      <c r="R600" t="str">
        <f>IF(AND(O600&lt;&gt;"",NOT(ISERROR(O600))),O600,IF(AND(P600&lt;&gt;"",ISNUMBER(P600),P600&gt;0,NOT(ISNA(P600))),VLOOKUP(P600,'ESO zones'!$A$5:$D$10003,4,FALSE),IF(AND(K600&lt;&gt;"",K600&gt;0,NOT(ISERROR(K600))),VLOOKUP(K600,'ESO wayshrines'!$K$3:$N$9972,4,FALSE),"")))</f>
        <v>Bal Sunnar</v>
      </c>
      <c r="T600" s="16" t="str">
        <f>IF(AND(S600&lt;&gt;"",NOT(ISERROR(S600))),S600,VLOOKUP(A600,'ESO Set&amp;DLCs'!$A$3:$D$99998,4,FALSE))</f>
        <v>DLC_SCRIBES_OF_FATE</v>
      </c>
      <c r="U600" s="3" t="str">
        <f>IF(T600&lt;&gt;"",VLOOKUP(T600,ConstDLCIds!$B$4:$C$1000,2,FALSE),"")</f>
        <v>Scribes of Fate</v>
      </c>
      <c r="V600" s="57"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zones'!$A$5:$D$10003,4,FALSE),"")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zones'!$A$5:$D$10003,4,FALSE),"")</f>
        <v>Stonefalls</v>
      </c>
      <c r="AK600" s="3" t="str">
        <f>IF(AND(G600&lt;&gt;"LIBSETS_SETTYPE_BATTLEGROUND",G600&lt;&gt;"LIBSETS_SETTYPE_SPECIAL"),IF(AL600&lt;&gt;"",VLOOKUP(AL600,'ESO zones'!$D$5:$H$4957,5,FALSE),""),"")</f>
        <v/>
      </c>
      <c r="AP600" s="3" t="str">
        <f>IF(AND(G600&lt;&gt;"LIBSETS_SETTYPE_BATTLEGROUND",G600&lt;&gt;"LIBSETS_SETTYPE_SPECIAL"),IF(AQ600&lt;&gt;"",VLOOKUP(AQ600,'ESO zones'!$D$5:$H$4957,5,FALSE),""),"")</f>
        <v/>
      </c>
      <c r="AU600" s="3" t="str">
        <f>IF(AND(G600&lt;&gt;"LIBSETS_SETTYPE_BATTLEGROUND",G600&lt;&gt;"LIBSETS_SETTYPE_SPECIAL"),IF(AV600&lt;&gt;"",VLOOKUP(AV600,'ESO zones'!$D$5:$H$4957,5,FALSE),""),"")</f>
        <v/>
      </c>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1">
        <v>682</v>
      </c>
      <c r="B601" t="s">
        <v>1857</v>
      </c>
      <c r="C601" t="s">
        <v>1858</v>
      </c>
      <c r="D601" s="3">
        <f t="shared" si="54"/>
        <v>682</v>
      </c>
      <c r="G601" s="9" t="s">
        <v>169</v>
      </c>
      <c r="I601" t="s">
        <v>401</v>
      </c>
      <c r="J601" t="s">
        <v>401</v>
      </c>
      <c r="K601">
        <v>531</v>
      </c>
      <c r="L601">
        <v>531</v>
      </c>
      <c r="M601">
        <v>531</v>
      </c>
      <c r="O601" s="5" t="s">
        <v>1854</v>
      </c>
      <c r="Q601" s="3">
        <f>IF(AND(P601&lt;&gt;"",ISNUMBER(P601),NOT(ISNA(P601))),P601,IF(R601&lt;&gt;"",VLOOKUP(R601,'ESO zones'!$D$5:$H$10005,5,FALSE),""))</f>
        <v>1389</v>
      </c>
      <c r="R601" t="str">
        <f>IF(AND(O601&lt;&gt;"",NOT(ISERROR(O601))),O601,IF(AND(P601&lt;&gt;"",ISNUMBER(P601),P601&gt;0,NOT(ISNA(P601))),VLOOKUP(P601,'ESO zones'!$A$5:$D$10003,4,FALSE),IF(AND(K601&lt;&gt;"",K601&gt;0,NOT(ISERROR(K601))),VLOOKUP(K601,'ESO wayshrines'!$K$3:$N$9972,4,FALSE),"")))</f>
        <v>Bal Sunnar</v>
      </c>
      <c r="T601" s="16" t="str">
        <f>IF(AND(S601&lt;&gt;"",NOT(ISERROR(S601))),S601,VLOOKUP(A601,'ESO Set&amp;DLCs'!$A$3:$D$99998,4,FALSE))</f>
        <v>DLC_SCRIBES_OF_FATE</v>
      </c>
      <c r="U601" s="3" t="str">
        <f>IF(T601&lt;&gt;"",VLOOKUP(T601,ConstDLCIds!$B$4:$C$1000,2,FALSE),"")</f>
        <v>Scribes of Fate</v>
      </c>
      <c r="V601" s="57"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zones'!$A$5:$D$10003,4,FALSE),"")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zones'!$A$5:$D$10003,4,FALSE),"")</f>
        <v>Stonefalls</v>
      </c>
      <c r="AK601" s="3" t="str">
        <f>IF(AND(G601&lt;&gt;"LIBSETS_SETTYPE_BATTLEGROUND",G601&lt;&gt;"LIBSETS_SETTYPE_SPECIAL"),IF(AL601&lt;&gt;"",VLOOKUP(AL601,'ESO zones'!$D$5:$H$4957,5,FALSE),""),"")</f>
        <v/>
      </c>
      <c r="AP601" s="3" t="str">
        <f>IF(AND(G601&lt;&gt;"LIBSETS_SETTYPE_BATTLEGROUND",G601&lt;&gt;"LIBSETS_SETTYPE_SPECIAL"),IF(AQ601&lt;&gt;"",VLOOKUP(AQ601,'ESO zones'!$D$5:$H$4957,5,FALSE),""),"")</f>
        <v/>
      </c>
      <c r="AU601" s="3" t="str">
        <f>IF(AND(G601&lt;&gt;"LIBSETS_SETTYPE_BATTLEGROUND",G601&lt;&gt;"LIBSETS_SETTYPE_SPECIAL"),IF(AV601&lt;&gt;"",VLOOKUP(AV601,'ESO zones'!$D$5:$H$4957,5,FALSE),""),"")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1">
        <v>683</v>
      </c>
      <c r="B602" t="s">
        <v>1859</v>
      </c>
      <c r="C602" t="s">
        <v>1860</v>
      </c>
      <c r="D602" s="3">
        <f t="shared" si="54"/>
        <v>683</v>
      </c>
      <c r="G602" s="9" t="s">
        <v>172</v>
      </c>
      <c r="H602">
        <v>3</v>
      </c>
      <c r="I602" t="s">
        <v>712</v>
      </c>
      <c r="K602">
        <v>531</v>
      </c>
      <c r="L602">
        <v>531</v>
      </c>
      <c r="M602">
        <v>531</v>
      </c>
      <c r="O602" s="5" t="s">
        <v>1854</v>
      </c>
      <c r="Q602" s="3">
        <f>IF(AND(P602&lt;&gt;"",ISNUMBER(P602),NOT(ISNA(P602))),P602,IF(R602&lt;&gt;"",VLOOKUP(R602,'ESO zones'!$D$5:$H$10005,5,FALSE),""))</f>
        <v>1389</v>
      </c>
      <c r="R602" t="str">
        <f>IF(AND(O602&lt;&gt;"",NOT(ISERROR(O602))),O602,IF(AND(P602&lt;&gt;"",ISNUMBER(P602),P602&gt;0,NOT(ISNA(P602))),VLOOKUP(P602,'ESO zones'!$A$5:$D$10003,4,FALSE),IF(AND(K602&lt;&gt;"",K602&gt;0,NOT(ISERROR(K602))),VLOOKUP(K602,'ESO wayshrines'!$K$3:$N$9972,4,FALSE),"")))</f>
        <v>Bal Sunnar</v>
      </c>
      <c r="T602" s="16" t="str">
        <f>IF(AND(S602&lt;&gt;"",NOT(ISERROR(S602))),S602,VLOOKUP(A602,'ESO Set&amp;DLCs'!$A$3:$D$99998,4,FALSE))</f>
        <v>DLC_SCRIBES_OF_FATE</v>
      </c>
      <c r="U602" s="3" t="str">
        <f>IF(T602&lt;&gt;"",VLOOKUP(T602,ConstDLCIds!$B$4:$C$1000,2,FALSE),"")</f>
        <v>Scribes of Fate</v>
      </c>
      <c r="V602" s="4" t="s">
        <v>212</v>
      </c>
      <c r="W602" s="3" t="s">
        <v>1860</v>
      </c>
      <c r="X602" s="3" t="s">
        <v>1861</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zones'!$A$5:$D$10003,4,FALSE),"")</f>
        <v>Stonefalls</v>
      </c>
      <c r="AC602" s="3" t="str">
        <f>IF(AB602&lt;&gt;"",IF(AB602&lt;&gt;"LIBSETS_DROP_MECHANIC_MONSTER_NAME",VLOOKUP(AB602,ConstDropMechs!$B$4:$C$1001,2,FALSE),""),"")</f>
        <v/>
      </c>
      <c r="AD602" s="3" t="str">
        <f>IF(AB602&lt;&gt;"",IF(AB602&lt;&gt;"LIBSETS_DROP_MECHANIC_MONSTER_NAME",VLOOKUP(AB602,ConstDropMechs!$B$4:$D$1001,3,FALSE),""),"")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zones'!$A$5:$D$10003,4,FALSE),"")</f>
        <v>Stonefalls</v>
      </c>
      <c r="AK602" s="3" t="str">
        <f>IF(AND(G602&lt;&gt;"LIBSETS_SETTYPE_BATTLEGROUND",G602&lt;&gt;"LIBSETS_SETTYPE_SPECIAL"),IF(AL602&lt;&gt;"",VLOOKUP(AL602,'ESO zones'!$D$5:$H$4957,5,FALSE),""),"")</f>
        <v/>
      </c>
      <c r="AP602" s="3" t="str">
        <f>IF(AND(G602&lt;&gt;"LIBSETS_SETTYPE_BATTLEGROUND",G602&lt;&gt;"LIBSETS_SETTYPE_SPECIAL"),IF(AQ602&lt;&gt;"",VLOOKUP(AQ602,'ESO zones'!$D$5:$H$4957,5,FALSE),""),"")</f>
        <v/>
      </c>
      <c r="AU602" s="3" t="str">
        <f>IF(AND(G602&lt;&gt;"LIBSETS_SETTYPE_BATTLEGROUND",G602&lt;&gt;"LIBSETS_SETTYPE_SPECIAL"),IF(AV602&lt;&gt;"",VLOOKUP(AV602,'ESO zones'!$D$5:$H$4957,5,FALSE),""),"")</f>
        <v/>
      </c>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1">
        <v>684</v>
      </c>
      <c r="B603" t="s">
        <v>1862</v>
      </c>
      <c r="C603" t="s">
        <v>1863</v>
      </c>
      <c r="D603" s="3">
        <f t="shared" si="54"/>
        <v>684</v>
      </c>
      <c r="G603" s="9" t="s">
        <v>169</v>
      </c>
      <c r="I603" t="s">
        <v>401</v>
      </c>
      <c r="J603" t="s">
        <v>401</v>
      </c>
      <c r="K603">
        <v>532</v>
      </c>
      <c r="L603">
        <v>532</v>
      </c>
      <c r="M603">
        <v>532</v>
      </c>
      <c r="O603" s="5" t="s">
        <v>1864</v>
      </c>
      <c r="Q603" s="3">
        <f>IF(AND(P603&lt;&gt;"",ISNUMBER(P603),NOT(ISNA(P603))),P603,IF(R603&lt;&gt;"",VLOOKUP(R603,'ESO zones'!$D$5:$H$10005,5,FALSE),""))</f>
        <v>1390</v>
      </c>
      <c r="R603" t="str">
        <f>IF(AND(O603&lt;&gt;"",NOT(ISERROR(O603))),O603,IF(AND(P603&lt;&gt;"",ISNUMBER(P603),P603&gt;0,NOT(ISNA(P603))),VLOOKUP(P603,'ESO zones'!$A$5:$D$10003,4,FALSE),IF(AND(K603&lt;&gt;"",K603&gt;0,NOT(ISERROR(K603))),VLOOKUP(K603,'ESO wayshrines'!$K$3:$N$9972,4,FALSE),"")))</f>
        <v>Scrivener's Hall</v>
      </c>
      <c r="T603" s="16" t="str">
        <f>IF(AND(S603&lt;&gt;"",NOT(ISERROR(S603))),S603,VLOOKUP(A603,'ESO Set&amp;DLCs'!$A$3:$D$99998,4,FALSE))</f>
        <v>DLC_SCRIBES_OF_FATE</v>
      </c>
      <c r="U603" s="3" t="str">
        <f>IF(T603&lt;&gt;"",VLOOKUP(T603,ConstDLCIds!$B$4:$C$1000,2,FALSE),"")</f>
        <v>Scribes of Fate</v>
      </c>
      <c r="V603" s="57"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zones'!$A$5:$D$10003,4,FALSE),"")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zones'!$A$5:$D$10003,4,FALSE),"")</f>
        <v>The Rift</v>
      </c>
      <c r="AK603" s="3" t="str">
        <f>IF(AND(G603&lt;&gt;"LIBSETS_SETTYPE_BATTLEGROUND",G603&lt;&gt;"LIBSETS_SETTYPE_SPECIAL"),IF(AL603&lt;&gt;"",VLOOKUP(AL603,'ESO zones'!$D$5:$H$4957,5,FALSE),""),"")</f>
        <v/>
      </c>
      <c r="AP603" s="3" t="str">
        <f>IF(AND(G603&lt;&gt;"LIBSETS_SETTYPE_BATTLEGROUND",G603&lt;&gt;"LIBSETS_SETTYPE_SPECIAL"),IF(AQ603&lt;&gt;"",VLOOKUP(AQ603,'ESO zones'!$D$5:$H$4957,5,FALSE),""),"")</f>
        <v/>
      </c>
      <c r="AU603" s="3" t="str">
        <f>IF(AND(G603&lt;&gt;"LIBSETS_SETTYPE_BATTLEGROUND",G603&lt;&gt;"LIBSETS_SETTYPE_SPECIAL"),IF(AV603&lt;&gt;"",VLOOKUP(AV603,'ESO zones'!$D$5:$H$4957,5,FALSE),""),"")</f>
        <v/>
      </c>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1">
        <v>685</v>
      </c>
      <c r="B604" t="s">
        <v>1865</v>
      </c>
      <c r="C604" t="s">
        <v>1866</v>
      </c>
      <c r="D604" s="3">
        <f t="shared" si="54"/>
        <v>685</v>
      </c>
      <c r="G604" s="9" t="s">
        <v>169</v>
      </c>
      <c r="I604" t="s">
        <v>401</v>
      </c>
      <c r="J604" t="s">
        <v>401</v>
      </c>
      <c r="K604">
        <v>532</v>
      </c>
      <c r="L604">
        <v>532</v>
      </c>
      <c r="M604">
        <v>532</v>
      </c>
      <c r="O604" s="5" t="s">
        <v>1864</v>
      </c>
      <c r="Q604" s="3">
        <f>IF(AND(P604&lt;&gt;"",ISNUMBER(P604),NOT(ISNA(P604))),P604,IF(R604&lt;&gt;"",VLOOKUP(R604,'ESO zones'!$D$5:$H$10005,5,FALSE),""))</f>
        <v>1390</v>
      </c>
      <c r="R604" t="str">
        <f>IF(AND(O604&lt;&gt;"",NOT(ISERROR(O604))),O604,IF(AND(P604&lt;&gt;"",ISNUMBER(P604),P604&gt;0,NOT(ISNA(P604))),VLOOKUP(P604,'ESO zones'!$A$5:$D$10003,4,FALSE),IF(AND(K604&lt;&gt;"",K604&gt;0,NOT(ISERROR(K604))),VLOOKUP(K604,'ESO wayshrines'!$K$3:$N$9972,4,FALSE),"")))</f>
        <v>Scrivener's Hall</v>
      </c>
      <c r="T604" s="16" t="str">
        <f>IF(AND(S604&lt;&gt;"",NOT(ISERROR(S604))),S604,VLOOKUP(A604,'ESO Set&amp;DLCs'!$A$3:$D$99998,4,FALSE))</f>
        <v>DLC_SCRIBES_OF_FATE</v>
      </c>
      <c r="U604" s="3" t="str">
        <f>IF(T604&lt;&gt;"",VLOOKUP(T604,ConstDLCIds!$B$4:$C$1000,2,FALSE),"")</f>
        <v>Scribes of Fate</v>
      </c>
      <c r="V604" s="57"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zones'!$A$5:$D$10003,4,FALSE),"")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zones'!$A$5:$D$10003,4,FALSE),"")</f>
        <v>The Rift</v>
      </c>
      <c r="AK604" s="3" t="str">
        <f>IF(AND(G604&lt;&gt;"LIBSETS_SETTYPE_BATTLEGROUND",G604&lt;&gt;"LIBSETS_SETTYPE_SPECIAL"),IF(AL604&lt;&gt;"",VLOOKUP(AL604,'ESO zones'!$D$5:$H$4957,5,FALSE),""),"")</f>
        <v/>
      </c>
      <c r="AP604" s="3" t="str">
        <f>IF(AND(G604&lt;&gt;"LIBSETS_SETTYPE_BATTLEGROUND",G604&lt;&gt;"LIBSETS_SETTYPE_SPECIAL"),IF(AQ604&lt;&gt;"",VLOOKUP(AQ604,'ESO zones'!$D$5:$H$4957,5,FALSE),""),"")</f>
        <v/>
      </c>
      <c r="AU604" s="3" t="str">
        <f>IF(AND(G604&lt;&gt;"LIBSETS_SETTYPE_BATTLEGROUND",G604&lt;&gt;"LIBSETS_SETTYPE_SPECIAL"),IF(AV604&lt;&gt;"",VLOOKUP(AV604,'ESO zones'!$D$5:$H$4957,5,FALSE),""),"")</f>
        <v/>
      </c>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1">
        <v>686</v>
      </c>
      <c r="B605" t="s">
        <v>1867</v>
      </c>
      <c r="C605" t="s">
        <v>1868</v>
      </c>
      <c r="D605" s="3">
        <f t="shared" si="54"/>
        <v>686</v>
      </c>
      <c r="G605" s="9" t="s">
        <v>169</v>
      </c>
      <c r="I605" t="s">
        <v>401</v>
      </c>
      <c r="J605" t="s">
        <v>401</v>
      </c>
      <c r="K605">
        <v>532</v>
      </c>
      <c r="L605">
        <v>532</v>
      </c>
      <c r="M605">
        <v>532</v>
      </c>
      <c r="O605" s="5" t="s">
        <v>1864</v>
      </c>
      <c r="Q605" s="3">
        <f>IF(AND(P605&lt;&gt;"",ISNUMBER(P605),NOT(ISNA(P605))),P605,IF(R605&lt;&gt;"",VLOOKUP(R605,'ESO zones'!$D$5:$H$10005,5,FALSE),""))</f>
        <v>1390</v>
      </c>
      <c r="R605" t="str">
        <f>IF(AND(O605&lt;&gt;"",NOT(ISERROR(O605))),O605,IF(AND(P605&lt;&gt;"",ISNUMBER(P605),P605&gt;0,NOT(ISNA(P605))),VLOOKUP(P605,'ESO zones'!$A$5:$D$10003,4,FALSE),IF(AND(K605&lt;&gt;"",K605&gt;0,NOT(ISERROR(K605))),VLOOKUP(K605,'ESO wayshrines'!$K$3:$N$9972,4,FALSE),"")))</f>
        <v>Scrivener's Hall</v>
      </c>
      <c r="T605" s="16" t="str">
        <f>IF(AND(S605&lt;&gt;"",NOT(ISERROR(S605))),S605,VLOOKUP(A605,'ESO Set&amp;DLCs'!$A$3:$D$99998,4,FALSE))</f>
        <v>DLC_SCRIBES_OF_FATE</v>
      </c>
      <c r="U605" s="3" t="str">
        <f>IF(T605&lt;&gt;"",VLOOKUP(T605,ConstDLCIds!$B$4:$C$1000,2,FALSE),"")</f>
        <v>Scribes of Fate</v>
      </c>
      <c r="V605" s="57"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zones'!$A$5:$D$10003,4,FALSE),"")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zones'!$A$5:$D$10003,4,FALSE),"")</f>
        <v>The Rift</v>
      </c>
      <c r="AK605" s="3" t="str">
        <f>IF(AND(G605&lt;&gt;"LIBSETS_SETTYPE_BATTLEGROUND",G605&lt;&gt;"LIBSETS_SETTYPE_SPECIAL"),IF(AL605&lt;&gt;"",VLOOKUP(AL605,'ESO zones'!$D$5:$H$4957,5,FALSE),""),"")</f>
        <v/>
      </c>
      <c r="AP605" s="3" t="str">
        <f>IF(AND(G605&lt;&gt;"LIBSETS_SETTYPE_BATTLEGROUND",G605&lt;&gt;"LIBSETS_SETTYPE_SPECIAL"),IF(AQ605&lt;&gt;"",VLOOKUP(AQ605,'ESO zones'!$D$5:$H$4957,5,FALSE),""),"")</f>
        <v/>
      </c>
      <c r="AU605" s="3" t="str">
        <f>IF(AND(G605&lt;&gt;"LIBSETS_SETTYPE_BATTLEGROUND",G605&lt;&gt;"LIBSETS_SETTYPE_SPECIAL"),IF(AV605&lt;&gt;"",VLOOKUP(AV605,'ESO zones'!$D$5:$H$4957,5,FALSE),""),"")</f>
        <v/>
      </c>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1">
        <v>687</v>
      </c>
      <c r="B606" t="s">
        <v>1869</v>
      </c>
      <c r="C606" t="s">
        <v>1870</v>
      </c>
      <c r="D606" s="3">
        <f t="shared" si="54"/>
        <v>687</v>
      </c>
      <c r="G606" s="9" t="s">
        <v>172</v>
      </c>
      <c r="H606">
        <v>3</v>
      </c>
      <c r="I606" t="s">
        <v>712</v>
      </c>
      <c r="K606">
        <v>532</v>
      </c>
      <c r="L606">
        <v>532</v>
      </c>
      <c r="M606">
        <v>532</v>
      </c>
      <c r="O606" s="5" t="s">
        <v>1864</v>
      </c>
      <c r="Q606" s="3">
        <f>IF(AND(P606&lt;&gt;"",ISNUMBER(P606),NOT(ISNA(P606))),P606,IF(R606&lt;&gt;"",VLOOKUP(R606,'ESO zones'!$D$5:$H$10005,5,FALSE),""))</f>
        <v>1390</v>
      </c>
      <c r="R606" t="str">
        <f>IF(AND(O606&lt;&gt;"",NOT(ISERROR(O606))),O606,IF(AND(P606&lt;&gt;"",ISNUMBER(P606),P606&gt;0,NOT(ISNA(P606))),VLOOKUP(P606,'ESO zones'!$A$5:$D$10003,4,FALSE),IF(AND(K606&lt;&gt;"",K606&gt;0,NOT(ISERROR(K606))),VLOOKUP(K606,'ESO wayshrines'!$K$3:$N$9972,4,FALSE),"")))</f>
        <v>Scrivener's Hall</v>
      </c>
      <c r="T606" s="16" t="str">
        <f>IF(AND(S606&lt;&gt;"",NOT(ISERROR(S606))),S606,VLOOKUP(A606,'ESO Set&amp;DLCs'!$A$3:$D$99998,4,FALSE))</f>
        <v>DLC_SCRIBES_OF_FATE</v>
      </c>
      <c r="U606" s="3" t="str">
        <f>IF(T606&lt;&gt;"",VLOOKUP(T606,ConstDLCIds!$B$4:$C$1000,2,FALSE),"")</f>
        <v>Scribes of Fate</v>
      </c>
      <c r="V606" s="4" t="s">
        <v>212</v>
      </c>
      <c r="W606" s="3" t="s">
        <v>1870</v>
      </c>
      <c r="X606" s="3" t="s">
        <v>1869</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zones'!$A$5:$D$10003,4,FALSE),"")</f>
        <v>The Rift</v>
      </c>
      <c r="AC606" s="3" t="str">
        <f>IF(AB606&lt;&gt;"",IF(AB606&lt;&gt;"LIBSETS_DROP_MECHANIC_MONSTER_NAME",VLOOKUP(AB606,ConstDropMechs!$B$4:$C$1001,2,FALSE),""),"")</f>
        <v/>
      </c>
      <c r="AD606" s="3" t="str">
        <f>IF(AB606&lt;&gt;"",IF(AB606&lt;&gt;"LIBSETS_DROP_MECHANIC_MONSTER_NAME",VLOOKUP(AB606,ConstDropMechs!$B$4:$D$1001,3,FALSE),""),"")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zones'!$A$5:$D$10003,4,FALSE),"")</f>
        <v>The Rift</v>
      </c>
      <c r="AK606" s="3" t="str">
        <f>IF(AND(G606&lt;&gt;"LIBSETS_SETTYPE_BATTLEGROUND",G606&lt;&gt;"LIBSETS_SETTYPE_SPECIAL"),IF(AL606&lt;&gt;"",VLOOKUP(AL606,'ESO zones'!$D$5:$H$4957,5,FALSE),""),"")</f>
        <v/>
      </c>
      <c r="AP606" s="3" t="str">
        <f>IF(AND(G606&lt;&gt;"LIBSETS_SETTYPE_BATTLEGROUND",G606&lt;&gt;"LIBSETS_SETTYPE_SPECIAL"),IF(AQ606&lt;&gt;"",VLOOKUP(AQ606,'ESO zones'!$D$5:$H$4957,5,FALSE),""),"")</f>
        <v/>
      </c>
      <c r="AU606" s="3" t="str">
        <f>IF(AND(G606&lt;&gt;"LIBSETS_SETTYPE_BATTLEGROUND",G606&lt;&gt;"LIBSETS_SETTYPE_SPECIAL"),IF(AV606&lt;&gt;"",VLOOKUP(AV606,'ESO zones'!$D$5:$H$4957,5,FALSE),""),"")</f>
        <v/>
      </c>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1">
        <v>688</v>
      </c>
      <c r="B607" t="s">
        <v>1871</v>
      </c>
      <c r="C607" t="s">
        <v>1872</v>
      </c>
      <c r="D607" s="3">
        <f t="shared" si="54"/>
        <v>688</v>
      </c>
      <c r="G607" s="9" t="s">
        <v>165</v>
      </c>
      <c r="I607" t="s">
        <v>401</v>
      </c>
      <c r="J607" t="s">
        <v>401</v>
      </c>
      <c r="K607">
        <v>-1</v>
      </c>
      <c r="L607">
        <v>-1</v>
      </c>
      <c r="M607">
        <v>-1</v>
      </c>
      <c r="O607" s="5" t="s">
        <v>166</v>
      </c>
      <c r="Q607" s="3">
        <f>IF(AND(P607&lt;&gt;"",ISNUMBER(P607),NOT(ISNA(P607))),P607,IF(R607&lt;&gt;"",VLOOKUP(R607,'ESO zones'!$D$5:$H$10005,5,FALSE),""))</f>
        <v>181</v>
      </c>
      <c r="R607" t="str">
        <f>IF(AND(O607&lt;&gt;"",NOT(ISERROR(O607))),O607,IF(AND(P607&lt;&gt;"",ISNUMBER(P607),P607&gt;0,NOT(ISNA(P607))),VLOOKUP(P607,'ESO zones'!$A$5:$D$10003,4,FALSE),IF(AND(K607&lt;&gt;"",K607&gt;0,NOT(ISERROR(K607))),VLOOKUP(K607,'ESO wayshrines'!$K$3:$N$9972,4,FALSE),"")))</f>
        <v>Cyrodiil</v>
      </c>
      <c r="T607" s="16" t="str">
        <f>IF(AND(S607&lt;&gt;"",NOT(ISERROR(S607))),S607,VLOOKUP(A607,'ESO Set&amp;DLCs'!$A$3:$D$99998,4,FALSE))</f>
        <v>DLC_SCRIBES_OF_FATE</v>
      </c>
      <c r="U607" s="3" t="str">
        <f>IF(T607&lt;&gt;"",VLOOKUP(T607,ConstDLCIds!$B$4:$C$1000,2,FALSE),"")</f>
        <v>Scribes of Fate</v>
      </c>
      <c r="V607" s="4" t="s">
        <v>197</v>
      </c>
      <c r="Y607" s="5">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zones'!$A$5:$D$10003,4,FALSE),"")</f>
        <v>Cyrodiil</v>
      </c>
      <c r="AB607" s="4" t="s">
        <v>301</v>
      </c>
      <c r="AE607" s="5">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zones'!$A$5:$D$10003,4,FALSE),"")</f>
        <v>Cyrodiil</v>
      </c>
      <c r="AH607" s="4" t="s">
        <v>248</v>
      </c>
      <c r="AK607" s="3">
        <f>IF(AND(G607&lt;&gt;"LIBSETS_SETTYPE_BATTLEGROUND",G607&lt;&gt;"LIBSETS_SETTYPE_SPECIAL"),IF(AL607&lt;&gt;"",VLOOKUP(AL607,'ESO zones'!$D$5:$H$4957,5,FALSE),""),"")</f>
        <v>181</v>
      </c>
      <c r="AL607" t="s">
        <v>166</v>
      </c>
      <c r="AM607" s="4" t="s">
        <v>298</v>
      </c>
      <c r="AP607" s="3">
        <f>IF(AND(G607&lt;&gt;"LIBSETS_SETTYPE_BATTLEGROUND",G607&lt;&gt;"LIBSETS_SETTYPE_SPECIAL"),IF(AQ607&lt;&gt;"",VLOOKUP(AQ607,'ESO zones'!$D$5:$H$4957,5,FALSE),""),"")</f>
        <v>181</v>
      </c>
      <c r="AQ607" t="s">
        <v>166</v>
      </c>
      <c r="AR607" s="4" t="s">
        <v>215</v>
      </c>
      <c r="AU607" s="3">
        <f>IF(AND(G607&lt;&gt;"LIBSETS_SETTYPE_BATTLEGROUND",G607&lt;&gt;"LIBSETS_SETTYPE_SPECIAL"),IF(AV607&lt;&gt;"",VLOOKUP(AV607,'ESO zones'!$D$5:$H$4957,5,FALSE),""),"")</f>
        <v>181</v>
      </c>
      <c r="AV607" t="s">
        <v>166</v>
      </c>
      <c r="AW607" s="4" t="s">
        <v>257</v>
      </c>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1">
        <v>689</v>
      </c>
      <c r="B608" t="s">
        <v>1873</v>
      </c>
      <c r="C608" t="s">
        <v>1874</v>
      </c>
      <c r="D608" s="3">
        <f t="shared" si="54"/>
        <v>689</v>
      </c>
      <c r="G608" s="9" t="s">
        <v>165</v>
      </c>
      <c r="I608" t="s">
        <v>401</v>
      </c>
      <c r="J608" t="s">
        <v>401</v>
      </c>
      <c r="K608">
        <v>-1</v>
      </c>
      <c r="L608">
        <v>-1</v>
      </c>
      <c r="M608">
        <v>-1</v>
      </c>
      <c r="O608" s="5" t="s">
        <v>166</v>
      </c>
      <c r="Q608" s="3">
        <f>IF(AND(P608&lt;&gt;"",ISNUMBER(P608),NOT(ISNA(P608))),P608,IF(R608&lt;&gt;"",VLOOKUP(R608,'ESO zones'!$D$5:$H$10005,5,FALSE),""))</f>
        <v>181</v>
      </c>
      <c r="R608" t="str">
        <f>IF(AND(O608&lt;&gt;"",NOT(ISERROR(O608))),O608,IF(AND(P608&lt;&gt;"",ISNUMBER(P608),P608&gt;0,NOT(ISNA(P608))),VLOOKUP(P608,'ESO zones'!$A$5:$D$10003,4,FALSE),IF(AND(K608&lt;&gt;"",K608&gt;0,NOT(ISERROR(K608))),VLOOKUP(K608,'ESO wayshrines'!$K$3:$N$9972,4,FALSE),"")))</f>
        <v>Cyrodiil</v>
      </c>
      <c r="T608" s="16" t="str">
        <f>IF(AND(S608&lt;&gt;"",NOT(ISERROR(S608))),S608,VLOOKUP(A608,'ESO Set&amp;DLCs'!$A$3:$D$99998,4,FALSE))</f>
        <v>DLC_SCRIBES_OF_FATE</v>
      </c>
      <c r="U608" s="3" t="str">
        <f>IF(T608&lt;&gt;"",VLOOKUP(T608,ConstDLCIds!$B$4:$C$1000,2,FALSE),"")</f>
        <v>Scribes of Fate</v>
      </c>
      <c r="V608" s="4" t="s">
        <v>197</v>
      </c>
      <c r="Y608" s="5">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zones'!$A$5:$D$10003,4,FALSE),"")</f>
        <v>Cyrodiil</v>
      </c>
      <c r="AB608" s="4" t="s">
        <v>301</v>
      </c>
      <c r="AE608" s="5">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zones'!$A$5:$D$10003,4,FALSE),"")</f>
        <v>Cyrodiil</v>
      </c>
      <c r="AH608" s="4" t="s">
        <v>248</v>
      </c>
      <c r="AK608" s="3">
        <f>IF(AND(G608&lt;&gt;"LIBSETS_SETTYPE_BATTLEGROUND",G608&lt;&gt;"LIBSETS_SETTYPE_SPECIAL"),IF(AL608&lt;&gt;"",VLOOKUP(AL608,'ESO zones'!$D$5:$H$4957,5,FALSE),""),"")</f>
        <v>181</v>
      </c>
      <c r="AL608" t="s">
        <v>166</v>
      </c>
      <c r="AM608" s="4" t="s">
        <v>298</v>
      </c>
      <c r="AP608" s="3">
        <f>IF(AND(G608&lt;&gt;"LIBSETS_SETTYPE_BATTLEGROUND",G608&lt;&gt;"LIBSETS_SETTYPE_SPECIAL"),IF(AQ608&lt;&gt;"",VLOOKUP(AQ608,'ESO zones'!$D$5:$H$4957,5,FALSE),""),"")</f>
        <v>181</v>
      </c>
      <c r="AQ608" t="s">
        <v>166</v>
      </c>
      <c r="AR608" s="4" t="s">
        <v>215</v>
      </c>
      <c r="AU608" s="3">
        <f>IF(AND(G608&lt;&gt;"LIBSETS_SETTYPE_BATTLEGROUND",G608&lt;&gt;"LIBSETS_SETTYPE_SPECIAL"),IF(AV608&lt;&gt;"",VLOOKUP(AV608,'ESO zones'!$D$5:$H$4957,5,FALSE),""),"")</f>
        <v>181</v>
      </c>
      <c r="AV608" t="s">
        <v>166</v>
      </c>
      <c r="AW608" s="4" t="s">
        <v>257</v>
      </c>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1">
        <v>690</v>
      </c>
      <c r="B609" t="s">
        <v>1875</v>
      </c>
      <c r="C609" t="s">
        <v>1876</v>
      </c>
      <c r="D609" s="3">
        <f t="shared" si="54"/>
        <v>690</v>
      </c>
      <c r="G609" s="9" t="s">
        <v>165</v>
      </c>
      <c r="I609" t="s">
        <v>401</v>
      </c>
      <c r="J609" t="s">
        <v>401</v>
      </c>
      <c r="K609">
        <v>-1</v>
      </c>
      <c r="L609">
        <v>-1</v>
      </c>
      <c r="M609">
        <v>-1</v>
      </c>
      <c r="O609" s="5" t="s">
        <v>166</v>
      </c>
      <c r="Q609" s="3">
        <f>IF(AND(P609&lt;&gt;"",ISNUMBER(P609),NOT(ISNA(P609))),P609,IF(R609&lt;&gt;"",VLOOKUP(R609,'ESO zones'!$D$5:$H$10005,5,FALSE),""))</f>
        <v>181</v>
      </c>
      <c r="R609" t="str">
        <f>IF(AND(O609&lt;&gt;"",NOT(ISERROR(O609))),O609,IF(AND(P609&lt;&gt;"",ISNUMBER(P609),P609&gt;0,NOT(ISNA(P609))),VLOOKUP(P609,'ESO zones'!$A$5:$D$10003,4,FALSE),IF(AND(K609&lt;&gt;"",K609&gt;0,NOT(ISERROR(K609))),VLOOKUP(K609,'ESO wayshrines'!$K$3:$N$9972,4,FALSE),"")))</f>
        <v>Cyrodiil</v>
      </c>
      <c r="T609" s="16" t="str">
        <f>IF(AND(S609&lt;&gt;"",NOT(ISERROR(S609))),S609,VLOOKUP(A609,'ESO Set&amp;DLCs'!$A$3:$D$99998,4,FALSE))</f>
        <v>DLC_SCRIBES_OF_FATE</v>
      </c>
      <c r="U609" s="3" t="str">
        <f>IF(T609&lt;&gt;"",VLOOKUP(T609,ConstDLCIds!$B$4:$C$1000,2,FALSE),"")</f>
        <v>Scribes of Fate</v>
      </c>
      <c r="V609" s="4" t="s">
        <v>197</v>
      </c>
      <c r="Y609" s="5">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zones'!$A$5:$D$10003,4,FALSE),"")</f>
        <v>Cyrodiil</v>
      </c>
      <c r="AB609" s="4" t="s">
        <v>301</v>
      </c>
      <c r="AE609" s="5">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zones'!$A$5:$D$10003,4,FALSE),"")</f>
        <v>Cyrodiil</v>
      </c>
      <c r="AH609" s="4" t="s">
        <v>248</v>
      </c>
      <c r="AK609" s="3">
        <f>IF(AND(G609&lt;&gt;"LIBSETS_SETTYPE_BATTLEGROUND",G609&lt;&gt;"LIBSETS_SETTYPE_SPECIAL"),IF(AL609&lt;&gt;"",VLOOKUP(AL609,'ESO zones'!$D$5:$H$4957,5,FALSE),""),"")</f>
        <v>181</v>
      </c>
      <c r="AL609" t="s">
        <v>166</v>
      </c>
      <c r="AM609" s="4" t="s">
        <v>298</v>
      </c>
      <c r="AP609" s="3">
        <f>IF(AND(G609&lt;&gt;"LIBSETS_SETTYPE_BATTLEGROUND",G609&lt;&gt;"LIBSETS_SETTYPE_SPECIAL"),IF(AQ609&lt;&gt;"",VLOOKUP(AQ609,'ESO zones'!$D$5:$H$4957,5,FALSE),""),"")</f>
        <v>181</v>
      </c>
      <c r="AQ609" t="s">
        <v>166</v>
      </c>
      <c r="AR609" s="4" t="s">
        <v>215</v>
      </c>
      <c r="AU609" s="3">
        <f>IF(AND(G609&lt;&gt;"LIBSETS_SETTYPE_BATTLEGROUND",G609&lt;&gt;"LIBSETS_SETTYPE_SPECIAL"),IF(AV609&lt;&gt;"",VLOOKUP(AV609,'ESO zones'!$D$5:$H$4957,5,FALSE),""),"")</f>
        <v>181</v>
      </c>
      <c r="AV609" t="s">
        <v>166</v>
      </c>
      <c r="AW609" s="4" t="s">
        <v>257</v>
      </c>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1">
        <v>691</v>
      </c>
      <c r="B610" t="s">
        <v>1877</v>
      </c>
      <c r="C610" t="s">
        <v>1878</v>
      </c>
      <c r="D610" s="3">
        <f t="shared" si="54"/>
        <v>691</v>
      </c>
      <c r="G610" s="59" t="s">
        <v>180</v>
      </c>
      <c r="I610" t="s">
        <v>401</v>
      </c>
      <c r="J610" t="s">
        <v>401</v>
      </c>
      <c r="K610">
        <v>536</v>
      </c>
      <c r="L610">
        <v>545</v>
      </c>
      <c r="M610">
        <v>538</v>
      </c>
      <c r="Q610" s="3">
        <f>IF(AND(P610&lt;&gt;"",ISNUMBER(P610),NOT(ISNA(P610))),P610,IF(R610&lt;&gt;"",VLOOKUP(R610,'ESO zones'!$D$5:$H$10005,5,FALSE),""))</f>
        <v>1414</v>
      </c>
      <c r="R610" t="str">
        <f>IF(AND(O610&lt;&gt;"",NOT(ISERROR(O610))),O610,IF(AND(P610&lt;&gt;"",ISNUMBER(P610),P610&gt;0,NOT(ISNA(P610))),VLOOKUP(P610,'ESO zones'!$A$5:$D$10003,4,FALSE),IF(AND(K610&lt;&gt;"",K610&gt;0,NOT(ISERROR(K610))),VLOOKUP(K610,'ESO wayshrines'!$K$3:$N$9972,4,FALSE),"")))</f>
        <v>Telvanni Peninsula</v>
      </c>
      <c r="T610" s="16" t="str">
        <f>IF(AND(S610&lt;&gt;"",NOT(ISERROR(S610))),S610,VLOOKUP(A610,'ESO Set&amp;DLCs'!$A$3:$D$99998,4,FALSE))</f>
        <v>DLC_NECROM</v>
      </c>
      <c r="U610" s="3" t="str">
        <f>IF(T610&lt;&gt;"",VLOOKUP(T610,ConstDLCIds!$B$4:$C$1000,2,FALSE),"")</f>
        <v>Necrom</v>
      </c>
      <c r="V610" s="4"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zones'!$A$5:$D$10003,4,FALSE),"")</f>
        <v>Apocrypha</v>
      </c>
      <c r="AB610" s="4"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zones'!$A$5:$D$10003,4,FALSE),"")</f>
        <v>Telvanni Peninsula</v>
      </c>
      <c r="AH610" s="4" t="s">
        <v>218</v>
      </c>
      <c r="AI610" s="3" t="s">
        <v>1879</v>
      </c>
      <c r="AJ610" s="3" t="s">
        <v>1880</v>
      </c>
      <c r="AK610" s="3">
        <f>IF(AND(G611&lt;&gt;"LIBSETS_SETTYPE_BATTLEGROUND",G611&lt;&gt;"LIBSETS_SETTYPE_SPECIAL"),IF(AL610&lt;&gt;"",VLOOKUP(AL610,'ESO zones'!$D$5:$H$4957,5,FALSE),""),"")</f>
        <v>1414</v>
      </c>
      <c r="AL610" t="s">
        <v>1881</v>
      </c>
      <c r="AM610" s="4" t="s">
        <v>224</v>
      </c>
      <c r="AP610" s="3">
        <f>IF(AND(G611&lt;&gt;"LIBSETS_SETTYPE_BATTLEGROUND",G611&lt;&gt;"LIBSETS_SETTYPE_SPECIAL"),IF(AQ610&lt;&gt;"",VLOOKUP(AQ610,'ESO zones'!$D$5:$H$4957,5,FALSE),""),"")</f>
        <v>1389</v>
      </c>
      <c r="AQ610" t="s">
        <v>1854</v>
      </c>
      <c r="AR610" s="4" t="s">
        <v>278</v>
      </c>
      <c r="AS610" s="3" t="s">
        <v>1882</v>
      </c>
      <c r="AT610" s="3" t="s">
        <v>1883</v>
      </c>
      <c r="AU610" s="3" t="str">
        <f>IF(AND(G610&lt;&gt;"LIBSETS_SETTYPE_BATTLEGROUND",G610&lt;&gt;"LIBSETS_SETTYPE_SPECIAL"),IF(AV610&lt;&gt;"",VLOOKUP(AV610,'ESO zones'!$D$5:$H$4957,5,FALSE),""),"")</f>
        <v/>
      </c>
      <c r="BA610" s="53" t="s">
        <v>1884</v>
      </c>
      <c r="BB610" s="53" t="s">
        <v>1884</v>
      </c>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1">
        <v>692</v>
      </c>
      <c r="B611" t="s">
        <v>1885</v>
      </c>
      <c r="C611" t="s">
        <v>1886</v>
      </c>
      <c r="D611" s="3">
        <f t="shared" si="54"/>
        <v>692</v>
      </c>
      <c r="G611" s="59" t="s">
        <v>180</v>
      </c>
      <c r="I611" t="s">
        <v>401</v>
      </c>
      <c r="J611" t="s">
        <v>401</v>
      </c>
      <c r="K611">
        <v>549</v>
      </c>
      <c r="L611">
        <v>280</v>
      </c>
      <c r="M611">
        <v>282</v>
      </c>
      <c r="P611" s="5">
        <v>1415</v>
      </c>
      <c r="Q611" s="3">
        <f>IF(AND(P611&lt;&gt;"",ISNUMBER(P611),NOT(ISNA(P611))),P611,IF(R611&lt;&gt;"",VLOOKUP(R611,'ESO zones'!$D$5:$H$10005,5,FALSE),""))</f>
        <v>1415</v>
      </c>
      <c r="R611" t="str">
        <f>IF(AND(O611&lt;&gt;"",NOT(ISERROR(O611))),O611,IF(AND(P611&lt;&gt;"",ISNUMBER(P611),P611&gt;0,NOT(ISNA(P611))),VLOOKUP(P611,'ESO zones'!$A$5:$D$10003,4,FALSE),IF(AND(K611&lt;&gt;"",K611&gt;0,NOT(ISERROR(K611))),VLOOKUP(K611,'ESO wayshrines'!$K$3:$N$9972,4,FALSE),"")))</f>
        <v>Gorne</v>
      </c>
      <c r="T611" s="16" t="str">
        <f>IF(AND(S611&lt;&gt;"",NOT(ISERROR(S611))),S611,VLOOKUP(A611,'ESO Set&amp;DLCs'!$A$3:$D$99998,4,FALSE))</f>
        <v>DLC_NECROM</v>
      </c>
      <c r="U611" s="3" t="str">
        <f>IF(T611&lt;&gt;"",VLOOKUP(T611,ConstDLCIds!$B$4:$C$1000,2,FALSE),"")</f>
        <v>Necrom</v>
      </c>
      <c r="V611" s="4"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zones'!$A$5:$D$10003,4,FALSE),"")</f>
        <v>Vvardenfell</v>
      </c>
      <c r="AB611" s="4" t="s">
        <v>215</v>
      </c>
      <c r="AE611" s="3">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zones'!$A$5:$D$10003,4,FALSE),"")</f>
        <v>Forgotten Wastes</v>
      </c>
      <c r="AH611" s="4" t="s">
        <v>221</v>
      </c>
      <c r="AI611" s="3" t="s">
        <v>1887</v>
      </c>
      <c r="AJ611" s="3" t="s">
        <v>1888</v>
      </c>
      <c r="AK611" s="3">
        <f>IF(AND(G612&lt;&gt;"LIBSETS_SETTYPE_BATTLEGROUND",G612&lt;&gt;"LIBSETS_SETTYPE_SPECIAL"),IF(AL611&lt;&gt;"",VLOOKUP(AL611,'ESO zones'!$D$5:$H$4957,5,FALSE),""),"")</f>
        <v>1301</v>
      </c>
      <c r="AL611" t="s">
        <v>1658</v>
      </c>
      <c r="AM611" s="4" t="s">
        <v>278</v>
      </c>
      <c r="AN611" s="3" t="s">
        <v>1889</v>
      </c>
      <c r="AO611" s="3" t="s">
        <v>1890</v>
      </c>
      <c r="AP611" s="3">
        <f>IF(AND(G612&lt;&gt;"LIBSETS_SETTYPE_BATTLEGROUND",G612&lt;&gt;"LIBSETS_SETTYPE_SPECIAL"),IF(AQ611&lt;&gt;"",VLOOKUP(AQ611,'ESO zones'!$D$5:$H$4957,5,FALSE),""),"")</f>
        <v>1361</v>
      </c>
      <c r="AQ611" t="s">
        <v>1796</v>
      </c>
      <c r="AR611" s="4" t="s">
        <v>278</v>
      </c>
      <c r="AS611" s="3" t="s">
        <v>1891</v>
      </c>
      <c r="AT611" s="3" t="s">
        <v>1892</v>
      </c>
      <c r="AU611" s="3" t="str">
        <f>IF(AND(G611&lt;&gt;"LIBSETS_SETTYPE_BATTLEGROUND",G611&lt;&gt;"LIBSETS_SETTYPE_SPECIAL"),IF(AV611&lt;&gt;"",VLOOKUP(AV611,'ESO zones'!$D$5:$H$4957,5,FALSE),""),"")</f>
        <v/>
      </c>
      <c r="BA611" s="53" t="s">
        <v>1893</v>
      </c>
      <c r="BB611" s="53" t="s">
        <v>1893</v>
      </c>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1">
        <v>693</v>
      </c>
      <c r="B612" t="s">
        <v>1894</v>
      </c>
      <c r="C612" t="s">
        <v>1894</v>
      </c>
      <c r="D612" s="3">
        <f t="shared" si="54"/>
        <v>693</v>
      </c>
      <c r="G612" s="9" t="s">
        <v>180</v>
      </c>
      <c r="I612" t="s">
        <v>401</v>
      </c>
      <c r="J612" t="s">
        <v>401</v>
      </c>
      <c r="K612">
        <v>546</v>
      </c>
      <c r="L612">
        <v>546</v>
      </c>
      <c r="M612">
        <v>546</v>
      </c>
      <c r="P612" s="5">
        <v>1413</v>
      </c>
      <c r="Q612" s="3">
        <f>IF(AND(P612&lt;&gt;"",ISNUMBER(P612),NOT(ISNA(P612))),P612,IF(R612&lt;&gt;"",VLOOKUP(R612,'ESO zones'!$D$5:$H$10005,5,FALSE),""))</f>
        <v>1413</v>
      </c>
      <c r="R612" t="str">
        <f>IF(AND(O612&lt;&gt;"",NOT(ISERROR(O612))),O612,IF(AND(P612&lt;&gt;"",ISNUMBER(P612),P612&gt;0,NOT(ISNA(P612))),VLOOKUP(P612,'ESO zones'!$A$5:$D$10003,4,FALSE),IF(AND(K612&lt;&gt;"",K612&gt;0,NOT(ISERROR(K612))),VLOOKUP(K612,'ESO wayshrines'!$K$3:$N$9972,4,FALSE),"")))</f>
        <v>Apocrypha</v>
      </c>
      <c r="T612" s="16" t="str">
        <f>IF(AND(S612&lt;&gt;"",NOT(ISERROR(S612))),S612,VLOOKUP(A612,'ESO Set&amp;DLCs'!$A$3:$D$99998,4,FALSE))</f>
        <v>DLC_NECROM</v>
      </c>
      <c r="U612" s="3" t="str">
        <f>IF(T612&lt;&gt;"",VLOOKUP(T612,ConstDLCIds!$B$4:$C$1000,2,FALSE),"")</f>
        <v>Necrom</v>
      </c>
      <c r="V612" s="4" t="s">
        <v>304</v>
      </c>
      <c r="W612" s="3" t="s">
        <v>1895</v>
      </c>
      <c r="X612" s="3" t="s">
        <v>1896</v>
      </c>
      <c r="Y612" s="5"/>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zones'!$A$5:$D$10003,4,FALSE),"")</f>
        <v>Apocrypha</v>
      </c>
      <c r="AB612" s="4"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zones'!$A$5:$D$10003,4,FALSE),"")</f>
        <v>Apocrypha</v>
      </c>
      <c r="AH612" s="4" t="s">
        <v>304</v>
      </c>
      <c r="AI612" s="3" t="s">
        <v>1895</v>
      </c>
      <c r="AJ612" s="3" t="s">
        <v>1896</v>
      </c>
      <c r="AK612" s="3">
        <f>IF(AND(G612&lt;&gt;"LIBSETS_SETTYPE_BATTLEGROUND",G612&lt;&gt;"LIBSETS_SETTYPE_SPECIAL"),IF(AL612&lt;&gt;"",VLOOKUP(AL612,'ESO zones'!$D$5:$H$4957,5,FALSE),""),"")</f>
        <v>1413</v>
      </c>
      <c r="AL612" t="s">
        <v>1897</v>
      </c>
      <c r="AM612" s="4" t="s">
        <v>304</v>
      </c>
      <c r="AN612" s="3" t="s">
        <v>1895</v>
      </c>
      <c r="AO612" s="3" t="s">
        <v>1896</v>
      </c>
      <c r="AP612" s="3">
        <f>IF(AND(G612&lt;&gt;"LIBSETS_SETTYPE_BATTLEGROUND",G612&lt;&gt;"LIBSETS_SETTYPE_SPECIAL"),IF(AQ612&lt;&gt;"",VLOOKUP(AQ612,'ESO zones'!$D$5:$H$4957,5,FALSE),""),"")</f>
        <v>1413</v>
      </c>
      <c r="AQ612" t="s">
        <v>1897</v>
      </c>
      <c r="AR612" s="4" t="s">
        <v>304</v>
      </c>
      <c r="AS612" s="3" t="s">
        <v>1895</v>
      </c>
      <c r="AT612" s="3" t="s">
        <v>1896</v>
      </c>
      <c r="AU612" s="3" t="str">
        <f>IF(AND(G612&lt;&gt;"LIBSETS_SETTYPE_BATTLEGROUND",G612&lt;&gt;"LIBSETS_SETTYPE_SPECIAL"),IF(AV612&lt;&gt;"",VLOOKUP(AV612,'ESO zones'!$D$5:$H$4957,5,FALSE),""),"")</f>
        <v/>
      </c>
      <c r="AZ612" s="53" t="s">
        <v>403</v>
      </c>
      <c r="BA612" s="53" t="s">
        <v>1898</v>
      </c>
      <c r="BB612" s="53" t="s">
        <v>1898</v>
      </c>
      <c r="BC612" s="29"/>
      <c r="BD612" s="29"/>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1">
        <v>694</v>
      </c>
      <c r="B613" t="s">
        <v>1899</v>
      </c>
      <c r="C613" t="s">
        <v>1899</v>
      </c>
      <c r="D613" s="3">
        <f t="shared" si="54"/>
        <v>694</v>
      </c>
      <c r="G613" s="59" t="s">
        <v>180</v>
      </c>
      <c r="I613" t="s">
        <v>401</v>
      </c>
      <c r="J613" t="s">
        <v>401</v>
      </c>
      <c r="K613">
        <v>538</v>
      </c>
      <c r="L613">
        <v>543</v>
      </c>
      <c r="M613">
        <v>546</v>
      </c>
      <c r="Q613" s="3">
        <f>IF(AND(P613&lt;&gt;"",ISNUMBER(P613),NOT(ISNA(P613))),P613,IF(R613&lt;&gt;"",VLOOKUP(R613,'ESO zones'!$D$5:$H$10005,5,FALSE),""))</f>
        <v>1414</v>
      </c>
      <c r="R613" t="str">
        <f>IF(AND(O613&lt;&gt;"",NOT(ISERROR(O613))),O613,IF(AND(P613&lt;&gt;"",ISNUMBER(P613),P613&gt;0,NOT(ISNA(P613))),VLOOKUP(P613,'ESO zones'!$A$5:$D$10003,4,FALSE),IF(AND(K613&lt;&gt;"",K613&gt;0,NOT(ISERROR(K613))),VLOOKUP(K613,'ESO wayshrines'!$K$3:$N$9972,4,FALSE),"")))</f>
        <v>Telvanni Peninsula</v>
      </c>
      <c r="T613" s="16" t="str">
        <f>IF(AND(S613&lt;&gt;"",NOT(ISERROR(S613))),S613,VLOOKUP(A613,'ESO Set&amp;DLCs'!$A$3:$D$99998,4,FALSE))</f>
        <v>DLC_NECROM</v>
      </c>
      <c r="U613" s="3" t="str">
        <f>IF(T613&lt;&gt;"",VLOOKUP(T613,ConstDLCIds!$B$4:$C$1000,2,FALSE),"")</f>
        <v>Necrom</v>
      </c>
      <c r="V613" s="4" t="s">
        <v>215</v>
      </c>
      <c r="W613" s="3" t="s">
        <v>1900</v>
      </c>
      <c r="X613" s="3" t="s">
        <v>1900</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zones'!$A$5:$D$10003,4,FALSE),"")</f>
        <v>Apocrypha</v>
      </c>
      <c r="AB613" s="4" t="s">
        <v>218</v>
      </c>
      <c r="AE613" s="3">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zones'!$A$5:$D$10003,4,FALSE),"")</f>
        <v>The Underweave</v>
      </c>
      <c r="AH613" s="4" t="s">
        <v>221</v>
      </c>
      <c r="AI613" s="3" t="s">
        <v>1901</v>
      </c>
      <c r="AJ613" s="3" t="s">
        <v>1902</v>
      </c>
      <c r="AK613" s="3">
        <f>IF(AND(G614&lt;&gt;"LIBSETS_SETTYPE_BATTLEGROUND",G614&lt;&gt;"LIBSETS_SETTYPE_SPECIAL"),IF(AL613&lt;&gt;"",VLOOKUP(AL613,'ESO zones'!$D$5:$H$4957,5,FALSE),""),"")</f>
        <v>849</v>
      </c>
      <c r="AL613" t="s">
        <v>1037</v>
      </c>
      <c r="AM613" s="4" t="s">
        <v>263</v>
      </c>
      <c r="AN613" s="3" t="s">
        <v>1903</v>
      </c>
      <c r="AO613" s="3" t="s">
        <v>1904</v>
      </c>
      <c r="AP613" s="3">
        <f>IF(AND(G614&lt;&gt;"LIBSETS_SETTYPE_BATTLEGROUND",G614&lt;&gt;"LIBSETS_SETTYPE_SPECIAL"),IF(AQ613&lt;&gt;"",VLOOKUP(AQ613,'ESO zones'!$D$5:$H$4957,5,FALSE),""),"")</f>
        <v>1390</v>
      </c>
      <c r="AQ613" t="s">
        <v>1864</v>
      </c>
      <c r="AR613" s="4" t="s">
        <v>260</v>
      </c>
      <c r="AS613" s="3" t="s">
        <v>1905</v>
      </c>
      <c r="AT613" s="3" t="s">
        <v>1906</v>
      </c>
      <c r="AU613" s="3" t="str">
        <f>IF(AND(G613&lt;&gt;"LIBSETS_SETTYPE_BATTLEGROUND",G613&lt;&gt;"LIBSETS_SETTYPE_SPECIAL"),IF(AV613&lt;&gt;"",VLOOKUP(AV613,'ESO zones'!$D$5:$H$4957,5,FALSE),""),"")</f>
        <v/>
      </c>
      <c r="BA613" t="s">
        <v>1907</v>
      </c>
      <c r="BB613" s="53" t="s">
        <v>1907</v>
      </c>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1">
        <v>695</v>
      </c>
      <c r="B614" t="s">
        <v>1908</v>
      </c>
      <c r="C614" t="s">
        <v>1908</v>
      </c>
      <c r="D614" s="3">
        <f t="shared" si="54"/>
        <v>695</v>
      </c>
      <c r="G614" s="9" t="s">
        <v>163</v>
      </c>
      <c r="I614" t="s">
        <v>401</v>
      </c>
      <c r="J614" t="s">
        <v>401</v>
      </c>
      <c r="K614">
        <v>542</v>
      </c>
      <c r="L614">
        <v>542</v>
      </c>
      <c r="M614">
        <v>542</v>
      </c>
      <c r="N614">
        <v>5</v>
      </c>
      <c r="Q614" s="3">
        <f>IF(AND(P614&lt;&gt;"",ISNUMBER(P614),NOT(ISNA(P614))),P614,IF(R614&lt;&gt;"",VLOOKUP(R614,'ESO zones'!$D$5:$H$10005,5,FALSE),""))</f>
        <v>1413</v>
      </c>
      <c r="R614" t="str">
        <f>IF(AND(O614&lt;&gt;"",NOT(ISERROR(O614))),O614,IF(AND(P614&lt;&gt;"",ISNUMBER(P614),P614&gt;0,NOT(ISNA(P614))),VLOOKUP(P614,'ESO zones'!$A$5:$D$10003,4,FALSE),IF(AND(K614&lt;&gt;"",K614&gt;0,NOT(ISERROR(K614))),VLOOKUP(K614,'ESO wayshrines'!$K$3:$N$9972,4,FALSE),"")))</f>
        <v>Apocrypha</v>
      </c>
      <c r="T614" s="16" t="str">
        <f>IF(AND(S614&lt;&gt;"",NOT(ISERROR(S614))),S614,VLOOKUP(A614,'ESO Set&amp;DLCs'!$A$3:$D$99998,4,FALSE))</f>
        <v>DLC_NECROM</v>
      </c>
      <c r="U614" s="3" t="str">
        <f>IF(T614&lt;&gt;"",VLOOKUP(T614,ConstDLCIds!$B$4:$C$1000,2,FALSE),"")</f>
        <v>Necrom</v>
      </c>
      <c r="V614" s="57"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zones'!$A$5:$D$10003,4,FALSE),"")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zones'!$A$5:$D$10003,4,FALSE),"")</f>
        <v>Apocrypha</v>
      </c>
      <c r="AK614" s="3" t="str">
        <f>IF(AND(G614&lt;&gt;"LIBSETS_SETTYPE_BATTLEGROUND",G614&lt;&gt;"LIBSETS_SETTYPE_SPECIAL"),IF(AL614&lt;&gt;"",VLOOKUP(AL614,'ESO zones'!$D$5:$H$4957,5,FALSE),""),"")</f>
        <v/>
      </c>
      <c r="AP614" s="3" t="str">
        <f>IF(AND(G614&lt;&gt;"LIBSETS_SETTYPE_BATTLEGROUND",G614&lt;&gt;"LIBSETS_SETTYPE_SPECIAL"),IF(AQ614&lt;&gt;"",VLOOKUP(AQ614,'ESO zones'!$D$5:$H$4957,5,FALSE),""),"")</f>
        <v/>
      </c>
      <c r="AU614" s="3" t="str">
        <f>IF(AND(G614&lt;&gt;"LIBSETS_SETTYPE_BATTLEGROUND",G614&lt;&gt;"LIBSETS_SETTYPE_SPECIAL"),IF(AV614&lt;&gt;"",VLOOKUP(AV614,'ESO zones'!$D$5:$H$4957,5,FALSE),""),"")</f>
        <v/>
      </c>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1">
        <v>696</v>
      </c>
      <c r="B615" t="s">
        <v>1909</v>
      </c>
      <c r="C615" t="s">
        <v>1909</v>
      </c>
      <c r="D615" s="3">
        <f t="shared" si="54"/>
        <v>696</v>
      </c>
      <c r="G615" s="9" t="s">
        <v>163</v>
      </c>
      <c r="I615" t="s">
        <v>401</v>
      </c>
      <c r="J615" t="s">
        <v>401</v>
      </c>
      <c r="K615">
        <v>535</v>
      </c>
      <c r="L615">
        <v>535</v>
      </c>
      <c r="M615">
        <v>535</v>
      </c>
      <c r="N615">
        <v>3</v>
      </c>
      <c r="Q615" s="3">
        <f>IF(AND(P615&lt;&gt;"",ISNUMBER(P615),NOT(ISNA(P615))),P615,IF(R615&lt;&gt;"",VLOOKUP(R615,'ESO zones'!$D$5:$H$10005,5,FALSE),""))</f>
        <v>1414</v>
      </c>
      <c r="R615" t="str">
        <f>IF(AND(O615&lt;&gt;"",NOT(ISERROR(O615))),O615,IF(AND(P615&lt;&gt;"",ISNUMBER(P615),P615&gt;0,NOT(ISNA(P615))),VLOOKUP(P615,'ESO zones'!$A$5:$D$10003,4,FALSE),IF(AND(K615&lt;&gt;"",K615&gt;0,NOT(ISERROR(K615))),VLOOKUP(K615,'ESO wayshrines'!$K$3:$N$9972,4,FALSE),"")))</f>
        <v>Telvanni Peninsula</v>
      </c>
      <c r="T615" s="16" t="str">
        <f>IF(AND(S615&lt;&gt;"",NOT(ISERROR(S615))),S615,VLOOKUP(A615,'ESO Set&amp;DLCs'!$A$3:$D$99998,4,FALSE))</f>
        <v>DLC_NECROM</v>
      </c>
      <c r="U615" s="3" t="str">
        <f>IF(T615&lt;&gt;"",VLOOKUP(T615,ConstDLCIds!$B$4:$C$1000,2,FALSE),"")</f>
        <v>Necrom</v>
      </c>
      <c r="V615" s="57"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zones'!$A$5:$D$10003,4,FALSE),"")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zones'!$A$5:$D$10003,4,FALSE),"")</f>
        <v>Telvanni Peninsula</v>
      </c>
      <c r="AK615" s="3" t="str">
        <f>IF(AND(G615&lt;&gt;"LIBSETS_SETTYPE_BATTLEGROUND",G615&lt;&gt;"LIBSETS_SETTYPE_SPECIAL"),IF(AL615&lt;&gt;"",VLOOKUP(AL615,'ESO zones'!$D$5:$H$4957,5,FALSE),""),"")</f>
        <v/>
      </c>
      <c r="AP615" s="3" t="str">
        <f>IF(AND(G615&lt;&gt;"LIBSETS_SETTYPE_BATTLEGROUND",G615&lt;&gt;"LIBSETS_SETTYPE_SPECIAL"),IF(AQ615&lt;&gt;"",VLOOKUP(AQ615,'ESO zones'!$D$5:$H$4957,5,FALSE),""),"")</f>
        <v/>
      </c>
      <c r="AU615" s="3" t="str">
        <f>IF(AND(G615&lt;&gt;"LIBSETS_SETTYPE_BATTLEGROUND",G615&lt;&gt;"LIBSETS_SETTYPE_SPECIAL"),IF(AV615&lt;&gt;"",VLOOKUP(AV615,'ESO zones'!$D$5:$H$4957,5,FALSE),""),"")</f>
        <v/>
      </c>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1">
        <v>697</v>
      </c>
      <c r="B616" t="s">
        <v>1910</v>
      </c>
      <c r="C616" t="s">
        <v>1910</v>
      </c>
      <c r="D616" s="3">
        <f t="shared" si="54"/>
        <v>697</v>
      </c>
      <c r="G616" s="9" t="s">
        <v>163</v>
      </c>
      <c r="I616" t="s">
        <v>401</v>
      </c>
      <c r="J616" t="s">
        <v>401</v>
      </c>
      <c r="K616">
        <v>546</v>
      </c>
      <c r="L616">
        <v>546</v>
      </c>
      <c r="M616">
        <v>546</v>
      </c>
      <c r="N616">
        <v>7</v>
      </c>
      <c r="Q616" s="3">
        <f>IF(AND(P616&lt;&gt;"",ISNUMBER(P616),NOT(ISNA(P616))),P616,IF(R616&lt;&gt;"",VLOOKUP(R616,'ESO zones'!$D$5:$H$10005,5,FALSE),""))</f>
        <v>1413</v>
      </c>
      <c r="R616" t="str">
        <f>IF(AND(O616&lt;&gt;"",NOT(ISERROR(O616))),O616,IF(AND(P616&lt;&gt;"",ISNUMBER(P616),P616&gt;0,NOT(ISNA(P616))),VLOOKUP(P616,'ESO zones'!$A$5:$D$10003,4,FALSE),IF(AND(K616&lt;&gt;"",K616&gt;0,NOT(ISERROR(K616))),VLOOKUP(K616,'ESO wayshrines'!$K$3:$N$9972,4,FALSE),"")))</f>
        <v>Apocrypha</v>
      </c>
      <c r="T616" s="16" t="str">
        <f>IF(AND(S616&lt;&gt;"",NOT(ISERROR(S616))),S616,VLOOKUP(A616,'ESO Set&amp;DLCs'!$A$3:$D$99998,4,FALSE))</f>
        <v>DLC_NECROM</v>
      </c>
      <c r="U616" s="3" t="str">
        <f>IF(T616&lt;&gt;"",VLOOKUP(T616,ConstDLCIds!$B$4:$C$1000,2,FALSE),"")</f>
        <v>Necrom</v>
      </c>
      <c r="V616" s="57"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zones'!$A$5:$D$10003,4,FALSE),"")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zones'!$A$5:$D$10003,4,FALSE),"")</f>
        <v>Apocrypha</v>
      </c>
      <c r="AK616" s="3" t="str">
        <f>IF(AND(G616&lt;&gt;"LIBSETS_SETTYPE_BATTLEGROUND",G616&lt;&gt;"LIBSETS_SETTYPE_SPECIAL"),IF(AL616&lt;&gt;"",VLOOKUP(AL616,'ESO zones'!$D$5:$H$4957,5,FALSE),""),"")</f>
        <v/>
      </c>
      <c r="AP616" s="3" t="str">
        <f>IF(AND(G616&lt;&gt;"LIBSETS_SETTYPE_BATTLEGROUND",G616&lt;&gt;"LIBSETS_SETTYPE_SPECIAL"),IF(AQ616&lt;&gt;"",VLOOKUP(AQ616,'ESO zones'!$D$5:$H$4957,5,FALSE),""),"")</f>
        <v/>
      </c>
      <c r="AU616" s="3" t="str">
        <f>IF(AND(G616&lt;&gt;"LIBSETS_SETTYPE_BATTLEGROUND",G616&lt;&gt;"LIBSETS_SETTYPE_SPECIAL"),IF(AV616&lt;&gt;"",VLOOKUP(AV616,'ESO zones'!$D$5:$H$4957,5,FALSE),""),"")</f>
        <v/>
      </c>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1">
        <v>698</v>
      </c>
      <c r="B617" t="s">
        <v>1911</v>
      </c>
      <c r="C617" t="s">
        <v>1911</v>
      </c>
      <c r="D617" s="3">
        <f t="shared" si="54"/>
        <v>698</v>
      </c>
      <c r="G617" s="9" t="s">
        <v>174</v>
      </c>
      <c r="I617" t="s">
        <v>401</v>
      </c>
      <c r="J617" t="s">
        <v>401</v>
      </c>
      <c r="K617">
        <v>541</v>
      </c>
      <c r="L617">
        <v>540</v>
      </c>
      <c r="M617">
        <v>535</v>
      </c>
      <c r="O617" s="5" t="s">
        <v>1897</v>
      </c>
      <c r="Q617" s="3">
        <f>IF(AND(P617&lt;&gt;"",ISNUMBER(P617),NOT(ISNA(P617))),P617,IF(R617&lt;&gt;"",VLOOKUP(R617,'ESO zones'!$D$5:$H$10005,5,FALSE),""))</f>
        <v>1413</v>
      </c>
      <c r="R617" t="str">
        <f>IF(AND(O617&lt;&gt;"",NOT(ISERROR(O617))),O617,IF(AND(P617&lt;&gt;"",ISNUMBER(P617),P617&gt;0,NOT(ISNA(P617))),VLOOKUP(P617,'ESO zones'!$A$5:$D$10003,4,FALSE),IF(AND(K617&lt;&gt;"",K617&gt;0,NOT(ISERROR(K617))),VLOOKUP(K617,'ESO wayshrines'!$K$3:$N$9972,4,FALSE),"")))</f>
        <v>Apocrypha</v>
      </c>
      <c r="T617" s="16" t="str">
        <f>IF(AND(S617&lt;&gt;"",NOT(ISERROR(S617))),S617,VLOOKUP(A617,'ESO Set&amp;DLCs'!$A$3:$D$99998,4,FALSE))</f>
        <v>DLC_NECROM</v>
      </c>
      <c r="U617" s="3" t="str">
        <f>IF(T617&lt;&gt;"",VLOOKUP(T617,ConstDLCIds!$B$4:$C$1000,2,FALSE),"")</f>
        <v>Necrom</v>
      </c>
      <c r="V617" s="4"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zones'!$A$5:$D$10003,4,FALSE),"")</f>
        <v>Apocrypha</v>
      </c>
      <c r="AB617" s="57" t="s">
        <v>218</v>
      </c>
      <c r="AE617" s="3">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zones'!$A$5:$D$10003,4,FALSE),"")</f>
        <v>The Underweave</v>
      </c>
      <c r="AH617" s="4" t="s">
        <v>221</v>
      </c>
      <c r="AK617" s="3">
        <f>IF(AND(G617&lt;&gt;"LIBSETS_SETTYPE_BATTLEGROUND",G617&lt;&gt;"LIBSETS_SETTYPE_SPECIAL"),IF(AL617&lt;&gt;"",VLOOKUP(AL617,'ESO zones'!$D$5:$H$4957,5,FALSE),""),"")</f>
        <v>1413</v>
      </c>
      <c r="AL617" t="s">
        <v>1897</v>
      </c>
      <c r="AM617" s="4" t="s">
        <v>224</v>
      </c>
      <c r="AP617" s="3">
        <f>IF(AND(G617&lt;&gt;"LIBSETS_SETTYPE_BATTLEGROUND",G617&lt;&gt;"LIBSETS_SETTYPE_SPECIAL"),IF(AQ617&lt;&gt;"",VLOOKUP(AQ617,'ESO zones'!$D$5:$H$4957,5,FALSE),""),"")</f>
        <v>1413</v>
      </c>
      <c r="AQ617" t="s">
        <v>1897</v>
      </c>
      <c r="AR617" s="4" t="s">
        <v>269</v>
      </c>
      <c r="AU617" s="3">
        <f>IF(AND(G617&lt;&gt;"LIBSETS_SETTYPE_BATTLEGROUND",G617&lt;&gt;"LIBSETS_SETTYPE_SPECIAL"),IF(AV617&lt;&gt;"",VLOOKUP(AV617,'ESO zones'!$D$5:$H$4957,5,FALSE),""),"")</f>
        <v>1413</v>
      </c>
      <c r="AV617" t="s">
        <v>1897</v>
      </c>
      <c r="AW617" s="4" t="s">
        <v>218</v>
      </c>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1">
        <v>699</v>
      </c>
      <c r="B618" t="s">
        <v>1912</v>
      </c>
      <c r="C618" t="s">
        <v>1912</v>
      </c>
      <c r="D618" s="3">
        <f t="shared" si="54"/>
        <v>699</v>
      </c>
      <c r="G618" s="9" t="s">
        <v>174</v>
      </c>
      <c r="I618" t="s">
        <v>401</v>
      </c>
      <c r="J618" t="s">
        <v>401</v>
      </c>
      <c r="K618">
        <v>541</v>
      </c>
      <c r="L618">
        <v>540</v>
      </c>
      <c r="M618">
        <v>535</v>
      </c>
      <c r="O618" s="5" t="s">
        <v>1897</v>
      </c>
      <c r="Q618" s="3">
        <f>IF(AND(P618&lt;&gt;"",ISNUMBER(P618),NOT(ISNA(P618))),P618,IF(R618&lt;&gt;"",VLOOKUP(R618,'ESO zones'!$D$5:$H$10005,5,FALSE),""))</f>
        <v>1413</v>
      </c>
      <c r="R618" t="str">
        <f>IF(AND(O618&lt;&gt;"",NOT(ISERROR(O618))),O618,IF(AND(P618&lt;&gt;"",ISNUMBER(P618),P618&gt;0,NOT(ISNA(P618))),VLOOKUP(P618,'ESO zones'!$A$5:$D$10003,4,FALSE),IF(AND(K618&lt;&gt;"",K618&gt;0,NOT(ISERROR(K618))),VLOOKUP(K618,'ESO wayshrines'!$K$3:$N$9972,4,FALSE),"")))</f>
        <v>Apocrypha</v>
      </c>
      <c r="T618" s="16" t="str">
        <f>IF(AND(S618&lt;&gt;"",NOT(ISERROR(S618))),S618,VLOOKUP(A618,'ESO Set&amp;DLCs'!$A$3:$D$99998,4,FALSE))</f>
        <v>DLC_NECROM</v>
      </c>
      <c r="U618" s="3" t="str">
        <f>IF(T618&lt;&gt;"",VLOOKUP(T618,ConstDLCIds!$B$4:$C$1000,2,FALSE),"")</f>
        <v>Necrom</v>
      </c>
      <c r="V618" s="4"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zones'!$A$5:$D$10003,4,FALSE),"")</f>
        <v>Apocrypha</v>
      </c>
      <c r="AB618" s="57" t="s">
        <v>218</v>
      </c>
      <c r="AE618" s="3">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zones'!$A$5:$D$10003,4,FALSE),"")</f>
        <v>The Underweave</v>
      </c>
      <c r="AH618" s="4" t="s">
        <v>221</v>
      </c>
      <c r="AK618" s="3">
        <f>IF(AND(G618&lt;&gt;"LIBSETS_SETTYPE_BATTLEGROUND",G618&lt;&gt;"LIBSETS_SETTYPE_SPECIAL"),IF(AL618&lt;&gt;"",VLOOKUP(AL618,'ESO zones'!$D$5:$H$4957,5,FALSE),""),"")</f>
        <v>1413</v>
      </c>
      <c r="AL618" t="s">
        <v>1897</v>
      </c>
      <c r="AM618" s="4" t="s">
        <v>224</v>
      </c>
      <c r="AP618" s="3">
        <f>IF(AND(G618&lt;&gt;"LIBSETS_SETTYPE_BATTLEGROUND",G618&lt;&gt;"LIBSETS_SETTYPE_SPECIAL"),IF(AQ618&lt;&gt;"",VLOOKUP(AQ618,'ESO zones'!$D$5:$H$4957,5,FALSE),""),"")</f>
        <v>1413</v>
      </c>
      <c r="AQ618" t="s">
        <v>1897</v>
      </c>
      <c r="AR618" s="4" t="s">
        <v>269</v>
      </c>
      <c r="AU618" s="3">
        <f>IF(AND(G618&lt;&gt;"LIBSETS_SETTYPE_BATTLEGROUND",G618&lt;&gt;"LIBSETS_SETTYPE_SPECIAL"),IF(AV618&lt;&gt;"",VLOOKUP(AV618,'ESO zones'!$D$5:$H$4957,5,FALSE),""),"")</f>
        <v>1413</v>
      </c>
      <c r="AV618" t="s">
        <v>1897</v>
      </c>
      <c r="AW618" s="4" t="s">
        <v>218</v>
      </c>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1">
        <v>700</v>
      </c>
      <c r="B619" t="s">
        <v>1913</v>
      </c>
      <c r="C619" t="s">
        <v>1913</v>
      </c>
      <c r="D619" s="3">
        <f t="shared" si="54"/>
        <v>700</v>
      </c>
      <c r="G619" s="9" t="s">
        <v>174</v>
      </c>
      <c r="I619" t="s">
        <v>401</v>
      </c>
      <c r="J619" t="s">
        <v>401</v>
      </c>
      <c r="K619">
        <v>541</v>
      </c>
      <c r="L619">
        <v>540</v>
      </c>
      <c r="M619">
        <v>535</v>
      </c>
      <c r="O619" s="5" t="s">
        <v>1897</v>
      </c>
      <c r="Q619" s="3">
        <f>IF(AND(P619&lt;&gt;"",ISNUMBER(P619),NOT(ISNA(P619))),P619,IF(R619&lt;&gt;"",VLOOKUP(R619,'ESO zones'!$D$5:$H$10005,5,FALSE),""))</f>
        <v>1413</v>
      </c>
      <c r="R619" t="str">
        <f>IF(AND(O619&lt;&gt;"",NOT(ISERROR(O619))),O619,IF(AND(P619&lt;&gt;"",ISNUMBER(P619),P619&gt;0,NOT(ISNA(P619))),VLOOKUP(P619,'ESO zones'!$A$5:$D$10003,4,FALSE),IF(AND(K619&lt;&gt;"",K619&gt;0,NOT(ISERROR(K619))),VLOOKUP(K619,'ESO wayshrines'!$K$3:$N$9972,4,FALSE),"")))</f>
        <v>Apocrypha</v>
      </c>
      <c r="T619" s="16" t="str">
        <f>IF(AND(S619&lt;&gt;"",NOT(ISERROR(S619))),S619,VLOOKUP(A619,'ESO Set&amp;DLCs'!$A$3:$D$99998,4,FALSE))</f>
        <v>DLC_NECROM</v>
      </c>
      <c r="U619" s="3" t="str">
        <f>IF(T619&lt;&gt;"",VLOOKUP(T619,ConstDLCIds!$B$4:$C$1000,2,FALSE),"")</f>
        <v>Necrom</v>
      </c>
      <c r="V619" s="4"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zones'!$A$5:$D$10003,4,FALSE),"")</f>
        <v>Apocrypha</v>
      </c>
      <c r="AB619" s="57" t="s">
        <v>218</v>
      </c>
      <c r="AE619" s="68"/>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zones'!$A$5:$D$10003,4,FALSE),"")</f>
        <v>Telvanni Peninsula</v>
      </c>
      <c r="AH619" s="4" t="s">
        <v>221</v>
      </c>
      <c r="AK619" s="3">
        <f>IF(AND(G619&lt;&gt;"LIBSETS_SETTYPE_BATTLEGROUND",G619&lt;&gt;"LIBSETS_SETTYPE_SPECIAL"),IF(AL619&lt;&gt;"",VLOOKUP(AL619,'ESO zones'!$D$5:$H$4957,5,FALSE),""),"")</f>
        <v>1414</v>
      </c>
      <c r="AL619" t="s">
        <v>1881</v>
      </c>
      <c r="AM619" s="4" t="s">
        <v>224</v>
      </c>
      <c r="AP619" s="3">
        <f>IF(AND(G619&lt;&gt;"LIBSETS_SETTYPE_BATTLEGROUND",G619&lt;&gt;"LIBSETS_SETTYPE_SPECIAL"),IF(AQ619&lt;&gt;"",VLOOKUP(AQ619,'ESO zones'!$D$5:$H$4957,5,FALSE),""),"")</f>
        <v>1413</v>
      </c>
      <c r="AQ619" t="s">
        <v>1897</v>
      </c>
      <c r="AR619" s="4" t="s">
        <v>269</v>
      </c>
      <c r="AU619" s="3">
        <f>IF(AND(G619&lt;&gt;"LIBSETS_SETTYPE_BATTLEGROUND",G619&lt;&gt;"LIBSETS_SETTYPE_SPECIAL"),IF(AV619&lt;&gt;"",VLOOKUP(AV619,'ESO zones'!$D$5:$H$4957,5,FALSE),""),"")</f>
        <v>1413</v>
      </c>
      <c r="AV619" t="s">
        <v>1897</v>
      </c>
      <c r="AW619" s="4" t="s">
        <v>218</v>
      </c>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1">
        <v>701</v>
      </c>
      <c r="B620" t="s">
        <v>1914</v>
      </c>
      <c r="C620" t="s">
        <v>1914</v>
      </c>
      <c r="D620" s="3">
        <f t="shared" si="54"/>
        <v>701</v>
      </c>
      <c r="G620" s="9" t="s">
        <v>178</v>
      </c>
      <c r="I620" t="s">
        <v>401</v>
      </c>
      <c r="J620" t="s">
        <v>401</v>
      </c>
      <c r="K620">
        <v>534</v>
      </c>
      <c r="L620">
        <v>534</v>
      </c>
      <c r="M620">
        <v>534</v>
      </c>
      <c r="O620" s="5" t="s">
        <v>1915</v>
      </c>
      <c r="Q620" s="3">
        <f>IF(AND(P620&lt;&gt;"",ISNUMBER(P620),NOT(ISNA(P620))),P620,IF(R620&lt;&gt;"",VLOOKUP(R620,'ESO zones'!$D$5:$H$10005,5,FALSE),""))</f>
        <v>1427</v>
      </c>
      <c r="R620" t="str">
        <f>IF(AND(O620&lt;&gt;"",NOT(ISERROR(O620))),O620,IF(AND(P620&lt;&gt;"",ISNUMBER(P620),P620&gt;0,NOT(ISNA(P620))),VLOOKUP(P620,'ESO zones'!$A$5:$D$10003,4,FALSE),IF(AND(K620&lt;&gt;"",K620&gt;0,NOT(ISERROR(K620))),VLOOKUP(K620,'ESO wayshrines'!$K$3:$N$9972,4,FALSE),"")))</f>
        <v>Sanity's Edge</v>
      </c>
      <c r="T620" s="16" t="str">
        <f>IF(AND(S620&lt;&gt;"",NOT(ISERROR(S620))),S620,VLOOKUP(A620,'ESO Set&amp;DLCs'!$A$3:$D$99998,4,FALSE))</f>
        <v>DLC_NECROM</v>
      </c>
      <c r="U620" s="3" t="str">
        <f>IF(T620&lt;&gt;"",VLOOKUP(T620,ConstDLCIds!$B$4:$C$1000,2,FALSE),"")</f>
        <v>Necrom</v>
      </c>
      <c r="V620" s="4" t="s">
        <v>272</v>
      </c>
      <c r="Y620" s="43">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zones'!$A$5:$D$10003,4,FALSE),"")</f>
        <v>Sanity's Edge</v>
      </c>
      <c r="AB620" s="4" t="s">
        <v>272</v>
      </c>
      <c r="AE620" s="43">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zones'!$A$5:$D$10003,4,FALSE),"")</f>
        <v>Sanity's Edge</v>
      </c>
      <c r="AH620" s="4" t="s">
        <v>272</v>
      </c>
      <c r="AK620" s="3" t="str">
        <f>IF(AND(G620&lt;&gt;"LIBSETS_SETTYPE_BATTLEGROUND",G620&lt;&gt;"LIBSETS_SETTYPE_SPECIAL"),IF(AL620&lt;&gt;"",VLOOKUP(AL620,'ESO zones'!$D$5:$H$4957,5,FALSE),""),"")</f>
        <v/>
      </c>
      <c r="AP620" s="3" t="str">
        <f>IF(AND(G620&lt;&gt;"LIBSETS_SETTYPE_BATTLEGROUND",G620&lt;&gt;"LIBSETS_SETTYPE_SPECIAL"),IF(AQ620&lt;&gt;"",VLOOKUP(AQ620,'ESO zones'!$D$5:$H$4957,5,FALSE),""),"")</f>
        <v/>
      </c>
      <c r="AU620" s="3" t="str">
        <f>IF(AND(G620&lt;&gt;"LIBSETS_SETTYPE_BATTLEGROUND",G620&lt;&gt;"LIBSETS_SETTYPE_SPECIAL"),IF(AV620&lt;&gt;"",VLOOKUP(AV620,'ESO zones'!$D$5:$H$4957,5,FALSE),""),"")</f>
        <v/>
      </c>
      <c r="BD620" s="53">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1">
        <v>702</v>
      </c>
      <c r="B621" t="s">
        <v>1916</v>
      </c>
      <c r="C621" t="s">
        <v>1916</v>
      </c>
      <c r="D621" s="3">
        <f t="shared" si="54"/>
        <v>702</v>
      </c>
      <c r="G621" s="9" t="s">
        <v>178</v>
      </c>
      <c r="I621" t="s">
        <v>401</v>
      </c>
      <c r="J621" t="s">
        <v>401</v>
      </c>
      <c r="K621">
        <v>534</v>
      </c>
      <c r="L621">
        <v>534</v>
      </c>
      <c r="M621">
        <v>534</v>
      </c>
      <c r="O621" s="5" t="s">
        <v>1915</v>
      </c>
      <c r="Q621" s="3">
        <f>IF(AND(P621&lt;&gt;"",ISNUMBER(P621),NOT(ISNA(P621))),P621,IF(R621&lt;&gt;"",VLOOKUP(R621,'ESO zones'!$D$5:$H$10005,5,FALSE),""))</f>
        <v>1427</v>
      </c>
      <c r="R621" t="str">
        <f>IF(AND(O621&lt;&gt;"",NOT(ISERROR(O621))),O621,IF(AND(P621&lt;&gt;"",ISNUMBER(P621),P621&gt;0,NOT(ISNA(P621))),VLOOKUP(P621,'ESO zones'!$A$5:$D$10003,4,FALSE),IF(AND(K621&lt;&gt;"",K621&gt;0,NOT(ISERROR(K621))),VLOOKUP(K621,'ESO wayshrines'!$K$3:$N$9972,4,FALSE),"")))</f>
        <v>Sanity's Edge</v>
      </c>
      <c r="T621" s="16" t="str">
        <f>IF(AND(S621&lt;&gt;"",NOT(ISERROR(S621))),S621,VLOOKUP(A621,'ESO Set&amp;DLCs'!$A$3:$D$99998,4,FALSE))</f>
        <v>DLC_NECROM</v>
      </c>
      <c r="U621" s="3" t="str">
        <f>IF(T621&lt;&gt;"",VLOOKUP(T621,ConstDLCIds!$B$4:$C$1000,2,FALSE),"")</f>
        <v>Necrom</v>
      </c>
      <c r="V621" s="4" t="s">
        <v>272</v>
      </c>
      <c r="Y621" s="43">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zones'!$A$5:$D$10003,4,FALSE),"")</f>
        <v>Sanity's Edge</v>
      </c>
      <c r="AB621" s="4" t="s">
        <v>272</v>
      </c>
      <c r="AE621" s="43">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zones'!$A$5:$D$10003,4,FALSE),"")</f>
        <v>Sanity's Edge</v>
      </c>
      <c r="AH621" s="4" t="s">
        <v>272</v>
      </c>
      <c r="AK621" s="3" t="str">
        <f>IF(AND(G621&lt;&gt;"LIBSETS_SETTYPE_BATTLEGROUND",G621&lt;&gt;"LIBSETS_SETTYPE_SPECIAL"),IF(AL621&lt;&gt;"",VLOOKUP(AL621,'ESO zones'!$D$5:$H$4957,5,FALSE),""),"")</f>
        <v/>
      </c>
      <c r="AP621" s="3" t="str">
        <f>IF(AND(G621&lt;&gt;"LIBSETS_SETTYPE_BATTLEGROUND",G621&lt;&gt;"LIBSETS_SETTYPE_SPECIAL"),IF(AQ621&lt;&gt;"",VLOOKUP(AQ621,'ESO zones'!$D$5:$H$4957,5,FALSE),""),"")</f>
        <v/>
      </c>
      <c r="AU621" s="3" t="str">
        <f>IF(AND(G621&lt;&gt;"LIBSETS_SETTYPE_BATTLEGROUND",G621&lt;&gt;"LIBSETS_SETTYPE_SPECIAL"),IF(AV621&lt;&gt;"",VLOOKUP(AV621,'ESO zones'!$D$5:$H$4957,5,FALSE),""),"")</f>
        <v/>
      </c>
      <c r="BD621" s="53">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1">
        <v>703</v>
      </c>
      <c r="B622" t="s">
        <v>1917</v>
      </c>
      <c r="C622" t="s">
        <v>1917</v>
      </c>
      <c r="D622" s="3">
        <f t="shared" si="54"/>
        <v>703</v>
      </c>
      <c r="G622" s="9" t="s">
        <v>178</v>
      </c>
      <c r="I622" t="s">
        <v>401</v>
      </c>
      <c r="J622" t="s">
        <v>401</v>
      </c>
      <c r="K622">
        <v>534</v>
      </c>
      <c r="L622">
        <v>534</v>
      </c>
      <c r="M622">
        <v>534</v>
      </c>
      <c r="O622" s="5" t="s">
        <v>1915</v>
      </c>
      <c r="Q622" s="3">
        <f>IF(AND(P622&lt;&gt;"",ISNUMBER(P622),NOT(ISNA(P622))),P622,IF(R622&lt;&gt;"",VLOOKUP(R622,'ESO zones'!$D$5:$H$10005,5,FALSE),""))</f>
        <v>1427</v>
      </c>
      <c r="R622" t="str">
        <f>IF(AND(O622&lt;&gt;"",NOT(ISERROR(O622))),O622,IF(AND(P622&lt;&gt;"",ISNUMBER(P622),P622&gt;0,NOT(ISNA(P622))),VLOOKUP(P622,'ESO zones'!$A$5:$D$10003,4,FALSE),IF(AND(K622&lt;&gt;"",K622&gt;0,NOT(ISERROR(K622))),VLOOKUP(K622,'ESO wayshrines'!$K$3:$N$9972,4,FALSE),"")))</f>
        <v>Sanity's Edge</v>
      </c>
      <c r="T622" s="16" t="str">
        <f>IF(AND(S622&lt;&gt;"",NOT(ISERROR(S622))),S622,VLOOKUP(A622,'ESO Set&amp;DLCs'!$A$3:$D$99998,4,FALSE))</f>
        <v>DLC_NECROM</v>
      </c>
      <c r="U622" s="3" t="str">
        <f>IF(T622&lt;&gt;"",VLOOKUP(T622,ConstDLCIds!$B$4:$C$1000,2,FALSE),"")</f>
        <v>Necrom</v>
      </c>
      <c r="V622" s="4" t="s">
        <v>272</v>
      </c>
      <c r="Y622" s="43">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zones'!$A$5:$D$10003,4,FALSE),"")</f>
        <v>Sanity's Edge</v>
      </c>
      <c r="AB622" s="4" t="s">
        <v>272</v>
      </c>
      <c r="AE622" s="43">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zones'!$A$5:$D$10003,4,FALSE),"")</f>
        <v>Sanity's Edge</v>
      </c>
      <c r="AH622" s="4" t="s">
        <v>272</v>
      </c>
      <c r="AK622" s="3" t="str">
        <f>IF(AND(G622&lt;&gt;"LIBSETS_SETTYPE_BATTLEGROUND",G622&lt;&gt;"LIBSETS_SETTYPE_SPECIAL"),IF(AL622&lt;&gt;"",VLOOKUP(AL622,'ESO zones'!$D$5:$H$4957,5,FALSE),""),"")</f>
        <v/>
      </c>
      <c r="AP622" s="3" t="str">
        <f>IF(AND(G622&lt;&gt;"LIBSETS_SETTYPE_BATTLEGROUND",G622&lt;&gt;"LIBSETS_SETTYPE_SPECIAL"),IF(AQ622&lt;&gt;"",VLOOKUP(AQ622,'ESO zones'!$D$5:$H$4957,5,FALSE),""),"")</f>
        <v/>
      </c>
      <c r="AU622" s="3" t="str">
        <f>IF(AND(G622&lt;&gt;"LIBSETS_SETTYPE_BATTLEGROUND",G622&lt;&gt;"LIBSETS_SETTYPE_SPECIAL"),IF(AV622&lt;&gt;"",VLOOKUP(AV622,'ESO zones'!$D$5:$H$4957,5,FALSE),""),"")</f>
        <v/>
      </c>
      <c r="BD622" s="53">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1">
        <v>704</v>
      </c>
      <c r="B623" t="s">
        <v>1918</v>
      </c>
      <c r="C623" t="s">
        <v>1918</v>
      </c>
      <c r="D623" s="3">
        <f t="shared" si="54"/>
        <v>704</v>
      </c>
      <c r="G623" s="9" t="s">
        <v>178</v>
      </c>
      <c r="I623" t="s">
        <v>401</v>
      </c>
      <c r="J623" t="s">
        <v>401</v>
      </c>
      <c r="K623">
        <v>534</v>
      </c>
      <c r="L623">
        <v>534</v>
      </c>
      <c r="M623">
        <v>534</v>
      </c>
      <c r="O623" s="5" t="s">
        <v>1915</v>
      </c>
      <c r="Q623" s="3">
        <f>IF(AND(P623&lt;&gt;"",ISNUMBER(P623),NOT(ISNA(P623))),P623,IF(R623&lt;&gt;"",VLOOKUP(R623,'ESO zones'!$D$5:$H$10005,5,FALSE),""))</f>
        <v>1427</v>
      </c>
      <c r="R623" t="str">
        <f>IF(AND(O623&lt;&gt;"",NOT(ISERROR(O623))),O623,IF(AND(P623&lt;&gt;"",ISNUMBER(P623),P623&gt;0,NOT(ISNA(P623))),VLOOKUP(P623,'ESO zones'!$A$5:$D$10003,4,FALSE),IF(AND(K623&lt;&gt;"",K623&gt;0,NOT(ISERROR(K623))),VLOOKUP(K623,'ESO wayshrines'!$K$3:$N$9972,4,FALSE),"")))</f>
        <v>Sanity's Edge</v>
      </c>
      <c r="T623" s="16" t="str">
        <f>IF(AND(S623&lt;&gt;"",NOT(ISERROR(S623))),S623,VLOOKUP(A623,'ESO Set&amp;DLCs'!$A$3:$D$99998,4,FALSE))</f>
        <v>DLC_NECROM</v>
      </c>
      <c r="U623" s="3" t="str">
        <f>IF(T623&lt;&gt;"",VLOOKUP(T623,ConstDLCIds!$B$4:$C$1000,2,FALSE),"")</f>
        <v>Necrom</v>
      </c>
      <c r="V623" s="4" t="s">
        <v>272</v>
      </c>
      <c r="Y623" s="43">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zones'!$A$5:$D$10003,4,FALSE),"")</f>
        <v>Sanity's Edge</v>
      </c>
      <c r="AB623" s="4" t="s">
        <v>272</v>
      </c>
      <c r="AE623" s="43">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zones'!$A$5:$D$10003,4,FALSE),"")</f>
        <v>Sanity's Edge</v>
      </c>
      <c r="AH623" s="4" t="s">
        <v>272</v>
      </c>
      <c r="AK623" s="3" t="str">
        <f>IF(AND(G623&lt;&gt;"LIBSETS_SETTYPE_BATTLEGROUND",G623&lt;&gt;"LIBSETS_SETTYPE_SPECIAL"),IF(AL623&lt;&gt;"",VLOOKUP(AL623,'ESO zones'!$D$5:$H$4957,5,FALSE),""),"")</f>
        <v/>
      </c>
      <c r="AP623" s="3" t="str">
        <f>IF(AND(G623&lt;&gt;"LIBSETS_SETTYPE_BATTLEGROUND",G623&lt;&gt;"LIBSETS_SETTYPE_SPECIAL"),IF(AQ623&lt;&gt;"",VLOOKUP(AQ623,'ESO zones'!$D$5:$H$4957,5,FALSE),""),"")</f>
        <v/>
      </c>
      <c r="AU623" s="3" t="str">
        <f>IF(AND(G623&lt;&gt;"LIBSETS_SETTYPE_BATTLEGROUND",G623&lt;&gt;"LIBSETS_SETTYPE_SPECIAL"),IF(AV623&lt;&gt;"",VLOOKUP(AV623,'ESO zones'!$D$5:$H$4957,5,FALSE),""),"")</f>
        <v/>
      </c>
      <c r="BD623" s="53">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1">
        <v>705</v>
      </c>
      <c r="B624" t="s">
        <v>1919</v>
      </c>
      <c r="C624" t="s">
        <v>1920</v>
      </c>
      <c r="D624" s="3">
        <f t="shared" si="54"/>
        <v>705</v>
      </c>
      <c r="G624" s="9" t="s">
        <v>178</v>
      </c>
      <c r="I624" t="s">
        <v>1120</v>
      </c>
      <c r="J624" t="s">
        <v>401</v>
      </c>
      <c r="K624">
        <v>534</v>
      </c>
      <c r="L624">
        <v>534</v>
      </c>
      <c r="M624">
        <v>534</v>
      </c>
      <c r="O624" s="5" t="s">
        <v>1915</v>
      </c>
      <c r="Q624" s="3">
        <f>IF(AND(P624&lt;&gt;"",ISNUMBER(P624),NOT(ISNA(P624))),P624,IF(R624&lt;&gt;"",VLOOKUP(R624,'ESO zones'!$D$5:$H$10005,5,FALSE),""))</f>
        <v>1427</v>
      </c>
      <c r="R624" t="str">
        <f>IF(AND(O624&lt;&gt;"",NOT(ISERROR(O624))),O624,IF(AND(P624&lt;&gt;"",ISNUMBER(P624),P624&gt;0,NOT(ISNA(P624))),VLOOKUP(P624,'ESO zones'!$A$5:$D$10003,4,FALSE),IF(AND(K624&lt;&gt;"",K624&gt;0,NOT(ISERROR(K624))),VLOOKUP(K624,'ESO wayshrines'!$K$3:$N$9972,4,FALSE),"")))</f>
        <v>Sanity's Edge</v>
      </c>
      <c r="T624" s="16" t="str">
        <f>IF(AND(S624&lt;&gt;"",NOT(ISERROR(S624))),S624,VLOOKUP(A624,'ESO Set&amp;DLCs'!$A$3:$D$99998,4,FALSE))</f>
        <v>DLC_NECROM</v>
      </c>
      <c r="U624" s="3" t="str">
        <f>IF(T624&lt;&gt;"",VLOOKUP(T624,ConstDLCIds!$B$4:$C$1000,2,FALSE),"")</f>
        <v>Necrom</v>
      </c>
      <c r="V624" s="4" t="s">
        <v>272</v>
      </c>
      <c r="Y624" s="43">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zones'!$A$5:$D$10003,4,FALSE),"")</f>
        <v>Sanity's Edge</v>
      </c>
      <c r="AB624" s="4" t="s">
        <v>272</v>
      </c>
      <c r="AE624" s="43">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zones'!$A$5:$D$10003,4,FALSE),"")</f>
        <v>Sanity's Edge</v>
      </c>
      <c r="AH624" s="4" t="s">
        <v>272</v>
      </c>
      <c r="AK624" s="3" t="str">
        <f>IF(AND(G624&lt;&gt;"LIBSETS_SETTYPE_BATTLEGROUND",G624&lt;&gt;"LIBSETS_SETTYPE_SPECIAL"),IF(AL624&lt;&gt;"",VLOOKUP(AL624,'ESO zones'!$D$5:$H$4957,5,FALSE),""),"")</f>
        <v/>
      </c>
      <c r="AP624" s="3" t="str">
        <f>IF(AND(G624&lt;&gt;"LIBSETS_SETTYPE_BATTLEGROUND",G624&lt;&gt;"LIBSETS_SETTYPE_SPECIAL"),IF(AQ624&lt;&gt;"",VLOOKUP(AQ624,'ESO zones'!$D$5:$H$4957,5,FALSE),""),"")</f>
        <v/>
      </c>
      <c r="AU624" s="3" t="str">
        <f>IF(AND(G624&lt;&gt;"LIBSETS_SETTYPE_BATTLEGROUND",G624&lt;&gt;"LIBSETS_SETTYPE_SPECIAL"),IF(AV624&lt;&gt;"",VLOOKUP(AV624,'ESO zones'!$D$5:$H$4957,5,FALSE),""),"")</f>
        <v/>
      </c>
      <c r="BD624" s="53" t="s">
        <v>1122</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1">
        <v>706</v>
      </c>
      <c r="B625" t="s">
        <v>1921</v>
      </c>
      <c r="C625" t="s">
        <v>1921</v>
      </c>
      <c r="D625" s="3">
        <f t="shared" si="54"/>
        <v>706</v>
      </c>
      <c r="G625" s="9" t="s">
        <v>178</v>
      </c>
      <c r="I625" t="s">
        <v>1120</v>
      </c>
      <c r="J625" t="s">
        <v>401</v>
      </c>
      <c r="K625">
        <v>534</v>
      </c>
      <c r="L625">
        <v>534</v>
      </c>
      <c r="M625">
        <v>534</v>
      </c>
      <c r="O625" s="5" t="s">
        <v>1915</v>
      </c>
      <c r="Q625" s="3">
        <f>IF(AND(P625&lt;&gt;"",ISNUMBER(P625),NOT(ISNA(P625))),P625,IF(R625&lt;&gt;"",VLOOKUP(R625,'ESO zones'!$D$5:$H$10005,5,FALSE),""))</f>
        <v>1427</v>
      </c>
      <c r="R625" t="str">
        <f>IF(AND(O625&lt;&gt;"",NOT(ISERROR(O625))),O625,IF(AND(P625&lt;&gt;"",ISNUMBER(P625),P625&gt;0,NOT(ISNA(P625))),VLOOKUP(P625,'ESO zones'!$A$5:$D$10003,4,FALSE),IF(AND(K625&lt;&gt;"",K625&gt;0,NOT(ISERROR(K625))),VLOOKUP(K625,'ESO wayshrines'!$K$3:$N$9972,4,FALSE),"")))</f>
        <v>Sanity's Edge</v>
      </c>
      <c r="T625" s="16" t="str">
        <f>IF(AND(S625&lt;&gt;"",NOT(ISERROR(S625))),S625,VLOOKUP(A625,'ESO Set&amp;DLCs'!$A$3:$D$99998,4,FALSE))</f>
        <v>DLC_NECROM</v>
      </c>
      <c r="U625" s="3" t="str">
        <f>IF(T625&lt;&gt;"",VLOOKUP(T625,ConstDLCIds!$B$4:$C$1000,2,FALSE),"")</f>
        <v>Necrom</v>
      </c>
      <c r="V625" s="4" t="s">
        <v>272</v>
      </c>
      <c r="Y625" s="43">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zones'!$A$5:$D$10003,4,FALSE),"")</f>
        <v>Sanity's Edge</v>
      </c>
      <c r="AB625" s="4" t="s">
        <v>272</v>
      </c>
      <c r="AE625" s="43">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zones'!$A$5:$D$10003,4,FALSE),"")</f>
        <v>Sanity's Edge</v>
      </c>
      <c r="AH625" s="4" t="s">
        <v>272</v>
      </c>
      <c r="AK625" s="3" t="str">
        <f>IF(AND(G625&lt;&gt;"LIBSETS_SETTYPE_BATTLEGROUND",G625&lt;&gt;"LIBSETS_SETTYPE_SPECIAL"),IF(AL625&lt;&gt;"",VLOOKUP(AL625,'ESO zones'!$D$5:$H$4957,5,FALSE),""),"")</f>
        <v/>
      </c>
      <c r="AP625" s="3" t="str">
        <f>IF(AND(G625&lt;&gt;"LIBSETS_SETTYPE_BATTLEGROUND",G625&lt;&gt;"LIBSETS_SETTYPE_SPECIAL"),IF(AQ625&lt;&gt;"",VLOOKUP(AQ625,'ESO zones'!$D$5:$H$4957,5,FALSE),""),"")</f>
        <v/>
      </c>
      <c r="AU625" s="3" t="str">
        <f>IF(AND(G625&lt;&gt;"LIBSETS_SETTYPE_BATTLEGROUND",G625&lt;&gt;"LIBSETS_SETTYPE_SPECIAL"),IF(AV625&lt;&gt;"",VLOOKUP(AV625,'ESO zones'!$D$5:$H$4957,5,FALSE),""),"")</f>
        <v/>
      </c>
      <c r="BD625" s="53" t="s">
        <v>1122</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1">
        <v>707</v>
      </c>
      <c r="B626" t="s">
        <v>1922</v>
      </c>
      <c r="C626" t="s">
        <v>1922</v>
      </c>
      <c r="D626" s="3">
        <f t="shared" si="54"/>
        <v>707</v>
      </c>
      <c r="G626" s="9" t="s">
        <v>178</v>
      </c>
      <c r="I626" t="s">
        <v>1120</v>
      </c>
      <c r="J626" t="s">
        <v>401</v>
      </c>
      <c r="K626">
        <v>534</v>
      </c>
      <c r="L626">
        <v>534</v>
      </c>
      <c r="M626">
        <v>534</v>
      </c>
      <c r="O626" s="5" t="s">
        <v>1915</v>
      </c>
      <c r="Q626" s="3">
        <f>IF(AND(P626&lt;&gt;"",ISNUMBER(P626),NOT(ISNA(P626))),P626,IF(R626&lt;&gt;"",VLOOKUP(R626,'ESO zones'!$D$5:$H$10005,5,FALSE),""))</f>
        <v>1427</v>
      </c>
      <c r="R626" t="str">
        <f>IF(AND(O626&lt;&gt;"",NOT(ISERROR(O626))),O626,IF(AND(P626&lt;&gt;"",ISNUMBER(P626),P626&gt;0,NOT(ISNA(P626))),VLOOKUP(P626,'ESO zones'!$A$5:$D$10003,4,FALSE),IF(AND(K626&lt;&gt;"",K626&gt;0,NOT(ISERROR(K626))),VLOOKUP(K626,'ESO wayshrines'!$K$3:$N$9972,4,FALSE),"")))</f>
        <v>Sanity's Edge</v>
      </c>
      <c r="T626" s="16" t="str">
        <f>IF(AND(S626&lt;&gt;"",NOT(ISERROR(S626))),S626,VLOOKUP(A626,'ESO Set&amp;DLCs'!$A$3:$D$99998,4,FALSE))</f>
        <v>DLC_NECROM</v>
      </c>
      <c r="U626" s="3" t="str">
        <f>IF(T626&lt;&gt;"",VLOOKUP(T626,ConstDLCIds!$B$4:$C$1000,2,FALSE),"")</f>
        <v>Necrom</v>
      </c>
      <c r="V626" s="4" t="s">
        <v>272</v>
      </c>
      <c r="Y626" s="43">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zones'!$A$5:$D$10003,4,FALSE),"")</f>
        <v>Sanity's Edge</v>
      </c>
      <c r="AB626" s="4" t="s">
        <v>272</v>
      </c>
      <c r="AE626" s="43">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zones'!$A$5:$D$10003,4,FALSE),"")</f>
        <v>Sanity's Edge</v>
      </c>
      <c r="AH626" s="4" t="s">
        <v>272</v>
      </c>
      <c r="AK626" s="3" t="str">
        <f>IF(AND(G626&lt;&gt;"LIBSETS_SETTYPE_BATTLEGROUND",G626&lt;&gt;"LIBSETS_SETTYPE_SPECIAL"),IF(AL626&lt;&gt;"",VLOOKUP(AL626,'ESO zones'!$D$5:$H$4957,5,FALSE),""),"")</f>
        <v/>
      </c>
      <c r="AP626" s="3" t="str">
        <f>IF(AND(G626&lt;&gt;"LIBSETS_SETTYPE_BATTLEGROUND",G626&lt;&gt;"LIBSETS_SETTYPE_SPECIAL"),IF(AQ626&lt;&gt;"",VLOOKUP(AQ626,'ESO zones'!$D$5:$H$4957,5,FALSE),""),"")</f>
        <v/>
      </c>
      <c r="AU626" s="3" t="str">
        <f>IF(AND(G626&lt;&gt;"LIBSETS_SETTYPE_BATTLEGROUND",G626&lt;&gt;"LIBSETS_SETTYPE_SPECIAL"),IF(AV626&lt;&gt;"",VLOOKUP(AV626,'ESO zones'!$D$5:$H$4957,5,FALSE),""),"")</f>
        <v/>
      </c>
      <c r="BD626" s="53" t="s">
        <v>1122</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1">
        <v>708</v>
      </c>
      <c r="B627" t="s">
        <v>1923</v>
      </c>
      <c r="C627" t="s">
        <v>1923</v>
      </c>
      <c r="D627" s="3">
        <f t="shared" si="54"/>
        <v>708</v>
      </c>
      <c r="G627" s="9" t="s">
        <v>178</v>
      </c>
      <c r="I627" t="s">
        <v>1120</v>
      </c>
      <c r="J627" t="s">
        <v>401</v>
      </c>
      <c r="K627">
        <v>534</v>
      </c>
      <c r="L627">
        <v>534</v>
      </c>
      <c r="M627">
        <v>534</v>
      </c>
      <c r="O627" s="5" t="s">
        <v>1915</v>
      </c>
      <c r="Q627" s="3">
        <f>IF(AND(P627&lt;&gt;"",ISNUMBER(P627),NOT(ISNA(P627))),P627,IF(R627&lt;&gt;"",VLOOKUP(R627,'ESO zones'!$D$5:$H$10005,5,FALSE),""))</f>
        <v>1427</v>
      </c>
      <c r="R627" t="str">
        <f>IF(AND(O627&lt;&gt;"",NOT(ISERROR(O627))),O627,IF(AND(P627&lt;&gt;"",ISNUMBER(P627),P627&gt;0,NOT(ISNA(P627))),VLOOKUP(P627,'ESO zones'!$A$5:$D$10003,4,FALSE),IF(AND(K627&lt;&gt;"",K627&gt;0,NOT(ISERROR(K627))),VLOOKUP(K627,'ESO wayshrines'!$K$3:$N$9972,4,FALSE),"")))</f>
        <v>Sanity's Edge</v>
      </c>
      <c r="T627" s="16" t="str">
        <f>IF(AND(S627&lt;&gt;"",NOT(ISERROR(S627))),S627,VLOOKUP(A627,'ESO Set&amp;DLCs'!$A$3:$D$99998,4,FALSE))</f>
        <v>DLC_NECROM</v>
      </c>
      <c r="U627" s="3" t="str">
        <f>IF(T627&lt;&gt;"",VLOOKUP(T627,ConstDLCIds!$B$4:$C$1000,2,FALSE),"")</f>
        <v>Necrom</v>
      </c>
      <c r="V627" s="4" t="s">
        <v>272</v>
      </c>
      <c r="Y627" s="43">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zones'!$A$5:$D$10003,4,FALSE),"")</f>
        <v>Sanity's Edge</v>
      </c>
      <c r="AB627" s="4" t="s">
        <v>272</v>
      </c>
      <c r="AE627" s="67">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zones'!$A$5:$D$10003,4,FALSE),"")</f>
        <v>Sanity's Edge</v>
      </c>
      <c r="AH627" s="4" t="s">
        <v>272</v>
      </c>
      <c r="AI627" s="30"/>
      <c r="AJ627" s="30"/>
      <c r="AK627" s="3" t="str">
        <f>IF(AND(G627&lt;&gt;"LIBSETS_SETTYPE_BATTLEGROUND",G627&lt;&gt;"LIBSETS_SETTYPE_SPECIAL"),IF(AL627&lt;&gt;"",VLOOKUP(AL627,'ESO zones'!$D$5:$H$4957,5,FALSE),""),"")</f>
        <v/>
      </c>
      <c r="AN627" s="30"/>
      <c r="AO627" s="30"/>
      <c r="AP627" s="3" t="str">
        <f>IF(AND(G627&lt;&gt;"LIBSETS_SETTYPE_BATTLEGROUND",G627&lt;&gt;"LIBSETS_SETTYPE_SPECIAL"),IF(AQ627&lt;&gt;"",VLOOKUP(AQ627,'ESO zones'!$D$5:$H$4957,5,FALSE),""),"")</f>
        <v/>
      </c>
      <c r="AS627" s="30"/>
      <c r="AT627" s="30"/>
      <c r="AU627" s="3" t="str">
        <f>IF(AND(G627&lt;&gt;"LIBSETS_SETTYPE_BATTLEGROUND",G627&lt;&gt;"LIBSETS_SETTYPE_SPECIAL"),IF(AV627&lt;&gt;"",VLOOKUP(AV627,'ESO zones'!$D$5:$H$4957,5,FALSE),""),"")</f>
        <v/>
      </c>
      <c r="AX627" s="30"/>
      <c r="AY627" s="30"/>
      <c r="AZ627" s="52"/>
      <c r="BA627" s="52"/>
      <c r="BB627" s="52"/>
      <c r="BC627" s="52"/>
      <c r="BD627" s="49" t="s">
        <v>1122</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1">
        <v>711</v>
      </c>
      <c r="B628" t="s">
        <v>1924</v>
      </c>
      <c r="C628" t="s">
        <v>1924</v>
      </c>
      <c r="D628" s="3">
        <f t="shared" si="54"/>
        <v>711</v>
      </c>
      <c r="F628" t="s">
        <v>185</v>
      </c>
      <c r="G628" s="9" t="s">
        <v>184</v>
      </c>
      <c r="I628" t="s">
        <v>1925</v>
      </c>
      <c r="J628" t="s">
        <v>401</v>
      </c>
      <c r="K628">
        <v>-1</v>
      </c>
      <c r="L628">
        <v>-1</v>
      </c>
      <c r="M628">
        <v>-1</v>
      </c>
      <c r="O628" s="5" t="s">
        <v>166</v>
      </c>
      <c r="Q628" s="3">
        <f>IF(AND(P628&lt;&gt;"",ISNUMBER(P628),NOT(ISNA(P628))),P628,IF(R628&lt;&gt;"",VLOOKUP(R628,'ESO zones'!$D$5:$H$10005,5,FALSE),""))</f>
        <v>181</v>
      </c>
      <c r="R628" t="str">
        <f>IF(AND(O628&lt;&gt;"",NOT(ISERROR(O628))),O628,IF(AND(P628&lt;&gt;"",ISNUMBER(P628),P628&gt;0,NOT(ISNA(P628))),VLOOKUP(P628,'ESO zones'!$A$5:$D$10003,4,FALSE),IF(AND(K628&lt;&gt;"",K628&gt;0,NOT(ISERROR(K628))),VLOOKUP(K628,'ESO wayshrines'!$K$3:$N$9972,4,FALSE),"")))</f>
        <v>Cyrodiil</v>
      </c>
      <c r="T628" s="16" t="str">
        <f>IF(AND(S628&lt;&gt;"",NOT(ISERROR(S628))),S628,VLOOKUP(A628,'ESO Set&amp;DLCs'!$A$3:$D$99998,4,FALSE))</f>
        <v>DLC_BASE_GAME</v>
      </c>
      <c r="U628" s="3" t="str">
        <f>IF(T628&lt;&gt;"",VLOOKUP(T628,ConstDLCIds!$B$4:$C$1000,2,FALSE),"")</f>
        <v>Included in base game</v>
      </c>
      <c r="V628" s="57" t="s">
        <v>248</v>
      </c>
      <c r="Y628" s="5">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zones'!$A$5:$D$10003,4,FALSE),"")</f>
        <v>Cyrodiil</v>
      </c>
      <c r="AE628" s="30"/>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zones'!$A$5:$D$10003,4,FALSE),"")</f>
        <v/>
      </c>
      <c r="AI628" s="30"/>
      <c r="AJ628" s="30"/>
      <c r="AK628" s="3" t="str">
        <f>IF(AND(G628&lt;&gt;"LIBSETS_SETTYPE_BATTLEGROUND",G628&lt;&gt;"LIBSETS_SETTYPE_SPECIAL"),IF(AL628&lt;&gt;"",VLOOKUP(AL628,'ESO zones'!$D$5:$H$4957,5,FALSE),""),"")</f>
        <v/>
      </c>
      <c r="AN628" s="30"/>
      <c r="AO628" s="30"/>
      <c r="AP628" s="3" t="str">
        <f>IF(AND(G628&lt;&gt;"LIBSETS_SETTYPE_BATTLEGROUND",G628&lt;&gt;"LIBSETS_SETTYPE_SPECIAL"),IF(AQ628&lt;&gt;"",VLOOKUP(AQ628,'ESO zones'!$D$5:$H$4957,5,FALSE),""),"")</f>
        <v/>
      </c>
      <c r="AS628" s="30"/>
      <c r="AT628" s="30"/>
      <c r="AU628" s="3" t="str">
        <f>IF(AND(G628&lt;&gt;"LIBSETS_SETTYPE_BATTLEGROUND",G628&lt;&gt;"LIBSETS_SETTYPE_SPECIAL"),IF(AV628&lt;&gt;"",VLOOKUP(AV628,'ESO zones'!$D$5:$H$4957,5,FALSE),""),"")</f>
        <v/>
      </c>
      <c r="AX628" s="30"/>
      <c r="AY628" s="30"/>
      <c r="AZ628" s="49" t="s">
        <v>403</v>
      </c>
      <c r="BA628" s="49"/>
      <c r="BB628" s="49"/>
      <c r="BC628" s="49"/>
      <c r="BD628" s="49"/>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1">
        <v>712</v>
      </c>
      <c r="B629" t="s">
        <v>1926</v>
      </c>
      <c r="C629" t="s">
        <v>1926</v>
      </c>
      <c r="D629" s="3">
        <f t="shared" si="54"/>
        <v>712</v>
      </c>
      <c r="F629" t="s">
        <v>185</v>
      </c>
      <c r="G629" s="9" t="s">
        <v>184</v>
      </c>
      <c r="I629" t="s">
        <v>1925</v>
      </c>
      <c r="J629" t="s">
        <v>401</v>
      </c>
      <c r="K629">
        <v>-1</v>
      </c>
      <c r="L629">
        <v>-1</v>
      </c>
      <c r="M629">
        <v>-1</v>
      </c>
      <c r="O629" s="5" t="s">
        <v>166</v>
      </c>
      <c r="Q629" s="3">
        <f>IF(AND(P629&lt;&gt;"",ISNUMBER(P629),NOT(ISNA(P629))),P629,IF(R629&lt;&gt;"",VLOOKUP(R629,'ESO zones'!$D$5:$H$10005,5,FALSE),""))</f>
        <v>181</v>
      </c>
      <c r="R629" t="str">
        <f>IF(AND(O629&lt;&gt;"",NOT(ISERROR(O629))),O629,IF(AND(P629&lt;&gt;"",ISNUMBER(P629),P629&gt;0,NOT(ISNA(P629))),VLOOKUP(P629,'ESO zones'!$A$5:$D$10003,4,FALSE),IF(AND(K629&lt;&gt;"",K629&gt;0,NOT(ISERROR(K629))),VLOOKUP(K629,'ESO wayshrines'!$K$3:$N$9972,4,FALSE),"")))</f>
        <v>Cyrodiil</v>
      </c>
      <c r="T629" s="16" t="str">
        <f>IF(AND(S629&lt;&gt;"",NOT(ISERROR(S629))),S629,VLOOKUP(A629,'ESO Set&amp;DLCs'!$A$3:$D$99998,4,FALSE))</f>
        <v>DLC_BASE_GAME</v>
      </c>
      <c r="U629" s="3" t="str">
        <f>IF(T629&lt;&gt;"",VLOOKUP(T629,ConstDLCIds!$B$4:$C$1000,2,FALSE),"")</f>
        <v>Included in base game</v>
      </c>
      <c r="V629" s="57" t="s">
        <v>248</v>
      </c>
      <c r="Y629" s="5">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zones'!$A$5:$D$10003,4,FALSE),"")</f>
        <v>Cyrodiil</v>
      </c>
      <c r="AB629" s="57"/>
      <c r="AE629" s="30"/>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zones'!$A$5:$D$10003,4,FALSE),"")</f>
        <v/>
      </c>
      <c r="AI629" s="30"/>
      <c r="AJ629" s="30"/>
      <c r="AK629" s="3" t="str">
        <f>IF(AND(G629&lt;&gt;"LIBSETS_SETTYPE_BATTLEGROUND",G629&lt;&gt;"LIBSETS_SETTYPE_SPECIAL"),IF(AL629&lt;&gt;"",VLOOKUP(AL629,'ESO zones'!$D$5:$H$4957,5,FALSE),""),"")</f>
        <v/>
      </c>
      <c r="AN629" s="30"/>
      <c r="AO629" s="30"/>
      <c r="AP629" s="3" t="str">
        <f>IF(AND(G629&lt;&gt;"LIBSETS_SETTYPE_BATTLEGROUND",G629&lt;&gt;"LIBSETS_SETTYPE_SPECIAL"),IF(AQ629&lt;&gt;"",VLOOKUP(AQ629,'ESO zones'!$D$5:$H$4957,5,FALSE),""),"")</f>
        <v/>
      </c>
      <c r="AS629" s="30"/>
      <c r="AT629" s="30"/>
      <c r="AU629" s="3" t="str">
        <f>IF(AND(G629&lt;&gt;"LIBSETS_SETTYPE_BATTLEGROUND",G629&lt;&gt;"LIBSETS_SETTYPE_SPECIAL"),IF(AV629&lt;&gt;"",VLOOKUP(AV629,'ESO zones'!$D$5:$H$4957,5,FALSE),""),"")</f>
        <v/>
      </c>
      <c r="AX629" s="30"/>
      <c r="AY629" s="30"/>
      <c r="AZ629" s="49" t="s">
        <v>403</v>
      </c>
      <c r="BA629" s="49"/>
      <c r="BB629" s="49"/>
      <c r="BC629" s="49"/>
      <c r="BD629" s="49"/>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1">
        <v>713</v>
      </c>
      <c r="B630" t="s">
        <v>1927</v>
      </c>
      <c r="C630" t="s">
        <v>1927</v>
      </c>
      <c r="D630" s="3">
        <f t="shared" si="54"/>
        <v>713</v>
      </c>
      <c r="F630" t="s">
        <v>185</v>
      </c>
      <c r="G630" s="9" t="s">
        <v>184</v>
      </c>
      <c r="I630" t="s">
        <v>1925</v>
      </c>
      <c r="J630" t="s">
        <v>401</v>
      </c>
      <c r="K630">
        <v>-1</v>
      </c>
      <c r="L630">
        <v>-1</v>
      </c>
      <c r="M630">
        <v>-1</v>
      </c>
      <c r="O630" s="5" t="s">
        <v>166</v>
      </c>
      <c r="Q630" s="3">
        <f>IF(AND(P630&lt;&gt;"",ISNUMBER(P630),NOT(ISNA(P630))),P630,IF(R630&lt;&gt;"",VLOOKUP(R630,'ESO zones'!$D$5:$H$10005,5,FALSE),""))</f>
        <v>181</v>
      </c>
      <c r="R630" t="str">
        <f>IF(AND(O630&lt;&gt;"",NOT(ISERROR(O630))),O630,IF(AND(P630&lt;&gt;"",ISNUMBER(P630),P630&gt;0,NOT(ISNA(P630))),VLOOKUP(P630,'ESO zones'!$A$5:$D$10003,4,FALSE),IF(AND(K630&lt;&gt;"",K630&gt;0,NOT(ISERROR(K630))),VLOOKUP(K630,'ESO wayshrines'!$K$3:$N$9972,4,FALSE),"")))</f>
        <v>Cyrodiil</v>
      </c>
      <c r="T630" s="16" t="str">
        <f>IF(AND(S630&lt;&gt;"",NOT(ISERROR(S630))),S630,VLOOKUP(A630,'ESO Set&amp;DLCs'!$A$3:$D$99998,4,FALSE))</f>
        <v>DLC_BASE_GAME</v>
      </c>
      <c r="U630" s="3" t="str">
        <f>IF(T630&lt;&gt;"",VLOOKUP(T630,ConstDLCIds!$B$4:$C$1000,2,FALSE),"")</f>
        <v>Included in base game</v>
      </c>
      <c r="V630" s="57" t="s">
        <v>248</v>
      </c>
      <c r="Y630" s="5">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zones'!$A$5:$D$10003,4,FALSE),"")</f>
        <v>Cyrodiil</v>
      </c>
      <c r="AB630" s="57"/>
      <c r="AE630" s="30"/>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zones'!$A$5:$D$10003,4,FALSE),"")</f>
        <v/>
      </c>
      <c r="AI630" s="30"/>
      <c r="AJ630" s="30"/>
      <c r="AK630" s="3" t="str">
        <f>IF(AND(G630&lt;&gt;"LIBSETS_SETTYPE_BATTLEGROUND",G630&lt;&gt;"LIBSETS_SETTYPE_SPECIAL"),IF(AL630&lt;&gt;"",VLOOKUP(AL630,'ESO zones'!$D$5:$H$4957,5,FALSE),""),"")</f>
        <v/>
      </c>
      <c r="AN630" s="30"/>
      <c r="AO630" s="30"/>
      <c r="AP630" s="3" t="str">
        <f>IF(AND(G630&lt;&gt;"LIBSETS_SETTYPE_BATTLEGROUND",G630&lt;&gt;"LIBSETS_SETTYPE_SPECIAL"),IF(AQ630&lt;&gt;"",VLOOKUP(AQ630,'ESO zones'!$D$5:$H$4957,5,FALSE),""),"")</f>
        <v/>
      </c>
      <c r="AS630" s="30"/>
      <c r="AT630" s="30"/>
      <c r="AU630" s="3" t="str">
        <f>IF(AND(G630&lt;&gt;"LIBSETS_SETTYPE_BATTLEGROUND",G630&lt;&gt;"LIBSETS_SETTYPE_SPECIAL"),IF(AV630&lt;&gt;"",VLOOKUP(AV630,'ESO zones'!$D$5:$H$4957,5,FALSE),""),"")</f>
        <v/>
      </c>
      <c r="AX630" s="30"/>
      <c r="AY630" s="30"/>
      <c r="AZ630" s="49" t="s">
        <v>403</v>
      </c>
      <c r="BA630" s="49"/>
      <c r="BB630" s="49"/>
      <c r="BC630" s="49"/>
      <c r="BD630" s="49"/>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1">
        <v>722</v>
      </c>
      <c r="B631" t="s">
        <v>1928</v>
      </c>
      <c r="C631" t="s">
        <v>1928</v>
      </c>
      <c r="D631" s="3">
        <f t="shared" si="54"/>
        <v>722</v>
      </c>
      <c r="E631" t="s">
        <v>1929</v>
      </c>
      <c r="G631" s="3" t="s">
        <v>186</v>
      </c>
      <c r="I631" t="s">
        <v>401</v>
      </c>
      <c r="J631" t="s">
        <v>401</v>
      </c>
      <c r="K631">
        <v>543</v>
      </c>
      <c r="L631">
        <v>543</v>
      </c>
      <c r="M631">
        <v>543</v>
      </c>
      <c r="O631" s="5" t="s">
        <v>1930</v>
      </c>
      <c r="Q631" s="3">
        <f>IF(AND(P631&lt;&gt;"",ISNUMBER(P631),NOT(ISNA(P631))),P631,IF(R631&lt;&gt;"",VLOOKUP(R631,'ESO zones'!$D$5:$H$10005,5,FALSE),""))</f>
        <v>1436</v>
      </c>
      <c r="R631" t="str">
        <f>IF(AND(O631&lt;&gt;"",NOT(ISERROR(O631))),O631,IF(AND(P631&lt;&gt;"",ISNUMBER(P631),P631&gt;0,NOT(ISNA(P631))),VLOOKUP(P631,'ESO zones'!$A$5:$D$10003,4,FALSE),IF(AND(K631&lt;&gt;"",K631&gt;0,NOT(ISERROR(K631))),VLOOKUP(K631,'ESO wayshrines'!$K$3:$N$9972,4,FALSE),"")))</f>
        <v>Infinite Archive</v>
      </c>
      <c r="T631" s="16" t="str">
        <f>IF(AND(S631&lt;&gt;"",NOT(ISERROR(S631))),S631,VLOOKUP(A631,'ESO Set&amp;DLCs'!$A$3:$D$99998,4,FALSE))</f>
        <v>DLC_BASE_GAME</v>
      </c>
      <c r="U631" s="3" t="str">
        <f>IF(T631&lt;&gt;"",VLOOKUP(T631,ConstDLCIds!$B$4:$C$1000,2,FALSE),"")</f>
        <v>Included in base game</v>
      </c>
      <c r="V631" s="57" t="s">
        <v>304</v>
      </c>
      <c r="W631" s="3" t="s">
        <v>1929</v>
      </c>
      <c r="X631" s="3" t="s">
        <v>1931</v>
      </c>
      <c r="Y631" s="5"/>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zones'!$A$5:$D$10003,4,FALSE),"")</f>
        <v>Apocrypha</v>
      </c>
      <c r="AB631" s="57"/>
      <c r="AE631" s="30"/>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zones'!$A$5:$D$10003,4,FALSE),"")</f>
        <v>Apocrypha</v>
      </c>
      <c r="AI631" s="30"/>
      <c r="AJ631" s="30"/>
      <c r="AK631" s="3" t="str">
        <f>IF(AND(G631&lt;&gt;"LIBSETS_SETTYPE_BATTLEGROUND",G631&lt;&gt;"LIBSETS_SETTYPE_SPECIAL"),IF(AL631&lt;&gt;"",VLOOKUP(AL631,'ESO zones'!$D$5:$H$4957,5,FALSE),""),"")</f>
        <v/>
      </c>
      <c r="AN631" s="30"/>
      <c r="AO631" s="30"/>
      <c r="AP631" s="3" t="str">
        <f>IF(AND(G631&lt;&gt;"LIBSETS_SETTYPE_BATTLEGROUND",G631&lt;&gt;"LIBSETS_SETTYPE_SPECIAL"),IF(AQ631&lt;&gt;"",VLOOKUP(AQ631,'ESO zones'!$D$5:$H$4957,5,FALSE),""),"")</f>
        <v/>
      </c>
      <c r="AS631" s="30"/>
      <c r="AT631" s="30"/>
      <c r="AU631" s="3" t="str">
        <f>IF(AND(G631&lt;&gt;"LIBSETS_SETTYPE_BATTLEGROUND",G631&lt;&gt;"LIBSETS_SETTYPE_SPECIAL"),IF(AV631&lt;&gt;"",VLOOKUP(AV631,'ESO zones'!$D$5:$H$4957,5,FALSE),""),"")</f>
        <v/>
      </c>
      <c r="AX631" s="30"/>
      <c r="AY631" s="30"/>
      <c r="AZ631" s="49" t="s">
        <v>403</v>
      </c>
      <c r="BA631" s="49"/>
      <c r="BB631" s="49"/>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1">
        <v>723</v>
      </c>
      <c r="B632" t="s">
        <v>1932</v>
      </c>
      <c r="C632" t="s">
        <v>1932</v>
      </c>
      <c r="D632" s="3">
        <f t="shared" si="54"/>
        <v>723</v>
      </c>
      <c r="E632" t="s">
        <v>1933</v>
      </c>
      <c r="G632" s="3" t="s">
        <v>186</v>
      </c>
      <c r="I632" t="s">
        <v>401</v>
      </c>
      <c r="J632" t="s">
        <v>401</v>
      </c>
      <c r="K632">
        <v>543</v>
      </c>
      <c r="L632">
        <v>543</v>
      </c>
      <c r="M632">
        <v>543</v>
      </c>
      <c r="O632" s="5" t="s">
        <v>1930</v>
      </c>
      <c r="Q632" s="3">
        <f>IF(AND(P632&lt;&gt;"",ISNUMBER(P632),NOT(ISNA(P632))),P632,IF(R632&lt;&gt;"",VLOOKUP(R632,'ESO zones'!$D$5:$H$10005,5,FALSE),""))</f>
        <v>1436</v>
      </c>
      <c r="R632" t="str">
        <f>IF(AND(O632&lt;&gt;"",NOT(ISERROR(O632))),O632,IF(AND(P632&lt;&gt;"",ISNUMBER(P632),P632&gt;0,NOT(ISNA(P632))),VLOOKUP(P632,'ESO zones'!$A$5:$D$10003,4,FALSE),IF(AND(K632&lt;&gt;"",K632&gt;0,NOT(ISERROR(K632))),VLOOKUP(K632,'ESO wayshrines'!$K$3:$N$9972,4,FALSE),"")))</f>
        <v>Infinite Archive</v>
      </c>
      <c r="T632" s="16" t="str">
        <f>IF(AND(S632&lt;&gt;"",NOT(ISERROR(S632))),S632,VLOOKUP(A632,'ESO Set&amp;DLCs'!$A$3:$D$99998,4,FALSE))</f>
        <v>DLC_BASE_GAME</v>
      </c>
      <c r="U632" s="3" t="str">
        <f>IF(T632&lt;&gt;"",VLOOKUP(T632,ConstDLCIds!$B$4:$C$1000,2,FALSE),"")</f>
        <v>Included in base game</v>
      </c>
      <c r="V632" s="57" t="s">
        <v>304</v>
      </c>
      <c r="W632" s="3" t="s">
        <v>1933</v>
      </c>
      <c r="X632" s="3" t="s">
        <v>1934</v>
      </c>
      <c r="Y632" s="5"/>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zones'!$A$5:$D$10003,4,FALSE),"")</f>
        <v>Apocrypha</v>
      </c>
      <c r="AB632" s="57"/>
      <c r="AE632" s="30"/>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zones'!$A$5:$D$10003,4,FALSE),"")</f>
        <v>Apocrypha</v>
      </c>
      <c r="AI632" s="30"/>
      <c r="AJ632" s="30"/>
      <c r="AK632" s="3" t="str">
        <f>IF(AND(G632&lt;&gt;"LIBSETS_SETTYPE_BATTLEGROUND",G632&lt;&gt;"LIBSETS_SETTYPE_SPECIAL"),IF(AL632&lt;&gt;"",VLOOKUP(AL632,'ESO zones'!$D$5:$H$4957,5,FALSE),""),"")</f>
        <v/>
      </c>
      <c r="AN632" s="30"/>
      <c r="AO632" s="30"/>
      <c r="AP632" s="3" t="str">
        <f>IF(AND(G632&lt;&gt;"LIBSETS_SETTYPE_BATTLEGROUND",G632&lt;&gt;"LIBSETS_SETTYPE_SPECIAL"),IF(AQ632&lt;&gt;"",VLOOKUP(AQ632,'ESO zones'!$D$5:$H$4957,5,FALSE),""),"")</f>
        <v/>
      </c>
      <c r="AS632" s="30"/>
      <c r="AT632" s="30"/>
      <c r="AU632" s="3" t="str">
        <f>IF(AND(G632&lt;&gt;"LIBSETS_SETTYPE_BATTLEGROUND",G632&lt;&gt;"LIBSETS_SETTYPE_SPECIAL"),IF(AV632&lt;&gt;"",VLOOKUP(AV632,'ESO zones'!$D$5:$H$4957,5,FALSE),""),"")</f>
        <v/>
      </c>
      <c r="AX632" s="30"/>
      <c r="AY632" s="30"/>
      <c r="AZ632" s="49" t="s">
        <v>403</v>
      </c>
      <c r="BA632" s="49"/>
      <c r="BB632" s="49"/>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1">
        <v>724</v>
      </c>
      <c r="B633" t="s">
        <v>1935</v>
      </c>
      <c r="C633" t="s">
        <v>1936</v>
      </c>
      <c r="D633" s="3">
        <f t="shared" si="54"/>
        <v>724</v>
      </c>
      <c r="E633" t="s">
        <v>1937</v>
      </c>
      <c r="G633" s="3" t="s">
        <v>186</v>
      </c>
      <c r="I633" t="s">
        <v>401</v>
      </c>
      <c r="J633" t="s">
        <v>401</v>
      </c>
      <c r="K633">
        <v>543</v>
      </c>
      <c r="L633">
        <v>543</v>
      </c>
      <c r="M633">
        <v>543</v>
      </c>
      <c r="O633" s="5" t="s">
        <v>1930</v>
      </c>
      <c r="Q633" s="3">
        <f>IF(AND(P633&lt;&gt;"",ISNUMBER(P633),NOT(ISNA(P633))),P633,IF(R633&lt;&gt;"",VLOOKUP(R633,'ESO zones'!$D$5:$H$10005,5,FALSE),""))</f>
        <v>1436</v>
      </c>
      <c r="R633" t="str">
        <f>IF(AND(O633&lt;&gt;"",NOT(ISERROR(O633))),O633,IF(AND(P633&lt;&gt;"",ISNUMBER(P633),P633&gt;0,NOT(ISNA(P633))),VLOOKUP(P633,'ESO zones'!$A$5:$D$10003,4,FALSE),IF(AND(K633&lt;&gt;"",K633&gt;0,NOT(ISERROR(K633))),VLOOKUP(K633,'ESO wayshrines'!$K$3:$N$9972,4,FALSE),"")))</f>
        <v>Infinite Archive</v>
      </c>
      <c r="T633" s="16" t="str">
        <f>IF(AND(S633&lt;&gt;"",NOT(ISERROR(S633))),S633,VLOOKUP(A633,'ESO Set&amp;DLCs'!$A$3:$D$99998,4,FALSE))</f>
        <v>DLC_BASE_GAME</v>
      </c>
      <c r="U633" s="3" t="str">
        <f>IF(T633&lt;&gt;"",VLOOKUP(T633,ConstDLCIds!$B$4:$C$1000,2,FALSE),"")</f>
        <v>Included in base game</v>
      </c>
      <c r="V633" s="57" t="s">
        <v>304</v>
      </c>
      <c r="W633" s="3" t="s">
        <v>1937</v>
      </c>
      <c r="X633" s="3" t="s">
        <v>1938</v>
      </c>
      <c r="Y633" s="5"/>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zones'!$A$5:$D$10003,4,FALSE),"")</f>
        <v>Apocrypha</v>
      </c>
      <c r="AB633" s="57"/>
      <c r="AE633" s="30"/>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zones'!$A$5:$D$10003,4,FALSE),"")</f>
        <v>Apocrypha</v>
      </c>
      <c r="AI633" s="30"/>
      <c r="AJ633" s="30"/>
      <c r="AK633" s="3" t="str">
        <f>IF(AND(G633&lt;&gt;"LIBSETS_SETTYPE_BATTLEGROUND",G633&lt;&gt;"LIBSETS_SETTYPE_SPECIAL"),IF(AL633&lt;&gt;"",VLOOKUP(AL633,'ESO zones'!$D$5:$H$4957,5,FALSE),""),"")</f>
        <v/>
      </c>
      <c r="AN633" s="30"/>
      <c r="AO633" s="30"/>
      <c r="AP633" s="3" t="str">
        <f>IF(AND(G633&lt;&gt;"LIBSETS_SETTYPE_BATTLEGROUND",G633&lt;&gt;"LIBSETS_SETTYPE_SPECIAL"),IF(AQ633&lt;&gt;"",VLOOKUP(AQ633,'ESO zones'!$D$5:$H$4957,5,FALSE),""),"")</f>
        <v/>
      </c>
      <c r="AS633" s="30"/>
      <c r="AT633" s="30"/>
      <c r="AU633" s="3" t="str">
        <f>IF(AND(G633&lt;&gt;"LIBSETS_SETTYPE_BATTLEGROUND",G633&lt;&gt;"LIBSETS_SETTYPE_SPECIAL"),IF(AV633&lt;&gt;"",VLOOKUP(AV633,'ESO zones'!$D$5:$H$4957,5,FALSE),""),"")</f>
        <v/>
      </c>
      <c r="AX633" s="30"/>
      <c r="AY633" s="30"/>
      <c r="AZ633" s="49" t="s">
        <v>403</v>
      </c>
      <c r="BA633" s="49"/>
      <c r="BB633" s="49"/>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1">
        <v>726</v>
      </c>
      <c r="B634" t="s">
        <v>1939</v>
      </c>
      <c r="C634" t="s">
        <v>1940</v>
      </c>
      <c r="D634" s="3">
        <f t="shared" si="54"/>
        <v>726</v>
      </c>
      <c r="E634" t="s">
        <v>1941</v>
      </c>
      <c r="G634" s="3" t="s">
        <v>186</v>
      </c>
      <c r="I634" t="s">
        <v>401</v>
      </c>
      <c r="J634" t="s">
        <v>401</v>
      </c>
      <c r="K634">
        <v>543</v>
      </c>
      <c r="L634">
        <v>543</v>
      </c>
      <c r="M634">
        <v>543</v>
      </c>
      <c r="O634" s="5" t="s">
        <v>1930</v>
      </c>
      <c r="Q634" s="3">
        <f>IF(AND(P634&lt;&gt;"",ISNUMBER(P634),NOT(ISNA(P634))),P634,IF(R634&lt;&gt;"",VLOOKUP(R634,'ESO zones'!$D$5:$H$10005,5,FALSE),""))</f>
        <v>1436</v>
      </c>
      <c r="R634" t="str">
        <f>IF(AND(O634&lt;&gt;"",NOT(ISERROR(O634))),O634,IF(AND(P634&lt;&gt;"",ISNUMBER(P634),P634&gt;0,NOT(ISNA(P634))),VLOOKUP(P634,'ESO zones'!$A$5:$D$10003,4,FALSE),IF(AND(K634&lt;&gt;"",K634&gt;0,NOT(ISERROR(K634))),VLOOKUP(K634,'ESO wayshrines'!$K$3:$N$9972,4,FALSE),"")))</f>
        <v>Infinite Archive</v>
      </c>
      <c r="T634" s="16" t="str">
        <f>IF(AND(S634&lt;&gt;"",NOT(ISERROR(S634))),S634,VLOOKUP(A634,'ESO Set&amp;DLCs'!$A$3:$D$99998,4,FALSE))</f>
        <v>DLC_BASE_GAME</v>
      </c>
      <c r="U634" s="3" t="str">
        <f>IF(T634&lt;&gt;"",VLOOKUP(T634,ConstDLCIds!$B$4:$C$1000,2,FALSE),"")</f>
        <v>Included in base game</v>
      </c>
      <c r="V634" s="57" t="s">
        <v>304</v>
      </c>
      <c r="W634" s="3" t="s">
        <v>1941</v>
      </c>
      <c r="X634" s="3" t="s">
        <v>1942</v>
      </c>
      <c r="Y634" s="5"/>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zones'!$A$5:$D$10003,4,FALSE),"")</f>
        <v>Apocrypha</v>
      </c>
      <c r="AB634" s="57"/>
      <c r="AE634" s="30"/>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zones'!$A$5:$D$10003,4,FALSE),"")</f>
        <v>Apocrypha</v>
      </c>
      <c r="AI634" s="30"/>
      <c r="AJ634" s="30"/>
      <c r="AK634" s="3" t="str">
        <f>IF(AND(G634&lt;&gt;"LIBSETS_SETTYPE_BATTLEGROUND",G634&lt;&gt;"LIBSETS_SETTYPE_SPECIAL"),IF(AL634&lt;&gt;"",VLOOKUP(AL634,'ESO zones'!$D$5:$H$4957,5,FALSE),""),"")</f>
        <v/>
      </c>
      <c r="AN634" s="30"/>
      <c r="AO634" s="30"/>
      <c r="AP634" s="3" t="str">
        <f>IF(AND(G634&lt;&gt;"LIBSETS_SETTYPE_BATTLEGROUND",G634&lt;&gt;"LIBSETS_SETTYPE_SPECIAL"),IF(AQ634&lt;&gt;"",VLOOKUP(AQ634,'ESO zones'!$D$5:$H$4957,5,FALSE),""),"")</f>
        <v/>
      </c>
      <c r="AS634" s="30"/>
      <c r="AT634" s="30"/>
      <c r="AU634" s="3" t="str">
        <f>IF(AND(G634&lt;&gt;"LIBSETS_SETTYPE_BATTLEGROUND",G634&lt;&gt;"LIBSETS_SETTYPE_SPECIAL"),IF(AV634&lt;&gt;"",VLOOKUP(AV634,'ESO zones'!$D$5:$H$4957,5,FALSE),""),"")</f>
        <v/>
      </c>
      <c r="AX634" s="30"/>
      <c r="AY634" s="30"/>
      <c r="AZ634" s="49" t="s">
        <v>403</v>
      </c>
      <c r="BA634" s="49"/>
      <c r="BB634" s="49"/>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1">
        <v>727</v>
      </c>
      <c r="B635" t="s">
        <v>1943</v>
      </c>
      <c r="C635" t="s">
        <v>1944</v>
      </c>
      <c r="D635" s="3">
        <f t="shared" si="54"/>
        <v>727</v>
      </c>
      <c r="E635" t="s">
        <v>1945</v>
      </c>
      <c r="G635" s="3" t="s">
        <v>186</v>
      </c>
      <c r="I635" t="s">
        <v>401</v>
      </c>
      <c r="J635" t="s">
        <v>401</v>
      </c>
      <c r="K635">
        <v>543</v>
      </c>
      <c r="L635">
        <v>543</v>
      </c>
      <c r="M635">
        <v>543</v>
      </c>
      <c r="O635" s="5" t="s">
        <v>1930</v>
      </c>
      <c r="Q635" s="3">
        <f>IF(AND(P635&lt;&gt;"",ISNUMBER(P635),NOT(ISNA(P635))),P635,IF(R635&lt;&gt;"",VLOOKUP(R635,'ESO zones'!$D$5:$H$10005,5,FALSE),""))</f>
        <v>1436</v>
      </c>
      <c r="R635" t="str">
        <f>IF(AND(O635&lt;&gt;"",NOT(ISERROR(O635))),O635,IF(AND(P635&lt;&gt;"",ISNUMBER(P635),P635&gt;0,NOT(ISNA(P635))),VLOOKUP(P635,'ESO zones'!$A$5:$D$10003,4,FALSE),IF(AND(K635&lt;&gt;"",K635&gt;0,NOT(ISERROR(K635))),VLOOKUP(K635,'ESO wayshrines'!$K$3:$N$9972,4,FALSE),"")))</f>
        <v>Infinite Archive</v>
      </c>
      <c r="T635" s="16" t="str">
        <f>IF(AND(S635&lt;&gt;"",NOT(ISERROR(S635))),S635,VLOOKUP(A635,'ESO Set&amp;DLCs'!$A$3:$D$99998,4,FALSE))</f>
        <v>DLC_BASE_GAME</v>
      </c>
      <c r="U635" s="3" t="str">
        <f>IF(T635&lt;&gt;"",VLOOKUP(T635,ConstDLCIds!$B$4:$C$1000,2,FALSE),"")</f>
        <v>Included in base game</v>
      </c>
      <c r="V635" s="57" t="s">
        <v>304</v>
      </c>
      <c r="W635" s="3" t="s">
        <v>1945</v>
      </c>
      <c r="X635" s="3" t="s">
        <v>1946</v>
      </c>
      <c r="Y635" s="5"/>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zones'!$A$5:$D$10003,4,FALSE),"")</f>
        <v>Apocrypha</v>
      </c>
      <c r="AB635" s="57"/>
      <c r="AE635" s="30"/>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zones'!$A$5:$D$10003,4,FALSE),"")</f>
        <v>Apocrypha</v>
      </c>
      <c r="AI635" s="30"/>
      <c r="AJ635" s="30"/>
      <c r="AK635" s="3" t="str">
        <f>IF(AND(G635&lt;&gt;"LIBSETS_SETTYPE_BATTLEGROUND",G635&lt;&gt;"LIBSETS_SETTYPE_SPECIAL"),IF(AL635&lt;&gt;"",VLOOKUP(AL635,'ESO zones'!$D$5:$H$4957,5,FALSE),""),"")</f>
        <v/>
      </c>
      <c r="AN635" s="30"/>
      <c r="AO635" s="30"/>
      <c r="AP635" s="3" t="str">
        <f>IF(AND(G635&lt;&gt;"LIBSETS_SETTYPE_BATTLEGROUND",G635&lt;&gt;"LIBSETS_SETTYPE_SPECIAL"),IF(AQ635&lt;&gt;"",VLOOKUP(AQ635,'ESO zones'!$D$5:$H$4957,5,FALSE),""),"")</f>
        <v/>
      </c>
      <c r="AS635" s="30"/>
      <c r="AT635" s="30"/>
      <c r="AU635" s="3" t="str">
        <f>IF(AND(G635&lt;&gt;"LIBSETS_SETTYPE_BATTLEGROUND",G635&lt;&gt;"LIBSETS_SETTYPE_SPECIAL"),IF(AV635&lt;&gt;"",VLOOKUP(AV635,'ESO zones'!$D$5:$H$4957,5,FALSE),""),"")</f>
        <v/>
      </c>
      <c r="AX635" s="30"/>
      <c r="AY635" s="30"/>
      <c r="AZ635" s="49" t="s">
        <v>403</v>
      </c>
      <c r="BA635" s="49"/>
      <c r="BB635" s="49"/>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1">
        <v>728</v>
      </c>
      <c r="B636" t="s">
        <v>1947</v>
      </c>
      <c r="C636" t="s">
        <v>1948</v>
      </c>
      <c r="D636" s="3">
        <f t="shared" si="54"/>
        <v>728</v>
      </c>
      <c r="E636" t="s">
        <v>1949</v>
      </c>
      <c r="G636" s="3" t="s">
        <v>186</v>
      </c>
      <c r="I636" t="s">
        <v>401</v>
      </c>
      <c r="J636" t="s">
        <v>401</v>
      </c>
      <c r="K636">
        <v>543</v>
      </c>
      <c r="L636">
        <v>543</v>
      </c>
      <c r="M636">
        <v>543</v>
      </c>
      <c r="O636" s="5" t="s">
        <v>1930</v>
      </c>
      <c r="Q636" s="3">
        <f>IF(AND(P636&lt;&gt;"",ISNUMBER(P636),NOT(ISNA(P636))),P636,IF(R636&lt;&gt;"",VLOOKUP(R636,'ESO zones'!$D$5:$H$10005,5,FALSE),""))</f>
        <v>1436</v>
      </c>
      <c r="R636" t="str">
        <f>IF(AND(O636&lt;&gt;"",NOT(ISERROR(O636))),O636,IF(AND(P636&lt;&gt;"",ISNUMBER(P636),P636&gt;0,NOT(ISNA(P636))),VLOOKUP(P636,'ESO zones'!$A$5:$D$10003,4,FALSE),IF(AND(K636&lt;&gt;"",K636&gt;0,NOT(ISERROR(K636))),VLOOKUP(K636,'ESO wayshrines'!$K$3:$N$9972,4,FALSE),"")))</f>
        <v>Infinite Archive</v>
      </c>
      <c r="T636" s="16" t="str">
        <f>IF(AND(S636&lt;&gt;"",NOT(ISERROR(S636))),S636,VLOOKUP(A636,'ESO Set&amp;DLCs'!$A$3:$D$99998,4,FALSE))</f>
        <v>DLC_BASE_GAME</v>
      </c>
      <c r="U636" s="3" t="str">
        <f>IF(T636&lt;&gt;"",VLOOKUP(T636,ConstDLCIds!$B$4:$C$1000,2,FALSE),"")</f>
        <v>Included in base game</v>
      </c>
      <c r="V636" s="57" t="s">
        <v>304</v>
      </c>
      <c r="W636" s="3" t="s">
        <v>1949</v>
      </c>
      <c r="X636" s="3" t="s">
        <v>1950</v>
      </c>
      <c r="Y636" s="5"/>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zones'!$A$5:$D$10003,4,FALSE),"")</f>
        <v>Apocrypha</v>
      </c>
      <c r="AB636" s="57"/>
      <c r="AE636" s="30"/>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zones'!$A$5:$D$10003,4,FALSE),"")</f>
        <v>Apocrypha</v>
      </c>
      <c r="AI636" s="30"/>
      <c r="AJ636" s="30"/>
      <c r="AK636" s="3" t="str">
        <f>IF(AND(G636&lt;&gt;"LIBSETS_SETTYPE_BATTLEGROUND",G636&lt;&gt;"LIBSETS_SETTYPE_SPECIAL"),IF(AL636&lt;&gt;"",VLOOKUP(AL636,'ESO zones'!$D$5:$H$4957,5,FALSE),""),"")</f>
        <v/>
      </c>
      <c r="AN636" s="30"/>
      <c r="AO636" s="30"/>
      <c r="AP636" s="3" t="str">
        <f>IF(AND(G636&lt;&gt;"LIBSETS_SETTYPE_BATTLEGROUND",G636&lt;&gt;"LIBSETS_SETTYPE_SPECIAL"),IF(AQ636&lt;&gt;"",VLOOKUP(AQ636,'ESO zones'!$D$5:$H$4957,5,FALSE),""),"")</f>
        <v/>
      </c>
      <c r="AS636" s="30"/>
      <c r="AT636" s="30"/>
      <c r="AU636" s="3" t="str">
        <f>IF(AND(G636&lt;&gt;"LIBSETS_SETTYPE_BATTLEGROUND",G636&lt;&gt;"LIBSETS_SETTYPE_SPECIAL"),IF(AV636&lt;&gt;"",VLOOKUP(AV636,'ESO zones'!$D$5:$H$4957,5,FALSE),""),"")</f>
        <v/>
      </c>
      <c r="AX636" s="30"/>
      <c r="AY636" s="30"/>
      <c r="AZ636" s="49" t="s">
        <v>403</v>
      </c>
      <c r="BA636" s="49"/>
      <c r="BB636" s="49"/>
      <c r="BC636">
        <v>6</v>
      </c>
      <c r="BD636"/>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1">
        <v>729</v>
      </c>
      <c r="B637" t="s">
        <v>1951</v>
      </c>
      <c r="C637" t="s">
        <v>1952</v>
      </c>
      <c r="D637" s="3">
        <f t="shared" si="54"/>
        <v>729</v>
      </c>
      <c r="E637" t="s">
        <v>1953</v>
      </c>
      <c r="G637" s="3" t="s">
        <v>186</v>
      </c>
      <c r="I637" t="s">
        <v>401</v>
      </c>
      <c r="J637" t="s">
        <v>401</v>
      </c>
      <c r="K637">
        <v>543</v>
      </c>
      <c r="L637">
        <v>543</v>
      </c>
      <c r="M637">
        <v>543</v>
      </c>
      <c r="O637" s="5" t="s">
        <v>1930</v>
      </c>
      <c r="Q637" s="3">
        <f>IF(AND(P637&lt;&gt;"",ISNUMBER(P637),NOT(ISNA(P637))),P637,IF(R637&lt;&gt;"",VLOOKUP(R637,'ESO zones'!$D$5:$H$10005,5,FALSE),""))</f>
        <v>1436</v>
      </c>
      <c r="R637" t="str">
        <f>IF(AND(O637&lt;&gt;"",NOT(ISERROR(O637))),O637,IF(AND(P637&lt;&gt;"",ISNUMBER(P637),P637&gt;0,NOT(ISNA(P637))),VLOOKUP(P637,'ESO zones'!$A$5:$D$10003,4,FALSE),IF(AND(K637&lt;&gt;"",K637&gt;0,NOT(ISERROR(K637))),VLOOKUP(K637,'ESO wayshrines'!$K$3:$N$9972,4,FALSE),"")))</f>
        <v>Infinite Archive</v>
      </c>
      <c r="T637" s="16" t="str">
        <f>IF(AND(S637&lt;&gt;"",NOT(ISERROR(S637))),S637,VLOOKUP(A637,'ESO Set&amp;DLCs'!$A$3:$D$99998,4,FALSE))</f>
        <v>DLC_BASE_GAME</v>
      </c>
      <c r="U637" s="3" t="str">
        <f>IF(T637&lt;&gt;"",VLOOKUP(T637,ConstDLCIds!$B$4:$C$1000,2,FALSE),"")</f>
        <v>Included in base game</v>
      </c>
      <c r="V637" s="57" t="s">
        <v>304</v>
      </c>
      <c r="W637" s="3" t="s">
        <v>1953</v>
      </c>
      <c r="X637" s="3" t="s">
        <v>1954</v>
      </c>
      <c r="Y637" s="5"/>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zones'!$A$5:$D$10003,4,FALSE),"")</f>
        <v>Apocrypha</v>
      </c>
      <c r="AB637" s="57"/>
      <c r="AE637" s="30"/>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zones'!$A$5:$D$10003,4,FALSE),"")</f>
        <v>Apocrypha</v>
      </c>
      <c r="AI637" s="30"/>
      <c r="AJ637" s="30"/>
      <c r="AK637" s="3" t="str">
        <f>IF(AND(G637&lt;&gt;"LIBSETS_SETTYPE_BATTLEGROUND",G637&lt;&gt;"LIBSETS_SETTYPE_SPECIAL"),IF(AL637&lt;&gt;"",VLOOKUP(AL637,'ESO zones'!$D$5:$H$4957,5,FALSE),""),"")</f>
        <v/>
      </c>
      <c r="AN637" s="30"/>
      <c r="AO637" s="30"/>
      <c r="AP637" s="3" t="str">
        <f>IF(AND(G637&lt;&gt;"LIBSETS_SETTYPE_BATTLEGROUND",G637&lt;&gt;"LIBSETS_SETTYPE_SPECIAL"),IF(AQ637&lt;&gt;"",VLOOKUP(AQ637,'ESO zones'!$D$5:$H$4957,5,FALSE),""),"")</f>
        <v/>
      </c>
      <c r="AS637" s="30"/>
      <c r="AT637" s="30"/>
      <c r="AU637" s="3" t="str">
        <f>IF(AND(G637&lt;&gt;"LIBSETS_SETTYPE_BATTLEGROUND",G637&lt;&gt;"LIBSETS_SETTYPE_SPECIAL"),IF(AV637&lt;&gt;"",VLOOKUP(AV637,'ESO zones'!$D$5:$H$4957,5,FALSE),""),"")</f>
        <v/>
      </c>
      <c r="AX637" s="30"/>
      <c r="AY637" s="30"/>
      <c r="AZ637" s="49" t="s">
        <v>403</v>
      </c>
      <c r="BA637" s="49"/>
      <c r="BB637" s="49"/>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1">
        <v>730</v>
      </c>
      <c r="B638" t="s">
        <v>1955</v>
      </c>
      <c r="C638" t="s">
        <v>1955</v>
      </c>
      <c r="D638" s="3">
        <f t="shared" si="54"/>
        <v>730</v>
      </c>
      <c r="G638" s="9" t="s">
        <v>169</v>
      </c>
      <c r="I638" t="s">
        <v>401</v>
      </c>
      <c r="J638" t="s">
        <v>401</v>
      </c>
      <c r="K638">
        <v>556</v>
      </c>
      <c r="L638">
        <v>556</v>
      </c>
      <c r="M638">
        <v>556</v>
      </c>
      <c r="O638" s="5" t="s">
        <v>1956</v>
      </c>
      <c r="Q638" s="3">
        <f>IF(AND(P638&lt;&gt;"",ISNUMBER(P638),NOT(ISNA(P638))),P638,IF(R638&lt;&gt;"",VLOOKUP(R638,'ESO zones'!$D$5:$H$10005,5,FALSE),""))</f>
        <v>1470</v>
      </c>
      <c r="R638" t="str">
        <f>IF(AND(O638&lt;&gt;"",NOT(ISERROR(O638))),O638,IF(AND(P638&lt;&gt;"",ISNUMBER(P638),P638&gt;0,NOT(ISNA(P638))),VLOOKUP(P638,'ESO zones'!$A$5:$D$10003,4,FALSE),IF(AND(K638&lt;&gt;"",K638&gt;0,NOT(ISERROR(K638))),VLOOKUP(K638,'ESO wayshrines'!$K$3:$N$9972,4,FALSE),"")))</f>
        <v>Oathsworn Pit</v>
      </c>
      <c r="T638" s="16" t="str">
        <f>IF(AND(S638&lt;&gt;"",NOT(ISERROR(S638))),S638,VLOOKUP(A638,'ESO Set&amp;DLCs'!$A$3:$D$99998,4,FALSE))</f>
        <v>DLC_SCIONS_OF_ITHELIA</v>
      </c>
      <c r="U638" s="3" t="str">
        <f>IF(T638&lt;&gt;"",VLOOKUP(T638,ConstDLCIds!$B$4:$C$1000,2,FALSE),"")</f>
        <v>Scions of Ithelia</v>
      </c>
      <c r="V638" s="57" t="s">
        <v>278</v>
      </c>
      <c r="Y638" s="5"/>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zones'!$A$5:$D$10003,4,FALSE),"")</f>
        <v>The Reach</v>
      </c>
      <c r="AB638" s="57"/>
      <c r="AE638" s="30"/>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zones'!$A$5:$D$10003,4,FALSE),"")</f>
        <v>The Reach</v>
      </c>
      <c r="AI638" s="30"/>
      <c r="AJ638" s="30"/>
      <c r="AK638" s="3" t="str">
        <f>IF(AND(G638&lt;&gt;"LIBSETS_SETTYPE_BATTLEGROUND",G638&lt;&gt;"LIBSETS_SETTYPE_SPECIAL"),IF(AL638&lt;&gt;"",VLOOKUP(AL638,'ESO zones'!$D$5:$H$4957,5,FALSE),""),"")</f>
        <v/>
      </c>
      <c r="AN638" s="30"/>
      <c r="AO638" s="30"/>
      <c r="AP638" s="3" t="str">
        <f>IF(AND(G638&lt;&gt;"LIBSETS_SETTYPE_BATTLEGROUND",G638&lt;&gt;"LIBSETS_SETTYPE_SPECIAL"),IF(AQ638&lt;&gt;"",VLOOKUP(AQ638,'ESO zones'!$D$5:$H$4957,5,FALSE),""),"")</f>
        <v/>
      </c>
      <c r="AS638" s="30"/>
      <c r="AT638" s="30"/>
      <c r="AU638" s="3" t="str">
        <f>IF(AND(G638&lt;&gt;"LIBSETS_SETTYPE_BATTLEGROUND",G638&lt;&gt;"LIBSETS_SETTYPE_SPECIAL"),IF(AV638&lt;&gt;"",VLOOKUP(AV638,'ESO zones'!$D$5:$H$4957,5,FALSE),""),"")</f>
        <v/>
      </c>
      <c r="AX638" s="30"/>
      <c r="AY638" s="30"/>
      <c r="AZ638" s="49" t="s">
        <v>403</v>
      </c>
      <c r="BA638" s="49"/>
      <c r="BB638" s="49"/>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1">
        <v>731</v>
      </c>
      <c r="B639" t="s">
        <v>1957</v>
      </c>
      <c r="C639" t="s">
        <v>1957</v>
      </c>
      <c r="D639" s="3">
        <f t="shared" si="54"/>
        <v>731</v>
      </c>
      <c r="G639" s="9" t="s">
        <v>169</v>
      </c>
      <c r="I639" t="s">
        <v>401</v>
      </c>
      <c r="J639" t="s">
        <v>401</v>
      </c>
      <c r="K639">
        <v>556</v>
      </c>
      <c r="L639">
        <v>556</v>
      </c>
      <c r="M639">
        <v>556</v>
      </c>
      <c r="O639" s="5" t="s">
        <v>1956</v>
      </c>
      <c r="Q639" s="3">
        <f>IF(AND(P639&lt;&gt;"",ISNUMBER(P639),NOT(ISNA(P639))),P639,IF(R639&lt;&gt;"",VLOOKUP(R639,'ESO zones'!$D$5:$H$10005,5,FALSE),""))</f>
        <v>1470</v>
      </c>
      <c r="R639" t="str">
        <f>IF(AND(O639&lt;&gt;"",NOT(ISERROR(O639))),O639,IF(AND(P639&lt;&gt;"",ISNUMBER(P639),P639&gt;0,NOT(ISNA(P639))),VLOOKUP(P639,'ESO zones'!$A$5:$D$10003,4,FALSE),IF(AND(K639&lt;&gt;"",K639&gt;0,NOT(ISERROR(K639))),VLOOKUP(K639,'ESO wayshrines'!$K$3:$N$9972,4,FALSE),"")))</f>
        <v>Oathsworn Pit</v>
      </c>
      <c r="T639" s="16" t="str">
        <f>IF(AND(S639&lt;&gt;"",NOT(ISERROR(S639))),S639,VLOOKUP(A639,'ESO Set&amp;DLCs'!$A$3:$D$99998,4,FALSE))</f>
        <v>DLC_SCIONS_OF_ITHELIA</v>
      </c>
      <c r="U639" s="3" t="str">
        <f>IF(T639&lt;&gt;"",VLOOKUP(T639,ConstDLCIds!$B$4:$C$1000,2,FALSE),"")</f>
        <v>Scions of Ithelia</v>
      </c>
      <c r="V639" s="57" t="s">
        <v>278</v>
      </c>
      <c r="Y639" s="5"/>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zones'!$A$5:$D$10003,4,FALSE),"")</f>
        <v>The Reach</v>
      </c>
      <c r="AB639" s="57"/>
      <c r="AE639" s="30"/>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zones'!$A$5:$D$10003,4,FALSE),"")</f>
        <v>The Reach</v>
      </c>
      <c r="AI639" s="30"/>
      <c r="AJ639" s="30"/>
      <c r="AK639" s="3" t="str">
        <f>IF(AND(G639&lt;&gt;"LIBSETS_SETTYPE_BATTLEGROUND",G639&lt;&gt;"LIBSETS_SETTYPE_SPECIAL"),IF(AL639&lt;&gt;"",VLOOKUP(AL639,'ESO zones'!$D$5:$H$4957,5,FALSE),""),"")</f>
        <v/>
      </c>
      <c r="AN639" s="30"/>
      <c r="AO639" s="30"/>
      <c r="AP639" s="3" t="str">
        <f>IF(AND(G639&lt;&gt;"LIBSETS_SETTYPE_BATTLEGROUND",G639&lt;&gt;"LIBSETS_SETTYPE_SPECIAL"),IF(AQ639&lt;&gt;"",VLOOKUP(AQ639,'ESO zones'!$D$5:$H$4957,5,FALSE),""),"")</f>
        <v/>
      </c>
      <c r="AS639" s="30"/>
      <c r="AT639" s="30"/>
      <c r="AU639" s="3" t="str">
        <f>IF(AND(G639&lt;&gt;"LIBSETS_SETTYPE_BATTLEGROUND",G639&lt;&gt;"LIBSETS_SETTYPE_SPECIAL"),IF(AV639&lt;&gt;"",VLOOKUP(AV639,'ESO zones'!$D$5:$H$4957,5,FALSE),""),"")</f>
        <v/>
      </c>
      <c r="AX639" s="30"/>
      <c r="AY639" s="30"/>
      <c r="AZ639" s="49" t="s">
        <v>403</v>
      </c>
      <c r="BA639" s="49"/>
      <c r="BB639" s="49"/>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1">
        <v>732</v>
      </c>
      <c r="B640" t="s">
        <v>1958</v>
      </c>
      <c r="C640" t="s">
        <v>1958</v>
      </c>
      <c r="D640" s="3">
        <f t="shared" si="54"/>
        <v>732</v>
      </c>
      <c r="G640" s="9" t="s">
        <v>169</v>
      </c>
      <c r="I640" t="s">
        <v>401</v>
      </c>
      <c r="J640" t="s">
        <v>401</v>
      </c>
      <c r="K640">
        <v>556</v>
      </c>
      <c r="L640">
        <v>556</v>
      </c>
      <c r="M640">
        <v>556</v>
      </c>
      <c r="O640" s="5" t="s">
        <v>1956</v>
      </c>
      <c r="Q640" s="3">
        <f>IF(AND(P640&lt;&gt;"",ISNUMBER(P640),NOT(ISNA(P640))),P640,IF(R640&lt;&gt;"",VLOOKUP(R640,'ESO zones'!$D$5:$H$10005,5,FALSE),""))</f>
        <v>1470</v>
      </c>
      <c r="R640" t="str">
        <f>IF(AND(O640&lt;&gt;"",NOT(ISERROR(O640))),O640,IF(AND(P640&lt;&gt;"",ISNUMBER(P640),P640&gt;0,NOT(ISNA(P640))),VLOOKUP(P640,'ESO zones'!$A$5:$D$10003,4,FALSE),IF(AND(K640&lt;&gt;"",K640&gt;0,NOT(ISERROR(K640))),VLOOKUP(K640,'ESO wayshrines'!$K$3:$N$9972,4,FALSE),"")))</f>
        <v>Oathsworn Pit</v>
      </c>
      <c r="T640" s="16" t="str">
        <f>IF(AND(S640&lt;&gt;"",NOT(ISERROR(S640))),S640,VLOOKUP(A640,'ESO Set&amp;DLCs'!$A$3:$D$99998,4,FALSE))</f>
        <v>DLC_SCIONS_OF_ITHELIA</v>
      </c>
      <c r="U640" s="3" t="str">
        <f>IF(T640&lt;&gt;"",VLOOKUP(T640,ConstDLCIds!$B$4:$C$1000,2,FALSE),"")</f>
        <v>Scions of Ithelia</v>
      </c>
      <c r="V640" s="57" t="s">
        <v>278</v>
      </c>
      <c r="Y640" s="5"/>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zones'!$A$5:$D$10003,4,FALSE),"")</f>
        <v>The Reach</v>
      </c>
      <c r="AB640" s="57"/>
      <c r="AE640" s="30"/>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zones'!$A$5:$D$10003,4,FALSE),"")</f>
        <v>The Reach</v>
      </c>
      <c r="AI640" s="30"/>
      <c r="AJ640" s="30"/>
      <c r="AK640" s="3" t="str">
        <f>IF(AND(G640&lt;&gt;"LIBSETS_SETTYPE_BATTLEGROUND",G640&lt;&gt;"LIBSETS_SETTYPE_SPECIAL"),IF(AL640&lt;&gt;"",VLOOKUP(AL640,'ESO zones'!$D$5:$H$4957,5,FALSE),""),"")</f>
        <v/>
      </c>
      <c r="AN640" s="30"/>
      <c r="AO640" s="30"/>
      <c r="AP640" s="3" t="str">
        <f>IF(AND(G640&lt;&gt;"LIBSETS_SETTYPE_BATTLEGROUND",G640&lt;&gt;"LIBSETS_SETTYPE_SPECIAL"),IF(AQ640&lt;&gt;"",VLOOKUP(AQ640,'ESO zones'!$D$5:$H$4957,5,FALSE),""),"")</f>
        <v/>
      </c>
      <c r="AS640" s="30"/>
      <c r="AT640" s="30"/>
      <c r="AU640" s="3" t="str">
        <f>IF(AND(G640&lt;&gt;"LIBSETS_SETTYPE_BATTLEGROUND",G640&lt;&gt;"LIBSETS_SETTYPE_SPECIAL"),IF(AV640&lt;&gt;"",VLOOKUP(AV640,'ESO zones'!$D$5:$H$4957,5,FALSE),""),"")</f>
        <v/>
      </c>
      <c r="AX640" s="30"/>
      <c r="AY640" s="30"/>
      <c r="AZ640" s="49" t="s">
        <v>403</v>
      </c>
      <c r="BA640" s="49"/>
      <c r="BB640" s="49"/>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1">
        <v>734</v>
      </c>
      <c r="B641" t="s">
        <v>1959</v>
      </c>
      <c r="C641" t="s">
        <v>1960</v>
      </c>
      <c r="D641" s="3">
        <f t="shared" si="54"/>
        <v>734</v>
      </c>
      <c r="G641" s="9" t="s">
        <v>172</v>
      </c>
      <c r="H641">
        <v>3</v>
      </c>
      <c r="I641" t="s">
        <v>712</v>
      </c>
      <c r="J641" t="s">
        <v>401</v>
      </c>
      <c r="K641">
        <v>556</v>
      </c>
      <c r="L641">
        <v>556</v>
      </c>
      <c r="M641">
        <v>556</v>
      </c>
      <c r="O641" s="5" t="s">
        <v>1956</v>
      </c>
      <c r="Q641" s="3">
        <f>IF(AND(P641&lt;&gt;"",ISNUMBER(P641),NOT(ISNA(P641))),P641,IF(R641&lt;&gt;"",VLOOKUP(R641,'ESO zones'!$D$5:$H$10005,5,FALSE),""))</f>
        <v>1470</v>
      </c>
      <c r="R641" t="str">
        <f>IF(AND(O641&lt;&gt;"",NOT(ISERROR(O641))),O641,IF(AND(P641&lt;&gt;"",ISNUMBER(P641),P641&gt;0,NOT(ISNA(P641))),VLOOKUP(P641,'ESO zones'!$A$5:$D$10003,4,FALSE),IF(AND(K641&lt;&gt;"",K641&gt;0,NOT(ISERROR(K641))),VLOOKUP(K641,'ESO wayshrines'!$K$3:$N$9972,4,FALSE),"")))</f>
        <v>Oathsworn Pit</v>
      </c>
      <c r="T641" s="16" t="str">
        <f>IF(AND(S641&lt;&gt;"",NOT(ISERROR(S641))),S641,VLOOKUP(A641,'ESO Set&amp;DLCs'!$A$3:$D$99998,4,FALSE))</f>
        <v>DLC_SCIONS_OF_ITHELIA</v>
      </c>
      <c r="U641" s="3" t="str">
        <f>IF(T641&lt;&gt;"",VLOOKUP(T641,ConstDLCIds!$B$4:$C$1000,2,FALSE),"")</f>
        <v>Scions of Ithelia</v>
      </c>
      <c r="V641" s="4" t="s">
        <v>212</v>
      </c>
      <c r="W641" s="3" t="s">
        <v>1959</v>
      </c>
      <c r="X641" s="3" t="s">
        <v>1960</v>
      </c>
      <c r="Y641" s="5"/>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zones'!$A$5:$D$10003,4,FALSE),"")</f>
        <v>The Reach</v>
      </c>
      <c r="AB641" s="57"/>
      <c r="AC641" s="3" t="str">
        <f>IF(AB641&lt;&gt;"",IF(AB641&lt;&gt;"LIBSETS_DROP_MECHANIC_MONSTER_NAME",VLOOKUP(AB641,ConstDropMechs!$B$4:$C$1001,2,FALSE),""),"")</f>
        <v/>
      </c>
      <c r="AD641" s="3" t="str">
        <f>IF(AB641&lt;&gt;"",IF(AB641&lt;&gt;"LIBSETS_DROP_MECHANIC_MONSTER_NAME",VLOOKUP(AB641,ConstDropMechs!$B$4:$D$1001,3,FALSE),""),"")</f>
        <v/>
      </c>
      <c r="AE641" s="30"/>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zones'!$A$5:$D$10003,4,FALSE),"")</f>
        <v>The Reach</v>
      </c>
      <c r="AI641" s="30"/>
      <c r="AJ641" s="30"/>
      <c r="AK641" s="3" t="str">
        <f>IF(AND(G641&lt;&gt;"LIBSETS_SETTYPE_BATTLEGROUND",G641&lt;&gt;"LIBSETS_SETTYPE_SPECIAL"),IF(AL641&lt;&gt;"",VLOOKUP(AL641,'ESO zones'!$D$5:$H$4957,5,FALSE),""),"")</f>
        <v/>
      </c>
      <c r="AN641" s="30"/>
      <c r="AO641" s="30"/>
      <c r="AP641" s="3" t="str">
        <f>IF(AND(G641&lt;&gt;"LIBSETS_SETTYPE_BATTLEGROUND",G641&lt;&gt;"LIBSETS_SETTYPE_SPECIAL"),IF(AQ641&lt;&gt;"",VLOOKUP(AQ641,'ESO zones'!$D$5:$H$4957,5,FALSE),""),"")</f>
        <v/>
      </c>
      <c r="AS641" s="30"/>
      <c r="AT641" s="30"/>
      <c r="AU641" s="3" t="str">
        <f>IF(AND(G641&lt;&gt;"LIBSETS_SETTYPE_BATTLEGROUND",G641&lt;&gt;"LIBSETS_SETTYPE_SPECIAL"),IF(AV641&lt;&gt;"",VLOOKUP(AV641,'ESO zones'!$D$5:$H$4957,5,FALSE),""),"")</f>
        <v/>
      </c>
      <c r="AX641" s="30"/>
      <c r="AY641" s="30"/>
      <c r="AZ641" s="49" t="s">
        <v>403</v>
      </c>
      <c r="BA641" s="49"/>
      <c r="BB641" s="49"/>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1">
        <v>735</v>
      </c>
      <c r="B642" t="s">
        <v>1961</v>
      </c>
      <c r="C642" t="s">
        <v>1961</v>
      </c>
      <c r="D642" s="3">
        <f t="shared" si="54"/>
        <v>735</v>
      </c>
      <c r="G642" s="9" t="s">
        <v>169</v>
      </c>
      <c r="I642" t="s">
        <v>401</v>
      </c>
      <c r="J642" t="s">
        <v>401</v>
      </c>
      <c r="K642">
        <v>565</v>
      </c>
      <c r="L642">
        <v>565</v>
      </c>
      <c r="M642">
        <v>565</v>
      </c>
      <c r="O642" s="5" t="s">
        <v>1962</v>
      </c>
      <c r="Q642" s="3">
        <f>IF(AND(P642&lt;&gt;"",ISNUMBER(P642),NOT(ISNA(P642))),P642,IF(R642&lt;&gt;"",VLOOKUP(R642,'ESO zones'!$D$5:$H$10005,5,FALSE),""))</f>
        <v>1471</v>
      </c>
      <c r="R642" t="str">
        <f>IF(AND(O642&lt;&gt;"",NOT(ISERROR(O642))),O642,IF(AND(P642&lt;&gt;"",ISNUMBER(P642),P642&gt;0,NOT(ISNA(P642))),VLOOKUP(P642,'ESO zones'!$A$5:$D$10003,4,FALSE),IF(AND(K642&lt;&gt;"",K642&gt;0,NOT(ISERROR(K642))),VLOOKUP(K642,'ESO wayshrines'!$K$3:$N$9972,4,FALSE),"")))</f>
        <v>Bedlam Veil</v>
      </c>
      <c r="T642" s="16" t="str">
        <f>IF(AND(S642&lt;&gt;"",NOT(ISERROR(S642))),S642,VLOOKUP(A642,'ESO Set&amp;DLCs'!$A$3:$D$99998,4,FALSE))</f>
        <v>DLC_SCIONS_OF_ITHELIA</v>
      </c>
      <c r="U642" s="3" t="str">
        <f>IF(T642&lt;&gt;"",VLOOKUP(T642,ConstDLCIds!$B$4:$C$1000,2,FALSE),"")</f>
        <v>Scions of Ithelia</v>
      </c>
      <c r="V642" s="57" t="s">
        <v>278</v>
      </c>
      <c r="Y642" s="5"/>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zones'!$A$5:$D$10003,4,FALSE),"")</f>
        <v>Wrothgar</v>
      </c>
      <c r="AB642" s="57"/>
      <c r="AE642" s="30"/>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zones'!$A$5:$D$10003,4,FALSE),"")</f>
        <v>Wrothgar</v>
      </c>
      <c r="AI642" s="30"/>
      <c r="AJ642" s="30"/>
      <c r="AK642" s="3" t="str">
        <f>IF(AND(G642&lt;&gt;"LIBSETS_SETTYPE_BATTLEGROUND",G642&lt;&gt;"LIBSETS_SETTYPE_SPECIAL"),IF(AL642&lt;&gt;"",VLOOKUP(AL642,'ESO zones'!$D$5:$H$4957,5,FALSE),""),"")</f>
        <v/>
      </c>
      <c r="AN642" s="30"/>
      <c r="AO642" s="30"/>
      <c r="AP642" s="3" t="str">
        <f>IF(AND(G642&lt;&gt;"LIBSETS_SETTYPE_BATTLEGROUND",G642&lt;&gt;"LIBSETS_SETTYPE_SPECIAL"),IF(AQ642&lt;&gt;"",VLOOKUP(AQ642,'ESO zones'!$D$5:$H$4957,5,FALSE),""),"")</f>
        <v/>
      </c>
      <c r="AS642" s="30"/>
      <c r="AT642" s="30"/>
      <c r="AU642" s="3" t="str">
        <f>IF(AND(G642&lt;&gt;"LIBSETS_SETTYPE_BATTLEGROUND",G642&lt;&gt;"LIBSETS_SETTYPE_SPECIAL"),IF(AV642&lt;&gt;"",VLOOKUP(AV642,'ESO zones'!$D$5:$H$4957,5,FALSE),""),"")</f>
        <v/>
      </c>
      <c r="AX642" s="30"/>
      <c r="AY642" s="30"/>
      <c r="AZ642" s="49" t="s">
        <v>403</v>
      </c>
      <c r="BA642" s="49"/>
      <c r="BB642" s="49"/>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1">
        <v>736</v>
      </c>
      <c r="B643" t="s">
        <v>1963</v>
      </c>
      <c r="C643" t="s">
        <v>1963</v>
      </c>
      <c r="D643" s="3">
        <f t="shared" ref="D643:D706" si="60">A643</f>
        <v>736</v>
      </c>
      <c r="G643" s="9" t="s">
        <v>169</v>
      </c>
      <c r="I643" t="s">
        <v>401</v>
      </c>
      <c r="J643" t="s">
        <v>401</v>
      </c>
      <c r="K643">
        <v>565</v>
      </c>
      <c r="L643">
        <v>565</v>
      </c>
      <c r="M643">
        <v>565</v>
      </c>
      <c r="O643" s="5" t="s">
        <v>1962</v>
      </c>
      <c r="Q643" s="3">
        <f>IF(AND(P643&lt;&gt;"",ISNUMBER(P643),NOT(ISNA(P643))),P643,IF(R643&lt;&gt;"",VLOOKUP(R643,'ESO zones'!$D$5:$H$10005,5,FALSE),""))</f>
        <v>1471</v>
      </c>
      <c r="R643" t="str">
        <f>IF(AND(O643&lt;&gt;"",NOT(ISERROR(O643))),O643,IF(AND(P643&lt;&gt;"",ISNUMBER(P643),P643&gt;0,NOT(ISNA(P643))),VLOOKUP(P643,'ESO zones'!$A$5:$D$10003,4,FALSE),IF(AND(K643&lt;&gt;"",K643&gt;0,NOT(ISERROR(K643))),VLOOKUP(K643,'ESO wayshrines'!$K$3:$N$9972,4,FALSE),"")))</f>
        <v>Bedlam Veil</v>
      </c>
      <c r="T643" s="16" t="str">
        <f>IF(AND(S643&lt;&gt;"",NOT(ISERROR(S643))),S643,VLOOKUP(A643,'ESO Set&amp;DLCs'!$A$3:$D$99998,4,FALSE))</f>
        <v>DLC_SCIONS_OF_ITHELIA</v>
      </c>
      <c r="U643" s="3" t="str">
        <f>IF(T643&lt;&gt;"",VLOOKUP(T643,ConstDLCIds!$B$4:$C$1000,2,FALSE),"")</f>
        <v>Scions of Ithelia</v>
      </c>
      <c r="V643" s="57" t="s">
        <v>278</v>
      </c>
      <c r="Y643" s="5"/>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zones'!$A$5:$D$10003,4,FALSE),"")</f>
        <v>Wrothgar</v>
      </c>
      <c r="AB643" s="57"/>
      <c r="AE643" s="30"/>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zones'!$A$5:$D$10003,4,FALSE),"")</f>
        <v>Wrothgar</v>
      </c>
      <c r="AI643" s="30"/>
      <c r="AJ643" s="30"/>
      <c r="AK643" s="3" t="str">
        <f>IF(AND(G643&lt;&gt;"LIBSETS_SETTYPE_BATTLEGROUND",G643&lt;&gt;"LIBSETS_SETTYPE_SPECIAL"),IF(AL643&lt;&gt;"",VLOOKUP(AL643,'ESO zones'!$D$5:$H$4957,5,FALSE),""),"")</f>
        <v/>
      </c>
      <c r="AN643" s="30"/>
      <c r="AO643" s="30"/>
      <c r="AP643" s="3" t="str">
        <f>IF(AND(G643&lt;&gt;"LIBSETS_SETTYPE_BATTLEGROUND",G643&lt;&gt;"LIBSETS_SETTYPE_SPECIAL"),IF(AQ643&lt;&gt;"",VLOOKUP(AQ643,'ESO zones'!$D$5:$H$4957,5,FALSE),""),"")</f>
        <v/>
      </c>
      <c r="AS643" s="30"/>
      <c r="AT643" s="30"/>
      <c r="AU643" s="3" t="str">
        <f>IF(AND(G643&lt;&gt;"LIBSETS_SETTYPE_BATTLEGROUND",G643&lt;&gt;"LIBSETS_SETTYPE_SPECIAL"),IF(AV643&lt;&gt;"",VLOOKUP(AV643,'ESO zones'!$D$5:$H$4957,5,FALSE),""),"")</f>
        <v/>
      </c>
      <c r="AX643" s="30"/>
      <c r="AY643" s="30"/>
      <c r="AZ643" s="49" t="s">
        <v>403</v>
      </c>
      <c r="BA643" s="49"/>
      <c r="BB643" s="49"/>
      <c r="BC643"/>
      <c r="BD643"/>
      <c r="BE643" s="18" t="str">
        <f t="shared" ref="BE643:BE706"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8" t="str">
        <f t="shared" ref="BF643:BF706"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8" t="str">
        <f t="shared" ref="BG643:BG706" si="63">IF(A643&lt;&gt;"",IF(F643&lt;&gt;"Not in the game (anymore)",IF(A643&lt;&gt;"",", setType="&amp;G643,"")&amp;IF(G643="LIBSETS_SETTYPE_CLASS",", classId="&amp;BC643,"")&amp;IF(J643="true",", multiTrialSet=true",""),"")&amp;IF(AND(H643&lt;&gt;"",ISNUMBER(H643)),", undauntedChestId="&amp;H643,""),"")</f>
        <v>, setType=LIBSETS_SETTYPE_DUNGEON</v>
      </c>
      <c r="BH643" s="18" t="str">
        <f t="shared" ref="BH643:BH706" si="64">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8" t="str">
        <f t="shared" ref="BI643:BI706" si="65">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row>
    <row r="644" spans="1:61" x14ac:dyDescent="0.25">
      <c r="A644" s="1">
        <v>737</v>
      </c>
      <c r="B644" t="s">
        <v>1964</v>
      </c>
      <c r="C644" t="s">
        <v>1964</v>
      </c>
      <c r="D644" s="3">
        <f t="shared" si="60"/>
        <v>737</v>
      </c>
      <c r="G644" s="9" t="s">
        <v>169</v>
      </c>
      <c r="I644" t="s">
        <v>401</v>
      </c>
      <c r="J644" t="s">
        <v>401</v>
      </c>
      <c r="K644">
        <v>565</v>
      </c>
      <c r="L644">
        <v>565</v>
      </c>
      <c r="M644">
        <v>565</v>
      </c>
      <c r="O644" s="5" t="s">
        <v>1962</v>
      </c>
      <c r="Q644" s="3">
        <f>IF(AND(P644&lt;&gt;"",ISNUMBER(P644),NOT(ISNA(P644))),P644,IF(R644&lt;&gt;"",VLOOKUP(R644,'ESO zones'!$D$5:$H$10005,5,FALSE),""))</f>
        <v>1471</v>
      </c>
      <c r="R644" t="str">
        <f>IF(AND(O644&lt;&gt;"",NOT(ISERROR(O644))),O644,IF(AND(P644&lt;&gt;"",ISNUMBER(P644),P644&gt;0,NOT(ISNA(P644))),VLOOKUP(P644,'ESO zones'!$A$5:$D$10003,4,FALSE),IF(AND(K644&lt;&gt;"",K644&gt;0,NOT(ISERROR(K644))),VLOOKUP(K644,'ESO wayshrines'!$K$3:$N$9972,4,FALSE),"")))</f>
        <v>Bedlam Veil</v>
      </c>
      <c r="T644" s="16" t="str">
        <f>IF(AND(S644&lt;&gt;"",NOT(ISERROR(S644))),S644,VLOOKUP(A644,'ESO Set&amp;DLCs'!$A$3:$D$99998,4,FALSE))</f>
        <v>DLC_SCIONS_OF_ITHELIA</v>
      </c>
      <c r="U644" s="3" t="str">
        <f>IF(T644&lt;&gt;"",VLOOKUP(T644,ConstDLCIds!$B$4:$C$1000,2,FALSE),"")</f>
        <v>Scions of Ithelia</v>
      </c>
      <c r="V644" s="57" t="s">
        <v>278</v>
      </c>
      <c r="Y644" s="5"/>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zones'!$A$5:$D$10003,4,FALSE),"")</f>
        <v>Wrothgar</v>
      </c>
      <c r="AB644" s="57"/>
      <c r="AE644" s="30"/>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zones'!$A$5:$D$10003,4,FALSE),"")</f>
        <v>Wrothgar</v>
      </c>
      <c r="AI644" s="30"/>
      <c r="AJ644" s="30"/>
      <c r="AK644" s="3" t="str">
        <f>IF(AND(G644&lt;&gt;"LIBSETS_SETTYPE_BATTLEGROUND",G644&lt;&gt;"LIBSETS_SETTYPE_SPECIAL"),IF(AL644&lt;&gt;"",VLOOKUP(AL644,'ESO zones'!$D$5:$H$4957,5,FALSE),""),"")</f>
        <v/>
      </c>
      <c r="AN644" s="30"/>
      <c r="AO644" s="30"/>
      <c r="AP644" s="3" t="str">
        <f>IF(AND(G644&lt;&gt;"LIBSETS_SETTYPE_BATTLEGROUND",G644&lt;&gt;"LIBSETS_SETTYPE_SPECIAL"),IF(AQ644&lt;&gt;"",VLOOKUP(AQ644,'ESO zones'!$D$5:$H$4957,5,FALSE),""),"")</f>
        <v/>
      </c>
      <c r="AS644" s="30"/>
      <c r="AT644" s="30"/>
      <c r="AU644" s="3" t="str">
        <f>IF(AND(G644&lt;&gt;"LIBSETS_SETTYPE_BATTLEGROUND",G644&lt;&gt;"LIBSETS_SETTYPE_SPECIAL"),IF(AV644&lt;&gt;"",VLOOKUP(AV644,'ESO zones'!$D$5:$H$4957,5,FALSE),""),"")</f>
        <v/>
      </c>
      <c r="AX644" s="30"/>
      <c r="AY644" s="30"/>
      <c r="AZ644" s="49" t="s">
        <v>403</v>
      </c>
      <c r="BA644" s="49"/>
      <c r="BB644" s="49"/>
      <c r="BC644"/>
      <c r="BD644"/>
      <c r="BE644" s="18" t="str">
        <f t="shared" si="61"/>
        <v>[737] = {wayshrines={565,565,565,}, dlcId=DLC_SCIONS_OF_ITHELIA</v>
      </c>
      <c r="BF644" s="18" t="str">
        <f t="shared" si="62"/>
        <v>, zoneIds={1471,684,684}, veteran=false</v>
      </c>
      <c r="BG644" s="18" t="str">
        <f t="shared" si="63"/>
        <v>, setType=LIBSETS_SETTYPE_DUNGEON</v>
      </c>
      <c r="BH644" s="18" t="str">
        <f t="shared" si="64"/>
        <v>, dropMechanic={LIBSETS_DROP_MECHANIC_GROUP_DUNGEON_BOSS}</v>
      </c>
      <c r="BI644" s="18" t="str">
        <f t="shared" si="65"/>
        <v>}, --Reflected Fury / Reflected Fury   [Bedlam Veil, Wrothgar, Wrothgar]</v>
      </c>
    </row>
    <row r="645" spans="1:61" x14ac:dyDescent="0.25">
      <c r="A645" s="1">
        <v>738</v>
      </c>
      <c r="B645" t="s">
        <v>1965</v>
      </c>
      <c r="C645" t="s">
        <v>1966</v>
      </c>
      <c r="D645" s="3">
        <f t="shared" si="60"/>
        <v>738</v>
      </c>
      <c r="G645" s="9" t="s">
        <v>172</v>
      </c>
      <c r="H645">
        <v>3</v>
      </c>
      <c r="I645" t="s">
        <v>712</v>
      </c>
      <c r="J645" t="s">
        <v>401</v>
      </c>
      <c r="K645">
        <v>565</v>
      </c>
      <c r="L645">
        <v>565</v>
      </c>
      <c r="M645">
        <v>565</v>
      </c>
      <c r="O645" s="5" t="s">
        <v>1962</v>
      </c>
      <c r="Q645" s="3">
        <f>IF(AND(P645&lt;&gt;"",ISNUMBER(P645),NOT(ISNA(P645))),P645,IF(R645&lt;&gt;"",VLOOKUP(R645,'ESO zones'!$D$5:$H$10005,5,FALSE),""))</f>
        <v>1471</v>
      </c>
      <c r="R645" t="str">
        <f>IF(AND(O645&lt;&gt;"",NOT(ISERROR(O645))),O645,IF(AND(P645&lt;&gt;"",ISNUMBER(P645),P645&gt;0,NOT(ISNA(P645))),VLOOKUP(P645,'ESO zones'!$A$5:$D$10003,4,FALSE),IF(AND(K645&lt;&gt;"",K645&gt;0,NOT(ISERROR(K645))),VLOOKUP(K645,'ESO wayshrines'!$K$3:$N$9972,4,FALSE),"")))</f>
        <v>Bedlam Veil</v>
      </c>
      <c r="T645" s="16" t="str">
        <f>IF(AND(S645&lt;&gt;"",NOT(ISERROR(S645))),S645,VLOOKUP(A645,'ESO Set&amp;DLCs'!$A$3:$D$99998,4,FALSE))</f>
        <v>DLC_SCIONS_OF_ITHELIA</v>
      </c>
      <c r="U645" s="3" t="str">
        <f>IF(T645&lt;&gt;"",VLOOKUP(T645,ConstDLCIds!$B$4:$C$1000,2,FALSE),"")</f>
        <v>Scions of Ithelia</v>
      </c>
      <c r="V645" s="4" t="s">
        <v>212</v>
      </c>
      <c r="W645" s="3" t="s">
        <v>1966</v>
      </c>
      <c r="X645" s="3" t="s">
        <v>1965</v>
      </c>
      <c r="Y645" s="5"/>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zones'!$A$5:$D$10003,4,FALSE),"")</f>
        <v>Wrothgar</v>
      </c>
      <c r="AB645" s="57"/>
      <c r="AC645" s="3" t="str">
        <f>IF(AB645&lt;&gt;"",IF(AB645&lt;&gt;"LIBSETS_DROP_MECHANIC_MONSTER_NAME",VLOOKUP(AB645,ConstDropMechs!$B$4:$C$1001,2,FALSE),""),"")</f>
        <v/>
      </c>
      <c r="AD645" s="3" t="str">
        <f>IF(AB645&lt;&gt;"",IF(AB645&lt;&gt;"LIBSETS_DROP_MECHANIC_MONSTER_NAME",VLOOKUP(AB645,ConstDropMechs!$B$4:$D$1001,3,FALSE),""),"")</f>
        <v/>
      </c>
      <c r="AE645" s="30"/>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zones'!$A$5:$D$10003,4,FALSE),"")</f>
        <v>Wrothgar</v>
      </c>
      <c r="AK645" s="3" t="str">
        <f>IF(AND(G645&lt;&gt;"LIBSETS_SETTYPE_BATTLEGROUND",G645&lt;&gt;"LIBSETS_SETTYPE_SPECIAL"),IF(AL645&lt;&gt;"",VLOOKUP(AL645,'ESO zones'!$D$5:$H$4957,5,FALSE),""),"")</f>
        <v/>
      </c>
      <c r="AP645" s="3" t="str">
        <f>IF(AND(G645&lt;&gt;"LIBSETS_SETTYPE_BATTLEGROUND",G645&lt;&gt;"LIBSETS_SETTYPE_SPECIAL"),IF(AQ645&lt;&gt;"",VLOOKUP(AQ645,'ESO zones'!$D$5:$H$4957,5,FALSE),""),"")</f>
        <v/>
      </c>
      <c r="AU645" s="3" t="str">
        <f>IF(AND(G645&lt;&gt;"LIBSETS_SETTYPE_BATTLEGROUND",G645&lt;&gt;"LIBSETS_SETTYPE_SPECIAL"),IF(AV645&lt;&gt;"",VLOOKUP(AV645,'ESO zones'!$D$5:$H$4957,5,FALSE),""),"")</f>
        <v/>
      </c>
      <c r="AX645" s="30"/>
      <c r="AY645" s="30"/>
      <c r="AZ645" s="49" t="s">
        <v>403</v>
      </c>
      <c r="BA645" s="49"/>
      <c r="BB645" s="49"/>
      <c r="BC645"/>
      <c r="BD645"/>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1">
        <v>754</v>
      </c>
      <c r="B646" t="s">
        <v>1967</v>
      </c>
      <c r="C646" t="s">
        <v>1967</v>
      </c>
      <c r="D646" s="3">
        <f t="shared" si="60"/>
        <v>754</v>
      </c>
      <c r="G646" s="3" t="s">
        <v>165</v>
      </c>
      <c r="I646" t="s">
        <v>401</v>
      </c>
      <c r="J646" t="s">
        <v>401</v>
      </c>
      <c r="K646">
        <v>-1</v>
      </c>
      <c r="L646">
        <v>-1</v>
      </c>
      <c r="M646">
        <v>-1</v>
      </c>
      <c r="O646" s="5" t="s">
        <v>166</v>
      </c>
      <c r="Q646" s="3">
        <f>IF(AND(P646&lt;&gt;"",ISNUMBER(P646),NOT(ISNA(P646))),P646,IF(R646&lt;&gt;"",VLOOKUP(R646,'ESO zones'!$D$5:$H$10005,5,FALSE),""))</f>
        <v>181</v>
      </c>
      <c r="R646" t="str">
        <f>IF(AND(O646&lt;&gt;"",NOT(ISERROR(O646))),O646,IF(AND(P646&lt;&gt;"",ISNUMBER(P646),P646&gt;0,NOT(ISNA(P646))),VLOOKUP(P646,'ESO zones'!$A$5:$D$10003,4,FALSE),IF(AND(K646&lt;&gt;"",K646&gt;0,NOT(ISERROR(K646))),VLOOKUP(K646,'ESO wayshrines'!$K$3:$N$9972,4,FALSE),"")))</f>
        <v>Cyrodiil</v>
      </c>
      <c r="T646" s="16" t="str">
        <f>IF(AND(S646&lt;&gt;"",NOT(ISERROR(S646))),S646,VLOOKUP(A646,'ESO Set&amp;DLCs'!$A$3:$D$99998,4,FALSE))</f>
        <v>DLC_BASE_GAME</v>
      </c>
      <c r="U646" s="3" t="str">
        <f>IF(T646&lt;&gt;"",VLOOKUP(T646,ConstDLCIds!$B$4:$C$1000,2,FALSE),"")</f>
        <v>Included in base game</v>
      </c>
      <c r="V646" s="57" t="s">
        <v>197</v>
      </c>
      <c r="Y646" s="5">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zones'!$A$5:$D$10003,4,FALSE),"")</f>
        <v>Cyrodiil</v>
      </c>
      <c r="AB646" s="4" t="s">
        <v>301</v>
      </c>
      <c r="AE646" s="5">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zones'!$A$5:$D$10003,4,FALSE),"")</f>
        <v>Cyrodiil</v>
      </c>
      <c r="AH646" s="4" t="s">
        <v>248</v>
      </c>
      <c r="AI646" s="30"/>
      <c r="AJ646" s="30"/>
      <c r="AK646" s="3">
        <f>IF(AND(G646&lt;&gt;"LIBSETS_SETTYPE_BATTLEGROUND",G646&lt;&gt;"LIBSETS_SETTYPE_SPECIAL"),IF(AL646&lt;&gt;"",VLOOKUP(AL646,'ESO zones'!$D$5:$H$4957,5,FALSE),""),"")</f>
        <v>181</v>
      </c>
      <c r="AL646" t="s">
        <v>166</v>
      </c>
      <c r="AM646" s="4" t="s">
        <v>298</v>
      </c>
      <c r="AN646" s="30"/>
      <c r="AO646" s="30"/>
      <c r="AP646" s="3">
        <f>IF(AND(G646&lt;&gt;"LIBSETS_SETTYPE_BATTLEGROUND",G646&lt;&gt;"LIBSETS_SETTYPE_SPECIAL"),IF(AQ646&lt;&gt;"",VLOOKUP(AQ646,'ESO zones'!$D$5:$H$4957,5,FALSE),""),"")</f>
        <v>181</v>
      </c>
      <c r="AQ646" t="s">
        <v>166</v>
      </c>
      <c r="AR646" s="4" t="s">
        <v>215</v>
      </c>
      <c r="AS646" s="30"/>
      <c r="AT646" s="30"/>
      <c r="AU646" s="3">
        <f>IF(AND(G646&lt;&gt;"LIBSETS_SETTYPE_BATTLEGROUND",G646&lt;&gt;"LIBSETS_SETTYPE_SPECIAL"),IF(AV646&lt;&gt;"",VLOOKUP(AV646,'ESO zones'!$D$5:$H$4957,5,FALSE),""),"")</f>
        <v>181</v>
      </c>
      <c r="AV646" t="s">
        <v>166</v>
      </c>
      <c r="AW646" s="4" t="s">
        <v>257</v>
      </c>
      <c r="AX646" s="30"/>
      <c r="AY646" s="30"/>
      <c r="AZ646" s="49" t="s">
        <v>403</v>
      </c>
      <c r="BA646" s="49"/>
      <c r="BB646" s="49"/>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1">
        <v>755</v>
      </c>
      <c r="B647" t="s">
        <v>1968</v>
      </c>
      <c r="C647" t="s">
        <v>1968</v>
      </c>
      <c r="D647" s="3">
        <f t="shared" si="60"/>
        <v>755</v>
      </c>
      <c r="G647" s="3" t="s">
        <v>165</v>
      </c>
      <c r="I647" t="s">
        <v>401</v>
      </c>
      <c r="J647" t="s">
        <v>401</v>
      </c>
      <c r="K647">
        <v>-1</v>
      </c>
      <c r="L647">
        <v>-1</v>
      </c>
      <c r="M647">
        <v>-1</v>
      </c>
      <c r="O647" s="5" t="s">
        <v>166</v>
      </c>
      <c r="Q647" s="3">
        <f>IF(AND(P647&lt;&gt;"",ISNUMBER(P647),NOT(ISNA(P647))),P647,IF(R647&lt;&gt;"",VLOOKUP(R647,'ESO zones'!$D$5:$H$10005,5,FALSE),""))</f>
        <v>181</v>
      </c>
      <c r="R647" t="str">
        <f>IF(AND(O647&lt;&gt;"",NOT(ISERROR(O647))),O647,IF(AND(P647&lt;&gt;"",ISNUMBER(P647),P647&gt;0,NOT(ISNA(P647))),VLOOKUP(P647,'ESO zones'!$A$5:$D$10003,4,FALSE),IF(AND(K647&lt;&gt;"",K647&gt;0,NOT(ISERROR(K647))),VLOOKUP(K647,'ESO wayshrines'!$K$3:$N$9972,4,FALSE),"")))</f>
        <v>Cyrodiil</v>
      </c>
      <c r="T647" s="16" t="str">
        <f>IF(AND(S647&lt;&gt;"",NOT(ISERROR(S647))),S647,VLOOKUP(A647,'ESO Set&amp;DLCs'!$A$3:$D$99998,4,FALSE))</f>
        <v>DLC_BASE_GAME</v>
      </c>
      <c r="U647" s="3" t="str">
        <f>IF(T647&lt;&gt;"",VLOOKUP(T647,ConstDLCIds!$B$4:$C$1000,2,FALSE),"")</f>
        <v>Included in base game</v>
      </c>
      <c r="V647" s="57" t="s">
        <v>197</v>
      </c>
      <c r="Y647" s="5">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zones'!$A$5:$D$10003,4,FALSE),"")</f>
        <v>Cyrodiil</v>
      </c>
      <c r="AB647" s="4" t="s">
        <v>301</v>
      </c>
      <c r="AE647" s="5">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zones'!$A$5:$D$10003,4,FALSE),"")</f>
        <v>Cyrodiil</v>
      </c>
      <c r="AH647" s="4" t="s">
        <v>248</v>
      </c>
      <c r="AI647" s="30"/>
      <c r="AJ647" s="30"/>
      <c r="AK647" s="3">
        <f>IF(AND(G647&lt;&gt;"LIBSETS_SETTYPE_BATTLEGROUND",G647&lt;&gt;"LIBSETS_SETTYPE_SPECIAL"),IF(AL647&lt;&gt;"",VLOOKUP(AL647,'ESO zones'!$D$5:$H$4957,5,FALSE),""),"")</f>
        <v>181</v>
      </c>
      <c r="AL647" t="s">
        <v>166</v>
      </c>
      <c r="AM647" s="4" t="s">
        <v>298</v>
      </c>
      <c r="AN647" s="30"/>
      <c r="AO647" s="30"/>
      <c r="AP647" s="3">
        <f>IF(AND(G647&lt;&gt;"LIBSETS_SETTYPE_BATTLEGROUND",G647&lt;&gt;"LIBSETS_SETTYPE_SPECIAL"),IF(AQ647&lt;&gt;"",VLOOKUP(AQ647,'ESO zones'!$D$5:$H$4957,5,FALSE),""),"")</f>
        <v>181</v>
      </c>
      <c r="AQ647" t="s">
        <v>166</v>
      </c>
      <c r="AR647" s="4" t="s">
        <v>215</v>
      </c>
      <c r="AS647" s="30"/>
      <c r="AT647" s="30"/>
      <c r="AU647" s="3">
        <f>IF(AND(G647&lt;&gt;"LIBSETS_SETTYPE_BATTLEGROUND",G647&lt;&gt;"LIBSETS_SETTYPE_SPECIAL"),IF(AV647&lt;&gt;"",VLOOKUP(AV647,'ESO zones'!$D$5:$H$4957,5,FALSE),""),"")</f>
        <v>181</v>
      </c>
      <c r="AV647" t="s">
        <v>166</v>
      </c>
      <c r="AW647" s="4" t="s">
        <v>257</v>
      </c>
      <c r="AX647" s="30"/>
      <c r="AY647" s="30"/>
      <c r="AZ647" s="49" t="s">
        <v>403</v>
      </c>
      <c r="BA647" s="49"/>
      <c r="BB647" s="49"/>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1">
        <v>756</v>
      </c>
      <c r="B648" t="s">
        <v>1969</v>
      </c>
      <c r="C648" t="s">
        <v>1969</v>
      </c>
      <c r="D648" s="3">
        <f t="shared" si="60"/>
        <v>756</v>
      </c>
      <c r="G648" s="3" t="s">
        <v>165</v>
      </c>
      <c r="I648" t="s">
        <v>401</v>
      </c>
      <c r="J648" t="s">
        <v>401</v>
      </c>
      <c r="K648">
        <v>-1</v>
      </c>
      <c r="L648">
        <v>-1</v>
      </c>
      <c r="M648">
        <v>-1</v>
      </c>
      <c r="O648" s="5" t="s">
        <v>166</v>
      </c>
      <c r="Q648" s="3">
        <f>IF(AND(P648&lt;&gt;"",ISNUMBER(P648),NOT(ISNA(P648))),P648,IF(R648&lt;&gt;"",VLOOKUP(R648,'ESO zones'!$D$5:$H$10005,5,FALSE),""))</f>
        <v>181</v>
      </c>
      <c r="R648" t="str">
        <f>IF(AND(O648&lt;&gt;"",NOT(ISERROR(O648))),O648,IF(AND(P648&lt;&gt;"",ISNUMBER(P648),P648&gt;0,NOT(ISNA(P648))),VLOOKUP(P648,'ESO zones'!$A$5:$D$10003,4,FALSE),IF(AND(K648&lt;&gt;"",K648&gt;0,NOT(ISERROR(K648))),VLOOKUP(K648,'ESO wayshrines'!$K$3:$N$9972,4,FALSE),"")))</f>
        <v>Cyrodiil</v>
      </c>
      <c r="T648" s="16" t="str">
        <f>IF(AND(S648&lt;&gt;"",NOT(ISERROR(S648))),S648,VLOOKUP(A648,'ESO Set&amp;DLCs'!$A$3:$D$99998,4,FALSE))</f>
        <v>DLC_BASE_GAME</v>
      </c>
      <c r="U648" s="3" t="str">
        <f>IF(T648&lt;&gt;"",VLOOKUP(T648,ConstDLCIds!$B$4:$C$1000,2,FALSE),"")</f>
        <v>Included in base game</v>
      </c>
      <c r="V648" s="57" t="s">
        <v>197</v>
      </c>
      <c r="Y648" s="5">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zones'!$A$5:$D$10003,4,FALSE),"")</f>
        <v>Cyrodiil</v>
      </c>
      <c r="AB648" s="4" t="s">
        <v>301</v>
      </c>
      <c r="AE648" s="5">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zones'!$A$5:$D$10003,4,FALSE),"")</f>
        <v>Cyrodiil</v>
      </c>
      <c r="AH648" s="4" t="s">
        <v>248</v>
      </c>
      <c r="AI648" s="30"/>
      <c r="AJ648" s="30"/>
      <c r="AK648" s="3">
        <f>IF(AND(G648&lt;&gt;"LIBSETS_SETTYPE_BATTLEGROUND",G648&lt;&gt;"LIBSETS_SETTYPE_SPECIAL"),IF(AL648&lt;&gt;"",VLOOKUP(AL648,'ESO zones'!$D$5:$H$4957,5,FALSE),""),"")</f>
        <v>181</v>
      </c>
      <c r="AL648" t="s">
        <v>166</v>
      </c>
      <c r="AM648" s="4" t="s">
        <v>298</v>
      </c>
      <c r="AN648" s="30"/>
      <c r="AO648" s="30"/>
      <c r="AP648" s="3">
        <f>IF(AND(G648&lt;&gt;"LIBSETS_SETTYPE_BATTLEGROUND",G648&lt;&gt;"LIBSETS_SETTYPE_SPECIAL"),IF(AQ648&lt;&gt;"",VLOOKUP(AQ648,'ESO zones'!$D$5:$H$4957,5,FALSE),""),"")</f>
        <v>181</v>
      </c>
      <c r="AQ648" t="s">
        <v>166</v>
      </c>
      <c r="AR648" s="4" t="s">
        <v>215</v>
      </c>
      <c r="AS648" s="30"/>
      <c r="AT648" s="30"/>
      <c r="AU648" s="3">
        <f>IF(AND(G648&lt;&gt;"LIBSETS_SETTYPE_BATTLEGROUND",G648&lt;&gt;"LIBSETS_SETTYPE_SPECIAL"),IF(AV648&lt;&gt;"",VLOOKUP(AV648,'ESO zones'!$D$5:$H$4957,5,FALSE),""),"")</f>
        <v>181</v>
      </c>
      <c r="AV648" t="s">
        <v>166</v>
      </c>
      <c r="AW648" s="4" t="s">
        <v>257</v>
      </c>
      <c r="AX648" s="30"/>
      <c r="AY648" s="30"/>
      <c r="AZ648" s="49" t="s">
        <v>403</v>
      </c>
      <c r="BA648" s="49"/>
      <c r="BB648" s="49"/>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1">
        <v>757</v>
      </c>
      <c r="B649" t="s">
        <v>1970</v>
      </c>
      <c r="C649" t="s">
        <v>1970</v>
      </c>
      <c r="D649" s="3">
        <f t="shared" si="60"/>
        <v>757</v>
      </c>
      <c r="G649" s="3" t="s">
        <v>174</v>
      </c>
      <c r="I649" t="s">
        <v>401</v>
      </c>
      <c r="J649" t="s">
        <v>401</v>
      </c>
      <c r="K649">
        <v>558</v>
      </c>
      <c r="L649">
        <v>575</v>
      </c>
      <c r="M649">
        <v>579</v>
      </c>
      <c r="O649" s="5" t="s">
        <v>1971</v>
      </c>
      <c r="Q649" s="3">
        <f>IF(AND(P649&lt;&gt;"",ISNUMBER(P649),NOT(ISNA(P649))),P649,IF(R649&lt;&gt;"",VLOOKUP(R649,'ESO zones'!$D$5:$H$10005,5,FALSE),""))</f>
        <v>1443</v>
      </c>
      <c r="R649" t="str">
        <f>IF(AND(O649&lt;&gt;"",NOT(ISERROR(O649))),O649,IF(AND(P649&lt;&gt;"",ISNUMBER(P649),P649&gt;0,NOT(ISNA(P649))),VLOOKUP(P649,'ESO zones'!$A$5:$D$10003,4,FALSE),IF(AND(K649&lt;&gt;"",K649&gt;0,NOT(ISERROR(K649))),VLOOKUP(K649,'ESO wayshrines'!$K$3:$N$9972,4,FALSE),"")))</f>
        <v>West Weald</v>
      </c>
      <c r="T649" s="16" t="str">
        <f>IF(AND(S649&lt;&gt;"",NOT(ISERROR(S649))),S649,VLOOKUP(A649,'ESO Set&amp;DLCs'!$A$3:$D$99998,4,FALSE))</f>
        <v>DLC_GOLD_ROAD</v>
      </c>
      <c r="U649" s="3" t="str">
        <f>IF(T649&lt;&gt;"",VLOOKUP(T649,ConstDLCIds!$B$4:$C$1000,2,FALSE),"")</f>
        <v>Gold Road</v>
      </c>
      <c r="V649" s="4" t="s">
        <v>215</v>
      </c>
      <c r="Y649" s="5"/>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zones'!$A$5:$D$10003,4,FALSE),"")</f>
        <v>West Weald</v>
      </c>
      <c r="AB649" s="57" t="s">
        <v>218</v>
      </c>
      <c r="AE649" s="3">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zones'!$A$5:$D$10003,4,FALSE),"")</f>
        <v>Silorn</v>
      </c>
      <c r="AH649" s="4" t="s">
        <v>221</v>
      </c>
      <c r="AI649" s="30"/>
      <c r="AJ649" s="30"/>
      <c r="AK649" s="3">
        <f>IF(AND(G649&lt;&gt;"LIBSETS_SETTYPE_BATTLEGROUND",G649&lt;&gt;"LIBSETS_SETTYPE_SPECIAL"),IF(AL649&lt;&gt;"",VLOOKUP(AL649,'ESO zones'!$D$5:$H$4957,5,FALSE),""),"")</f>
        <v>1443</v>
      </c>
      <c r="AL649" t="s">
        <v>1971</v>
      </c>
      <c r="AM649" s="4" t="s">
        <v>224</v>
      </c>
      <c r="AN649" s="30"/>
      <c r="AO649" s="30"/>
      <c r="AP649" s="3">
        <f>IF(AND(G649&lt;&gt;"LIBSETS_SETTYPE_BATTLEGROUND",G649&lt;&gt;"LIBSETS_SETTYPE_SPECIAL"),IF(AQ649&lt;&gt;"",VLOOKUP(AQ649,'ESO zones'!$D$5:$H$4957,5,FALSE),""),"")</f>
        <v>1466</v>
      </c>
      <c r="AQ649" t="s">
        <v>1972</v>
      </c>
      <c r="AR649" s="4" t="s">
        <v>221</v>
      </c>
      <c r="AS649" s="30"/>
      <c r="AT649" s="30"/>
      <c r="AU649" s="3">
        <f>IF(AND(G649&lt;&gt;"LIBSETS_SETTYPE_BATTLEGROUND",G649&lt;&gt;"LIBSETS_SETTYPE_SPECIAL"),IF(AV649&lt;&gt;"",VLOOKUP(AV649,'ESO zones'!$D$5:$H$4957,5,FALSE),""),"")</f>
        <v>1443</v>
      </c>
      <c r="AV649" t="s">
        <v>1971</v>
      </c>
      <c r="AW649" s="4" t="s">
        <v>269</v>
      </c>
      <c r="AX649" s="30"/>
      <c r="AY649" s="30"/>
      <c r="AZ649" s="49" t="s">
        <v>403</v>
      </c>
      <c r="BA649" s="49"/>
      <c r="BB649" s="49"/>
      <c r="BC649"/>
      <c r="BD649"/>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1">
        <v>758</v>
      </c>
      <c r="B650" t="s">
        <v>1973</v>
      </c>
      <c r="C650" t="s">
        <v>1973</v>
      </c>
      <c r="D650" s="3">
        <f t="shared" si="60"/>
        <v>758</v>
      </c>
      <c r="G650" s="3" t="s">
        <v>174</v>
      </c>
      <c r="I650" t="s">
        <v>401</v>
      </c>
      <c r="J650" t="s">
        <v>401</v>
      </c>
      <c r="K650">
        <v>558</v>
      </c>
      <c r="L650">
        <v>575</v>
      </c>
      <c r="M650">
        <v>579</v>
      </c>
      <c r="O650" s="5" t="s">
        <v>1971</v>
      </c>
      <c r="Q650" s="3">
        <f>IF(AND(P650&lt;&gt;"",ISNUMBER(P650),NOT(ISNA(P650))),P650,IF(R650&lt;&gt;"",VLOOKUP(R650,'ESO zones'!$D$5:$H$10005,5,FALSE),""))</f>
        <v>1443</v>
      </c>
      <c r="R650" t="str">
        <f>IF(AND(O650&lt;&gt;"",NOT(ISERROR(O650))),O650,IF(AND(P650&lt;&gt;"",ISNUMBER(P650),P650&gt;0,NOT(ISNA(P650))),VLOOKUP(P650,'ESO zones'!$A$5:$D$10003,4,FALSE),IF(AND(K650&lt;&gt;"",K650&gt;0,NOT(ISERROR(K650))),VLOOKUP(K650,'ESO wayshrines'!$K$3:$N$9972,4,FALSE),"")))</f>
        <v>West Weald</v>
      </c>
      <c r="T650" s="16" t="str">
        <f>IF(AND(S650&lt;&gt;"",NOT(ISERROR(S650))),S650,VLOOKUP(A650,'ESO Set&amp;DLCs'!$A$3:$D$99998,4,FALSE))</f>
        <v>DLC_GOLD_ROAD</v>
      </c>
      <c r="U650" s="3" t="str">
        <f>IF(T650&lt;&gt;"",VLOOKUP(T650,ConstDLCIds!$B$4:$C$1000,2,FALSE),"")</f>
        <v>Gold Road</v>
      </c>
      <c r="V650" s="4" t="s">
        <v>215</v>
      </c>
      <c r="Y650" s="5"/>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zones'!$A$5:$D$10003,4,FALSE),"")</f>
        <v>West Weald</v>
      </c>
      <c r="AB650" s="57" t="s">
        <v>218</v>
      </c>
      <c r="AE650" s="3">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zones'!$A$5:$D$10003,4,FALSE),"")</f>
        <v>Silorn</v>
      </c>
      <c r="AH650" s="4" t="s">
        <v>221</v>
      </c>
      <c r="AI650" s="30"/>
      <c r="AJ650" s="30"/>
      <c r="AK650" s="3">
        <f>IF(AND(G650&lt;&gt;"LIBSETS_SETTYPE_BATTLEGROUND",G650&lt;&gt;"LIBSETS_SETTYPE_SPECIAL"),IF(AL650&lt;&gt;"",VLOOKUP(AL650,'ESO zones'!$D$5:$H$4957,5,FALSE),""),"")</f>
        <v>1443</v>
      </c>
      <c r="AL650" t="s">
        <v>1971</v>
      </c>
      <c r="AM650" s="4" t="s">
        <v>224</v>
      </c>
      <c r="AN650" s="30"/>
      <c r="AO650" s="30"/>
      <c r="AP650" s="3">
        <f>IF(AND(G650&lt;&gt;"LIBSETS_SETTYPE_BATTLEGROUND",G650&lt;&gt;"LIBSETS_SETTYPE_SPECIAL"),IF(AQ650&lt;&gt;"",VLOOKUP(AQ650,'ESO zones'!$D$5:$H$4957,5,FALSE),""),"")</f>
        <v>1466</v>
      </c>
      <c r="AQ650" t="s">
        <v>1972</v>
      </c>
      <c r="AR650" s="4" t="s">
        <v>221</v>
      </c>
      <c r="AS650" s="30"/>
      <c r="AT650" s="30"/>
      <c r="AU650" s="3">
        <f>IF(AND(G650&lt;&gt;"LIBSETS_SETTYPE_BATTLEGROUND",G650&lt;&gt;"LIBSETS_SETTYPE_SPECIAL"),IF(AV650&lt;&gt;"",VLOOKUP(AV650,'ESO zones'!$D$5:$H$4957,5,FALSE),""),"")</f>
        <v>1443</v>
      </c>
      <c r="AV650" t="s">
        <v>1971</v>
      </c>
      <c r="AW650" s="4" t="s">
        <v>269</v>
      </c>
      <c r="AX650" s="30"/>
      <c r="AY650" s="30"/>
      <c r="AZ650" s="49" t="s">
        <v>403</v>
      </c>
      <c r="BA650" s="49"/>
      <c r="BB650" s="49"/>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1">
        <v>759</v>
      </c>
      <c r="B651" t="s">
        <v>1974</v>
      </c>
      <c r="C651" t="s">
        <v>1974</v>
      </c>
      <c r="D651" s="3">
        <f t="shared" si="60"/>
        <v>759</v>
      </c>
      <c r="G651" s="3" t="s">
        <v>174</v>
      </c>
      <c r="I651" t="s">
        <v>401</v>
      </c>
      <c r="J651" t="s">
        <v>401</v>
      </c>
      <c r="K651">
        <v>558</v>
      </c>
      <c r="L651">
        <v>575</v>
      </c>
      <c r="M651">
        <v>579</v>
      </c>
      <c r="O651" s="5" t="s">
        <v>1971</v>
      </c>
      <c r="Q651" s="3">
        <f>IF(AND(P651&lt;&gt;"",ISNUMBER(P651),NOT(ISNA(P651))),P651,IF(R651&lt;&gt;"",VLOOKUP(R651,'ESO zones'!$D$5:$H$10005,5,FALSE),""))</f>
        <v>1443</v>
      </c>
      <c r="R651" t="str">
        <f>IF(AND(O651&lt;&gt;"",NOT(ISERROR(O651))),O651,IF(AND(P651&lt;&gt;"",ISNUMBER(P651),P651&gt;0,NOT(ISNA(P651))),VLOOKUP(P651,'ESO zones'!$A$5:$D$10003,4,FALSE),IF(AND(K651&lt;&gt;"",K651&gt;0,NOT(ISERROR(K651))),VLOOKUP(K651,'ESO wayshrines'!$K$3:$N$9972,4,FALSE),"")))</f>
        <v>West Weald</v>
      </c>
      <c r="T651" s="16" t="str">
        <f>IF(AND(S651&lt;&gt;"",NOT(ISERROR(S651))),S651,VLOOKUP(A651,'ESO Set&amp;DLCs'!$A$3:$D$99998,4,FALSE))</f>
        <v>DLC_GOLD_ROAD</v>
      </c>
      <c r="U651" s="3" t="str">
        <f>IF(T651&lt;&gt;"",VLOOKUP(T651,ConstDLCIds!$B$4:$C$1000,2,FALSE),"")</f>
        <v>Gold Road</v>
      </c>
      <c r="V651" s="4" t="s">
        <v>215</v>
      </c>
      <c r="Y651" s="5"/>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zones'!$A$5:$D$10003,4,FALSE),"")</f>
        <v>West Weald</v>
      </c>
      <c r="AB651" s="57" t="s">
        <v>218</v>
      </c>
      <c r="AE651" s="3">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zones'!$A$5:$D$10003,4,FALSE),"")</f>
        <v>Silorn</v>
      </c>
      <c r="AH651" s="4" t="s">
        <v>221</v>
      </c>
      <c r="AI651" s="30"/>
      <c r="AJ651" s="30"/>
      <c r="AK651" s="3">
        <f>IF(AND(G651&lt;&gt;"LIBSETS_SETTYPE_BATTLEGROUND",G651&lt;&gt;"LIBSETS_SETTYPE_SPECIAL"),IF(AL651&lt;&gt;"",VLOOKUP(AL651,'ESO zones'!$D$5:$H$4957,5,FALSE),""),"")</f>
        <v>1443</v>
      </c>
      <c r="AL651" t="s">
        <v>1971</v>
      </c>
      <c r="AM651" s="4" t="s">
        <v>224</v>
      </c>
      <c r="AN651" s="30"/>
      <c r="AO651" s="30"/>
      <c r="AP651" s="3">
        <f>IF(AND(G651&lt;&gt;"LIBSETS_SETTYPE_BATTLEGROUND",G651&lt;&gt;"LIBSETS_SETTYPE_SPECIAL"),IF(AQ651&lt;&gt;"",VLOOKUP(AQ651,'ESO zones'!$D$5:$H$4957,5,FALSE),""),"")</f>
        <v>1466</v>
      </c>
      <c r="AQ651" t="s">
        <v>1972</v>
      </c>
      <c r="AR651" s="4" t="s">
        <v>221</v>
      </c>
      <c r="AS651" s="30"/>
      <c r="AT651" s="30"/>
      <c r="AU651" s="3">
        <f>IF(AND(G651&lt;&gt;"LIBSETS_SETTYPE_BATTLEGROUND",G651&lt;&gt;"LIBSETS_SETTYPE_SPECIAL"),IF(AV651&lt;&gt;"",VLOOKUP(AV651,'ESO zones'!$D$5:$H$4957,5,FALSE),""),"")</f>
        <v>1443</v>
      </c>
      <c r="AV651" t="s">
        <v>1971</v>
      </c>
      <c r="AW651" s="4" t="s">
        <v>269</v>
      </c>
      <c r="AX651" s="30"/>
      <c r="AY651" s="30"/>
      <c r="AZ651" s="49" t="s">
        <v>403</v>
      </c>
      <c r="BA651" s="49"/>
      <c r="BB651" s="49"/>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1">
        <v>760</v>
      </c>
      <c r="B652" t="s">
        <v>1975</v>
      </c>
      <c r="C652" t="s">
        <v>1975</v>
      </c>
      <c r="D652" s="3">
        <f t="shared" si="60"/>
        <v>760</v>
      </c>
      <c r="G652" s="3" t="s">
        <v>180</v>
      </c>
      <c r="I652" t="s">
        <v>401</v>
      </c>
      <c r="J652" t="s">
        <v>401</v>
      </c>
      <c r="K652">
        <v>580</v>
      </c>
      <c r="L652">
        <v>43</v>
      </c>
      <c r="M652">
        <v>237</v>
      </c>
      <c r="Q652" s="3">
        <f>IF(AND(P652&lt;&gt;"",ISNUMBER(P652),NOT(ISNA(P652))),P652,IF(R652&lt;&gt;"",VLOOKUP(R652,'ESO zones'!$D$5:$H$10005,5,FALSE),""))</f>
        <v>1443</v>
      </c>
      <c r="R652" t="str">
        <f>IF(AND(O652&lt;&gt;"",NOT(ISERROR(O652))),O652,IF(AND(P652&lt;&gt;"",ISNUMBER(P652),P652&gt;0,NOT(ISNA(P652))),VLOOKUP(P652,'ESO zones'!$A$5:$D$10003,4,FALSE),IF(AND(K652&lt;&gt;"",K652&gt;0,NOT(ISERROR(K652))),VLOOKUP(K652,'ESO wayshrines'!$K$3:$N$9972,4,FALSE),"")))</f>
        <v>West Weald</v>
      </c>
      <c r="T652" s="16" t="str">
        <f>IF(AND(S652&lt;&gt;"",NOT(ISERROR(S652))),S652,VLOOKUP(A652,'ESO Set&amp;DLCs'!$A$3:$D$99998,4,FALSE))</f>
        <v>DLC_GOLD_ROAD</v>
      </c>
      <c r="U652" s="3" t="str">
        <f>IF(T652&lt;&gt;"",VLOOKUP(T652,ConstDLCIds!$B$4:$C$1000,2,FALSE),"")</f>
        <v>Gold Road</v>
      </c>
      <c r="V652" s="4" t="s">
        <v>215</v>
      </c>
      <c r="W652" s="3" t="s">
        <v>1976</v>
      </c>
      <c r="X652" s="3" t="s">
        <v>1976</v>
      </c>
      <c r="Y652" s="5"/>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zones'!$A$5:$D$10003,4,FALSE),"")</f>
        <v>Alik'r Desert</v>
      </c>
      <c r="AB652" s="4" t="s">
        <v>215</v>
      </c>
      <c r="AE652" s="5">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zones'!$A$5:$D$10003,4,FALSE),"")</f>
        <v>Rkindaleft</v>
      </c>
      <c r="AH652" s="4" t="s">
        <v>221</v>
      </c>
      <c r="AI652" s="30" t="s">
        <v>1826</v>
      </c>
      <c r="AJ652" s="30" t="s">
        <v>1827</v>
      </c>
      <c r="AK652" s="3">
        <f>IF(AND(G652&lt;&gt;"LIBSETS_SETTYPE_BATTLEGROUND",G652&lt;&gt;"LIBSETS_SETTYPE_SPECIAL"),IF(AL652&lt;&gt;"",VLOOKUP(AL652,'ESO zones'!$D$5:$H$4957,5,FALSE),""),"")</f>
        <v>22</v>
      </c>
      <c r="AL652" t="s">
        <v>539</v>
      </c>
      <c r="AM652" s="4" t="s">
        <v>278</v>
      </c>
      <c r="AN652" s="30" t="s">
        <v>1977</v>
      </c>
      <c r="AO652" s="30" t="s">
        <v>1978</v>
      </c>
      <c r="AP652" s="3">
        <f>IF(AND(G652&lt;&gt;"LIBSETS_SETTYPE_BATTLEGROUND",G652&lt;&gt;"LIBSETS_SETTYPE_SPECIAL"),IF(AQ652&lt;&gt;"",VLOOKUP(AQ652,'ESO zones'!$D$5:$H$4957,5,FALSE),""),"")</f>
        <v>975</v>
      </c>
      <c r="AQ652" t="s">
        <v>1060</v>
      </c>
      <c r="AR652" s="4" t="s">
        <v>272</v>
      </c>
      <c r="AS652" s="30" t="s">
        <v>1979</v>
      </c>
      <c r="AT652" s="30" t="s">
        <v>1979</v>
      </c>
      <c r="AU652" s="3" t="str">
        <f>IF(AND(G652&lt;&gt;"LIBSETS_SETTYPE_BATTLEGROUND",G652&lt;&gt;"LIBSETS_SETTYPE_SPECIAL"),IF(AV652&lt;&gt;"",VLOOKUP(AV652,'ESO zones'!$D$5:$H$4957,5,FALSE),""),"")</f>
        <v/>
      </c>
      <c r="AX652" s="30"/>
      <c r="AY652" s="30"/>
      <c r="AZ652" s="49" t="s">
        <v>403</v>
      </c>
      <c r="BA652" s="49" t="s">
        <v>1980</v>
      </c>
      <c r="BB652" s="49" t="s">
        <v>1980</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1">
        <v>761</v>
      </c>
      <c r="B653" t="s">
        <v>1981</v>
      </c>
      <c r="C653" t="s">
        <v>1981</v>
      </c>
      <c r="D653" s="3">
        <f t="shared" si="60"/>
        <v>761</v>
      </c>
      <c r="G653" s="3" t="s">
        <v>180</v>
      </c>
      <c r="I653" t="s">
        <v>401</v>
      </c>
      <c r="J653" t="s">
        <v>401</v>
      </c>
      <c r="K653">
        <v>575</v>
      </c>
      <c r="L653">
        <v>577</v>
      </c>
      <c r="M653">
        <v>391</v>
      </c>
      <c r="Q653" s="3">
        <f>IF(AND(P653&lt;&gt;"",ISNUMBER(P653),NOT(ISNA(P653))),P653,IF(R653&lt;&gt;"",VLOOKUP(R653,'ESO zones'!$D$5:$H$10005,5,FALSE),""))</f>
        <v>1443</v>
      </c>
      <c r="R653" t="str">
        <f>IF(AND(O653&lt;&gt;"",NOT(ISERROR(O653))),O653,IF(AND(P653&lt;&gt;"",ISNUMBER(P653),P653&gt;0,NOT(ISNA(P653))),VLOOKUP(P653,'ESO zones'!$A$5:$D$10003,4,FALSE),IF(AND(K653&lt;&gt;"",K653&gt;0,NOT(ISERROR(K653))),VLOOKUP(K653,'ESO wayshrines'!$K$3:$N$9972,4,FALSE),"")))</f>
        <v>West Weald</v>
      </c>
      <c r="T653" s="16" t="str">
        <f>IF(AND(S653&lt;&gt;"",NOT(ISERROR(S653))),S653,VLOOKUP(A653,'ESO Set&amp;DLCs'!$A$3:$D$99998,4,FALSE))</f>
        <v>DLC_GOLD_ROAD</v>
      </c>
      <c r="U653" s="3" t="str">
        <f>IF(T653&lt;&gt;"",VLOOKUP(T653,ConstDLCIds!$B$4:$C$1000,2,FALSE),"")</f>
        <v>Gold Road</v>
      </c>
      <c r="V653" s="4" t="s">
        <v>218</v>
      </c>
      <c r="Y653" s="5"/>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zones'!$A$5:$D$10003,4,FALSE),"")</f>
        <v>West Weald</v>
      </c>
      <c r="AB653" s="4" t="s">
        <v>215</v>
      </c>
      <c r="AE653" s="5">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zones'!$A$5:$D$10003,4,FALSE),"")</f>
        <v>Moongrave Fane</v>
      </c>
      <c r="AH653" s="4" t="s">
        <v>278</v>
      </c>
      <c r="AI653" s="30" t="s">
        <v>1826</v>
      </c>
      <c r="AJ653" s="30" t="s">
        <v>1827</v>
      </c>
      <c r="AK653" s="3">
        <f>IF(AND(G653&lt;&gt;"LIBSETS_SETTYPE_BATTLEGROUND",G653&lt;&gt;"LIBSETS_SETTYPE_SPECIAL"),IF(AL653&lt;&gt;"",VLOOKUP(AL653,'ESO zones'!$D$5:$H$4957,5,FALSE),""),"")</f>
        <v>1443</v>
      </c>
      <c r="AL653" t="s">
        <v>1971</v>
      </c>
      <c r="AM653" s="4" t="s">
        <v>218</v>
      </c>
      <c r="AN653" s="30"/>
      <c r="AO653" s="30"/>
      <c r="AP653" s="3">
        <f>IF(AND(G653&lt;&gt;"LIBSETS_SETTYPE_BATTLEGROUND",G653&lt;&gt;"LIBSETS_SETTYPE_SPECIAL"),IF(AQ653&lt;&gt;"",VLOOKUP(AQ653,'ESO zones'!$D$5:$H$4957,5,FALSE),""),"")</f>
        <v>1011</v>
      </c>
      <c r="AQ653" t="s">
        <v>38</v>
      </c>
      <c r="AR653" s="4" t="s">
        <v>257</v>
      </c>
      <c r="AS653" s="30" t="s">
        <v>1982</v>
      </c>
      <c r="AT653" s="30" t="s">
        <v>1983</v>
      </c>
      <c r="AU653" s="3">
        <f>IF(AND(G653&lt;&gt;"LIBSETS_SETTYPE_BATTLEGROUND",G653&lt;&gt;"LIBSETS_SETTYPE_SPECIAL"),IF(AV653&lt;&gt;"",VLOOKUP(AV653,'ESO zones'!$D$5:$H$4957,5,FALSE),""),"")</f>
        <v>1090</v>
      </c>
      <c r="AV653" s="30" t="s">
        <v>1984</v>
      </c>
      <c r="AW653" s="4" t="s">
        <v>221</v>
      </c>
      <c r="AX653" s="30" t="s">
        <v>1985</v>
      </c>
      <c r="AY653" s="30" t="s">
        <v>1986</v>
      </c>
      <c r="AZ653" s="49" t="s">
        <v>403</v>
      </c>
      <c r="BA653" s="49" t="s">
        <v>1987</v>
      </c>
      <c r="BB653" s="49" t="s">
        <v>1987</v>
      </c>
      <c r="BC653"/>
      <c r="BD653"/>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1">
        <v>762</v>
      </c>
      <c r="B654" t="s">
        <v>1988</v>
      </c>
      <c r="C654" t="s">
        <v>1988</v>
      </c>
      <c r="D654" s="3">
        <f t="shared" si="60"/>
        <v>762</v>
      </c>
      <c r="G654" s="3" t="s">
        <v>180</v>
      </c>
      <c r="I654" t="s">
        <v>401</v>
      </c>
      <c r="J654" t="s">
        <v>401</v>
      </c>
      <c r="K654">
        <v>156</v>
      </c>
      <c r="L654">
        <v>75</v>
      </c>
      <c r="M654">
        <v>176</v>
      </c>
      <c r="Q654" s="3">
        <f>IF(AND(P654&lt;&gt;"",ISNUMBER(P654),NOT(ISNA(P654))),P654,IF(R654&lt;&gt;"",VLOOKUP(R654,'ESO zones'!$D$5:$H$10005,5,FALSE),""))</f>
        <v>382</v>
      </c>
      <c r="R654" t="str">
        <f>IF(AND(O654&lt;&gt;"",NOT(ISERROR(O654))),O654,IF(AND(P654&lt;&gt;"",ISNUMBER(P654),P654&gt;0,NOT(ISNA(P654))),VLOOKUP(P654,'ESO zones'!$A$5:$D$10003,4,FALSE),IF(AND(K654&lt;&gt;"",K654&gt;0,NOT(ISERROR(K654))),VLOOKUP(K654,'ESO wayshrines'!$K$3:$N$9972,4,FALSE),"")))</f>
        <v>Reaper's March</v>
      </c>
      <c r="T654" s="16" t="str">
        <f>IF(AND(S654&lt;&gt;"",NOT(ISERROR(S654))),S654,VLOOKUP(A654,'ESO Set&amp;DLCs'!$A$3:$D$99998,4,FALSE))</f>
        <v>DLC_GOLD_ROAD</v>
      </c>
      <c r="U654" s="3" t="str">
        <f>IF(T654&lt;&gt;"",VLOOKUP(T654,ConstDLCIds!$B$4:$C$1000,2,FALSE),"")</f>
        <v>Gold Road</v>
      </c>
      <c r="V654" s="4" t="s">
        <v>221</v>
      </c>
      <c r="W654" s="3" t="s">
        <v>1989</v>
      </c>
      <c r="X654" s="3" t="s">
        <v>1990</v>
      </c>
      <c r="Y654" s="5"/>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zones'!$A$5:$D$10003,4,FALSE),"")</f>
        <v>Stonefalls</v>
      </c>
      <c r="AB654" s="4" t="s">
        <v>215</v>
      </c>
      <c r="AE654" s="5"/>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zones'!$A$5:$D$10003,4,FALSE),"")</f>
        <v>Auridon</v>
      </c>
      <c r="AH654" s="4" t="s">
        <v>257</v>
      </c>
      <c r="AI654" s="30" t="s">
        <v>1991</v>
      </c>
      <c r="AJ654" s="30" t="s">
        <v>1992</v>
      </c>
      <c r="AK654" s="3">
        <f>IF(AND(G654&lt;&gt;"LIBSETS_SETTYPE_BATTLEGROUND",G654&lt;&gt;"LIBSETS_SETTYPE_SPECIAL"),IF(AL654&lt;&gt;"",VLOOKUP(AL654,'ESO zones'!$D$5:$H$4957,5,FALSE),""),"")</f>
        <v>677</v>
      </c>
      <c r="AL654" t="s">
        <v>818</v>
      </c>
      <c r="AM654" s="4" t="s">
        <v>209</v>
      </c>
      <c r="AN654" s="30" t="s">
        <v>1993</v>
      </c>
      <c r="AO654" s="30" t="s">
        <v>1994</v>
      </c>
      <c r="AP654" s="3">
        <f>IF(AND(G654&lt;&gt;"LIBSETS_SETTYPE_BATTLEGROUND",G654&lt;&gt;"LIBSETS_SETTYPE_SPECIAL"),IF(AQ654&lt;&gt;"",VLOOKUP(AQ654,'ESO zones'!$D$5:$H$4957,5,FALSE),""),"")</f>
        <v>104</v>
      </c>
      <c r="AQ654" t="s">
        <v>442</v>
      </c>
      <c r="AR654" s="4" t="s">
        <v>218</v>
      </c>
      <c r="AS654" s="30" t="s">
        <v>1995</v>
      </c>
      <c r="AT654" s="30" t="s">
        <v>1996</v>
      </c>
      <c r="AU654" s="3" t="str">
        <f>IF(AND(G654&lt;&gt;"LIBSETS_SETTYPE_BATTLEGROUND",G654&lt;&gt;"LIBSETS_SETTYPE_SPECIAL"),IF(AV654&lt;&gt;"",VLOOKUP(AV654,'ESO zones'!$D$5:$H$4957,5,FALSE),""),"")</f>
        <v/>
      </c>
      <c r="AX654" s="30"/>
      <c r="AY654" s="30"/>
      <c r="AZ654" s="49" t="s">
        <v>403</v>
      </c>
      <c r="BA654" s="49" t="s">
        <v>1997</v>
      </c>
      <c r="BB654" s="49" t="s">
        <v>1997</v>
      </c>
      <c r="BC654"/>
      <c r="BD654"/>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1">
        <v>763</v>
      </c>
      <c r="B655" t="s">
        <v>1998</v>
      </c>
      <c r="C655" t="s">
        <v>1998</v>
      </c>
      <c r="D655" s="3">
        <f t="shared" si="60"/>
        <v>763</v>
      </c>
      <c r="G655" s="3" t="s">
        <v>163</v>
      </c>
      <c r="I655" t="s">
        <v>401</v>
      </c>
      <c r="J655" t="s">
        <v>401</v>
      </c>
      <c r="K655">
        <v>560</v>
      </c>
      <c r="L655">
        <v>560</v>
      </c>
      <c r="M655">
        <v>560</v>
      </c>
      <c r="N655">
        <v>3</v>
      </c>
      <c r="Q655" s="3">
        <f>IF(AND(P655&lt;&gt;"",ISNUMBER(P655),NOT(ISNA(P655))),P655,IF(R655&lt;&gt;"",VLOOKUP(R655,'ESO zones'!$D$5:$H$10005,5,FALSE),""))</f>
        <v>1443</v>
      </c>
      <c r="R655" t="str">
        <f>IF(AND(O655&lt;&gt;"",NOT(ISERROR(O655))),O655,IF(AND(P655&lt;&gt;"",ISNUMBER(P655),P655&gt;0,NOT(ISNA(P655))),VLOOKUP(P655,'ESO zones'!$A$5:$D$10003,4,FALSE),IF(AND(K655&lt;&gt;"",K655&gt;0,NOT(ISERROR(K655))),VLOOKUP(K655,'ESO wayshrines'!$K$3:$N$9972,4,FALSE),"")))</f>
        <v>West Weald</v>
      </c>
      <c r="T655" s="16" t="str">
        <f>IF(AND(S655&lt;&gt;"",NOT(ISERROR(S655))),S655,VLOOKUP(A655,'ESO Set&amp;DLCs'!$A$3:$D$99998,4,FALSE))</f>
        <v>DLC_GOLD_ROAD</v>
      </c>
      <c r="U655" s="3" t="str">
        <f>IF(T655&lt;&gt;"",VLOOKUP(T655,ConstDLCIds!$B$4:$C$1000,2,FALSE),"")</f>
        <v>Gold Road</v>
      </c>
      <c r="V655" s="4" t="s">
        <v>281</v>
      </c>
      <c r="Y655" s="5"/>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zones'!$A$5:$D$10003,4,FALSE),"")</f>
        <v>West Weald</v>
      </c>
      <c r="AB655" s="4" t="s">
        <v>281</v>
      </c>
      <c r="AE655" s="5"/>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zones'!$A$5:$D$10003,4,FALSE),"")</f>
        <v>West Weald</v>
      </c>
      <c r="AH655" s="4" t="s">
        <v>281</v>
      </c>
      <c r="AI655" s="30"/>
      <c r="AJ655" s="30"/>
      <c r="AK655" s="3" t="str">
        <f>IF(AND(G655&lt;&gt;"LIBSETS_SETTYPE_BATTLEGROUND",G655&lt;&gt;"LIBSETS_SETTYPE_SPECIAL"),IF(AL655&lt;&gt;"",VLOOKUP(AL655,'ESO zones'!$D$5:$H$4957,5,FALSE),""),"")</f>
        <v/>
      </c>
      <c r="AN655" s="30"/>
      <c r="AO655" s="30"/>
      <c r="AP655" s="3" t="str">
        <f>IF(AND(G655&lt;&gt;"LIBSETS_SETTYPE_BATTLEGROUND",G655&lt;&gt;"LIBSETS_SETTYPE_SPECIAL"),IF(AQ655&lt;&gt;"",VLOOKUP(AQ655,'ESO zones'!$D$5:$H$4957,5,FALSE),""),"")</f>
        <v/>
      </c>
      <c r="AS655" s="30"/>
      <c r="AT655" s="30"/>
      <c r="AU655" s="3" t="str">
        <f>IF(AND(G655&lt;&gt;"LIBSETS_SETTYPE_BATTLEGROUND",G655&lt;&gt;"LIBSETS_SETTYPE_SPECIAL"),IF(AV655&lt;&gt;"",VLOOKUP(AV655,'ESO zones'!$D$5:$H$4957,5,FALSE),""),"")</f>
        <v/>
      </c>
      <c r="AX655" s="30"/>
      <c r="AY655" s="30"/>
      <c r="AZ655" s="49" t="s">
        <v>403</v>
      </c>
      <c r="BA655" s="49"/>
      <c r="BB655" s="49"/>
      <c r="BC655"/>
      <c r="BD655"/>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1">
        <v>764</v>
      </c>
      <c r="B656" t="s">
        <v>1999</v>
      </c>
      <c r="C656" t="s">
        <v>1999</v>
      </c>
      <c r="D656" s="3">
        <f t="shared" si="60"/>
        <v>764</v>
      </c>
      <c r="G656" s="3" t="s">
        <v>163</v>
      </c>
      <c r="I656" t="s">
        <v>401</v>
      </c>
      <c r="J656" t="s">
        <v>401</v>
      </c>
      <c r="K656">
        <v>579</v>
      </c>
      <c r="L656">
        <v>579</v>
      </c>
      <c r="M656">
        <v>579</v>
      </c>
      <c r="N656">
        <v>5</v>
      </c>
      <c r="Q656" s="3">
        <f>IF(AND(P656&lt;&gt;"",ISNUMBER(P656),NOT(ISNA(P656))),P656,IF(R656&lt;&gt;"",VLOOKUP(R656,'ESO zones'!$D$5:$H$10005,5,FALSE),""))</f>
        <v>1443</v>
      </c>
      <c r="R656" t="str">
        <f>IF(AND(O656&lt;&gt;"",NOT(ISERROR(O656))),O656,IF(AND(P656&lt;&gt;"",ISNUMBER(P656),P656&gt;0,NOT(ISNA(P656))),VLOOKUP(P656,'ESO zones'!$A$5:$D$10003,4,FALSE),IF(AND(K656&lt;&gt;"",K656&gt;0,NOT(ISERROR(K656))),VLOOKUP(K656,'ESO wayshrines'!$K$3:$N$9972,4,FALSE),"")))</f>
        <v>West Weald</v>
      </c>
      <c r="T656" s="16" t="str">
        <f>IF(AND(S656&lt;&gt;"",NOT(ISERROR(S656))),S656,VLOOKUP(A656,'ESO Set&amp;DLCs'!$A$3:$D$99998,4,FALSE))</f>
        <v>DLC_GOLD_ROAD</v>
      </c>
      <c r="U656" s="3" t="str">
        <f>IF(T656&lt;&gt;"",VLOOKUP(T656,ConstDLCIds!$B$4:$C$1000,2,FALSE),"")</f>
        <v>Gold Road</v>
      </c>
      <c r="V656" s="4" t="s">
        <v>281</v>
      </c>
      <c r="Y656" s="5"/>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zones'!$A$5:$D$10003,4,FALSE),"")</f>
        <v>West Weald</v>
      </c>
      <c r="AB656" s="4" t="s">
        <v>281</v>
      </c>
      <c r="AE656" s="5"/>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zones'!$A$5:$D$10003,4,FALSE),"")</f>
        <v>West Weald</v>
      </c>
      <c r="AH656" s="4" t="s">
        <v>281</v>
      </c>
      <c r="AI656" s="30"/>
      <c r="AJ656" s="30"/>
      <c r="AK656" s="3" t="str">
        <f>IF(AND(G656&lt;&gt;"LIBSETS_SETTYPE_BATTLEGROUND",G656&lt;&gt;"LIBSETS_SETTYPE_SPECIAL"),IF(AL656&lt;&gt;"",VLOOKUP(AL656,'ESO zones'!$D$5:$H$4957,5,FALSE),""),"")</f>
        <v/>
      </c>
      <c r="AN656" s="30"/>
      <c r="AO656" s="30"/>
      <c r="AP656" s="3" t="str">
        <f>IF(AND(G656&lt;&gt;"LIBSETS_SETTYPE_BATTLEGROUND",G656&lt;&gt;"LIBSETS_SETTYPE_SPECIAL"),IF(AQ656&lt;&gt;"",VLOOKUP(AQ656,'ESO zones'!$D$5:$H$4957,5,FALSE),""),"")</f>
        <v/>
      </c>
      <c r="AS656" s="30"/>
      <c r="AT656" s="30"/>
      <c r="AU656" s="3" t="str">
        <f>IF(AND(G656&lt;&gt;"LIBSETS_SETTYPE_BATTLEGROUND",G656&lt;&gt;"LIBSETS_SETTYPE_SPECIAL"),IF(AV656&lt;&gt;"",VLOOKUP(AV656,'ESO zones'!$D$5:$H$4957,5,FALSE),""),"")</f>
        <v/>
      </c>
      <c r="AX656" s="30"/>
      <c r="AY656" s="30"/>
      <c r="AZ656" s="49" t="s">
        <v>403</v>
      </c>
      <c r="BA656" s="49"/>
      <c r="BB656" s="49"/>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1">
        <v>765</v>
      </c>
      <c r="B657" t="s">
        <v>2000</v>
      </c>
      <c r="C657" t="s">
        <v>2000</v>
      </c>
      <c r="D657" s="3">
        <f t="shared" si="60"/>
        <v>765</v>
      </c>
      <c r="G657" s="3" t="s">
        <v>163</v>
      </c>
      <c r="I657" t="s">
        <v>401</v>
      </c>
      <c r="J657" t="s">
        <v>401</v>
      </c>
      <c r="K657">
        <v>580</v>
      </c>
      <c r="L657">
        <v>580</v>
      </c>
      <c r="M657">
        <v>580</v>
      </c>
      <c r="N657">
        <v>7</v>
      </c>
      <c r="Q657" s="3">
        <f>IF(AND(P657&lt;&gt;"",ISNUMBER(P657),NOT(ISNA(P657))),P657,IF(R657&lt;&gt;"",VLOOKUP(R657,'ESO zones'!$D$5:$H$10005,5,FALSE),""))</f>
        <v>1443</v>
      </c>
      <c r="R657" t="str">
        <f>IF(AND(O657&lt;&gt;"",NOT(ISERROR(O657))),O657,IF(AND(P657&lt;&gt;"",ISNUMBER(P657),P657&gt;0,NOT(ISNA(P657))),VLOOKUP(P657,'ESO zones'!$A$5:$D$10003,4,FALSE),IF(AND(K657&lt;&gt;"",K657&gt;0,NOT(ISERROR(K657))),VLOOKUP(K657,'ESO wayshrines'!$K$3:$N$9972,4,FALSE),"")))</f>
        <v>West Weald</v>
      </c>
      <c r="T657" s="16" t="str">
        <f>IF(AND(S657&lt;&gt;"",NOT(ISERROR(S657))),S657,VLOOKUP(A657,'ESO Set&amp;DLCs'!$A$3:$D$99998,4,FALSE))</f>
        <v>DLC_GOLD_ROAD</v>
      </c>
      <c r="U657" s="3" t="str">
        <f>IF(T657&lt;&gt;"",VLOOKUP(T657,ConstDLCIds!$B$4:$C$1000,2,FALSE),"")</f>
        <v>Gold Road</v>
      </c>
      <c r="V657" s="4" t="s">
        <v>281</v>
      </c>
      <c r="Y657" s="5"/>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zones'!$A$5:$D$10003,4,FALSE),"")</f>
        <v>West Weald</v>
      </c>
      <c r="AB657" s="4" t="s">
        <v>281</v>
      </c>
      <c r="AE657" s="5"/>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zones'!$A$5:$D$10003,4,FALSE),"")</f>
        <v>West Weald</v>
      </c>
      <c r="AH657" s="4" t="s">
        <v>281</v>
      </c>
      <c r="AI657" s="30"/>
      <c r="AJ657" s="30"/>
      <c r="AK657" s="3" t="str">
        <f>IF(AND(G657&lt;&gt;"LIBSETS_SETTYPE_BATTLEGROUND",G657&lt;&gt;"LIBSETS_SETTYPE_SPECIAL"),IF(AL657&lt;&gt;"",VLOOKUP(AL657,'ESO zones'!$D$5:$H$4957,5,FALSE),""),"")</f>
        <v/>
      </c>
      <c r="AN657" s="30"/>
      <c r="AO657" s="30"/>
      <c r="AP657" s="3" t="str">
        <f>IF(AND(G657&lt;&gt;"LIBSETS_SETTYPE_BATTLEGROUND",G657&lt;&gt;"LIBSETS_SETTYPE_SPECIAL"),IF(AQ657&lt;&gt;"",VLOOKUP(AQ657,'ESO zones'!$D$5:$H$4957,5,FALSE),""),"")</f>
        <v/>
      </c>
      <c r="AS657" s="30"/>
      <c r="AT657" s="30"/>
      <c r="AU657" s="3" t="str">
        <f>IF(AND(G657&lt;&gt;"LIBSETS_SETTYPE_BATTLEGROUND",G657&lt;&gt;"LIBSETS_SETTYPE_SPECIAL"),IF(AV657&lt;&gt;"",VLOOKUP(AV657,'ESO zones'!$D$5:$H$4957,5,FALSE),""),"")</f>
        <v/>
      </c>
      <c r="AX657" s="30"/>
      <c r="AY657" s="30"/>
      <c r="AZ657" s="49" t="s">
        <v>403</v>
      </c>
      <c r="BA657" s="49"/>
      <c r="BB657" s="49"/>
      <c r="BC657"/>
      <c r="BD65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1">
        <v>766</v>
      </c>
      <c r="B658" t="s">
        <v>2001</v>
      </c>
      <c r="C658" t="s">
        <v>2001</v>
      </c>
      <c r="D658" s="3">
        <f t="shared" si="60"/>
        <v>766</v>
      </c>
      <c r="G658" s="3" t="s">
        <v>178</v>
      </c>
      <c r="I658" t="s">
        <v>401</v>
      </c>
      <c r="J658" t="s">
        <v>401</v>
      </c>
      <c r="K658">
        <v>568</v>
      </c>
      <c r="L658">
        <v>568</v>
      </c>
      <c r="M658">
        <v>568</v>
      </c>
      <c r="O658" s="5" t="s">
        <v>2002</v>
      </c>
      <c r="Q658" s="3">
        <f>IF(AND(P658&lt;&gt;"",ISNUMBER(P658),NOT(ISNA(P658))),P658,IF(R658&lt;&gt;"",VLOOKUP(R658,'ESO zones'!$D$5:$H$10005,5,FALSE),""))</f>
        <v>1478</v>
      </c>
      <c r="R658" t="str">
        <f>IF(AND(O658&lt;&gt;"",NOT(ISERROR(O658))),O658,IF(AND(P658&lt;&gt;"",ISNUMBER(P658),P658&gt;0,NOT(ISNA(P658))),VLOOKUP(P658,'ESO zones'!$A$5:$D$10003,4,FALSE),IF(AND(K658&lt;&gt;"",K658&gt;0,NOT(ISERROR(K658))),VLOOKUP(K658,'ESO wayshrines'!$K$3:$N$9972,4,FALSE),"")))</f>
        <v>Lucent Citadel</v>
      </c>
      <c r="T658" s="16" t="str">
        <f>IF(AND(S658&lt;&gt;"",NOT(ISERROR(S658))),S658,VLOOKUP(A658,'ESO Set&amp;DLCs'!$A$3:$D$99998,4,FALSE))</f>
        <v>DLC_GOLD_ROAD</v>
      </c>
      <c r="U658" s="3" t="str">
        <f>IF(T658&lt;&gt;"",VLOOKUP(T658,ConstDLCIds!$B$4:$C$1000,2,FALSE),"")</f>
        <v>Gold Road</v>
      </c>
      <c r="V658" s="4" t="s">
        <v>272</v>
      </c>
      <c r="Y658" s="5">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zones'!$A$5:$D$10003,4,FALSE),"")</f>
        <v>Lucent Citadel</v>
      </c>
      <c r="AB658" s="4" t="s">
        <v>272</v>
      </c>
      <c r="AE658" s="5">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zones'!$A$5:$D$10003,4,FALSE),"")</f>
        <v>Lucent Citadel</v>
      </c>
      <c r="AH658" s="4" t="s">
        <v>272</v>
      </c>
      <c r="AI658" s="30"/>
      <c r="AJ658" s="30"/>
      <c r="AK658" s="3" t="str">
        <f>IF(AND(G658&lt;&gt;"LIBSETS_SETTYPE_BATTLEGROUND",G658&lt;&gt;"LIBSETS_SETTYPE_SPECIAL"),IF(AL658&lt;&gt;"",VLOOKUP(AL658,'ESO zones'!$D$5:$H$4957,5,FALSE),""),"")</f>
        <v/>
      </c>
      <c r="AN658" s="30"/>
      <c r="AO658" s="30"/>
      <c r="AP658" s="3" t="str">
        <f>IF(AND(G658&lt;&gt;"LIBSETS_SETTYPE_BATTLEGROUND",G658&lt;&gt;"LIBSETS_SETTYPE_SPECIAL"),IF(AQ658&lt;&gt;"",VLOOKUP(AQ658,'ESO zones'!$D$5:$H$4957,5,FALSE),""),"")</f>
        <v/>
      </c>
      <c r="AS658" s="30"/>
      <c r="AT658" s="30"/>
      <c r="AU658" s="3" t="str">
        <f>IF(AND(G658&lt;&gt;"LIBSETS_SETTYPE_BATTLEGROUND",G658&lt;&gt;"LIBSETS_SETTYPE_SPECIAL"),IF(AV658&lt;&gt;"",VLOOKUP(AV658,'ESO zones'!$D$5:$H$4957,5,FALSE),""),"")</f>
        <v/>
      </c>
      <c r="AX658" s="30"/>
      <c r="AY658" s="30"/>
      <c r="AZ658" s="49" t="s">
        <v>403</v>
      </c>
      <c r="BA658" s="49"/>
      <c r="BB658" s="49"/>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1">
        <v>767</v>
      </c>
      <c r="B659" t="s">
        <v>2003</v>
      </c>
      <c r="C659" t="s">
        <v>2003</v>
      </c>
      <c r="D659" s="3">
        <f t="shared" si="60"/>
        <v>767</v>
      </c>
      <c r="G659" s="3" t="s">
        <v>178</v>
      </c>
      <c r="I659" t="s">
        <v>401</v>
      </c>
      <c r="J659" t="s">
        <v>401</v>
      </c>
      <c r="K659">
        <v>568</v>
      </c>
      <c r="L659">
        <v>568</v>
      </c>
      <c r="M659">
        <v>568</v>
      </c>
      <c r="O659" s="5" t="s">
        <v>2002</v>
      </c>
      <c r="Q659" s="3">
        <f>IF(AND(P659&lt;&gt;"",ISNUMBER(P659),NOT(ISNA(P659))),P659,IF(R659&lt;&gt;"",VLOOKUP(R659,'ESO zones'!$D$5:$H$10005,5,FALSE),""))</f>
        <v>1478</v>
      </c>
      <c r="R659" t="str">
        <f>IF(AND(O659&lt;&gt;"",NOT(ISERROR(O659))),O659,IF(AND(P659&lt;&gt;"",ISNUMBER(P659),P659&gt;0,NOT(ISNA(P659))),VLOOKUP(P659,'ESO zones'!$A$5:$D$10003,4,FALSE),IF(AND(K659&lt;&gt;"",K659&gt;0,NOT(ISERROR(K659))),VLOOKUP(K659,'ESO wayshrines'!$K$3:$N$9972,4,FALSE),"")))</f>
        <v>Lucent Citadel</v>
      </c>
      <c r="T659" s="16" t="str">
        <f>IF(AND(S659&lt;&gt;"",NOT(ISERROR(S659))),S659,VLOOKUP(A659,'ESO Set&amp;DLCs'!$A$3:$D$99998,4,FALSE))</f>
        <v>DLC_GOLD_ROAD</v>
      </c>
      <c r="U659" s="3" t="str">
        <f>IF(T659&lt;&gt;"",VLOOKUP(T659,ConstDLCIds!$B$4:$C$1000,2,FALSE),"")</f>
        <v>Gold Road</v>
      </c>
      <c r="V659" s="4" t="s">
        <v>272</v>
      </c>
      <c r="Y659" s="5">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zones'!$A$5:$D$10003,4,FALSE),"")</f>
        <v>Lucent Citadel</v>
      </c>
      <c r="AB659" s="4" t="s">
        <v>272</v>
      </c>
      <c r="AE659" s="5">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zones'!$A$5:$D$10003,4,FALSE),"")</f>
        <v>Lucent Citadel</v>
      </c>
      <c r="AH659" s="4" t="s">
        <v>272</v>
      </c>
      <c r="AI659" s="30"/>
      <c r="AJ659" s="30"/>
      <c r="AK659" s="3" t="str">
        <f>IF(AND(G659&lt;&gt;"LIBSETS_SETTYPE_BATTLEGROUND",G659&lt;&gt;"LIBSETS_SETTYPE_SPECIAL"),IF(AL659&lt;&gt;"",VLOOKUP(AL659,'ESO zones'!$D$5:$H$4957,5,FALSE),""),"")</f>
        <v/>
      </c>
      <c r="AN659" s="30"/>
      <c r="AO659" s="30"/>
      <c r="AP659" s="3" t="str">
        <f>IF(AND(G659&lt;&gt;"LIBSETS_SETTYPE_BATTLEGROUND",G659&lt;&gt;"LIBSETS_SETTYPE_SPECIAL"),IF(AQ659&lt;&gt;"",VLOOKUP(AQ659,'ESO zones'!$D$5:$H$4957,5,FALSE),""),"")</f>
        <v/>
      </c>
      <c r="AS659" s="30"/>
      <c r="AT659" s="30"/>
      <c r="AU659" s="3" t="str">
        <f>IF(AND(G659&lt;&gt;"LIBSETS_SETTYPE_BATTLEGROUND",G659&lt;&gt;"LIBSETS_SETTYPE_SPECIAL"),IF(AV659&lt;&gt;"",VLOOKUP(AV659,'ESO zones'!$D$5:$H$4957,5,FALSE),""),"")</f>
        <v/>
      </c>
      <c r="AX659" s="30"/>
      <c r="AY659" s="30"/>
      <c r="AZ659" s="49" t="s">
        <v>403</v>
      </c>
      <c r="BA659" s="49"/>
      <c r="BB659" s="49"/>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1">
        <v>768</v>
      </c>
      <c r="B660" t="s">
        <v>2004</v>
      </c>
      <c r="C660" t="s">
        <v>2004</v>
      </c>
      <c r="D660" s="3">
        <f t="shared" si="60"/>
        <v>768</v>
      </c>
      <c r="G660" s="3" t="s">
        <v>178</v>
      </c>
      <c r="I660" t="s">
        <v>401</v>
      </c>
      <c r="J660" t="s">
        <v>401</v>
      </c>
      <c r="K660">
        <v>568</v>
      </c>
      <c r="L660">
        <v>568</v>
      </c>
      <c r="M660">
        <v>568</v>
      </c>
      <c r="O660" s="5" t="s">
        <v>2002</v>
      </c>
      <c r="Q660" s="3">
        <f>IF(AND(P660&lt;&gt;"",ISNUMBER(P660),NOT(ISNA(P660))),P660,IF(R660&lt;&gt;"",VLOOKUP(R660,'ESO zones'!$D$5:$H$10005,5,FALSE),""))</f>
        <v>1478</v>
      </c>
      <c r="R660" t="str">
        <f>IF(AND(O660&lt;&gt;"",NOT(ISERROR(O660))),O660,IF(AND(P660&lt;&gt;"",ISNUMBER(P660),P660&gt;0,NOT(ISNA(P660))),VLOOKUP(P660,'ESO zones'!$A$5:$D$10003,4,FALSE),IF(AND(K660&lt;&gt;"",K660&gt;0,NOT(ISERROR(K660))),VLOOKUP(K660,'ESO wayshrines'!$K$3:$N$9972,4,FALSE),"")))</f>
        <v>Lucent Citadel</v>
      </c>
      <c r="T660" s="16" t="str">
        <f>IF(AND(S660&lt;&gt;"",NOT(ISERROR(S660))),S660,VLOOKUP(A660,'ESO Set&amp;DLCs'!$A$3:$D$99998,4,FALSE))</f>
        <v>DLC_GOLD_ROAD</v>
      </c>
      <c r="U660" s="3" t="str">
        <f>IF(T660&lt;&gt;"",VLOOKUP(T660,ConstDLCIds!$B$4:$C$1000,2,FALSE),"")</f>
        <v>Gold Road</v>
      </c>
      <c r="V660" s="4" t="s">
        <v>272</v>
      </c>
      <c r="Y660" s="5">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zones'!$A$5:$D$10003,4,FALSE),"")</f>
        <v>Lucent Citadel</v>
      </c>
      <c r="AB660" s="4" t="s">
        <v>272</v>
      </c>
      <c r="AE660" s="5">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zones'!$A$5:$D$10003,4,FALSE),"")</f>
        <v>Lucent Citadel</v>
      </c>
      <c r="AH660" s="4" t="s">
        <v>272</v>
      </c>
      <c r="AI660" s="30"/>
      <c r="AJ660" s="30"/>
      <c r="AK660" s="3" t="str">
        <f>IF(AND(G660&lt;&gt;"LIBSETS_SETTYPE_BATTLEGROUND",G660&lt;&gt;"LIBSETS_SETTYPE_SPECIAL"),IF(AL660&lt;&gt;"",VLOOKUP(AL660,'ESO zones'!$D$5:$H$4957,5,FALSE),""),"")</f>
        <v/>
      </c>
      <c r="AN660" s="30"/>
      <c r="AO660" s="30"/>
      <c r="AP660" s="3" t="str">
        <f>IF(AND(G660&lt;&gt;"LIBSETS_SETTYPE_BATTLEGROUND",G660&lt;&gt;"LIBSETS_SETTYPE_SPECIAL"),IF(AQ660&lt;&gt;"",VLOOKUP(AQ660,'ESO zones'!$D$5:$H$4957,5,FALSE),""),"")</f>
        <v/>
      </c>
      <c r="AS660" s="30"/>
      <c r="AT660" s="30"/>
      <c r="AU660" s="3" t="str">
        <f>IF(AND(G660&lt;&gt;"LIBSETS_SETTYPE_BATTLEGROUND",G660&lt;&gt;"LIBSETS_SETTYPE_SPECIAL"),IF(AV660&lt;&gt;"",VLOOKUP(AV660,'ESO zones'!$D$5:$H$4957,5,FALSE),""),"")</f>
        <v/>
      </c>
      <c r="AX660" s="30"/>
      <c r="AY660" s="30"/>
      <c r="AZ660" s="49" t="s">
        <v>403</v>
      </c>
      <c r="BA660" s="49"/>
      <c r="BB660" s="49"/>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1">
        <v>769</v>
      </c>
      <c r="B661" t="s">
        <v>2005</v>
      </c>
      <c r="C661" t="s">
        <v>2005</v>
      </c>
      <c r="D661" s="3">
        <f t="shared" si="60"/>
        <v>769</v>
      </c>
      <c r="G661" s="3" t="s">
        <v>178</v>
      </c>
      <c r="I661" t="s">
        <v>401</v>
      </c>
      <c r="J661" t="s">
        <v>401</v>
      </c>
      <c r="K661">
        <v>568</v>
      </c>
      <c r="L661">
        <v>568</v>
      </c>
      <c r="M661">
        <v>568</v>
      </c>
      <c r="O661" s="5" t="s">
        <v>2002</v>
      </c>
      <c r="Q661" s="3">
        <f>IF(AND(P661&lt;&gt;"",ISNUMBER(P661),NOT(ISNA(P661))),P661,IF(R661&lt;&gt;"",VLOOKUP(R661,'ESO zones'!$D$5:$H$10005,5,FALSE),""))</f>
        <v>1478</v>
      </c>
      <c r="R661" t="str">
        <f>IF(AND(O661&lt;&gt;"",NOT(ISERROR(O661))),O661,IF(AND(P661&lt;&gt;"",ISNUMBER(P661),P661&gt;0,NOT(ISNA(P661))),VLOOKUP(P661,'ESO zones'!$A$5:$D$10003,4,FALSE),IF(AND(K661&lt;&gt;"",K661&gt;0,NOT(ISERROR(K661))),VLOOKUP(K661,'ESO wayshrines'!$K$3:$N$9972,4,FALSE),"")))</f>
        <v>Lucent Citadel</v>
      </c>
      <c r="T661" s="16" t="str">
        <f>IF(AND(S661&lt;&gt;"",NOT(ISERROR(S661))),S661,VLOOKUP(A661,'ESO Set&amp;DLCs'!$A$3:$D$99998,4,FALSE))</f>
        <v>DLC_GOLD_ROAD</v>
      </c>
      <c r="U661" s="3" t="str">
        <f>IF(T661&lt;&gt;"",VLOOKUP(T661,ConstDLCIds!$B$4:$C$1000,2,FALSE),"")</f>
        <v>Gold Road</v>
      </c>
      <c r="V661" s="4" t="s">
        <v>272</v>
      </c>
      <c r="Y661" s="5">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zones'!$A$5:$D$10003,4,FALSE),"")</f>
        <v>Lucent Citadel</v>
      </c>
      <c r="AB661" s="4" t="s">
        <v>272</v>
      </c>
      <c r="AE661" s="5">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zones'!$A$5:$D$10003,4,FALSE),"")</f>
        <v>Lucent Citadel</v>
      </c>
      <c r="AH661" s="4" t="s">
        <v>272</v>
      </c>
      <c r="AI661" s="30"/>
      <c r="AJ661" s="30"/>
      <c r="AK661" s="3" t="str">
        <f>IF(AND(G661&lt;&gt;"LIBSETS_SETTYPE_BATTLEGROUND",G661&lt;&gt;"LIBSETS_SETTYPE_SPECIAL"),IF(AL661&lt;&gt;"",VLOOKUP(AL661,'ESO zones'!$D$5:$H$4957,5,FALSE),""),"")</f>
        <v/>
      </c>
      <c r="AN661" s="30"/>
      <c r="AO661" s="30"/>
      <c r="AP661" s="3" t="str">
        <f>IF(AND(G661&lt;&gt;"LIBSETS_SETTYPE_BATTLEGROUND",G661&lt;&gt;"LIBSETS_SETTYPE_SPECIAL"),IF(AQ661&lt;&gt;"",VLOOKUP(AQ661,'ESO zones'!$D$5:$H$4957,5,FALSE),""),"")</f>
        <v/>
      </c>
      <c r="AS661" s="30"/>
      <c r="AT661" s="30"/>
      <c r="AU661" s="3" t="str">
        <f>IF(AND(G661&lt;&gt;"LIBSETS_SETTYPE_BATTLEGROUND",G661&lt;&gt;"LIBSETS_SETTYPE_SPECIAL"),IF(AV661&lt;&gt;"",VLOOKUP(AV661,'ESO zones'!$D$5:$H$4957,5,FALSE),""),"")</f>
        <v/>
      </c>
      <c r="AX661" s="30"/>
      <c r="AY661" s="30"/>
      <c r="AZ661" s="49" t="s">
        <v>403</v>
      </c>
      <c r="BA661" s="49"/>
      <c r="BB661" s="49"/>
      <c r="BC661"/>
      <c r="BD661">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1">
        <v>770</v>
      </c>
      <c r="B662" t="s">
        <v>2006</v>
      </c>
      <c r="C662" t="s">
        <v>2006</v>
      </c>
      <c r="D662" s="3">
        <f t="shared" si="60"/>
        <v>770</v>
      </c>
      <c r="G662" s="3" t="s">
        <v>178</v>
      </c>
      <c r="I662" t="s">
        <v>1120</v>
      </c>
      <c r="J662" t="s">
        <v>401</v>
      </c>
      <c r="K662">
        <v>568</v>
      </c>
      <c r="L662">
        <v>568</v>
      </c>
      <c r="M662">
        <v>568</v>
      </c>
      <c r="O662" s="5" t="s">
        <v>2002</v>
      </c>
      <c r="Q662" s="3">
        <f>IF(AND(P662&lt;&gt;"",ISNUMBER(P662),NOT(ISNA(P662))),P662,IF(R662&lt;&gt;"",VLOOKUP(R662,'ESO zones'!$D$5:$H$10005,5,FALSE),""))</f>
        <v>1478</v>
      </c>
      <c r="R662" t="str">
        <f>IF(AND(O662&lt;&gt;"",NOT(ISERROR(O662))),O662,IF(AND(P662&lt;&gt;"",ISNUMBER(P662),P662&gt;0,NOT(ISNA(P662))),VLOOKUP(P662,'ESO zones'!$A$5:$D$10003,4,FALSE),IF(AND(K662&lt;&gt;"",K662&gt;0,NOT(ISERROR(K662))),VLOOKUP(K662,'ESO wayshrines'!$K$3:$N$9972,4,FALSE),"")))</f>
        <v>Lucent Citadel</v>
      </c>
      <c r="T662" s="16" t="str">
        <f>IF(AND(S662&lt;&gt;"",NOT(ISERROR(S662))),S662,VLOOKUP(A662,'ESO Set&amp;DLCs'!$A$3:$D$99998,4,FALSE))</f>
        <v>DLC_GOLD_ROAD</v>
      </c>
      <c r="U662" s="3" t="str">
        <f>IF(T662&lt;&gt;"",VLOOKUP(T662,ConstDLCIds!$B$4:$C$1000,2,FALSE),"")</f>
        <v>Gold Road</v>
      </c>
      <c r="V662" s="4" t="s">
        <v>272</v>
      </c>
      <c r="Y662" s="5">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zones'!$A$5:$D$10003,4,FALSE),"")</f>
        <v>Lucent Citadel</v>
      </c>
      <c r="AB662" s="4" t="s">
        <v>272</v>
      </c>
      <c r="AE662" s="5">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zones'!$A$5:$D$10003,4,FALSE),"")</f>
        <v>Lucent Citadel</v>
      </c>
      <c r="AH662" s="4" t="s">
        <v>272</v>
      </c>
      <c r="AI662" s="30"/>
      <c r="AJ662" s="30"/>
      <c r="AK662" s="3" t="str">
        <f>IF(AND(G662&lt;&gt;"LIBSETS_SETTYPE_BATTLEGROUND",G662&lt;&gt;"LIBSETS_SETTYPE_SPECIAL"),IF(AL662&lt;&gt;"",VLOOKUP(AL662,'ESO zones'!$D$5:$H$4957,5,FALSE),""),"")</f>
        <v/>
      </c>
      <c r="AN662" s="30"/>
      <c r="AO662" s="30"/>
      <c r="AP662" s="3" t="str">
        <f>IF(AND(G662&lt;&gt;"LIBSETS_SETTYPE_BATTLEGROUND",G662&lt;&gt;"LIBSETS_SETTYPE_SPECIAL"),IF(AQ662&lt;&gt;"",VLOOKUP(AQ662,'ESO zones'!$D$5:$H$4957,5,FALSE),""),"")</f>
        <v/>
      </c>
      <c r="AS662" s="30"/>
      <c r="AT662" s="30"/>
      <c r="AU662" s="3" t="str">
        <f>IF(AND(G662&lt;&gt;"LIBSETS_SETTYPE_BATTLEGROUND",G662&lt;&gt;"LIBSETS_SETTYPE_SPECIAL"),IF(AV662&lt;&gt;"",VLOOKUP(AV662,'ESO zones'!$D$5:$H$4957,5,FALSE),""),"")</f>
        <v/>
      </c>
      <c r="AX662" s="30"/>
      <c r="AY662" s="30"/>
      <c r="AZ662" s="49" t="s">
        <v>403</v>
      </c>
      <c r="BA662" s="49"/>
      <c r="BB662" s="49"/>
      <c r="BC662"/>
      <c r="BD662" t="s">
        <v>1122</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1">
        <v>771</v>
      </c>
      <c r="B663" t="s">
        <v>2007</v>
      </c>
      <c r="C663" t="s">
        <v>2007</v>
      </c>
      <c r="D663" s="3">
        <f t="shared" si="60"/>
        <v>771</v>
      </c>
      <c r="G663" s="3" t="s">
        <v>178</v>
      </c>
      <c r="I663" t="s">
        <v>1120</v>
      </c>
      <c r="J663" t="s">
        <v>401</v>
      </c>
      <c r="K663">
        <v>568</v>
      </c>
      <c r="L663">
        <v>568</v>
      </c>
      <c r="M663">
        <v>568</v>
      </c>
      <c r="O663" s="5" t="s">
        <v>2002</v>
      </c>
      <c r="Q663" s="3">
        <f>IF(AND(P663&lt;&gt;"",ISNUMBER(P663),NOT(ISNA(P663))),P663,IF(R663&lt;&gt;"",VLOOKUP(R663,'ESO zones'!$D$5:$H$10005,5,FALSE),""))</f>
        <v>1478</v>
      </c>
      <c r="R663" t="str">
        <f>IF(AND(O663&lt;&gt;"",NOT(ISERROR(O663))),O663,IF(AND(P663&lt;&gt;"",ISNUMBER(P663),P663&gt;0,NOT(ISNA(P663))),VLOOKUP(P663,'ESO zones'!$A$5:$D$10003,4,FALSE),IF(AND(K663&lt;&gt;"",K663&gt;0,NOT(ISERROR(K663))),VLOOKUP(K663,'ESO wayshrines'!$K$3:$N$9972,4,FALSE),"")))</f>
        <v>Lucent Citadel</v>
      </c>
      <c r="T663" s="16" t="str">
        <f>IF(AND(S663&lt;&gt;"",NOT(ISERROR(S663))),S663,VLOOKUP(A663,'ESO Set&amp;DLCs'!$A$3:$D$99998,4,FALSE))</f>
        <v>DLC_GOLD_ROAD</v>
      </c>
      <c r="U663" s="3" t="str">
        <f>IF(T663&lt;&gt;"",VLOOKUP(T663,ConstDLCIds!$B$4:$C$1000,2,FALSE),"")</f>
        <v>Gold Road</v>
      </c>
      <c r="V663" s="4" t="s">
        <v>272</v>
      </c>
      <c r="Y663" s="5">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zones'!$A$5:$D$10003,4,FALSE),"")</f>
        <v>Lucent Citadel</v>
      </c>
      <c r="AB663" s="4" t="s">
        <v>272</v>
      </c>
      <c r="AE663" s="5">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zones'!$A$5:$D$10003,4,FALSE),"")</f>
        <v>Lucent Citadel</v>
      </c>
      <c r="AH663" s="4" t="s">
        <v>272</v>
      </c>
      <c r="AI663" s="30"/>
      <c r="AJ663" s="30"/>
      <c r="AK663" s="3" t="str">
        <f>IF(AND(G663&lt;&gt;"LIBSETS_SETTYPE_BATTLEGROUND",G663&lt;&gt;"LIBSETS_SETTYPE_SPECIAL"),IF(AL663&lt;&gt;"",VLOOKUP(AL663,'ESO zones'!$D$5:$H$4957,5,FALSE),""),"")</f>
        <v/>
      </c>
      <c r="AN663" s="30"/>
      <c r="AO663" s="30"/>
      <c r="AP663" s="3" t="str">
        <f>IF(AND(G663&lt;&gt;"LIBSETS_SETTYPE_BATTLEGROUND",G663&lt;&gt;"LIBSETS_SETTYPE_SPECIAL"),IF(AQ663&lt;&gt;"",VLOOKUP(AQ663,'ESO zones'!$D$5:$H$4957,5,FALSE),""),"")</f>
        <v/>
      </c>
      <c r="AS663" s="30"/>
      <c r="AT663" s="30"/>
      <c r="AU663" s="3" t="str">
        <f>IF(AND(G663&lt;&gt;"LIBSETS_SETTYPE_BATTLEGROUND",G663&lt;&gt;"LIBSETS_SETTYPE_SPECIAL"),IF(AV663&lt;&gt;"",VLOOKUP(AV663,'ESO zones'!$D$5:$H$4957,5,FALSE),""),"")</f>
        <v/>
      </c>
      <c r="AX663" s="30"/>
      <c r="AY663" s="30"/>
      <c r="AZ663" s="49" t="s">
        <v>403</v>
      </c>
      <c r="BA663" s="49"/>
      <c r="BB663" s="49"/>
      <c r="BC663"/>
      <c r="BD663" t="s">
        <v>1122</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1">
        <v>772</v>
      </c>
      <c r="B664" t="s">
        <v>2008</v>
      </c>
      <c r="C664" t="s">
        <v>2008</v>
      </c>
      <c r="D664" s="3">
        <f t="shared" si="60"/>
        <v>772</v>
      </c>
      <c r="G664" s="3" t="s">
        <v>178</v>
      </c>
      <c r="I664" t="s">
        <v>1120</v>
      </c>
      <c r="J664" t="s">
        <v>401</v>
      </c>
      <c r="K664">
        <v>568</v>
      </c>
      <c r="L664">
        <v>568</v>
      </c>
      <c r="M664">
        <v>568</v>
      </c>
      <c r="O664" s="5" t="s">
        <v>2002</v>
      </c>
      <c r="Q664" s="3">
        <f>IF(AND(P664&lt;&gt;"",ISNUMBER(P664),NOT(ISNA(P664))),P664,IF(R664&lt;&gt;"",VLOOKUP(R664,'ESO zones'!$D$5:$H$10005,5,FALSE),""))</f>
        <v>1478</v>
      </c>
      <c r="R664" t="str">
        <f>IF(AND(O664&lt;&gt;"",NOT(ISERROR(O664))),O664,IF(AND(P664&lt;&gt;"",ISNUMBER(P664),P664&gt;0,NOT(ISNA(P664))),VLOOKUP(P664,'ESO zones'!$A$5:$D$10003,4,FALSE),IF(AND(K664&lt;&gt;"",K664&gt;0,NOT(ISERROR(K664))),VLOOKUP(K664,'ESO wayshrines'!$K$3:$N$9972,4,FALSE),"")))</f>
        <v>Lucent Citadel</v>
      </c>
      <c r="T664" s="16" t="str">
        <f>IF(AND(S664&lt;&gt;"",NOT(ISERROR(S664))),S664,VLOOKUP(A664,'ESO Set&amp;DLCs'!$A$3:$D$99998,4,FALSE))</f>
        <v>DLC_GOLD_ROAD</v>
      </c>
      <c r="U664" s="3" t="str">
        <f>IF(T664&lt;&gt;"",VLOOKUP(T664,ConstDLCIds!$B$4:$C$1000,2,FALSE),"")</f>
        <v>Gold Road</v>
      </c>
      <c r="V664" s="4" t="s">
        <v>272</v>
      </c>
      <c r="Y664" s="5">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zones'!$A$5:$D$10003,4,FALSE),"")</f>
        <v>Lucent Citadel</v>
      </c>
      <c r="AB664" s="4" t="s">
        <v>272</v>
      </c>
      <c r="AE664" s="5">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zones'!$A$5:$D$10003,4,FALSE),"")</f>
        <v>Lucent Citadel</v>
      </c>
      <c r="AH664" s="4" t="s">
        <v>272</v>
      </c>
      <c r="AI664" s="30"/>
      <c r="AJ664" s="30"/>
      <c r="AK664" s="3" t="str">
        <f>IF(AND(G664&lt;&gt;"LIBSETS_SETTYPE_BATTLEGROUND",G664&lt;&gt;"LIBSETS_SETTYPE_SPECIAL"),IF(AL664&lt;&gt;"",VLOOKUP(AL664,'ESO zones'!$D$5:$H$4957,5,FALSE),""),"")</f>
        <v/>
      </c>
      <c r="AN664" s="30"/>
      <c r="AO664" s="30"/>
      <c r="AP664" s="3" t="str">
        <f>IF(AND(G664&lt;&gt;"LIBSETS_SETTYPE_BATTLEGROUND",G664&lt;&gt;"LIBSETS_SETTYPE_SPECIAL"),IF(AQ664&lt;&gt;"",VLOOKUP(AQ664,'ESO zones'!$D$5:$H$4957,5,FALSE),""),"")</f>
        <v/>
      </c>
      <c r="AS664" s="30"/>
      <c r="AT664" s="30"/>
      <c r="AU664" s="3" t="str">
        <f>IF(AND(G664&lt;&gt;"LIBSETS_SETTYPE_BATTLEGROUND",G664&lt;&gt;"LIBSETS_SETTYPE_SPECIAL"),IF(AV664&lt;&gt;"",VLOOKUP(AV664,'ESO zones'!$D$5:$H$4957,5,FALSE),""),"")</f>
        <v/>
      </c>
      <c r="AX664" s="30"/>
      <c r="AY664" s="30"/>
      <c r="AZ664" s="49" t="s">
        <v>403</v>
      </c>
      <c r="BA664" s="49"/>
      <c r="BB664" s="49"/>
      <c r="BC664"/>
      <c r="BD664" t="s">
        <v>1122</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1">
        <v>773</v>
      </c>
      <c r="B665" t="s">
        <v>2009</v>
      </c>
      <c r="C665" t="s">
        <v>2009</v>
      </c>
      <c r="D665" s="3">
        <f t="shared" si="60"/>
        <v>773</v>
      </c>
      <c r="G665" s="3" t="s">
        <v>178</v>
      </c>
      <c r="I665" t="s">
        <v>1120</v>
      </c>
      <c r="J665" t="s">
        <v>401</v>
      </c>
      <c r="K665">
        <v>568</v>
      </c>
      <c r="L665">
        <v>568</v>
      </c>
      <c r="M665">
        <v>568</v>
      </c>
      <c r="O665" s="5" t="s">
        <v>2002</v>
      </c>
      <c r="Q665" s="3">
        <f>IF(AND(P665&lt;&gt;"",ISNUMBER(P665),NOT(ISNA(P665))),P665,IF(R665&lt;&gt;"",VLOOKUP(R665,'ESO zones'!$D$5:$H$10005,5,FALSE),""))</f>
        <v>1478</v>
      </c>
      <c r="R665" t="str">
        <f>IF(AND(O665&lt;&gt;"",NOT(ISERROR(O665))),O665,IF(AND(P665&lt;&gt;"",ISNUMBER(P665),P665&gt;0,NOT(ISNA(P665))),VLOOKUP(P665,'ESO zones'!$A$5:$D$10003,4,FALSE),IF(AND(K665&lt;&gt;"",K665&gt;0,NOT(ISERROR(K665))),VLOOKUP(K665,'ESO wayshrines'!$K$3:$N$9972,4,FALSE),"")))</f>
        <v>Lucent Citadel</v>
      </c>
      <c r="T665" s="16" t="str">
        <f>IF(AND(S665&lt;&gt;"",NOT(ISERROR(S665))),S665,VLOOKUP(A665,'ESO Set&amp;DLCs'!$A$3:$D$99998,4,FALSE))</f>
        <v>DLC_GOLD_ROAD</v>
      </c>
      <c r="U665" s="3" t="str">
        <f>IF(T665&lt;&gt;"",VLOOKUP(T665,ConstDLCIds!$B$4:$C$1000,2,FALSE),"")</f>
        <v>Gold Road</v>
      </c>
      <c r="V665" s="4" t="s">
        <v>272</v>
      </c>
      <c r="Y665" s="5">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zones'!$A$5:$D$10003,4,FALSE),"")</f>
        <v>Lucent Citadel</v>
      </c>
      <c r="AB665" s="4" t="s">
        <v>272</v>
      </c>
      <c r="AE665" s="5">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zones'!$A$5:$D$10003,4,FALSE),"")</f>
        <v>Lucent Citadel</v>
      </c>
      <c r="AH665" s="4" t="s">
        <v>272</v>
      </c>
      <c r="AI665" s="30"/>
      <c r="AJ665" s="30"/>
      <c r="AK665" s="3" t="str">
        <f>IF(AND(G665&lt;&gt;"LIBSETS_SETTYPE_BATTLEGROUND",G665&lt;&gt;"LIBSETS_SETTYPE_SPECIAL"),IF(AL665&lt;&gt;"",VLOOKUP(AL665,'ESO zones'!$D$5:$H$4957,5,FALSE),""),"")</f>
        <v/>
      </c>
      <c r="AN665" s="30"/>
      <c r="AO665" s="30"/>
      <c r="AP665" s="3" t="str">
        <f>IF(AND(G665&lt;&gt;"LIBSETS_SETTYPE_BATTLEGROUND",G665&lt;&gt;"LIBSETS_SETTYPE_SPECIAL"),IF(AQ665&lt;&gt;"",VLOOKUP(AQ665,'ESO zones'!$D$5:$H$4957,5,FALSE),""),"")</f>
        <v/>
      </c>
      <c r="AS665" s="30"/>
      <c r="AT665" s="30"/>
      <c r="AU665" s="3" t="str">
        <f>IF(AND(G665&lt;&gt;"LIBSETS_SETTYPE_BATTLEGROUND",G665&lt;&gt;"LIBSETS_SETTYPE_SPECIAL"),IF(AV665&lt;&gt;"",VLOOKUP(AV665,'ESO zones'!$D$5:$H$4957,5,FALSE),""),"")</f>
        <v/>
      </c>
      <c r="AX665" s="30"/>
      <c r="AY665" s="30"/>
      <c r="AZ665" s="49" t="s">
        <v>403</v>
      </c>
      <c r="BA665" s="49"/>
      <c r="BB665" s="49"/>
      <c r="BC665"/>
      <c r="BD665" t="s">
        <v>1122</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1">
        <v>775</v>
      </c>
      <c r="B666" t="s">
        <v>2010</v>
      </c>
      <c r="C666" t="s">
        <v>2010</v>
      </c>
      <c r="D666" s="3">
        <f t="shared" si="60"/>
        <v>775</v>
      </c>
      <c r="E666" t="s">
        <v>1929</v>
      </c>
      <c r="G666" s="3" t="s">
        <v>186</v>
      </c>
      <c r="I666" t="s">
        <v>401</v>
      </c>
      <c r="J666" t="s">
        <v>401</v>
      </c>
      <c r="K666">
        <v>543</v>
      </c>
      <c r="L666">
        <v>543</v>
      </c>
      <c r="M666">
        <v>543</v>
      </c>
      <c r="O666" s="5" t="s">
        <v>1930</v>
      </c>
      <c r="Q666" s="3">
        <f>IF(AND(P666&lt;&gt;"",ISNUMBER(P666),NOT(ISNA(P666))),P666,IF(R666&lt;&gt;"",VLOOKUP(R666,'ESO zones'!$D$5:$H$10005,5,FALSE),""))</f>
        <v>1436</v>
      </c>
      <c r="R666" t="str">
        <f>IF(AND(O666&lt;&gt;"",NOT(ISERROR(O666))),O666,IF(AND(P666&lt;&gt;"",ISNUMBER(P666),P666&gt;0,NOT(ISNA(P666))),VLOOKUP(P666,'ESO zones'!$A$5:$D$10003,4,FALSE),IF(AND(K666&lt;&gt;"",K666&gt;0,NOT(ISERROR(K666))),VLOOKUP(K666,'ESO wayshrines'!$K$3:$N$9972,4,FALSE),"")))</f>
        <v>Infinite Archive</v>
      </c>
      <c r="T666" s="16" t="str">
        <f>IF(AND(S666&lt;&gt;"",NOT(ISERROR(S666))),S666,VLOOKUP(A666,'ESO Set&amp;DLCs'!$A$3:$D$99998,4,FALSE))</f>
        <v>DLC_BASE_GAME</v>
      </c>
      <c r="U666" s="3" t="str">
        <f>IF(T666&lt;&gt;"",VLOOKUP(T666,ConstDLCIds!$B$4:$C$1000,2,FALSE),"")</f>
        <v>Included in base game</v>
      </c>
      <c r="V666" s="57" t="s">
        <v>304</v>
      </c>
      <c r="W666" s="3" t="s">
        <v>1929</v>
      </c>
      <c r="X666" s="3" t="s">
        <v>1931</v>
      </c>
      <c r="Y666" s="5"/>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zones'!$A$5:$D$10003,4,FALSE),"")</f>
        <v>Apocrypha</v>
      </c>
      <c r="AE666" s="5"/>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zones'!$A$5:$D$10003,4,FALSE),"")</f>
        <v>Apocrypha</v>
      </c>
      <c r="AI666" s="30"/>
      <c r="AJ666" s="30"/>
      <c r="AK666" s="3" t="str">
        <f>IF(AND(G666&lt;&gt;"LIBSETS_SETTYPE_BATTLEGROUND",G666&lt;&gt;"LIBSETS_SETTYPE_SPECIAL"),IF(AL666&lt;&gt;"",VLOOKUP(AL666,'ESO zones'!$D$5:$H$4957,5,FALSE),""),"")</f>
        <v/>
      </c>
      <c r="AN666" s="30"/>
      <c r="AO666" s="30"/>
      <c r="AP666" s="3" t="str">
        <f>IF(AND(G666&lt;&gt;"LIBSETS_SETTYPE_BATTLEGROUND",G666&lt;&gt;"LIBSETS_SETTYPE_SPECIAL"),IF(AQ666&lt;&gt;"",VLOOKUP(AQ666,'ESO zones'!$D$5:$H$4957,5,FALSE),""),"")</f>
        <v/>
      </c>
      <c r="AS666" s="30"/>
      <c r="AT666" s="30"/>
      <c r="AU666" s="3" t="str">
        <f>IF(AND(G666&lt;&gt;"LIBSETS_SETTYPE_BATTLEGROUND",G666&lt;&gt;"LIBSETS_SETTYPE_SPECIAL"),IF(AV666&lt;&gt;"",VLOOKUP(AV666,'ESO zones'!$D$5:$H$4957,5,FALSE),""),"")</f>
        <v/>
      </c>
      <c r="AX666" s="30"/>
      <c r="AY666" s="30"/>
      <c r="AZ666" s="49" t="s">
        <v>403</v>
      </c>
      <c r="BA666" s="49"/>
      <c r="BB666" s="49"/>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1">
        <v>776</v>
      </c>
      <c r="B667" t="s">
        <v>2011</v>
      </c>
      <c r="C667" t="s">
        <v>2011</v>
      </c>
      <c r="D667" s="3">
        <f t="shared" si="60"/>
        <v>776</v>
      </c>
      <c r="E667" t="s">
        <v>1933</v>
      </c>
      <c r="G667" s="3" t="s">
        <v>186</v>
      </c>
      <c r="I667" t="s">
        <v>401</v>
      </c>
      <c r="J667" t="s">
        <v>401</v>
      </c>
      <c r="K667">
        <v>543</v>
      </c>
      <c r="L667">
        <v>543</v>
      </c>
      <c r="M667">
        <v>543</v>
      </c>
      <c r="O667" s="5" t="s">
        <v>1930</v>
      </c>
      <c r="Q667" s="3">
        <f>IF(AND(P667&lt;&gt;"",ISNUMBER(P667),NOT(ISNA(P667))),P667,IF(R667&lt;&gt;"",VLOOKUP(R667,'ESO zones'!$D$5:$H$10005,5,FALSE),""))</f>
        <v>1436</v>
      </c>
      <c r="R667" t="str">
        <f>IF(AND(O667&lt;&gt;"",NOT(ISERROR(O667))),O667,IF(AND(P667&lt;&gt;"",ISNUMBER(P667),P667&gt;0,NOT(ISNA(P667))),VLOOKUP(P667,'ESO zones'!$A$5:$D$10003,4,FALSE),IF(AND(K667&lt;&gt;"",K667&gt;0,NOT(ISERROR(K667))),VLOOKUP(K667,'ESO wayshrines'!$K$3:$N$9972,4,FALSE),"")))</f>
        <v>Infinite Archive</v>
      </c>
      <c r="T667" s="16" t="str">
        <f>IF(AND(S667&lt;&gt;"",NOT(ISERROR(S667))),S667,VLOOKUP(A667,'ESO Set&amp;DLCs'!$A$3:$D$99998,4,FALSE))</f>
        <v>DLC_BASE_GAME</v>
      </c>
      <c r="U667" s="3" t="str">
        <f>IF(T667&lt;&gt;"",VLOOKUP(T667,ConstDLCIds!$B$4:$C$1000,2,FALSE),"")</f>
        <v>Included in base game</v>
      </c>
      <c r="V667" s="57" t="s">
        <v>304</v>
      </c>
      <c r="W667" s="3" t="s">
        <v>1933</v>
      </c>
      <c r="X667" s="3" t="s">
        <v>1934</v>
      </c>
      <c r="Y667" s="5"/>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zones'!$A$5:$D$10003,4,FALSE),"")</f>
        <v>Apocrypha</v>
      </c>
      <c r="AE667" s="5"/>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zones'!$A$5:$D$10003,4,FALSE),"")</f>
        <v>Apocrypha</v>
      </c>
      <c r="AI667" s="30"/>
      <c r="AJ667" s="30"/>
      <c r="AK667" s="3" t="str">
        <f>IF(AND(G667&lt;&gt;"LIBSETS_SETTYPE_BATTLEGROUND",G667&lt;&gt;"LIBSETS_SETTYPE_SPECIAL"),IF(AL667&lt;&gt;"",VLOOKUP(AL667,'ESO zones'!$D$5:$H$4957,5,FALSE),""),"")</f>
        <v/>
      </c>
      <c r="AN667" s="30"/>
      <c r="AO667" s="30"/>
      <c r="AP667" s="3" t="str">
        <f>IF(AND(G667&lt;&gt;"LIBSETS_SETTYPE_BATTLEGROUND",G667&lt;&gt;"LIBSETS_SETTYPE_SPECIAL"),IF(AQ667&lt;&gt;"",VLOOKUP(AQ667,'ESO zones'!$D$5:$H$4957,5,FALSE),""),"")</f>
        <v/>
      </c>
      <c r="AS667" s="30"/>
      <c r="AT667" s="30"/>
      <c r="AU667" s="3" t="str">
        <f>IF(AND(G667&lt;&gt;"LIBSETS_SETTYPE_BATTLEGROUND",G667&lt;&gt;"LIBSETS_SETTYPE_SPECIAL"),IF(AV667&lt;&gt;"",VLOOKUP(AV667,'ESO zones'!$D$5:$H$4957,5,FALSE),""),"")</f>
        <v/>
      </c>
      <c r="AX667" s="30"/>
      <c r="AY667" s="30"/>
      <c r="AZ667" s="49" t="s">
        <v>403</v>
      </c>
      <c r="BA667" s="49"/>
      <c r="BB667" s="49"/>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1">
        <v>777</v>
      </c>
      <c r="B668" t="s">
        <v>2012</v>
      </c>
      <c r="C668" t="s">
        <v>2012</v>
      </c>
      <c r="D668" s="3">
        <f t="shared" si="60"/>
        <v>777</v>
      </c>
      <c r="E668" t="s">
        <v>1937</v>
      </c>
      <c r="G668" s="3" t="s">
        <v>186</v>
      </c>
      <c r="I668" t="s">
        <v>401</v>
      </c>
      <c r="J668" t="s">
        <v>401</v>
      </c>
      <c r="K668">
        <v>543</v>
      </c>
      <c r="L668">
        <v>543</v>
      </c>
      <c r="M668">
        <v>543</v>
      </c>
      <c r="O668" s="5" t="s">
        <v>1930</v>
      </c>
      <c r="Q668" s="3">
        <f>IF(AND(P668&lt;&gt;"",ISNUMBER(P668),NOT(ISNA(P668))),P668,IF(R668&lt;&gt;"",VLOOKUP(R668,'ESO zones'!$D$5:$H$10005,5,FALSE),""))</f>
        <v>1436</v>
      </c>
      <c r="R668" t="str">
        <f>IF(AND(O668&lt;&gt;"",NOT(ISERROR(O668))),O668,IF(AND(P668&lt;&gt;"",ISNUMBER(P668),P668&gt;0,NOT(ISNA(P668))),VLOOKUP(P668,'ESO zones'!$A$5:$D$10003,4,FALSE),IF(AND(K668&lt;&gt;"",K668&gt;0,NOT(ISERROR(K668))),VLOOKUP(K668,'ESO wayshrines'!$K$3:$N$9972,4,FALSE),"")))</f>
        <v>Infinite Archive</v>
      </c>
      <c r="T668" s="16" t="str">
        <f>IF(AND(S668&lt;&gt;"",NOT(ISERROR(S668))),S668,VLOOKUP(A668,'ESO Set&amp;DLCs'!$A$3:$D$99998,4,FALSE))</f>
        <v>DLC_BASE_GAME</v>
      </c>
      <c r="U668" s="3" t="str">
        <f>IF(T668&lt;&gt;"",VLOOKUP(T668,ConstDLCIds!$B$4:$C$1000,2,FALSE),"")</f>
        <v>Included in base game</v>
      </c>
      <c r="V668" s="57" t="s">
        <v>304</v>
      </c>
      <c r="W668" s="3" t="s">
        <v>1937</v>
      </c>
      <c r="X668" s="3" t="s">
        <v>1938</v>
      </c>
      <c r="Y668" s="5"/>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zones'!$A$5:$D$10003,4,FALSE),"")</f>
        <v>Apocrypha</v>
      </c>
      <c r="AE668" s="5"/>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zones'!$A$5:$D$10003,4,FALSE),"")</f>
        <v>Apocrypha</v>
      </c>
      <c r="AI668" s="30"/>
      <c r="AJ668" s="30"/>
      <c r="AK668" s="3" t="str">
        <f>IF(AND(G668&lt;&gt;"LIBSETS_SETTYPE_BATTLEGROUND",G668&lt;&gt;"LIBSETS_SETTYPE_SPECIAL"),IF(AL668&lt;&gt;"",VLOOKUP(AL668,'ESO zones'!$D$5:$H$4957,5,FALSE),""),"")</f>
        <v/>
      </c>
      <c r="AN668" s="30"/>
      <c r="AO668" s="30"/>
      <c r="AP668" s="3" t="str">
        <f>IF(AND(G668&lt;&gt;"LIBSETS_SETTYPE_BATTLEGROUND",G668&lt;&gt;"LIBSETS_SETTYPE_SPECIAL"),IF(AQ668&lt;&gt;"",VLOOKUP(AQ668,'ESO zones'!$D$5:$H$4957,5,FALSE),""),"")</f>
        <v/>
      </c>
      <c r="AS668" s="30"/>
      <c r="AT668" s="30"/>
      <c r="AU668" s="3" t="str">
        <f>IF(AND(G668&lt;&gt;"LIBSETS_SETTYPE_BATTLEGROUND",G668&lt;&gt;"LIBSETS_SETTYPE_SPECIAL"),IF(AV668&lt;&gt;"",VLOOKUP(AV668,'ESO zones'!$D$5:$H$4957,5,FALSE),""),"")</f>
        <v/>
      </c>
      <c r="AX668" s="30"/>
      <c r="AY668" s="30"/>
      <c r="AZ668" s="49" t="s">
        <v>403</v>
      </c>
      <c r="BA668" s="49"/>
      <c r="BB668" s="49"/>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1">
        <v>778</v>
      </c>
      <c r="B669" t="s">
        <v>2013</v>
      </c>
      <c r="C669" t="s">
        <v>2013</v>
      </c>
      <c r="D669" s="3">
        <f t="shared" si="60"/>
        <v>778</v>
      </c>
      <c r="E669" t="s">
        <v>1941</v>
      </c>
      <c r="G669" s="3" t="s">
        <v>186</v>
      </c>
      <c r="I669" t="s">
        <v>401</v>
      </c>
      <c r="J669" t="s">
        <v>401</v>
      </c>
      <c r="K669">
        <v>543</v>
      </c>
      <c r="L669">
        <v>543</v>
      </c>
      <c r="M669">
        <v>543</v>
      </c>
      <c r="O669" s="5" t="s">
        <v>1930</v>
      </c>
      <c r="Q669" s="3">
        <f>IF(AND(P669&lt;&gt;"",ISNUMBER(P669),NOT(ISNA(P669))),P669,IF(R669&lt;&gt;"",VLOOKUP(R669,'ESO zones'!$D$5:$H$10005,5,FALSE),""))</f>
        <v>1436</v>
      </c>
      <c r="R669" t="str">
        <f>IF(AND(O669&lt;&gt;"",NOT(ISERROR(O669))),O669,IF(AND(P669&lt;&gt;"",ISNUMBER(P669),P669&gt;0,NOT(ISNA(P669))),VLOOKUP(P669,'ESO zones'!$A$5:$D$10003,4,FALSE),IF(AND(K669&lt;&gt;"",K669&gt;0,NOT(ISERROR(K669))),VLOOKUP(K669,'ESO wayshrines'!$K$3:$N$9972,4,FALSE),"")))</f>
        <v>Infinite Archive</v>
      </c>
      <c r="T669" s="16" t="str">
        <f>IF(AND(S669&lt;&gt;"",NOT(ISERROR(S669))),S669,VLOOKUP(A669,'ESO Set&amp;DLCs'!$A$3:$D$99998,4,FALSE))</f>
        <v>DLC_BASE_GAME</v>
      </c>
      <c r="U669" s="3" t="str">
        <f>IF(T669&lt;&gt;"",VLOOKUP(T669,ConstDLCIds!$B$4:$C$1000,2,FALSE),"")</f>
        <v>Included in base game</v>
      </c>
      <c r="V669" s="57" t="s">
        <v>304</v>
      </c>
      <c r="W669" s="3" t="s">
        <v>1941</v>
      </c>
      <c r="X669" s="3" t="s">
        <v>1942</v>
      </c>
      <c r="Y669" s="5"/>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zones'!$A$5:$D$10003,4,FALSE),"")</f>
        <v>Apocrypha</v>
      </c>
      <c r="AE669" s="5"/>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zones'!$A$5:$D$10003,4,FALSE),"")</f>
        <v>Apocrypha</v>
      </c>
      <c r="AI669" s="30"/>
      <c r="AJ669" s="30"/>
      <c r="AK669" s="3" t="str">
        <f>IF(AND(G669&lt;&gt;"LIBSETS_SETTYPE_BATTLEGROUND",G669&lt;&gt;"LIBSETS_SETTYPE_SPECIAL"),IF(AL669&lt;&gt;"",VLOOKUP(AL669,'ESO zones'!$D$5:$H$4957,5,FALSE),""),"")</f>
        <v/>
      </c>
      <c r="AN669" s="30"/>
      <c r="AO669" s="30"/>
      <c r="AP669" s="3" t="str">
        <f>IF(AND(G669&lt;&gt;"LIBSETS_SETTYPE_BATTLEGROUND",G669&lt;&gt;"LIBSETS_SETTYPE_SPECIAL"),IF(AQ669&lt;&gt;"",VLOOKUP(AQ669,'ESO zones'!$D$5:$H$4957,5,FALSE),""),"")</f>
        <v/>
      </c>
      <c r="AS669" s="30"/>
      <c r="AT669" s="30"/>
      <c r="AU669" s="3" t="str">
        <f>IF(AND(G669&lt;&gt;"LIBSETS_SETTYPE_BATTLEGROUND",G669&lt;&gt;"LIBSETS_SETTYPE_SPECIAL"),IF(AV669&lt;&gt;"",VLOOKUP(AV669,'ESO zones'!$D$5:$H$4957,5,FALSE),""),"")</f>
        <v/>
      </c>
      <c r="AX669" s="30"/>
      <c r="AY669" s="30"/>
      <c r="AZ669" s="49" t="s">
        <v>403</v>
      </c>
      <c r="BA669" s="49"/>
      <c r="BB669" s="49"/>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1">
        <v>779</v>
      </c>
      <c r="B670" t="s">
        <v>2014</v>
      </c>
      <c r="C670" t="s">
        <v>2014</v>
      </c>
      <c r="D670" s="3">
        <f t="shared" si="60"/>
        <v>779</v>
      </c>
      <c r="E670" t="s">
        <v>1945</v>
      </c>
      <c r="G670" s="3" t="s">
        <v>186</v>
      </c>
      <c r="I670" t="s">
        <v>401</v>
      </c>
      <c r="J670" t="s">
        <v>401</v>
      </c>
      <c r="K670">
        <v>543</v>
      </c>
      <c r="L670">
        <v>543</v>
      </c>
      <c r="M670">
        <v>543</v>
      </c>
      <c r="O670" s="5" t="s">
        <v>1930</v>
      </c>
      <c r="Q670" s="3">
        <f>IF(AND(P670&lt;&gt;"",ISNUMBER(P670),NOT(ISNA(P670))),P670,IF(R670&lt;&gt;"",VLOOKUP(R670,'ESO zones'!$D$5:$H$10005,5,FALSE),""))</f>
        <v>1436</v>
      </c>
      <c r="R670" t="str">
        <f>IF(AND(O670&lt;&gt;"",NOT(ISERROR(O670))),O670,IF(AND(P670&lt;&gt;"",ISNUMBER(P670),P670&gt;0,NOT(ISNA(P670))),VLOOKUP(P670,'ESO zones'!$A$5:$D$10003,4,FALSE),IF(AND(K670&lt;&gt;"",K670&gt;0,NOT(ISERROR(K670))),VLOOKUP(K670,'ESO wayshrines'!$K$3:$N$9972,4,FALSE),"")))</f>
        <v>Infinite Archive</v>
      </c>
      <c r="T670" s="16" t="str">
        <f>IF(AND(S670&lt;&gt;"",NOT(ISERROR(S670))),S670,VLOOKUP(A670,'ESO Set&amp;DLCs'!$A$3:$D$99998,4,FALSE))</f>
        <v>DLC_BASE_GAME</v>
      </c>
      <c r="U670" s="3" t="str">
        <f>IF(T670&lt;&gt;"",VLOOKUP(T670,ConstDLCIds!$B$4:$C$1000,2,FALSE),"")</f>
        <v>Included in base game</v>
      </c>
      <c r="V670" s="57" t="s">
        <v>304</v>
      </c>
      <c r="W670" s="3" t="s">
        <v>1945</v>
      </c>
      <c r="X670" s="3" t="s">
        <v>1946</v>
      </c>
      <c r="Y670" s="5"/>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zones'!$A$5:$D$10003,4,FALSE),"")</f>
        <v>Apocrypha</v>
      </c>
      <c r="AE670" s="5"/>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zones'!$A$5:$D$10003,4,FALSE),"")</f>
        <v>Apocrypha</v>
      </c>
      <c r="AI670" s="30"/>
      <c r="AJ670" s="30"/>
      <c r="AK670" s="3" t="str">
        <f>IF(AND(G670&lt;&gt;"LIBSETS_SETTYPE_BATTLEGROUND",G670&lt;&gt;"LIBSETS_SETTYPE_SPECIAL"),IF(AL670&lt;&gt;"",VLOOKUP(AL670,'ESO zones'!$D$5:$H$4957,5,FALSE),""),"")</f>
        <v/>
      </c>
      <c r="AN670" s="30"/>
      <c r="AO670" s="30"/>
      <c r="AP670" s="3" t="str">
        <f>IF(AND(G670&lt;&gt;"LIBSETS_SETTYPE_BATTLEGROUND",G670&lt;&gt;"LIBSETS_SETTYPE_SPECIAL"),IF(AQ670&lt;&gt;"",VLOOKUP(AQ670,'ESO zones'!$D$5:$H$4957,5,FALSE),""),"")</f>
        <v/>
      </c>
      <c r="AS670" s="30"/>
      <c r="AT670" s="30"/>
      <c r="AU670" s="3" t="str">
        <f>IF(AND(G670&lt;&gt;"LIBSETS_SETTYPE_BATTLEGROUND",G670&lt;&gt;"LIBSETS_SETTYPE_SPECIAL"),IF(AV670&lt;&gt;"",VLOOKUP(AV670,'ESO zones'!$D$5:$H$4957,5,FALSE),""),"")</f>
        <v/>
      </c>
      <c r="AX670" s="30"/>
      <c r="AY670" s="30"/>
      <c r="AZ670" s="49" t="s">
        <v>403</v>
      </c>
      <c r="BA670" s="49"/>
      <c r="BB670" s="49"/>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1">
        <v>780</v>
      </c>
      <c r="B671" t="s">
        <v>2015</v>
      </c>
      <c r="C671" t="s">
        <v>2015</v>
      </c>
      <c r="D671" s="3">
        <f t="shared" si="60"/>
        <v>780</v>
      </c>
      <c r="E671" t="s">
        <v>1949</v>
      </c>
      <c r="G671" s="3" t="s">
        <v>186</v>
      </c>
      <c r="I671" t="s">
        <v>401</v>
      </c>
      <c r="J671" t="s">
        <v>401</v>
      </c>
      <c r="K671">
        <v>543</v>
      </c>
      <c r="L671">
        <v>543</v>
      </c>
      <c r="M671">
        <v>543</v>
      </c>
      <c r="O671" s="5" t="s">
        <v>1930</v>
      </c>
      <c r="Q671" s="3">
        <f>IF(AND(P671&lt;&gt;"",ISNUMBER(P671),NOT(ISNA(P671))),P671,IF(R671&lt;&gt;"",VLOOKUP(R671,'ESO zones'!$D$5:$H$10005,5,FALSE),""))</f>
        <v>1436</v>
      </c>
      <c r="R671" t="str">
        <f>IF(AND(O671&lt;&gt;"",NOT(ISERROR(O671))),O671,IF(AND(P671&lt;&gt;"",ISNUMBER(P671),P671&gt;0,NOT(ISNA(P671))),VLOOKUP(P671,'ESO zones'!$A$5:$D$10003,4,FALSE),IF(AND(K671&lt;&gt;"",K671&gt;0,NOT(ISERROR(K671))),VLOOKUP(K671,'ESO wayshrines'!$K$3:$N$9972,4,FALSE),"")))</f>
        <v>Infinite Archive</v>
      </c>
      <c r="T671" s="16" t="str">
        <f>IF(AND(S671&lt;&gt;"",NOT(ISERROR(S671))),S671,VLOOKUP(A671,'ESO Set&amp;DLCs'!$A$3:$D$99998,4,FALSE))</f>
        <v>DLC_BASE_GAME</v>
      </c>
      <c r="U671" s="3" t="str">
        <f>IF(T671&lt;&gt;"",VLOOKUP(T671,ConstDLCIds!$B$4:$C$1000,2,FALSE),"")</f>
        <v>Included in base game</v>
      </c>
      <c r="V671" s="57" t="s">
        <v>304</v>
      </c>
      <c r="W671" s="3" t="s">
        <v>1949</v>
      </c>
      <c r="X671" s="3" t="s">
        <v>1950</v>
      </c>
      <c r="Y671" s="5"/>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zones'!$A$5:$D$10003,4,FALSE),"")</f>
        <v>Apocrypha</v>
      </c>
      <c r="AE671" s="5"/>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zones'!$A$5:$D$10003,4,FALSE),"")</f>
        <v>Apocrypha</v>
      </c>
      <c r="AI671" s="30"/>
      <c r="AJ671" s="30"/>
      <c r="AK671" s="3" t="str">
        <f>IF(AND(G671&lt;&gt;"LIBSETS_SETTYPE_BATTLEGROUND",G671&lt;&gt;"LIBSETS_SETTYPE_SPECIAL"),IF(AL671&lt;&gt;"",VLOOKUP(AL671,'ESO zones'!$D$5:$H$4957,5,FALSE),""),"")</f>
        <v/>
      </c>
      <c r="AN671" s="30"/>
      <c r="AO671" s="30"/>
      <c r="AP671" s="3" t="str">
        <f>IF(AND(G671&lt;&gt;"LIBSETS_SETTYPE_BATTLEGROUND",G671&lt;&gt;"LIBSETS_SETTYPE_SPECIAL"),IF(AQ671&lt;&gt;"",VLOOKUP(AQ671,'ESO zones'!$D$5:$H$4957,5,FALSE),""),"")</f>
        <v/>
      </c>
      <c r="AS671" s="30"/>
      <c r="AT671" s="30"/>
      <c r="AU671" s="3" t="str">
        <f>IF(AND(G671&lt;&gt;"LIBSETS_SETTYPE_BATTLEGROUND",G671&lt;&gt;"LIBSETS_SETTYPE_SPECIAL"),IF(AV671&lt;&gt;"",VLOOKUP(AV671,'ESO zones'!$D$5:$H$4957,5,FALSE),""),"")</f>
        <v/>
      </c>
      <c r="AX671" s="30"/>
      <c r="AY671" s="30"/>
      <c r="AZ671" s="49" t="s">
        <v>403</v>
      </c>
      <c r="BA671" s="49"/>
      <c r="BB671" s="49"/>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1">
        <v>781</v>
      </c>
      <c r="B672" t="s">
        <v>2016</v>
      </c>
      <c r="C672" t="s">
        <v>2016</v>
      </c>
      <c r="D672" s="3">
        <f t="shared" si="60"/>
        <v>781</v>
      </c>
      <c r="E672" t="s">
        <v>1953</v>
      </c>
      <c r="G672" s="3" t="s">
        <v>186</v>
      </c>
      <c r="I672" t="s">
        <v>401</v>
      </c>
      <c r="J672" t="s">
        <v>401</v>
      </c>
      <c r="K672">
        <v>543</v>
      </c>
      <c r="L672">
        <v>543</v>
      </c>
      <c r="M672">
        <v>543</v>
      </c>
      <c r="O672" s="5" t="s">
        <v>1930</v>
      </c>
      <c r="Q672" s="3">
        <f>IF(AND(P672&lt;&gt;"",ISNUMBER(P672),NOT(ISNA(P672))),P672,IF(R672&lt;&gt;"",VLOOKUP(R672,'ESO zones'!$D$5:$H$10005,5,FALSE),""))</f>
        <v>1436</v>
      </c>
      <c r="R672" t="str">
        <f>IF(AND(O672&lt;&gt;"",NOT(ISERROR(O672))),O672,IF(AND(P672&lt;&gt;"",ISNUMBER(P672),P672&gt;0,NOT(ISNA(P672))),VLOOKUP(P672,'ESO zones'!$A$5:$D$10003,4,FALSE),IF(AND(K672&lt;&gt;"",K672&gt;0,NOT(ISERROR(K672))),VLOOKUP(K672,'ESO wayshrines'!$K$3:$N$9972,4,FALSE),"")))</f>
        <v>Infinite Archive</v>
      </c>
      <c r="T672" s="16" t="str">
        <f>IF(AND(S672&lt;&gt;"",NOT(ISERROR(S672))),S672,VLOOKUP(A672,'ESO Set&amp;DLCs'!$A$3:$D$99998,4,FALSE))</f>
        <v>DLC_BASE_GAME</v>
      </c>
      <c r="U672" s="3" t="str">
        <f>IF(T672&lt;&gt;"",VLOOKUP(T672,ConstDLCIds!$B$4:$C$1000,2,FALSE),"")</f>
        <v>Included in base game</v>
      </c>
      <c r="V672" s="57" t="s">
        <v>304</v>
      </c>
      <c r="W672" s="3" t="s">
        <v>1953</v>
      </c>
      <c r="X672" s="3" t="s">
        <v>1954</v>
      </c>
      <c r="Y672" s="5"/>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zones'!$A$5:$D$10003,4,FALSE),"")</f>
        <v>Apocrypha</v>
      </c>
      <c r="AE672" s="5"/>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zones'!$A$5:$D$10003,4,FALSE),"")</f>
        <v>Apocrypha</v>
      </c>
      <c r="AI672" s="30"/>
      <c r="AJ672" s="30"/>
      <c r="AK672" s="3" t="str">
        <f>IF(AND(G672&lt;&gt;"LIBSETS_SETTYPE_BATTLEGROUND",G672&lt;&gt;"LIBSETS_SETTYPE_SPECIAL"),IF(AL672&lt;&gt;"",VLOOKUP(AL672,'ESO zones'!$D$5:$H$4957,5,FALSE),""),"")</f>
        <v/>
      </c>
      <c r="AN672" s="30"/>
      <c r="AO672" s="30"/>
      <c r="AP672" s="3" t="str">
        <f>IF(AND(G672&lt;&gt;"LIBSETS_SETTYPE_BATTLEGROUND",G672&lt;&gt;"LIBSETS_SETTYPE_SPECIAL"),IF(AQ672&lt;&gt;"",VLOOKUP(AQ672,'ESO zones'!$D$5:$H$4957,5,FALSE),""),"")</f>
        <v/>
      </c>
      <c r="AS672" s="30"/>
      <c r="AT672" s="30"/>
      <c r="AU672" s="3" t="str">
        <f>IF(AND(G672&lt;&gt;"LIBSETS_SETTYPE_BATTLEGROUND",G672&lt;&gt;"LIBSETS_SETTYPE_SPECIAL"),IF(AV672&lt;&gt;"",VLOOKUP(AV672,'ESO zones'!$D$5:$H$4957,5,FALSE),""),"")</f>
        <v/>
      </c>
      <c r="AX672" s="30"/>
      <c r="AY672" s="30"/>
      <c r="AZ672" s="49" t="s">
        <v>403</v>
      </c>
      <c r="BA672" s="49"/>
      <c r="BB672" s="49"/>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1">
        <v>782</v>
      </c>
      <c r="B673" t="s">
        <v>2017</v>
      </c>
      <c r="C673" t="s">
        <v>2017</v>
      </c>
      <c r="D673" s="3">
        <f t="shared" si="60"/>
        <v>782</v>
      </c>
      <c r="G673" s="3" t="s">
        <v>165</v>
      </c>
      <c r="I673" t="s">
        <v>401</v>
      </c>
      <c r="J673" t="s">
        <v>401</v>
      </c>
      <c r="K673">
        <v>-1</v>
      </c>
      <c r="L673">
        <v>-1</v>
      </c>
      <c r="M673">
        <v>-1</v>
      </c>
      <c r="O673" s="5" t="s">
        <v>166</v>
      </c>
      <c r="Q673" s="3">
        <f>IF(AND(P673&lt;&gt;"",ISNUMBER(P673),NOT(ISNA(P673))),P673,IF(R673&lt;&gt;"",VLOOKUP(R673,'ESO zones'!$D$5:$H$10005,5,FALSE),""))</f>
        <v>181</v>
      </c>
      <c r="R673" t="str">
        <f>IF(AND(O673&lt;&gt;"",NOT(ISERROR(O673))),O673,IF(AND(P673&lt;&gt;"",ISNUMBER(P673),P673&gt;0,NOT(ISNA(P673))),VLOOKUP(P673,'ESO zones'!$A$5:$D$10003,4,FALSE),IF(AND(K673&lt;&gt;"",K673&gt;0,NOT(ISERROR(K673))),VLOOKUP(K673,'ESO wayshrines'!$K$3:$N$9972,4,FALSE),"")))</f>
        <v>Cyrodiil</v>
      </c>
      <c r="T673" s="16" t="str">
        <f>IF(AND(S673&lt;&gt;"",NOT(ISERROR(S673))),S673,VLOOKUP(A673,'ESO Set&amp;DLCs'!$A$3:$D$99998,4,FALSE))</f>
        <v>DLC_BASE_GAME</v>
      </c>
      <c r="U673" s="3" t="str">
        <f>IF(T673&lt;&gt;"",VLOOKUP(T673,ConstDLCIds!$B$4:$C$1000,2,FALSE),"")</f>
        <v>Included in base game</v>
      </c>
      <c r="V673" s="57" t="s">
        <v>197</v>
      </c>
      <c r="Y673" s="5">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zones'!$A$5:$D$10003,4,FALSE),"")</f>
        <v>Cyrodiil</v>
      </c>
      <c r="AB673" s="4" t="s">
        <v>301</v>
      </c>
      <c r="AE673" s="5">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zones'!$A$5:$D$10003,4,FALSE),"")</f>
        <v>Cyrodiil</v>
      </c>
      <c r="AH673" s="4" t="s">
        <v>248</v>
      </c>
      <c r="AI673" s="30"/>
      <c r="AJ673" s="30"/>
      <c r="AK673" s="3">
        <f>IF(AND(G673&lt;&gt;"LIBSETS_SETTYPE_BATTLEGROUND",G673&lt;&gt;"LIBSETS_SETTYPE_SPECIAL"),IF(AL673&lt;&gt;"",VLOOKUP(AL673,'ESO zones'!$D$5:$H$4957,5,FALSE),""),"")</f>
        <v>181</v>
      </c>
      <c r="AL673" t="s">
        <v>166</v>
      </c>
      <c r="AM673" s="4" t="s">
        <v>298</v>
      </c>
      <c r="AN673" s="30"/>
      <c r="AO673" s="30"/>
      <c r="AP673" s="3">
        <f>IF(AND(G673&lt;&gt;"LIBSETS_SETTYPE_BATTLEGROUND",G673&lt;&gt;"LIBSETS_SETTYPE_SPECIAL"),IF(AQ673&lt;&gt;"",VLOOKUP(AQ673,'ESO zones'!$D$5:$H$4957,5,FALSE),""),"")</f>
        <v>181</v>
      </c>
      <c r="AQ673" t="s">
        <v>166</v>
      </c>
      <c r="AR673" s="4" t="s">
        <v>215</v>
      </c>
      <c r="AS673" s="30"/>
      <c r="AT673" s="30"/>
      <c r="AU673" s="3">
        <f>IF(AND(G673&lt;&gt;"LIBSETS_SETTYPE_BATTLEGROUND",G673&lt;&gt;"LIBSETS_SETTYPE_SPECIAL"),IF(AV673&lt;&gt;"",VLOOKUP(AV673,'ESO zones'!$D$5:$H$4957,5,FALSE),""),"")</f>
        <v>181</v>
      </c>
      <c r="AV673" t="s">
        <v>166</v>
      </c>
      <c r="AW673" s="4" t="s">
        <v>257</v>
      </c>
      <c r="AX673" s="30"/>
      <c r="AY673" s="30"/>
      <c r="AZ673" s="49" t="s">
        <v>403</v>
      </c>
      <c r="BA673" s="49"/>
      <c r="BB673" s="49"/>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1">
        <v>783</v>
      </c>
      <c r="B674" t="s">
        <v>2018</v>
      </c>
      <c r="C674" t="s">
        <v>2018</v>
      </c>
      <c r="D674" s="3">
        <f t="shared" si="60"/>
        <v>783</v>
      </c>
      <c r="G674" s="3" t="s">
        <v>165</v>
      </c>
      <c r="I674" t="s">
        <v>401</v>
      </c>
      <c r="J674" t="s">
        <v>401</v>
      </c>
      <c r="K674">
        <v>-1</v>
      </c>
      <c r="L674">
        <v>-1</v>
      </c>
      <c r="M674">
        <v>-1</v>
      </c>
      <c r="O674" s="5" t="s">
        <v>166</v>
      </c>
      <c r="Q674" s="3">
        <f>IF(AND(P674&lt;&gt;"",ISNUMBER(P674),NOT(ISNA(P674))),P674,IF(R674&lt;&gt;"",VLOOKUP(R674,'ESO zones'!$D$5:$H$10005,5,FALSE),""))</f>
        <v>181</v>
      </c>
      <c r="R674" t="str">
        <f>IF(AND(O674&lt;&gt;"",NOT(ISERROR(O674))),O674,IF(AND(P674&lt;&gt;"",ISNUMBER(P674),P674&gt;0,NOT(ISNA(P674))),VLOOKUP(P674,'ESO zones'!$A$5:$D$10003,4,FALSE),IF(AND(K674&lt;&gt;"",K674&gt;0,NOT(ISERROR(K674))),VLOOKUP(K674,'ESO wayshrines'!$K$3:$N$9972,4,FALSE),"")))</f>
        <v>Cyrodiil</v>
      </c>
      <c r="T674" s="16" t="str">
        <f>IF(AND(S674&lt;&gt;"",NOT(ISERROR(S674))),S674,VLOOKUP(A674,'ESO Set&amp;DLCs'!$A$3:$D$99998,4,FALSE))</f>
        <v>DLC_BASE_GAME</v>
      </c>
      <c r="U674" s="3" t="str">
        <f>IF(T674&lt;&gt;"",VLOOKUP(T674,ConstDLCIds!$B$4:$C$1000,2,FALSE),"")</f>
        <v>Included in base game</v>
      </c>
      <c r="V674" s="57" t="s">
        <v>197</v>
      </c>
      <c r="Y674" s="5">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zones'!$A$5:$D$10003,4,FALSE),"")</f>
        <v>Cyrodiil</v>
      </c>
      <c r="AB674" s="4" t="s">
        <v>301</v>
      </c>
      <c r="AE674" s="5">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zones'!$A$5:$D$10003,4,FALSE),"")</f>
        <v>Cyrodiil</v>
      </c>
      <c r="AH674" s="4" t="s">
        <v>248</v>
      </c>
      <c r="AI674" s="30"/>
      <c r="AJ674" s="30"/>
      <c r="AK674" s="3">
        <f>IF(AND(G674&lt;&gt;"LIBSETS_SETTYPE_BATTLEGROUND",G674&lt;&gt;"LIBSETS_SETTYPE_SPECIAL"),IF(AL674&lt;&gt;"",VLOOKUP(AL674,'ESO zones'!$D$5:$H$4957,5,FALSE),""),"")</f>
        <v>181</v>
      </c>
      <c r="AL674" t="s">
        <v>166</v>
      </c>
      <c r="AM674" s="4" t="s">
        <v>298</v>
      </c>
      <c r="AN674" s="30"/>
      <c r="AO674" s="30"/>
      <c r="AP674" s="3">
        <f>IF(AND(G674&lt;&gt;"LIBSETS_SETTYPE_BATTLEGROUND",G674&lt;&gt;"LIBSETS_SETTYPE_SPECIAL"),IF(AQ674&lt;&gt;"",VLOOKUP(AQ674,'ESO zones'!$D$5:$H$4957,5,FALSE),""),"")</f>
        <v>181</v>
      </c>
      <c r="AQ674" t="s">
        <v>166</v>
      </c>
      <c r="AR674" s="4" t="s">
        <v>215</v>
      </c>
      <c r="AS674" s="30"/>
      <c r="AT674" s="30"/>
      <c r="AU674" s="3">
        <f>IF(AND(G674&lt;&gt;"LIBSETS_SETTYPE_BATTLEGROUND",G674&lt;&gt;"LIBSETS_SETTYPE_SPECIAL"),IF(AV674&lt;&gt;"",VLOOKUP(AV674,'ESO zones'!$D$5:$H$4957,5,FALSE),""),"")</f>
        <v>181</v>
      </c>
      <c r="AV674" t="s">
        <v>166</v>
      </c>
      <c r="AW674" s="4" t="s">
        <v>257</v>
      </c>
      <c r="AX674" s="30"/>
      <c r="AY674" s="30"/>
      <c r="AZ674" s="49" t="s">
        <v>403</v>
      </c>
      <c r="BA674" s="49"/>
      <c r="BB674" s="49"/>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1">
        <v>784</v>
      </c>
      <c r="B675" t="s">
        <v>2019</v>
      </c>
      <c r="C675" t="s">
        <v>2019</v>
      </c>
      <c r="D675" s="3">
        <f t="shared" si="60"/>
        <v>784</v>
      </c>
      <c r="G675" s="3" t="s">
        <v>165</v>
      </c>
      <c r="I675" t="s">
        <v>401</v>
      </c>
      <c r="J675" t="s">
        <v>401</v>
      </c>
      <c r="K675">
        <v>-1</v>
      </c>
      <c r="L675">
        <v>-1</v>
      </c>
      <c r="M675">
        <v>-1</v>
      </c>
      <c r="O675" s="5" t="s">
        <v>166</v>
      </c>
      <c r="Q675" s="3">
        <f>IF(AND(P675&lt;&gt;"",ISNUMBER(P675),NOT(ISNA(P675))),P675,IF(R675&lt;&gt;"",VLOOKUP(R675,'ESO zones'!$D$5:$H$10005,5,FALSE),""))</f>
        <v>181</v>
      </c>
      <c r="R675" t="str">
        <f>IF(AND(O675&lt;&gt;"",NOT(ISERROR(O675))),O675,IF(AND(P675&lt;&gt;"",ISNUMBER(P675),P675&gt;0,NOT(ISNA(P675))),VLOOKUP(P675,'ESO zones'!$A$5:$D$10003,4,FALSE),IF(AND(K675&lt;&gt;"",K675&gt;0,NOT(ISERROR(K675))),VLOOKUP(K675,'ESO wayshrines'!$K$3:$N$9972,4,FALSE),"")))</f>
        <v>Cyrodiil</v>
      </c>
      <c r="T675" s="16" t="str">
        <f>IF(AND(S675&lt;&gt;"",NOT(ISERROR(S675))),S675,VLOOKUP(A675,'ESO Set&amp;DLCs'!$A$3:$D$99998,4,FALSE))</f>
        <v>DLC_BASE_GAME</v>
      </c>
      <c r="U675" s="3" t="str">
        <f>IF(T675&lt;&gt;"",VLOOKUP(T675,ConstDLCIds!$B$4:$C$1000,2,FALSE),"")</f>
        <v>Included in base game</v>
      </c>
      <c r="V675" s="57" t="s">
        <v>197</v>
      </c>
      <c r="Y675" s="5">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zones'!$A$5:$D$10003,4,FALSE),"")</f>
        <v>Cyrodiil</v>
      </c>
      <c r="AB675" s="4" t="s">
        <v>301</v>
      </c>
      <c r="AE675" s="5">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zones'!$A$5:$D$10003,4,FALSE),"")</f>
        <v>Cyrodiil</v>
      </c>
      <c r="AH675" s="4" t="s">
        <v>248</v>
      </c>
      <c r="AI675" s="30"/>
      <c r="AJ675" s="30"/>
      <c r="AK675" s="3">
        <f>IF(AND(G675&lt;&gt;"LIBSETS_SETTYPE_BATTLEGROUND",G675&lt;&gt;"LIBSETS_SETTYPE_SPECIAL"),IF(AL675&lt;&gt;"",VLOOKUP(AL675,'ESO zones'!$D$5:$H$4957,5,FALSE),""),"")</f>
        <v>181</v>
      </c>
      <c r="AL675" t="s">
        <v>166</v>
      </c>
      <c r="AM675" s="4" t="s">
        <v>298</v>
      </c>
      <c r="AN675" s="30"/>
      <c r="AO675" s="30"/>
      <c r="AP675" s="3">
        <f>IF(AND(G675&lt;&gt;"LIBSETS_SETTYPE_BATTLEGROUND",G675&lt;&gt;"LIBSETS_SETTYPE_SPECIAL"),IF(AQ675&lt;&gt;"",VLOOKUP(AQ675,'ESO zones'!$D$5:$H$4957,5,FALSE),""),"")</f>
        <v>181</v>
      </c>
      <c r="AQ675" t="s">
        <v>166</v>
      </c>
      <c r="AR675" s="4" t="s">
        <v>215</v>
      </c>
      <c r="AS675" s="30"/>
      <c r="AT675" s="30"/>
      <c r="AU675" s="3">
        <f>IF(AND(G675&lt;&gt;"LIBSETS_SETTYPE_BATTLEGROUND",G675&lt;&gt;"LIBSETS_SETTYPE_SPECIAL"),IF(AV675&lt;&gt;"",VLOOKUP(AV675,'ESO zones'!$D$5:$H$4957,5,FALSE),""),"")</f>
        <v>181</v>
      </c>
      <c r="AV675" t="s">
        <v>166</v>
      </c>
      <c r="AW675" s="4" t="s">
        <v>257</v>
      </c>
      <c r="AX675" s="30"/>
      <c r="AY675" s="30"/>
      <c r="AZ675" s="49" t="s">
        <v>403</v>
      </c>
      <c r="BA675" s="49"/>
      <c r="BB675" s="49"/>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1">
        <v>791</v>
      </c>
      <c r="B676" t="s">
        <v>2020</v>
      </c>
      <c r="C676" t="s">
        <v>2020</v>
      </c>
      <c r="D676" s="3">
        <f t="shared" si="60"/>
        <v>791</v>
      </c>
      <c r="G676" s="3" t="s">
        <v>161</v>
      </c>
      <c r="I676" t="s">
        <v>401</v>
      </c>
      <c r="J676" t="s">
        <v>401</v>
      </c>
      <c r="K676">
        <v>-1</v>
      </c>
      <c r="L676">
        <v>-1</v>
      </c>
      <c r="M676">
        <v>-1</v>
      </c>
      <c r="O676" s="5" t="s">
        <v>1051</v>
      </c>
      <c r="P676" s="5">
        <v>-98</v>
      </c>
      <c r="Q676" s="3">
        <f>IF(AND(P676&lt;&gt;"",ISNUMBER(P676),NOT(ISNA(P676))),P676,IF(R676&lt;&gt;"",VLOOKUP(R676,'ESO zones'!$D$5:$H$10005,5,FALSE),""))</f>
        <v>-98</v>
      </c>
      <c r="R676" t="str">
        <f>IF(AND(O676&lt;&gt;"",NOT(ISERROR(O676))),O676,IF(AND(P676&lt;&gt;"",ISNUMBER(P676),P676&gt;0,NOT(ISNA(P676))),VLOOKUP(P676,'ESO zones'!$A$5:$D$10003,4,FALSE),IF(AND(K676&lt;&gt;"",K676&gt;0,NOT(ISERROR(K676))),VLOOKUP(K676,'ESO wayshrines'!$K$3:$N$9972,4,FALSE),"")))</f>
        <v>!Battleground</v>
      </c>
      <c r="T676" s="16" t="str">
        <f>IF(AND(S676&lt;&gt;"",NOT(ISERROR(S676))),S676,VLOOKUP(A676,'ESO Set&amp;DLCs'!$A$3:$D$99998,4,FALSE))</f>
        <v>DLC_BASE_GAME</v>
      </c>
      <c r="U676" s="3" t="str">
        <f>IF(T676&lt;&gt;"",VLOOKUP(T676,ConstDLCIds!$B$4:$C$1000,2,FALSE),"")</f>
        <v>Included in base game</v>
      </c>
      <c r="V676" s="57" t="s">
        <v>227</v>
      </c>
      <c r="Y676" s="5"/>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zones'!$A$5:$D$10003,4,FALSE),"")</f>
        <v/>
      </c>
      <c r="AE676" s="5"/>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zones'!$A$5:$D$10003,4,FALSE),"")</f>
        <v/>
      </c>
      <c r="AI676" s="30"/>
      <c r="AJ676" s="30"/>
      <c r="AK676" s="3" t="str">
        <f>IF(AND(G676&lt;&gt;"LIBSETS_SETTYPE_BATTLEGROUND",G676&lt;&gt;"LIBSETS_SETTYPE_SPECIAL"),IF(AL676&lt;&gt;"",VLOOKUP(AL676,'ESO zones'!$D$5:$H$4957,5,FALSE),""),"")</f>
        <v/>
      </c>
      <c r="AN676" s="30"/>
      <c r="AO676" s="30"/>
      <c r="AP676" s="3" t="str">
        <f>IF(AND(G676&lt;&gt;"LIBSETS_SETTYPE_BATTLEGROUND",G676&lt;&gt;"LIBSETS_SETTYPE_SPECIAL"),IF(AQ676&lt;&gt;"",VLOOKUP(AQ676,'ESO zones'!$D$5:$H$4957,5,FALSE),""),"")</f>
        <v/>
      </c>
      <c r="AS676" s="30"/>
      <c r="AT676" s="30"/>
      <c r="AU676" s="3" t="str">
        <f>IF(AND(G676&lt;&gt;"LIBSETS_SETTYPE_BATTLEGROUND",G676&lt;&gt;"LIBSETS_SETTYPE_SPECIAL"),IF(AV676&lt;&gt;"",VLOOKUP(AV676,'ESO zones'!$D$5:$H$4957,5,FALSE),""),"")</f>
        <v/>
      </c>
      <c r="AX676" s="30"/>
      <c r="AY676" s="30"/>
      <c r="AZ676" s="49" t="s">
        <v>403</v>
      </c>
      <c r="BA676" s="49"/>
      <c r="BB676" s="49"/>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1">
        <v>792</v>
      </c>
      <c r="B677" t="s">
        <v>2021</v>
      </c>
      <c r="C677" t="s">
        <v>2021</v>
      </c>
      <c r="D677" s="3">
        <f t="shared" si="60"/>
        <v>792</v>
      </c>
      <c r="G677" s="3" t="s">
        <v>161</v>
      </c>
      <c r="I677" t="s">
        <v>401</v>
      </c>
      <c r="J677" t="s">
        <v>401</v>
      </c>
      <c r="K677">
        <v>-1</v>
      </c>
      <c r="L677">
        <v>-1</v>
      </c>
      <c r="M677">
        <v>-1</v>
      </c>
      <c r="O677" s="5" t="s">
        <v>1051</v>
      </c>
      <c r="P677" s="5">
        <v>-98</v>
      </c>
      <c r="Q677" s="3">
        <f>IF(AND(P677&lt;&gt;"",ISNUMBER(P677),NOT(ISNA(P677))),P677,IF(R677&lt;&gt;"",VLOOKUP(R677,'ESO zones'!$D$5:$H$10005,5,FALSE),""))</f>
        <v>-98</v>
      </c>
      <c r="R677" t="str">
        <f>IF(AND(O677&lt;&gt;"",NOT(ISERROR(O677))),O677,IF(AND(P677&lt;&gt;"",ISNUMBER(P677),P677&gt;0,NOT(ISNA(P677))),VLOOKUP(P677,'ESO zones'!$A$5:$D$10003,4,FALSE),IF(AND(K677&lt;&gt;"",K677&gt;0,NOT(ISERROR(K677))),VLOOKUP(K677,'ESO wayshrines'!$K$3:$N$9972,4,FALSE),"")))</f>
        <v>!Battleground</v>
      </c>
      <c r="T677" s="16" t="str">
        <f>IF(AND(S677&lt;&gt;"",NOT(ISERROR(S677))),S677,VLOOKUP(A677,'ESO Set&amp;DLCs'!$A$3:$D$99998,4,FALSE))</f>
        <v>DLC_BASE_GAME</v>
      </c>
      <c r="U677" s="3" t="str">
        <f>IF(T677&lt;&gt;"",VLOOKUP(T677,ConstDLCIds!$B$4:$C$1000,2,FALSE),"")</f>
        <v>Included in base game</v>
      </c>
      <c r="V677" s="57" t="s">
        <v>227</v>
      </c>
      <c r="Y677" s="5"/>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zones'!$A$5:$D$10003,4,FALSE),"")</f>
        <v/>
      </c>
      <c r="AE677" s="5"/>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zones'!$A$5:$D$10003,4,FALSE),"")</f>
        <v/>
      </c>
      <c r="AI677" s="30"/>
      <c r="AJ677" s="30"/>
      <c r="AK677" s="3" t="str">
        <f>IF(AND(G677&lt;&gt;"LIBSETS_SETTYPE_BATTLEGROUND",G677&lt;&gt;"LIBSETS_SETTYPE_SPECIAL"),IF(AL677&lt;&gt;"",VLOOKUP(AL677,'ESO zones'!$D$5:$H$4957,5,FALSE),""),"")</f>
        <v/>
      </c>
      <c r="AN677" s="30"/>
      <c r="AO677" s="30"/>
      <c r="AP677" s="3" t="str">
        <f>IF(AND(G677&lt;&gt;"LIBSETS_SETTYPE_BATTLEGROUND",G677&lt;&gt;"LIBSETS_SETTYPE_SPECIAL"),IF(AQ677&lt;&gt;"",VLOOKUP(AQ677,'ESO zones'!$D$5:$H$4957,5,FALSE),""),"")</f>
        <v/>
      </c>
      <c r="AS677" s="30"/>
      <c r="AT677" s="30"/>
      <c r="AU677" s="3" t="str">
        <f>IF(AND(G677&lt;&gt;"LIBSETS_SETTYPE_BATTLEGROUND",G677&lt;&gt;"LIBSETS_SETTYPE_SPECIAL"),IF(AV677&lt;&gt;"",VLOOKUP(AV677,'ESO zones'!$D$5:$H$4957,5,FALSE),""),"")</f>
        <v/>
      </c>
      <c r="AX677" s="30"/>
      <c r="AY677" s="30"/>
      <c r="AZ677" s="49" t="s">
        <v>403</v>
      </c>
      <c r="BA677" s="49"/>
      <c r="BB677" s="49"/>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1">
        <v>793</v>
      </c>
      <c r="B678" t="s">
        <v>2022</v>
      </c>
      <c r="C678" t="s">
        <v>2022</v>
      </c>
      <c r="D678" s="3">
        <f t="shared" si="60"/>
        <v>793</v>
      </c>
      <c r="G678" s="3" t="s">
        <v>161</v>
      </c>
      <c r="I678" t="s">
        <v>401</v>
      </c>
      <c r="J678" t="s">
        <v>401</v>
      </c>
      <c r="K678">
        <v>-1</v>
      </c>
      <c r="L678">
        <v>-1</v>
      </c>
      <c r="M678">
        <v>-1</v>
      </c>
      <c r="O678" s="5" t="s">
        <v>1051</v>
      </c>
      <c r="P678" s="5">
        <v>-98</v>
      </c>
      <c r="Q678" s="3">
        <f>IF(AND(P678&lt;&gt;"",ISNUMBER(P678),NOT(ISNA(P678))),P678,IF(R678&lt;&gt;"",VLOOKUP(R678,'ESO zones'!$D$5:$H$10005,5,FALSE),""))</f>
        <v>-98</v>
      </c>
      <c r="R678" t="str">
        <f>IF(AND(O678&lt;&gt;"",NOT(ISERROR(O678))),O678,IF(AND(P678&lt;&gt;"",ISNUMBER(P678),P678&gt;0,NOT(ISNA(P678))),VLOOKUP(P678,'ESO zones'!$A$5:$D$10003,4,FALSE),IF(AND(K678&lt;&gt;"",K678&gt;0,NOT(ISERROR(K678))),VLOOKUP(K678,'ESO wayshrines'!$K$3:$N$9972,4,FALSE),"")))</f>
        <v>!Battleground</v>
      </c>
      <c r="T678" s="16" t="str">
        <f>IF(AND(S678&lt;&gt;"",NOT(ISERROR(S678))),S678,VLOOKUP(A678,'ESO Set&amp;DLCs'!$A$3:$D$99998,4,FALSE))</f>
        <v>DLC_BASE_GAME</v>
      </c>
      <c r="U678" s="3" t="str">
        <f>IF(T678&lt;&gt;"",VLOOKUP(T678,ConstDLCIds!$B$4:$C$1000,2,FALSE),"")</f>
        <v>Included in base game</v>
      </c>
      <c r="V678" s="57" t="s">
        <v>227</v>
      </c>
      <c r="Y678" s="5"/>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zones'!$A$5:$D$10003,4,FALSE),"")</f>
        <v/>
      </c>
      <c r="AE678" s="5"/>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zones'!$A$5:$D$10003,4,FALSE),"")</f>
        <v/>
      </c>
      <c r="AI678" s="30"/>
      <c r="AJ678" s="30"/>
      <c r="AK678" s="3" t="str">
        <f>IF(AND(G678&lt;&gt;"LIBSETS_SETTYPE_BATTLEGROUND",G678&lt;&gt;"LIBSETS_SETTYPE_SPECIAL"),IF(AL678&lt;&gt;"",VLOOKUP(AL678,'ESO zones'!$D$5:$H$4957,5,FALSE),""),"")</f>
        <v/>
      </c>
      <c r="AN678" s="30"/>
      <c r="AO678" s="30"/>
      <c r="AP678" s="3" t="str">
        <f>IF(AND(G678&lt;&gt;"LIBSETS_SETTYPE_BATTLEGROUND",G678&lt;&gt;"LIBSETS_SETTYPE_SPECIAL"),IF(AQ678&lt;&gt;"",VLOOKUP(AQ678,'ESO zones'!$D$5:$H$4957,5,FALSE),""),"")</f>
        <v/>
      </c>
      <c r="AS678" s="30"/>
      <c r="AT678" s="30"/>
      <c r="AU678" s="3" t="str">
        <f>IF(AND(G678&lt;&gt;"LIBSETS_SETTYPE_BATTLEGROUND",G678&lt;&gt;"LIBSETS_SETTYPE_SPECIAL"),IF(AV678&lt;&gt;"",VLOOKUP(AV678,'ESO zones'!$D$5:$H$4957,5,FALSE),""),"")</f>
        <v/>
      </c>
      <c r="AX678" s="30"/>
      <c r="AY678" s="30"/>
      <c r="AZ678" s="49" t="s">
        <v>403</v>
      </c>
      <c r="BA678" s="49"/>
      <c r="BB678" s="49"/>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1">
        <v>794</v>
      </c>
      <c r="B679" t="s">
        <v>2023</v>
      </c>
      <c r="C679" t="s">
        <v>2023</v>
      </c>
      <c r="D679" s="3">
        <f t="shared" si="60"/>
        <v>794</v>
      </c>
      <c r="G679" s="3" t="s">
        <v>169</v>
      </c>
      <c r="I679" t="s">
        <v>401</v>
      </c>
      <c r="J679" t="s">
        <v>401</v>
      </c>
      <c r="K679">
        <v>581</v>
      </c>
      <c r="L679">
        <v>581</v>
      </c>
      <c r="M679">
        <v>581</v>
      </c>
      <c r="Q679" s="3">
        <f>IF(AND(P679&lt;&gt;"",ISNUMBER(P679),NOT(ISNA(P679))),P679,IF(R679&lt;&gt;"",VLOOKUP(R679,'ESO zones'!$D$5:$H$10005,5,FALSE),""))</f>
        <v>1443</v>
      </c>
      <c r="R679" t="str">
        <f>IF(AND(O679&lt;&gt;"",NOT(ISERROR(O679))),O679,IF(AND(P679&lt;&gt;"",ISNUMBER(P679),P679&gt;0,NOT(ISNA(P679))),VLOOKUP(P679,'ESO zones'!$A$5:$D$10003,4,FALSE),IF(AND(K679&lt;&gt;"",K679&gt;0,NOT(ISERROR(K679))),VLOOKUP(K679,'ESO wayshrines'!$K$3:$N$9972,4,FALSE),"")))</f>
        <v>West Weald</v>
      </c>
      <c r="T679" s="16" t="str">
        <f>IF(AND(S679&lt;&gt;"",NOT(ISERROR(S679))),S679,VLOOKUP(A679,'ESO Set&amp;DLCs'!$A$3:$D$99998,4,FALSE))</f>
        <v>DLC_FALLEN_BANNERS</v>
      </c>
      <c r="U679" s="3" t="str">
        <f>IF(T679&lt;&gt;"",VLOOKUP(T679,ConstDLCIds!$B$4:$C$1000,2,FALSE),"")</f>
        <v>Fallen Banners</v>
      </c>
      <c r="V679" s="57"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zones'!$A$5:$D$10003,4,FALSE),"")</f>
        <v>West Weald</v>
      </c>
      <c r="AE679" s="5"/>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zones'!$A$5:$D$10003,4,FALSE),"")</f>
        <v>West Weald</v>
      </c>
      <c r="AI679" s="30"/>
      <c r="AJ679" s="30"/>
      <c r="AK679" s="3" t="str">
        <f>IF(AND(G679&lt;&gt;"LIBSETS_SETTYPE_BATTLEGROUND",G679&lt;&gt;"LIBSETS_SETTYPE_SPECIAL"),IF(AL679&lt;&gt;"",VLOOKUP(AL679,'ESO zones'!$D$5:$H$4957,5,FALSE),""),"")</f>
        <v/>
      </c>
      <c r="AN679" s="30"/>
      <c r="AO679" s="30"/>
      <c r="AP679" s="3" t="str">
        <f>IF(AND(G679&lt;&gt;"LIBSETS_SETTYPE_BATTLEGROUND",G679&lt;&gt;"LIBSETS_SETTYPE_SPECIAL"),IF(AQ679&lt;&gt;"",VLOOKUP(AQ679,'ESO zones'!$D$5:$H$4957,5,FALSE),""),"")</f>
        <v/>
      </c>
      <c r="AS679" s="30"/>
      <c r="AT679" s="30"/>
      <c r="AU679" s="3" t="str">
        <f>IF(AND(G679&lt;&gt;"LIBSETS_SETTYPE_BATTLEGROUND",G679&lt;&gt;"LIBSETS_SETTYPE_SPECIAL"),IF(AV679&lt;&gt;"",VLOOKUP(AV679,'ESO zones'!$D$5:$H$4957,5,FALSE),""),"")</f>
        <v/>
      </c>
      <c r="AX679" s="30"/>
      <c r="AY679" s="30"/>
      <c r="AZ679" s="49" t="s">
        <v>403</v>
      </c>
      <c r="BA679" s="49"/>
      <c r="BB679" s="49"/>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1">
        <v>795</v>
      </c>
      <c r="B680" t="s">
        <v>2024</v>
      </c>
      <c r="C680" t="s">
        <v>2024</v>
      </c>
      <c r="D680" s="3">
        <f t="shared" si="60"/>
        <v>795</v>
      </c>
      <c r="G680" s="3" t="s">
        <v>169</v>
      </c>
      <c r="I680" t="s">
        <v>401</v>
      </c>
      <c r="J680" t="s">
        <v>401</v>
      </c>
      <c r="K680">
        <v>581</v>
      </c>
      <c r="L680">
        <v>581</v>
      </c>
      <c r="M680">
        <v>581</v>
      </c>
      <c r="Q680" s="3">
        <f>IF(AND(P680&lt;&gt;"",ISNUMBER(P680),NOT(ISNA(P680))),P680,IF(R680&lt;&gt;"",VLOOKUP(R680,'ESO zones'!$D$5:$H$10005,5,FALSE),""))</f>
        <v>1443</v>
      </c>
      <c r="R680" t="str">
        <f>IF(AND(O680&lt;&gt;"",NOT(ISERROR(O680))),O680,IF(AND(P680&lt;&gt;"",ISNUMBER(P680),P680&gt;0,NOT(ISNA(P680))),VLOOKUP(P680,'ESO zones'!$A$5:$D$10003,4,FALSE),IF(AND(K680&lt;&gt;"",K680&gt;0,NOT(ISERROR(K680))),VLOOKUP(K680,'ESO wayshrines'!$K$3:$N$9972,4,FALSE),"")))</f>
        <v>West Weald</v>
      </c>
      <c r="T680" s="16" t="str">
        <f>IF(AND(S680&lt;&gt;"",NOT(ISERROR(S680))),S680,VLOOKUP(A680,'ESO Set&amp;DLCs'!$A$3:$D$99998,4,FALSE))</f>
        <v>DLC_FALLEN_BANNERS</v>
      </c>
      <c r="U680" s="3" t="str">
        <f>IF(T680&lt;&gt;"",VLOOKUP(T680,ConstDLCIds!$B$4:$C$1000,2,FALSE),"")</f>
        <v>Fallen Banners</v>
      </c>
      <c r="V680" s="57"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zones'!$A$5:$D$10003,4,FALSE),"")</f>
        <v>West Weald</v>
      </c>
      <c r="AE680" s="5"/>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zones'!$A$5:$D$10003,4,FALSE),"")</f>
        <v>West Weald</v>
      </c>
      <c r="AI680" s="30"/>
      <c r="AJ680" s="30"/>
      <c r="AK680" s="3" t="str">
        <f>IF(AND(G680&lt;&gt;"LIBSETS_SETTYPE_BATTLEGROUND",G680&lt;&gt;"LIBSETS_SETTYPE_SPECIAL"),IF(AL680&lt;&gt;"",VLOOKUP(AL680,'ESO zones'!$D$5:$H$4957,5,FALSE),""),"")</f>
        <v/>
      </c>
      <c r="AN680" s="30"/>
      <c r="AO680" s="30"/>
      <c r="AP680" s="3" t="str">
        <f>IF(AND(G680&lt;&gt;"LIBSETS_SETTYPE_BATTLEGROUND",G680&lt;&gt;"LIBSETS_SETTYPE_SPECIAL"),IF(AQ680&lt;&gt;"",VLOOKUP(AQ680,'ESO zones'!$D$5:$H$4957,5,FALSE),""),"")</f>
        <v/>
      </c>
      <c r="AS680" s="30"/>
      <c r="AT680" s="30"/>
      <c r="AU680" s="3" t="str">
        <f>IF(AND(G680&lt;&gt;"LIBSETS_SETTYPE_BATTLEGROUND",G680&lt;&gt;"LIBSETS_SETTYPE_SPECIAL"),IF(AV680&lt;&gt;"",VLOOKUP(AV680,'ESO zones'!$D$5:$H$4957,5,FALSE),""),"")</f>
        <v/>
      </c>
      <c r="AX680" s="30"/>
      <c r="AY680" s="30"/>
      <c r="AZ680" s="49" t="s">
        <v>403</v>
      </c>
      <c r="BA680" s="49"/>
      <c r="BB680" s="49"/>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1">
        <v>796</v>
      </c>
      <c r="B681" t="s">
        <v>2025</v>
      </c>
      <c r="C681" t="s">
        <v>2025</v>
      </c>
      <c r="D681" s="3">
        <f t="shared" si="60"/>
        <v>796</v>
      </c>
      <c r="G681" s="3" t="s">
        <v>169</v>
      </c>
      <c r="I681" t="s">
        <v>401</v>
      </c>
      <c r="J681" t="s">
        <v>401</v>
      </c>
      <c r="K681">
        <v>581</v>
      </c>
      <c r="L681">
        <v>581</v>
      </c>
      <c r="M681">
        <v>581</v>
      </c>
      <c r="Q681" s="3">
        <f>IF(AND(P681&lt;&gt;"",ISNUMBER(P681),NOT(ISNA(P681))),P681,IF(R681&lt;&gt;"",VLOOKUP(R681,'ESO zones'!$D$5:$H$10005,5,FALSE),""))</f>
        <v>1443</v>
      </c>
      <c r="R681" t="str">
        <f>IF(AND(O681&lt;&gt;"",NOT(ISERROR(O681))),O681,IF(AND(P681&lt;&gt;"",ISNUMBER(P681),P681&gt;0,NOT(ISNA(P681))),VLOOKUP(P681,'ESO zones'!$A$5:$D$10003,4,FALSE),IF(AND(K681&lt;&gt;"",K681&gt;0,NOT(ISERROR(K681))),VLOOKUP(K681,'ESO wayshrines'!$K$3:$N$9972,4,FALSE),"")))</f>
        <v>West Weald</v>
      </c>
      <c r="T681" s="16" t="str">
        <f>IF(AND(S681&lt;&gt;"",NOT(ISERROR(S681))),S681,VLOOKUP(A681,'ESO Set&amp;DLCs'!$A$3:$D$99998,4,FALSE))</f>
        <v>DLC_FALLEN_BANNERS</v>
      </c>
      <c r="U681" s="3" t="str">
        <f>IF(T681&lt;&gt;"",VLOOKUP(T681,ConstDLCIds!$B$4:$C$1000,2,FALSE),"")</f>
        <v>Fallen Banners</v>
      </c>
      <c r="V681" s="57"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zones'!$A$5:$D$10003,4,FALSE),"")</f>
        <v>West Weald</v>
      </c>
      <c r="AE681" s="5"/>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zones'!$A$5:$D$10003,4,FALSE),"")</f>
        <v>West Weald</v>
      </c>
      <c r="AI681" s="30"/>
      <c r="AJ681" s="30"/>
      <c r="AK681" s="3" t="str">
        <f>IF(AND(G681&lt;&gt;"LIBSETS_SETTYPE_BATTLEGROUND",G681&lt;&gt;"LIBSETS_SETTYPE_SPECIAL"),IF(AL681&lt;&gt;"",VLOOKUP(AL681,'ESO zones'!$D$5:$H$4957,5,FALSE),""),"")</f>
        <v/>
      </c>
      <c r="AN681" s="30"/>
      <c r="AO681" s="30"/>
      <c r="AP681" s="3" t="str">
        <f>IF(AND(G681&lt;&gt;"LIBSETS_SETTYPE_BATTLEGROUND",G681&lt;&gt;"LIBSETS_SETTYPE_SPECIAL"),IF(AQ681&lt;&gt;"",VLOOKUP(AQ681,'ESO zones'!$D$5:$H$4957,5,FALSE),""),"")</f>
        <v/>
      </c>
      <c r="AS681" s="30"/>
      <c r="AT681" s="30"/>
      <c r="AU681" s="3" t="str">
        <f>IF(AND(G681&lt;&gt;"LIBSETS_SETTYPE_BATTLEGROUND",G681&lt;&gt;"LIBSETS_SETTYPE_SPECIAL"),IF(AV681&lt;&gt;"",VLOOKUP(AV681,'ESO zones'!$D$5:$H$4957,5,FALSE),""),"")</f>
        <v/>
      </c>
      <c r="AX681" s="30"/>
      <c r="AY681" s="30"/>
      <c r="AZ681" s="49" t="s">
        <v>403</v>
      </c>
      <c r="BA681" s="49"/>
      <c r="BB681" s="49"/>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1">
        <v>797</v>
      </c>
      <c r="B682" t="s">
        <v>2026</v>
      </c>
      <c r="C682" t="s">
        <v>2026</v>
      </c>
      <c r="D682" s="3">
        <f t="shared" si="60"/>
        <v>797</v>
      </c>
      <c r="G682" s="3" t="s">
        <v>172</v>
      </c>
      <c r="H682">
        <v>3</v>
      </c>
      <c r="I682" t="s">
        <v>712</v>
      </c>
      <c r="J682" t="s">
        <v>401</v>
      </c>
      <c r="K682">
        <v>581</v>
      </c>
      <c r="L682">
        <v>581</v>
      </c>
      <c r="M682">
        <v>581</v>
      </c>
      <c r="Q682" s="3">
        <f>IF(AND(P682&lt;&gt;"",ISNUMBER(P682),NOT(ISNA(P682))),P682,IF(R682&lt;&gt;"",VLOOKUP(R682,'ESO zones'!$D$5:$H$10005,5,FALSE),""))</f>
        <v>1443</v>
      </c>
      <c r="R682" t="str">
        <f>IF(AND(O682&lt;&gt;"",NOT(ISERROR(O682))),O682,IF(AND(P682&lt;&gt;"",ISNUMBER(P682),P682&gt;0,NOT(ISNA(P682))),VLOOKUP(P682,'ESO zones'!$A$5:$D$10003,4,FALSE),IF(AND(K682&lt;&gt;"",K682&gt;0,NOT(ISERROR(K682))),VLOOKUP(K682,'ESO wayshrines'!$K$3:$N$9972,4,FALSE),"")))</f>
        <v>West Weald</v>
      </c>
      <c r="T682" s="16" t="str">
        <f>IF(AND(S682&lt;&gt;"",NOT(ISERROR(S682))),S682,VLOOKUP(A682,'ESO Set&amp;DLCs'!$A$3:$D$99998,4,FALSE))</f>
        <v>DLC_FALLEN_BANNERS</v>
      </c>
      <c r="U682" s="3" t="str">
        <f>IF(T682&lt;&gt;"",VLOOKUP(T682,ConstDLCIds!$B$4:$C$1000,2,FALSE),"")</f>
        <v>Fallen Banners</v>
      </c>
      <c r="V682" s="4" t="s">
        <v>212</v>
      </c>
      <c r="W682" s="39" t="s">
        <v>2026</v>
      </c>
      <c r="X682" s="39" t="s">
        <v>2026</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zones'!$A$5:$D$10003,4,FALSE),"")</f>
        <v>West Weald</v>
      </c>
      <c r="AC682" s="3" t="str">
        <f>IF(AB682&lt;&gt;"",IF(AB682&lt;&gt;"LIBSETS_DROP_MECHANIC_MONSTER_NAME",VLOOKUP(AB682,ConstDropMechs!$B$4:$C$1001,2,FALSE),""),"")</f>
        <v/>
      </c>
      <c r="AD682" s="3" t="str">
        <f>IF(AB682&lt;&gt;"",IF(AB682&lt;&gt;"LIBSETS_DROP_MECHANIC_MONSTER_NAME",VLOOKUP(AB682,ConstDropMechs!$B$4:$D$1001,3,FALSE),""),"")</f>
        <v/>
      </c>
      <c r="AE682" s="5"/>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zones'!$A$5:$D$10003,4,FALSE),"")</f>
        <v>West Weald</v>
      </c>
      <c r="AI682" s="30"/>
      <c r="AJ682" s="30"/>
      <c r="AK682" s="3" t="str">
        <f>IF(AND(G682&lt;&gt;"LIBSETS_SETTYPE_BATTLEGROUND",G682&lt;&gt;"LIBSETS_SETTYPE_SPECIAL"),IF(AL682&lt;&gt;"",VLOOKUP(AL682,'ESO zones'!$D$5:$H$4957,5,FALSE),""),"")</f>
        <v/>
      </c>
      <c r="AN682" s="30"/>
      <c r="AO682" s="30"/>
      <c r="AP682" s="3" t="str">
        <f>IF(AND(G682&lt;&gt;"LIBSETS_SETTYPE_BATTLEGROUND",G682&lt;&gt;"LIBSETS_SETTYPE_SPECIAL"),IF(AQ682&lt;&gt;"",VLOOKUP(AQ682,'ESO zones'!$D$5:$H$4957,5,FALSE),""),"")</f>
        <v/>
      </c>
      <c r="AS682" s="30"/>
      <c r="AT682" s="30"/>
      <c r="AU682" s="3" t="str">
        <f>IF(AND(G682&lt;&gt;"LIBSETS_SETTYPE_BATTLEGROUND",G682&lt;&gt;"LIBSETS_SETTYPE_SPECIAL"),IF(AV682&lt;&gt;"",VLOOKUP(AV682,'ESO zones'!$D$5:$H$4957,5,FALSE),""),"")</f>
        <v/>
      </c>
      <c r="AX682" s="30"/>
      <c r="AY682" s="30"/>
      <c r="AZ682" s="49" t="s">
        <v>403</v>
      </c>
      <c r="BA682" s="49"/>
      <c r="BB682" s="49"/>
      <c r="BC682"/>
      <c r="BD682"/>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1">
        <v>798</v>
      </c>
      <c r="B683" t="s">
        <v>2027</v>
      </c>
      <c r="C683" t="s">
        <v>2027</v>
      </c>
      <c r="D683" s="3">
        <f t="shared" si="60"/>
        <v>798</v>
      </c>
      <c r="G683" s="3" t="s">
        <v>169</v>
      </c>
      <c r="I683" t="s">
        <v>401</v>
      </c>
      <c r="J683" t="s">
        <v>401</v>
      </c>
      <c r="K683">
        <v>582</v>
      </c>
      <c r="L683">
        <v>582</v>
      </c>
      <c r="M683">
        <v>582</v>
      </c>
      <c r="Q683" s="3">
        <f>IF(AND(P683&lt;&gt;"",ISNUMBER(P683),NOT(ISNA(P683))),P683,IF(R683&lt;&gt;"",VLOOKUP(R683,'ESO zones'!$D$5:$H$10005,5,FALSE),""))</f>
        <v>816</v>
      </c>
      <c r="R683" t="str">
        <f>IF(AND(O683&lt;&gt;"",NOT(ISERROR(O683))),O683,IF(AND(P683&lt;&gt;"",ISNUMBER(P683),P683&gt;0,NOT(ISNA(P683))),VLOOKUP(P683,'ESO zones'!$A$5:$D$10003,4,FALSE),IF(AND(K683&lt;&gt;"",K683&gt;0,NOT(ISERROR(K683))),VLOOKUP(K683,'ESO wayshrines'!$K$3:$N$9972,4,FALSE),"")))</f>
        <v>Hew's Bane</v>
      </c>
      <c r="T683" s="16" t="str">
        <f>IF(AND(S683&lt;&gt;"",NOT(ISERROR(S683))),S683,VLOOKUP(A683,'ESO Set&amp;DLCs'!$A$3:$D$99998,4,FALSE))</f>
        <v>DLC_FALLEN_BANNERS</v>
      </c>
      <c r="U683" s="3" t="str">
        <f>IF(T683&lt;&gt;"",VLOOKUP(T683,ConstDLCIds!$B$4:$C$1000,2,FALSE),"")</f>
        <v>Fallen Banners</v>
      </c>
      <c r="V683" s="57"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zones'!$A$5:$D$10003,4,FALSE),"")</f>
        <v>Hew's Bane</v>
      </c>
      <c r="AE683" s="5"/>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zones'!$A$5:$D$10003,4,FALSE),"")</f>
        <v>Hew's Bane</v>
      </c>
      <c r="AI683" s="30"/>
      <c r="AJ683" s="30"/>
      <c r="AK683" s="3" t="str">
        <f>IF(AND(G683&lt;&gt;"LIBSETS_SETTYPE_BATTLEGROUND",G683&lt;&gt;"LIBSETS_SETTYPE_SPECIAL"),IF(AL683&lt;&gt;"",VLOOKUP(AL683,'ESO zones'!$D$5:$H$4957,5,FALSE),""),"")</f>
        <v/>
      </c>
      <c r="AN683" s="30"/>
      <c r="AO683" s="30"/>
      <c r="AP683" s="3" t="str">
        <f>IF(AND(G683&lt;&gt;"LIBSETS_SETTYPE_BATTLEGROUND",G683&lt;&gt;"LIBSETS_SETTYPE_SPECIAL"),IF(AQ683&lt;&gt;"",VLOOKUP(AQ683,'ESO zones'!$D$5:$H$4957,5,FALSE),""),"")</f>
        <v/>
      </c>
      <c r="AS683" s="30"/>
      <c r="AT683" s="30"/>
      <c r="AU683" s="3" t="str">
        <f>IF(AND(G683&lt;&gt;"LIBSETS_SETTYPE_BATTLEGROUND",G683&lt;&gt;"LIBSETS_SETTYPE_SPECIAL"),IF(AV683&lt;&gt;"",VLOOKUP(AV683,'ESO zones'!$D$5:$H$4957,5,FALSE),""),"")</f>
        <v/>
      </c>
      <c r="AX683" s="30"/>
      <c r="AY683" s="30"/>
      <c r="AZ683" s="49" t="s">
        <v>403</v>
      </c>
      <c r="BA683" s="49"/>
      <c r="BB683" s="49"/>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1">
        <v>799</v>
      </c>
      <c r="B684" t="s">
        <v>2028</v>
      </c>
      <c r="C684" t="s">
        <v>2028</v>
      </c>
      <c r="D684" s="3">
        <f t="shared" si="60"/>
        <v>799</v>
      </c>
      <c r="G684" s="3" t="s">
        <v>169</v>
      </c>
      <c r="I684" t="s">
        <v>401</v>
      </c>
      <c r="J684" t="s">
        <v>401</v>
      </c>
      <c r="K684">
        <v>582</v>
      </c>
      <c r="L684">
        <v>582</v>
      </c>
      <c r="M684">
        <v>582</v>
      </c>
      <c r="Q684" s="3">
        <f>IF(AND(P684&lt;&gt;"",ISNUMBER(P684),NOT(ISNA(P684))),P684,IF(R684&lt;&gt;"",VLOOKUP(R684,'ESO zones'!$D$5:$H$10005,5,FALSE),""))</f>
        <v>816</v>
      </c>
      <c r="R684" t="str">
        <f>IF(AND(O684&lt;&gt;"",NOT(ISERROR(O684))),O684,IF(AND(P684&lt;&gt;"",ISNUMBER(P684),P684&gt;0,NOT(ISNA(P684))),VLOOKUP(P684,'ESO zones'!$A$5:$D$10003,4,FALSE),IF(AND(K684&lt;&gt;"",K684&gt;0,NOT(ISERROR(K684))),VLOOKUP(K684,'ESO wayshrines'!$K$3:$N$9972,4,FALSE),"")))</f>
        <v>Hew's Bane</v>
      </c>
      <c r="T684" s="16" t="str">
        <f>IF(AND(S684&lt;&gt;"",NOT(ISERROR(S684))),S684,VLOOKUP(A684,'ESO Set&amp;DLCs'!$A$3:$D$99998,4,FALSE))</f>
        <v>DLC_FALLEN_BANNERS</v>
      </c>
      <c r="U684" s="3" t="str">
        <f>IF(T684&lt;&gt;"",VLOOKUP(T684,ConstDLCIds!$B$4:$C$1000,2,FALSE),"")</f>
        <v>Fallen Banners</v>
      </c>
      <c r="V684" s="57"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zones'!$A$5:$D$10003,4,FALSE),"")</f>
        <v>Hew's Bane</v>
      </c>
      <c r="AE684" s="5"/>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zones'!$A$5:$D$10003,4,FALSE),"")</f>
        <v>Hew's Bane</v>
      </c>
      <c r="AI684" s="30"/>
      <c r="AJ684" s="30"/>
      <c r="AK684" s="3" t="str">
        <f>IF(AND(G684&lt;&gt;"LIBSETS_SETTYPE_BATTLEGROUND",G684&lt;&gt;"LIBSETS_SETTYPE_SPECIAL"),IF(AL684&lt;&gt;"",VLOOKUP(AL684,'ESO zones'!$D$5:$H$4957,5,FALSE),""),"")</f>
        <v/>
      </c>
      <c r="AN684" s="30"/>
      <c r="AO684" s="30"/>
      <c r="AP684" s="3" t="str">
        <f>IF(AND(G684&lt;&gt;"LIBSETS_SETTYPE_BATTLEGROUND",G684&lt;&gt;"LIBSETS_SETTYPE_SPECIAL"),IF(AQ684&lt;&gt;"",VLOOKUP(AQ684,'ESO zones'!$D$5:$H$4957,5,FALSE),""),"")</f>
        <v/>
      </c>
      <c r="AS684" s="30"/>
      <c r="AT684" s="30"/>
      <c r="AU684" s="3" t="str">
        <f>IF(AND(G684&lt;&gt;"LIBSETS_SETTYPE_BATTLEGROUND",G684&lt;&gt;"LIBSETS_SETTYPE_SPECIAL"),IF(AV684&lt;&gt;"",VLOOKUP(AV684,'ESO zones'!$D$5:$H$4957,5,FALSE),""),"")</f>
        <v/>
      </c>
      <c r="AX684" s="30"/>
      <c r="AY684" s="30"/>
      <c r="AZ684" s="49" t="s">
        <v>403</v>
      </c>
      <c r="BA684" s="49"/>
      <c r="BB684" s="49"/>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1">
        <v>800</v>
      </c>
      <c r="B685" t="s">
        <v>2029</v>
      </c>
      <c r="C685" t="s">
        <v>2029</v>
      </c>
      <c r="D685" s="3">
        <f t="shared" si="60"/>
        <v>800</v>
      </c>
      <c r="G685" s="3" t="s">
        <v>169</v>
      </c>
      <c r="I685" t="s">
        <v>401</v>
      </c>
      <c r="J685" t="s">
        <v>401</v>
      </c>
      <c r="K685">
        <v>582</v>
      </c>
      <c r="L685">
        <v>582</v>
      </c>
      <c r="M685">
        <v>582</v>
      </c>
      <c r="Q685" s="3">
        <f>IF(AND(P685&lt;&gt;"",ISNUMBER(P685),NOT(ISNA(P685))),P685,IF(R685&lt;&gt;"",VLOOKUP(R685,'ESO zones'!$D$5:$H$10005,5,FALSE),""))</f>
        <v>816</v>
      </c>
      <c r="R685" t="str">
        <f>IF(AND(O685&lt;&gt;"",NOT(ISERROR(O685))),O685,IF(AND(P685&lt;&gt;"",ISNUMBER(P685),P685&gt;0,NOT(ISNA(P685))),VLOOKUP(P685,'ESO zones'!$A$5:$D$10003,4,FALSE),IF(AND(K685&lt;&gt;"",K685&gt;0,NOT(ISERROR(K685))),VLOOKUP(K685,'ESO wayshrines'!$K$3:$N$9972,4,FALSE),"")))</f>
        <v>Hew's Bane</v>
      </c>
      <c r="T685" s="16" t="str">
        <f>IF(AND(S685&lt;&gt;"",NOT(ISERROR(S685))),S685,VLOOKUP(A685,'ESO Set&amp;DLCs'!$A$3:$D$99998,4,FALSE))</f>
        <v>DLC_FALLEN_BANNERS</v>
      </c>
      <c r="U685" s="3" t="str">
        <f>IF(T685&lt;&gt;"",VLOOKUP(T685,ConstDLCIds!$B$4:$C$1000,2,FALSE),"")</f>
        <v>Fallen Banners</v>
      </c>
      <c r="V685" s="57"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zones'!$A$5:$D$10003,4,FALSE),"")</f>
        <v>Hew's Bane</v>
      </c>
      <c r="AE685" s="5"/>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zones'!$A$5:$D$10003,4,FALSE),"")</f>
        <v>Hew's Bane</v>
      </c>
      <c r="AI685" s="30"/>
      <c r="AJ685" s="30"/>
      <c r="AK685" s="3" t="str">
        <f>IF(AND(G685&lt;&gt;"LIBSETS_SETTYPE_BATTLEGROUND",G685&lt;&gt;"LIBSETS_SETTYPE_SPECIAL"),IF(AL685&lt;&gt;"",VLOOKUP(AL685,'ESO zones'!$D$5:$H$4957,5,FALSE),""),"")</f>
        <v/>
      </c>
      <c r="AN685" s="30"/>
      <c r="AO685" s="30"/>
      <c r="AP685" s="3" t="str">
        <f>IF(AND(G685&lt;&gt;"LIBSETS_SETTYPE_BATTLEGROUND",G685&lt;&gt;"LIBSETS_SETTYPE_SPECIAL"),IF(AQ685&lt;&gt;"",VLOOKUP(AQ685,'ESO zones'!$D$5:$H$4957,5,FALSE),""),"")</f>
        <v/>
      </c>
      <c r="AS685" s="30"/>
      <c r="AT685" s="30"/>
      <c r="AU685" s="3" t="str">
        <f>IF(AND(G685&lt;&gt;"LIBSETS_SETTYPE_BATTLEGROUND",G685&lt;&gt;"LIBSETS_SETTYPE_SPECIAL"),IF(AV685&lt;&gt;"",VLOOKUP(AV685,'ESO zones'!$D$5:$H$4957,5,FALSE),""),"")</f>
        <v/>
      </c>
      <c r="AX685" s="30"/>
      <c r="AY685" s="30"/>
      <c r="AZ685" s="49" t="s">
        <v>403</v>
      </c>
      <c r="BA685" s="49"/>
      <c r="BB685" s="49"/>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1">
        <v>801</v>
      </c>
      <c r="B686" t="s">
        <v>2030</v>
      </c>
      <c r="C686" t="s">
        <v>2030</v>
      </c>
      <c r="D686" s="3">
        <f t="shared" si="60"/>
        <v>801</v>
      </c>
      <c r="G686" s="3" t="s">
        <v>172</v>
      </c>
      <c r="H686">
        <v>3</v>
      </c>
      <c r="I686" t="s">
        <v>712</v>
      </c>
      <c r="J686" t="s">
        <v>401</v>
      </c>
      <c r="K686">
        <v>582</v>
      </c>
      <c r="L686">
        <v>582</v>
      </c>
      <c r="M686">
        <v>582</v>
      </c>
      <c r="Q686" s="3">
        <f>IF(AND(P686&lt;&gt;"",ISNUMBER(P686),NOT(ISNA(P686))),P686,IF(R686&lt;&gt;"",VLOOKUP(R686,'ESO zones'!$D$5:$H$10005,5,FALSE),""))</f>
        <v>816</v>
      </c>
      <c r="R686" t="str">
        <f>IF(AND(O686&lt;&gt;"",NOT(ISERROR(O686))),O686,IF(AND(P686&lt;&gt;"",ISNUMBER(P686),P686&gt;0,NOT(ISNA(P686))),VLOOKUP(P686,'ESO zones'!$A$5:$D$10003,4,FALSE),IF(AND(K686&lt;&gt;"",K686&gt;0,NOT(ISERROR(K686))),VLOOKUP(K686,'ESO wayshrines'!$K$3:$N$9972,4,FALSE),"")))</f>
        <v>Hew's Bane</v>
      </c>
      <c r="T686" s="16" t="str">
        <f>IF(AND(S686&lt;&gt;"",NOT(ISERROR(S686))),S686,VLOOKUP(A686,'ESO Set&amp;DLCs'!$A$3:$D$99998,4,FALSE))</f>
        <v>DLC_FALLEN_BANNERS</v>
      </c>
      <c r="U686" s="3" t="str">
        <f>IF(T686&lt;&gt;"",VLOOKUP(T686,ConstDLCIds!$B$4:$C$1000,2,FALSE),"")</f>
        <v>Fallen Banners</v>
      </c>
      <c r="V686" s="4" t="s">
        <v>212</v>
      </c>
      <c r="W686" s="39" t="s">
        <v>2031</v>
      </c>
      <c r="X686" s="39" t="s">
        <v>2031</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zones'!$A$5:$D$10003,4,FALSE),"")</f>
        <v>Hew's Bane</v>
      </c>
      <c r="AC686" s="3" t="str">
        <f>IF(AB686&lt;&gt;"",IF(AB686&lt;&gt;"LIBSETS_DROP_MECHANIC_MONSTER_NAME",VLOOKUP(AB686,ConstDropMechs!$B$4:$C$1001,2,FALSE),""),"")</f>
        <v/>
      </c>
      <c r="AD686" s="3" t="str">
        <f>IF(AB686&lt;&gt;"",IF(AB686&lt;&gt;"LIBSETS_DROP_MECHANIC_MONSTER_NAME",VLOOKUP(AB686,ConstDropMechs!$B$4:$D$1001,3,FALSE),""),"")</f>
        <v/>
      </c>
      <c r="AE686" s="5"/>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zones'!$A$5:$D$10003,4,FALSE),"")</f>
        <v>Hew's Bane</v>
      </c>
      <c r="AI686" s="30"/>
      <c r="AJ686" s="30"/>
      <c r="AK686" s="3" t="str">
        <f>IF(AND(G686&lt;&gt;"LIBSETS_SETTYPE_BATTLEGROUND",G686&lt;&gt;"LIBSETS_SETTYPE_SPECIAL"),IF(AL686&lt;&gt;"",VLOOKUP(AL686,'ESO zones'!$D$5:$H$4957,5,FALSE),""),"")</f>
        <v/>
      </c>
      <c r="AN686" s="30"/>
      <c r="AO686" s="30"/>
      <c r="AP686" s="3" t="str">
        <f>IF(AND(G686&lt;&gt;"LIBSETS_SETTYPE_BATTLEGROUND",G686&lt;&gt;"LIBSETS_SETTYPE_SPECIAL"),IF(AQ686&lt;&gt;"",VLOOKUP(AQ686,'ESO zones'!$D$5:$H$4957,5,FALSE),""),"")</f>
        <v/>
      </c>
      <c r="AS686" s="30"/>
      <c r="AT686" s="30"/>
      <c r="AU686" s="3" t="str">
        <f>IF(AND(G686&lt;&gt;"LIBSETS_SETTYPE_BATTLEGROUND",G686&lt;&gt;"LIBSETS_SETTYPE_SPECIAL"),IF(AV686&lt;&gt;"",VLOOKUP(AV686,'ESO zones'!$D$5:$H$4957,5,FALSE),""),"")</f>
        <v/>
      </c>
      <c r="AX686" s="30"/>
      <c r="AY686" s="30"/>
      <c r="AZ686" s="49" t="s">
        <v>403</v>
      </c>
      <c r="BA686" s="49"/>
      <c r="BB686" s="49"/>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1">
        <v>802</v>
      </c>
      <c r="B687" t="s">
        <v>2032</v>
      </c>
      <c r="C687" t="s">
        <v>2032</v>
      </c>
      <c r="D687" s="3">
        <f t="shared" si="60"/>
        <v>802</v>
      </c>
      <c r="G687" s="3" t="s">
        <v>165</v>
      </c>
      <c r="I687" t="s">
        <v>401</v>
      </c>
      <c r="J687" t="s">
        <v>401</v>
      </c>
      <c r="K687">
        <v>-1</v>
      </c>
      <c r="L687">
        <v>-1</v>
      </c>
      <c r="M687">
        <v>-1</v>
      </c>
      <c r="O687" s="5" t="s">
        <v>166</v>
      </c>
      <c r="Q687" s="3">
        <f>IF(AND(P687&lt;&gt;"",ISNUMBER(P687),NOT(ISNA(P687))),P687,IF(R687&lt;&gt;"",VLOOKUP(R687,'ESO zones'!$D$5:$H$10005,5,FALSE),""))</f>
        <v>181</v>
      </c>
      <c r="R687" t="str">
        <f>IF(AND(O687&lt;&gt;"",NOT(ISERROR(O687))),O687,IF(AND(P687&lt;&gt;"",ISNUMBER(P687),P687&gt;0,NOT(ISNA(P687))),VLOOKUP(P687,'ESO zones'!$A$5:$D$10003,4,FALSE),IF(AND(K687&lt;&gt;"",K687&gt;0,NOT(ISERROR(K687))),VLOOKUP(K687,'ESO wayshrines'!$K$3:$N$9972,4,FALSE),"")))</f>
        <v>Cyrodiil</v>
      </c>
      <c r="T687" s="16" t="str">
        <f>IF(AND(S687&lt;&gt;"",NOT(ISERROR(S687))),S687,VLOOKUP(A687,'ESO Set&amp;DLCs'!$A$3:$D$99998,4,FALSE))</f>
        <v>DLC_BASE_GAME</v>
      </c>
      <c r="U687" s="3" t="str">
        <f>IF(T687&lt;&gt;"",VLOOKUP(T687,ConstDLCIds!$B$4:$C$1000,2,FALSE),"")</f>
        <v>Included in base game</v>
      </c>
      <c r="V687" s="57" t="s">
        <v>197</v>
      </c>
      <c r="Y687" s="5">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zones'!$A$5:$D$10003,4,FALSE),"")</f>
        <v>Cyrodiil</v>
      </c>
      <c r="AB687" s="4" t="s">
        <v>301</v>
      </c>
      <c r="AE687" s="5">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zones'!$A$5:$D$10003,4,FALSE),"")</f>
        <v>Cyrodiil</v>
      </c>
      <c r="AH687" s="4" t="s">
        <v>248</v>
      </c>
      <c r="AI687" s="30"/>
      <c r="AJ687" s="30"/>
      <c r="AK687" s="3">
        <f>IF(AND(G687&lt;&gt;"LIBSETS_SETTYPE_BATTLEGROUND",G687&lt;&gt;"LIBSETS_SETTYPE_SPECIAL"),IF(AL687&lt;&gt;"",VLOOKUP(AL687,'ESO zones'!$D$5:$H$4957,5,FALSE),""),"")</f>
        <v>181</v>
      </c>
      <c r="AL687" t="s">
        <v>166</v>
      </c>
      <c r="AM687" s="4" t="s">
        <v>298</v>
      </c>
      <c r="AN687" s="30"/>
      <c r="AO687" s="30"/>
      <c r="AP687" s="3">
        <f>IF(AND(G687&lt;&gt;"LIBSETS_SETTYPE_BATTLEGROUND",G687&lt;&gt;"LIBSETS_SETTYPE_SPECIAL"),IF(AQ687&lt;&gt;"",VLOOKUP(AQ687,'ESO zones'!$D$5:$H$4957,5,FALSE),""),"")</f>
        <v>181</v>
      </c>
      <c r="AQ687" t="s">
        <v>166</v>
      </c>
      <c r="AR687" s="4" t="s">
        <v>215</v>
      </c>
      <c r="AS687" s="30"/>
      <c r="AT687" s="30"/>
      <c r="AU687" s="3">
        <f>IF(AND(G687&lt;&gt;"LIBSETS_SETTYPE_BATTLEGROUND",G687&lt;&gt;"LIBSETS_SETTYPE_SPECIAL"),IF(AV687&lt;&gt;"",VLOOKUP(AV687,'ESO zones'!$D$5:$H$4957,5,FALSE),""),"")</f>
        <v>181</v>
      </c>
      <c r="AV687" t="s">
        <v>166</v>
      </c>
      <c r="AW687" s="4" t="s">
        <v>257</v>
      </c>
      <c r="AX687" s="30"/>
      <c r="AY687" s="30"/>
      <c r="AZ687" s="49" t="s">
        <v>403</v>
      </c>
      <c r="BA687" s="49"/>
      <c r="BB687" s="49"/>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1">
        <v>803</v>
      </c>
      <c r="B688" t="s">
        <v>2033</v>
      </c>
      <c r="C688" t="s">
        <v>2033</v>
      </c>
      <c r="D688" s="3">
        <f t="shared" si="60"/>
        <v>803</v>
      </c>
      <c r="G688" s="3" t="s">
        <v>165</v>
      </c>
      <c r="I688" t="s">
        <v>401</v>
      </c>
      <c r="J688" t="s">
        <v>401</v>
      </c>
      <c r="K688">
        <v>-1</v>
      </c>
      <c r="L688">
        <v>-1</v>
      </c>
      <c r="M688">
        <v>-1</v>
      </c>
      <c r="O688" s="5" t="s">
        <v>166</v>
      </c>
      <c r="Q688" s="3">
        <f>IF(AND(P688&lt;&gt;"",ISNUMBER(P688),NOT(ISNA(P688))),P688,IF(R688&lt;&gt;"",VLOOKUP(R688,'ESO zones'!$D$5:$H$10005,5,FALSE),""))</f>
        <v>181</v>
      </c>
      <c r="R688" t="str">
        <f>IF(AND(O688&lt;&gt;"",NOT(ISERROR(O688))),O688,IF(AND(P688&lt;&gt;"",ISNUMBER(P688),P688&gt;0,NOT(ISNA(P688))),VLOOKUP(P688,'ESO zones'!$A$5:$D$10003,4,FALSE),IF(AND(K688&lt;&gt;"",K688&gt;0,NOT(ISERROR(K688))),VLOOKUP(K688,'ESO wayshrines'!$K$3:$N$9972,4,FALSE),"")))</f>
        <v>Cyrodiil</v>
      </c>
      <c r="T688" s="16" t="str">
        <f>IF(AND(S688&lt;&gt;"",NOT(ISERROR(S688))),S688,VLOOKUP(A688,'ESO Set&amp;DLCs'!$A$3:$D$99998,4,FALSE))</f>
        <v>DLC_BASE_GAME</v>
      </c>
      <c r="U688" s="3" t="str">
        <f>IF(T688&lt;&gt;"",VLOOKUP(T688,ConstDLCIds!$B$4:$C$1000,2,FALSE),"")</f>
        <v>Included in base game</v>
      </c>
      <c r="V688" s="57" t="s">
        <v>197</v>
      </c>
      <c r="Y688" s="5">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zones'!$A$5:$D$10003,4,FALSE),"")</f>
        <v>Cyrodiil</v>
      </c>
      <c r="AB688" s="4" t="s">
        <v>301</v>
      </c>
      <c r="AE688" s="5">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zones'!$A$5:$D$10003,4,FALSE),"")</f>
        <v>Cyrodiil</v>
      </c>
      <c r="AH688" s="4" t="s">
        <v>248</v>
      </c>
      <c r="AI688" s="30"/>
      <c r="AJ688" s="30"/>
      <c r="AK688" s="3">
        <f>IF(AND(G688&lt;&gt;"LIBSETS_SETTYPE_BATTLEGROUND",G688&lt;&gt;"LIBSETS_SETTYPE_SPECIAL"),IF(AL688&lt;&gt;"",VLOOKUP(AL688,'ESO zones'!$D$5:$H$4957,5,FALSE),""),"")</f>
        <v>181</v>
      </c>
      <c r="AL688" t="s">
        <v>166</v>
      </c>
      <c r="AM688" s="4" t="s">
        <v>298</v>
      </c>
      <c r="AN688" s="30"/>
      <c r="AO688" s="30"/>
      <c r="AP688" s="3">
        <f>IF(AND(G688&lt;&gt;"LIBSETS_SETTYPE_BATTLEGROUND",G688&lt;&gt;"LIBSETS_SETTYPE_SPECIAL"),IF(AQ688&lt;&gt;"",VLOOKUP(AQ688,'ESO zones'!$D$5:$H$4957,5,FALSE),""),"")</f>
        <v>181</v>
      </c>
      <c r="AQ688" t="s">
        <v>166</v>
      </c>
      <c r="AR688" s="4" t="s">
        <v>215</v>
      </c>
      <c r="AS688" s="30"/>
      <c r="AT688" s="30"/>
      <c r="AU688" s="3">
        <f>IF(AND(G688&lt;&gt;"LIBSETS_SETTYPE_BATTLEGROUND",G688&lt;&gt;"LIBSETS_SETTYPE_SPECIAL"),IF(AV688&lt;&gt;"",VLOOKUP(AV688,'ESO zones'!$D$5:$H$4957,5,FALSE),""),"")</f>
        <v>181</v>
      </c>
      <c r="AV688" t="s">
        <v>166</v>
      </c>
      <c r="AW688" s="4" t="s">
        <v>257</v>
      </c>
      <c r="AX688" s="30"/>
      <c r="AY688" s="30"/>
      <c r="AZ688" s="49" t="s">
        <v>403</v>
      </c>
      <c r="BA688" s="49"/>
      <c r="BB688" s="49"/>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1">
        <v>804</v>
      </c>
      <c r="B689" t="s">
        <v>2034</v>
      </c>
      <c r="C689" t="s">
        <v>2034</v>
      </c>
      <c r="D689" s="3">
        <f t="shared" si="60"/>
        <v>804</v>
      </c>
      <c r="G689" s="3" t="s">
        <v>165</v>
      </c>
      <c r="I689" t="s">
        <v>401</v>
      </c>
      <c r="J689" t="s">
        <v>401</v>
      </c>
      <c r="K689">
        <v>-1</v>
      </c>
      <c r="L689">
        <v>-1</v>
      </c>
      <c r="M689">
        <v>-1</v>
      </c>
      <c r="O689" s="5" t="s">
        <v>166</v>
      </c>
      <c r="Q689" s="3">
        <f>IF(AND(P689&lt;&gt;"",ISNUMBER(P689),NOT(ISNA(P689))),P689,IF(R689&lt;&gt;"",VLOOKUP(R689,'ESO zones'!$D$5:$H$10005,5,FALSE),""))</f>
        <v>181</v>
      </c>
      <c r="R689" t="str">
        <f>IF(AND(O689&lt;&gt;"",NOT(ISERROR(O689))),O689,IF(AND(P689&lt;&gt;"",ISNUMBER(P689),P689&gt;0,NOT(ISNA(P689))),VLOOKUP(P689,'ESO zones'!$A$5:$D$10003,4,FALSE),IF(AND(K689&lt;&gt;"",K689&gt;0,NOT(ISERROR(K689))),VLOOKUP(K689,'ESO wayshrines'!$K$3:$N$9972,4,FALSE),"")))</f>
        <v>Cyrodiil</v>
      </c>
      <c r="T689" s="16" t="str">
        <f>IF(AND(S689&lt;&gt;"",NOT(ISERROR(S689))),S689,VLOOKUP(A689,'ESO Set&amp;DLCs'!$A$3:$D$99998,4,FALSE))</f>
        <v>DLC_BASE_GAME</v>
      </c>
      <c r="U689" s="3" t="str">
        <f>IF(T689&lt;&gt;"",VLOOKUP(T689,ConstDLCIds!$B$4:$C$1000,2,FALSE),"")</f>
        <v>Included in base game</v>
      </c>
      <c r="V689" s="57" t="s">
        <v>197</v>
      </c>
      <c r="Y689" s="5">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zones'!$A$5:$D$10003,4,FALSE),"")</f>
        <v>Cyrodiil</v>
      </c>
      <c r="AB689" s="4" t="s">
        <v>301</v>
      </c>
      <c r="AE689" s="5">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zones'!$A$5:$D$10003,4,FALSE),"")</f>
        <v>Cyrodiil</v>
      </c>
      <c r="AH689" s="4" t="s">
        <v>248</v>
      </c>
      <c r="AI689" s="30"/>
      <c r="AJ689" s="30"/>
      <c r="AK689" s="3">
        <f>IF(AND(G689&lt;&gt;"LIBSETS_SETTYPE_BATTLEGROUND",G689&lt;&gt;"LIBSETS_SETTYPE_SPECIAL"),IF(AL689&lt;&gt;"",VLOOKUP(AL689,'ESO zones'!$D$5:$H$4957,5,FALSE),""),"")</f>
        <v>181</v>
      </c>
      <c r="AL689" t="s">
        <v>166</v>
      </c>
      <c r="AM689" s="4" t="s">
        <v>298</v>
      </c>
      <c r="AN689" s="30"/>
      <c r="AO689" s="30"/>
      <c r="AP689" s="3">
        <f>IF(AND(G689&lt;&gt;"LIBSETS_SETTYPE_BATTLEGROUND",G689&lt;&gt;"LIBSETS_SETTYPE_SPECIAL"),IF(AQ689&lt;&gt;"",VLOOKUP(AQ689,'ESO zones'!$D$5:$H$4957,5,FALSE),""),"")</f>
        <v>181</v>
      </c>
      <c r="AQ689" t="s">
        <v>166</v>
      </c>
      <c r="AR689" s="4" t="s">
        <v>215</v>
      </c>
      <c r="AS689" s="30"/>
      <c r="AT689" s="30"/>
      <c r="AU689" s="3">
        <f>IF(AND(G689&lt;&gt;"LIBSETS_SETTYPE_BATTLEGROUND",G689&lt;&gt;"LIBSETS_SETTYPE_SPECIAL"),IF(AV689&lt;&gt;"",VLOOKUP(AV689,'ESO zones'!$D$5:$H$4957,5,FALSE),""),"")</f>
        <v>181</v>
      </c>
      <c r="AV689" t="s">
        <v>166</v>
      </c>
      <c r="AW689" s="4" t="s">
        <v>257</v>
      </c>
      <c r="AX689" s="30"/>
      <c r="AY689" s="30"/>
      <c r="AZ689" s="49" t="s">
        <v>403</v>
      </c>
      <c r="BA689" s="49"/>
      <c r="BB689" s="49"/>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1">
        <v>805</v>
      </c>
      <c r="B690" t="s">
        <v>2035</v>
      </c>
      <c r="C690" t="s">
        <v>2035</v>
      </c>
      <c r="D690" s="3">
        <f t="shared" si="60"/>
        <v>805</v>
      </c>
      <c r="G690" s="3" t="s">
        <v>174</v>
      </c>
      <c r="I690" t="s">
        <v>401</v>
      </c>
      <c r="J690" t="s">
        <v>401</v>
      </c>
      <c r="K690">
        <v>598</v>
      </c>
      <c r="L690">
        <v>598</v>
      </c>
      <c r="M690">
        <v>598</v>
      </c>
      <c r="O690" s="5" t="s">
        <v>2036</v>
      </c>
      <c r="Q690" s="3">
        <f>IF(AND(P690&lt;&gt;"",ISNUMBER(P690),NOT(ISNA(P690))),P690,IF(R690&lt;&gt;"",VLOOKUP(R690,'ESO zones'!$D$5:$H$10005,5,FALSE),""))</f>
        <v>1502</v>
      </c>
      <c r="R690" t="str">
        <f>IF(AND(O690&lt;&gt;"",NOT(ISERROR(O690))),O690,IF(AND(P690&lt;&gt;"",ISNUMBER(P690),P690&gt;0,NOT(ISNA(P690))),VLOOKUP(P690,'ESO zones'!$A$5:$D$10003,4,FALSE),IF(AND(K690&lt;&gt;"",K690&gt;0,NOT(ISERROR(K690))),VLOOKUP(K690,'ESO wayshrines'!$K$3:$N$9972,4,FALSE),"")))</f>
        <v>Solstice</v>
      </c>
      <c r="T690" s="16" t="str">
        <f>IF(AND(S690&lt;&gt;"",NOT(ISERROR(S690))),S690,VLOOKUP(A690,'ESO Set&amp;DLCs'!$A$3:$D$99998,4,FALSE))</f>
        <v>DLC_SEASONS_OF_THE_WORMCULT1</v>
      </c>
      <c r="U690" s="3" t="str">
        <f>IF(T690&lt;&gt;"",VLOOKUP(T690,ConstDLCIds!$B$4:$C$1000,2,FALSE),"")</f>
        <v>Seasons of the Wormcult Part 1</v>
      </c>
      <c r="V690" s="4" t="s">
        <v>215</v>
      </c>
      <c r="Y690" s="5"/>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zones'!$A$5:$D$10003,4,FALSE),"")</f>
        <v>Solstice</v>
      </c>
      <c r="AB690" s="57" t="s">
        <v>218</v>
      </c>
      <c r="AE690" s="3">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zones'!$A$5:$D$10003,4,FALSE),"")</f>
        <v>Calindvale Gardens</v>
      </c>
      <c r="AH690" s="4" t="s">
        <v>221</v>
      </c>
      <c r="AI690" s="30"/>
      <c r="AJ690" s="30"/>
      <c r="AK690" s="3">
        <f>IF(AND(G690&lt;&gt;"LIBSETS_SETTYPE_BATTLEGROUND",G690&lt;&gt;"LIBSETS_SETTYPE_SPECIAL"),IF(AL690&lt;&gt;"",VLOOKUP(AL690,'ESO zones'!$D$5:$H$4957,5,FALSE),""),"")</f>
        <v>1502</v>
      </c>
      <c r="AL690" t="s">
        <v>2036</v>
      </c>
      <c r="AM690" s="4" t="s">
        <v>224</v>
      </c>
      <c r="AN690" s="30"/>
      <c r="AO690" s="30"/>
      <c r="AP690" s="3">
        <f>IF(AND(G690&lt;&gt;"LIBSETS_SETTYPE_BATTLEGROUND",G690&lt;&gt;"LIBSETS_SETTYPE_SPECIAL"),IF(AQ690&lt;&gt;"",VLOOKUP(AQ690,'ESO zones'!$D$5:$H$4957,5,FALSE),""),"")</f>
        <v>1502</v>
      </c>
      <c r="AQ690" t="s">
        <v>2036</v>
      </c>
      <c r="AR690" s="4" t="s">
        <v>269</v>
      </c>
      <c r="AS690" s="30"/>
      <c r="AT690" s="30"/>
      <c r="AU690" s="3" t="str">
        <f>IF(AND(G690&lt;&gt;"LIBSETS_SETTYPE_BATTLEGROUND",G690&lt;&gt;"LIBSETS_SETTYPE_SPECIAL"),IF(AV690&lt;&gt;"",VLOOKUP(AV690,'ESO zones'!$D$5:$H$4957,5,FALSE),""),"")</f>
        <v/>
      </c>
      <c r="AX690" s="30"/>
      <c r="AY690" s="30"/>
      <c r="AZ690" s="49" t="s">
        <v>403</v>
      </c>
      <c r="BA690" s="49"/>
      <c r="BB690" s="49"/>
      <c r="BC690"/>
      <c r="BD690"/>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1">
        <v>806</v>
      </c>
      <c r="B691" t="s">
        <v>2037</v>
      </c>
      <c r="C691" t="s">
        <v>2037</v>
      </c>
      <c r="D691" s="3">
        <f t="shared" si="60"/>
        <v>806</v>
      </c>
      <c r="G691" s="3" t="s">
        <v>174</v>
      </c>
      <c r="I691" t="s">
        <v>401</v>
      </c>
      <c r="J691" t="s">
        <v>401</v>
      </c>
      <c r="K691">
        <v>598</v>
      </c>
      <c r="L691">
        <v>598</v>
      </c>
      <c r="M691">
        <v>598</v>
      </c>
      <c r="O691" s="5" t="s">
        <v>2036</v>
      </c>
      <c r="Q691" s="3">
        <f>IF(AND(P691&lt;&gt;"",ISNUMBER(P691),NOT(ISNA(P691))),P691,IF(R691&lt;&gt;"",VLOOKUP(R691,'ESO zones'!$D$5:$H$10005,5,FALSE),""))</f>
        <v>1502</v>
      </c>
      <c r="R691" t="str">
        <f>IF(AND(O691&lt;&gt;"",NOT(ISERROR(O691))),O691,IF(AND(P691&lt;&gt;"",ISNUMBER(P691),P691&gt;0,NOT(ISNA(P691))),VLOOKUP(P691,'ESO zones'!$A$5:$D$10003,4,FALSE),IF(AND(K691&lt;&gt;"",K691&gt;0,NOT(ISERROR(K691))),VLOOKUP(K691,'ESO wayshrines'!$K$3:$N$9972,4,FALSE),"")))</f>
        <v>Solstice</v>
      </c>
      <c r="T691" s="16" t="str">
        <f>IF(AND(S691&lt;&gt;"",NOT(ISERROR(S691))),S691,VLOOKUP(A691,'ESO Set&amp;DLCs'!$A$3:$D$99998,4,FALSE))</f>
        <v>DLC_SEASONS_OF_THE_WORMCULT1</v>
      </c>
      <c r="U691" s="3" t="str">
        <f>IF(T691&lt;&gt;"",VLOOKUP(T691,ConstDLCIds!$B$4:$C$1000,2,FALSE),"")</f>
        <v>Seasons of the Wormcult Part 1</v>
      </c>
      <c r="V691" s="4" t="s">
        <v>215</v>
      </c>
      <c r="Y691" s="5"/>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zones'!$A$5:$D$10003,4,FALSE),"")</f>
        <v>Solstice</v>
      </c>
      <c r="AB691" s="57" t="s">
        <v>218</v>
      </c>
      <c r="AE691" s="3">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zones'!$A$5:$D$10003,4,FALSE),"")</f>
        <v>Calindvale Gardens</v>
      </c>
      <c r="AH691" s="4" t="s">
        <v>221</v>
      </c>
      <c r="AI691" s="30"/>
      <c r="AJ691" s="30"/>
      <c r="AK691" s="3">
        <f>IF(AND(G691&lt;&gt;"LIBSETS_SETTYPE_BATTLEGROUND",G691&lt;&gt;"LIBSETS_SETTYPE_SPECIAL"),IF(AL691&lt;&gt;"",VLOOKUP(AL691,'ESO zones'!$D$5:$H$4957,5,FALSE),""),"")</f>
        <v>1502</v>
      </c>
      <c r="AL691" t="s">
        <v>2036</v>
      </c>
      <c r="AM691" s="4" t="s">
        <v>224</v>
      </c>
      <c r="AN691" s="30"/>
      <c r="AO691" s="30"/>
      <c r="AP691" s="3">
        <f>IF(AND(G691&lt;&gt;"LIBSETS_SETTYPE_BATTLEGROUND",G691&lt;&gt;"LIBSETS_SETTYPE_SPECIAL"),IF(AQ691&lt;&gt;"",VLOOKUP(AQ691,'ESO zones'!$D$5:$H$4957,5,FALSE),""),"")</f>
        <v>1502</v>
      </c>
      <c r="AQ691" t="s">
        <v>2036</v>
      </c>
      <c r="AR691" s="4" t="s">
        <v>269</v>
      </c>
      <c r="AS691" s="30"/>
      <c r="AT691" s="30"/>
      <c r="AU691" s="3" t="str">
        <f>IF(AND(G691&lt;&gt;"LIBSETS_SETTYPE_BATTLEGROUND",G691&lt;&gt;"LIBSETS_SETTYPE_SPECIAL"),IF(AV691&lt;&gt;"",VLOOKUP(AV691,'ESO zones'!$D$5:$H$4957,5,FALSE),""),"")</f>
        <v/>
      </c>
      <c r="AX691" s="30"/>
      <c r="AY691" s="30"/>
      <c r="AZ691" s="49" t="s">
        <v>403</v>
      </c>
      <c r="BA691" s="49"/>
      <c r="BB691" s="49"/>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1">
        <v>807</v>
      </c>
      <c r="B692" t="s">
        <v>2038</v>
      </c>
      <c r="C692" t="s">
        <v>2038</v>
      </c>
      <c r="D692" s="3">
        <f t="shared" si="60"/>
        <v>807</v>
      </c>
      <c r="G692" s="3" t="s">
        <v>174</v>
      </c>
      <c r="I692" t="s">
        <v>401</v>
      </c>
      <c r="J692" t="s">
        <v>401</v>
      </c>
      <c r="K692">
        <v>598</v>
      </c>
      <c r="L692">
        <v>598</v>
      </c>
      <c r="M692">
        <v>598</v>
      </c>
      <c r="O692" s="5" t="s">
        <v>2036</v>
      </c>
      <c r="Q692" s="3">
        <f>IF(AND(P692&lt;&gt;"",ISNUMBER(P692),NOT(ISNA(P692))),P692,IF(R692&lt;&gt;"",VLOOKUP(R692,'ESO zones'!$D$5:$H$10005,5,FALSE),""))</f>
        <v>1502</v>
      </c>
      <c r="R692" t="str">
        <f>IF(AND(O692&lt;&gt;"",NOT(ISERROR(O692))),O692,IF(AND(P692&lt;&gt;"",ISNUMBER(P692),P692&gt;0,NOT(ISNA(P692))),VLOOKUP(P692,'ESO zones'!$A$5:$D$10003,4,FALSE),IF(AND(K692&lt;&gt;"",K692&gt;0,NOT(ISERROR(K692))),VLOOKUP(K692,'ESO wayshrines'!$K$3:$N$9972,4,FALSE),"")))</f>
        <v>Solstice</v>
      </c>
      <c r="T692" s="16" t="str">
        <f>IF(AND(S692&lt;&gt;"",NOT(ISERROR(S692))),S692,VLOOKUP(A692,'ESO Set&amp;DLCs'!$A$3:$D$99998,4,FALSE))</f>
        <v>DLC_SEASONS_OF_THE_WORMCULT1</v>
      </c>
      <c r="U692" s="3" t="str">
        <f>IF(T692&lt;&gt;"",VLOOKUP(T692,ConstDLCIds!$B$4:$C$1000,2,FALSE),"")</f>
        <v>Seasons of the Wormcult Part 1</v>
      </c>
      <c r="V692" s="4" t="s">
        <v>215</v>
      </c>
      <c r="Y692" s="5"/>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zones'!$A$5:$D$10003,4,FALSE),"")</f>
        <v>Solstice</v>
      </c>
      <c r="AB692" s="57" t="s">
        <v>218</v>
      </c>
      <c r="AE692" s="3">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zones'!$A$5:$D$10003,4,FALSE),"")</f>
        <v>Calindvale Gardens</v>
      </c>
      <c r="AH692" s="4" t="s">
        <v>221</v>
      </c>
      <c r="AI692" s="30"/>
      <c r="AJ692" s="30"/>
      <c r="AK692" s="3">
        <f>IF(AND(G692&lt;&gt;"LIBSETS_SETTYPE_BATTLEGROUND",G692&lt;&gt;"LIBSETS_SETTYPE_SPECIAL"),IF(AL692&lt;&gt;"",VLOOKUP(AL692,'ESO zones'!$D$5:$H$4957,5,FALSE),""),"")</f>
        <v>1502</v>
      </c>
      <c r="AL692" t="s">
        <v>2036</v>
      </c>
      <c r="AM692" s="4" t="s">
        <v>224</v>
      </c>
      <c r="AN692" s="30"/>
      <c r="AO692" s="30"/>
      <c r="AP692" s="3">
        <f>IF(AND(G692&lt;&gt;"LIBSETS_SETTYPE_BATTLEGROUND",G692&lt;&gt;"LIBSETS_SETTYPE_SPECIAL"),IF(AQ692&lt;&gt;"",VLOOKUP(AQ692,'ESO zones'!$D$5:$H$4957,5,FALSE),""),"")</f>
        <v>1502</v>
      </c>
      <c r="AQ692" t="s">
        <v>2036</v>
      </c>
      <c r="AR692" s="4" t="s">
        <v>269</v>
      </c>
      <c r="AS692" s="30"/>
      <c r="AT692" s="30"/>
      <c r="AU692" s="3" t="str">
        <f>IF(AND(G692&lt;&gt;"LIBSETS_SETTYPE_BATTLEGROUND",G692&lt;&gt;"LIBSETS_SETTYPE_SPECIAL"),IF(AV692&lt;&gt;"",VLOOKUP(AV692,'ESO zones'!$D$5:$H$4957,5,FALSE),""),"")</f>
        <v/>
      </c>
      <c r="AX692" s="30"/>
      <c r="AY692" s="30"/>
      <c r="AZ692" s="49" t="s">
        <v>403</v>
      </c>
      <c r="BA692" s="49"/>
      <c r="BB692" s="49"/>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1">
        <v>808</v>
      </c>
      <c r="B693" t="s">
        <v>2039</v>
      </c>
      <c r="C693" t="s">
        <v>2039</v>
      </c>
      <c r="D693" s="3">
        <f t="shared" si="60"/>
        <v>808</v>
      </c>
      <c r="G693" s="3" t="s">
        <v>163</v>
      </c>
      <c r="I693" t="s">
        <v>401</v>
      </c>
      <c r="J693" t="s">
        <v>401</v>
      </c>
      <c r="K693">
        <v>608</v>
      </c>
      <c r="L693">
        <v>608</v>
      </c>
      <c r="M693">
        <v>608</v>
      </c>
      <c r="N693">
        <v>3</v>
      </c>
      <c r="O693" s="5" t="s">
        <v>2036</v>
      </c>
      <c r="Q693" s="3">
        <f>IF(AND(P693&lt;&gt;"",ISNUMBER(P693),NOT(ISNA(P693))),P693,IF(R693&lt;&gt;"",VLOOKUP(R693,'ESO zones'!$D$5:$H$10005,5,FALSE),""))</f>
        <v>1502</v>
      </c>
      <c r="R693" t="str">
        <f>IF(AND(O693&lt;&gt;"",NOT(ISERROR(O693))),O693,IF(AND(P693&lt;&gt;"",ISNUMBER(P693),P693&gt;0,NOT(ISNA(P693))),VLOOKUP(P693,'ESO zones'!$A$5:$D$10003,4,FALSE),IF(AND(K693&lt;&gt;"",K693&gt;0,NOT(ISERROR(K693))),VLOOKUP(K693,'ESO wayshrines'!$K$3:$N$9972,4,FALSE),"")))</f>
        <v>Solstice</v>
      </c>
      <c r="T693" s="16" t="str">
        <f>IF(AND(S693&lt;&gt;"",NOT(ISERROR(S693))),S693,VLOOKUP(A693,'ESO Set&amp;DLCs'!$A$3:$D$99998,4,FALSE))</f>
        <v>DLC_SEASONS_OF_THE_WORMCULT2</v>
      </c>
      <c r="U693" s="3" t="str">
        <f>IF(T693&lt;&gt;"",VLOOKUP(T693,ConstDLCIds!$B$4:$C$1000,2,FALSE),"")</f>
        <v>Seasons of the Wormcult Part 2</v>
      </c>
      <c r="V693" s="4" t="s">
        <v>281</v>
      </c>
      <c r="Y693" s="5"/>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zones'!$A$5:$D$10003,4,FALSE),"")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zones'!$A$5:$D$10003,4,FALSE),"")</f>
        <v>Solstice</v>
      </c>
      <c r="AI693" s="30"/>
      <c r="AJ693" s="30"/>
      <c r="AK693" s="3" t="str">
        <f>IF(AND(G693&lt;&gt;"LIBSETS_SETTYPE_BATTLEGROUND",G693&lt;&gt;"LIBSETS_SETTYPE_SPECIAL"),IF(AL693&lt;&gt;"",VLOOKUP(AL693,'ESO zones'!$D$5:$H$4957,5,FALSE),""),"")</f>
        <v/>
      </c>
      <c r="AN693" s="30"/>
      <c r="AO693" s="30"/>
      <c r="AP693" s="3" t="str">
        <f>IF(AND(G693&lt;&gt;"LIBSETS_SETTYPE_BATTLEGROUND",G693&lt;&gt;"LIBSETS_SETTYPE_SPECIAL"),IF(AQ693&lt;&gt;"",VLOOKUP(AQ693,'ESO zones'!$D$5:$H$4957,5,FALSE),""),"")</f>
        <v/>
      </c>
      <c r="AS693" s="30"/>
      <c r="AT693" s="30"/>
      <c r="AU693" s="3" t="str">
        <f>IF(AND(G693&lt;&gt;"LIBSETS_SETTYPE_BATTLEGROUND",G693&lt;&gt;"LIBSETS_SETTYPE_SPECIAL"),IF(AV693&lt;&gt;"",VLOOKUP(AV693,'ESO zones'!$D$5:$H$4957,5,FALSE),""),"")</f>
        <v/>
      </c>
      <c r="AX693" s="30"/>
      <c r="AY693" s="30"/>
      <c r="AZ693" s="49" t="s">
        <v>403</v>
      </c>
      <c r="BA693" s="49"/>
      <c r="BB693" s="49"/>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1">
        <v>809</v>
      </c>
      <c r="B694" t="s">
        <v>2040</v>
      </c>
      <c r="C694" t="s">
        <v>2040</v>
      </c>
      <c r="D694" s="3">
        <f t="shared" si="60"/>
        <v>809</v>
      </c>
      <c r="G694" s="3" t="s">
        <v>163</v>
      </c>
      <c r="I694" t="s">
        <v>401</v>
      </c>
      <c r="J694" t="s">
        <v>401</v>
      </c>
      <c r="K694">
        <v>594</v>
      </c>
      <c r="L694">
        <v>594</v>
      </c>
      <c r="M694">
        <v>594</v>
      </c>
      <c r="N694">
        <v>5</v>
      </c>
      <c r="Q694" s="3">
        <f>IF(AND(P694&lt;&gt;"",ISNUMBER(P694),NOT(ISNA(P694))),P694,IF(R694&lt;&gt;"",VLOOKUP(R694,'ESO zones'!$D$5:$H$10005,5,FALSE),""))</f>
        <v>1502</v>
      </c>
      <c r="R694" t="str">
        <f>IF(AND(O694&lt;&gt;"",NOT(ISERROR(O694))),O694,IF(AND(P694&lt;&gt;"",ISNUMBER(P694),P694&gt;0,NOT(ISNA(P694))),VLOOKUP(P694,'ESO zones'!$A$5:$D$10003,4,FALSE),IF(AND(K694&lt;&gt;"",K694&gt;0,NOT(ISERROR(K694))),VLOOKUP(K694,'ESO wayshrines'!$K$3:$N$9972,4,FALSE),"")))</f>
        <v>Solstice</v>
      </c>
      <c r="T694" s="16" t="str">
        <f>IF(AND(S694&lt;&gt;"",NOT(ISERROR(S694))),S694,VLOOKUP(A694,'ESO Set&amp;DLCs'!$A$3:$D$99998,4,FALSE))</f>
        <v>DLC_SEASONS_OF_THE_WORMCULT1</v>
      </c>
      <c r="U694" s="3" t="str">
        <f>IF(T694&lt;&gt;"",VLOOKUP(T694,ConstDLCIds!$B$4:$C$1000,2,FALSE),"")</f>
        <v>Seasons of the Wormcult Part 1</v>
      </c>
      <c r="V694" s="4" t="s">
        <v>281</v>
      </c>
      <c r="Y694" s="5"/>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zones'!$A$5:$D$10003,4,FALSE),"")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zones'!$A$5:$D$10003,4,FALSE),"")</f>
        <v>Solstice</v>
      </c>
      <c r="AI694" s="30"/>
      <c r="AJ694" s="30"/>
      <c r="AK694" s="3" t="str">
        <f>IF(AND(G694&lt;&gt;"LIBSETS_SETTYPE_BATTLEGROUND",G694&lt;&gt;"LIBSETS_SETTYPE_SPECIAL"),IF(AL694&lt;&gt;"",VLOOKUP(AL694,'ESO zones'!$D$5:$H$4957,5,FALSE),""),"")</f>
        <v/>
      </c>
      <c r="AN694" s="30"/>
      <c r="AO694" s="30"/>
      <c r="AP694" s="3" t="str">
        <f>IF(AND(G694&lt;&gt;"LIBSETS_SETTYPE_BATTLEGROUND",G694&lt;&gt;"LIBSETS_SETTYPE_SPECIAL"),IF(AQ694&lt;&gt;"",VLOOKUP(AQ694,'ESO zones'!$D$5:$H$4957,5,FALSE),""),"")</f>
        <v/>
      </c>
      <c r="AS694" s="30"/>
      <c r="AT694" s="30"/>
      <c r="AU694" s="3" t="str">
        <f>IF(AND(G694&lt;&gt;"LIBSETS_SETTYPE_BATTLEGROUND",G694&lt;&gt;"LIBSETS_SETTYPE_SPECIAL"),IF(AV694&lt;&gt;"",VLOOKUP(AV694,'ESO zones'!$D$5:$H$4957,5,FALSE),""),"")</f>
        <v/>
      </c>
      <c r="AX694" s="30"/>
      <c r="AY694" s="30"/>
      <c r="AZ694" s="49" t="s">
        <v>403</v>
      </c>
      <c r="BA694" s="49"/>
      <c r="BB694" s="49"/>
      <c r="BC694"/>
      <c r="BD694"/>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1">
        <v>810</v>
      </c>
      <c r="B695" t="s">
        <v>2041</v>
      </c>
      <c r="C695" t="s">
        <v>2041</v>
      </c>
      <c r="D695" s="3">
        <f t="shared" si="60"/>
        <v>810</v>
      </c>
      <c r="G695" s="3" t="s">
        <v>163</v>
      </c>
      <c r="I695" t="s">
        <v>401</v>
      </c>
      <c r="J695" t="s">
        <v>401</v>
      </c>
      <c r="K695">
        <v>612</v>
      </c>
      <c r="L695">
        <v>612</v>
      </c>
      <c r="M695">
        <v>612</v>
      </c>
      <c r="N695">
        <v>7</v>
      </c>
      <c r="O695" s="5" t="s">
        <v>2036</v>
      </c>
      <c r="Q695" s="3">
        <f>IF(AND(P695&lt;&gt;"",ISNUMBER(P695),NOT(ISNA(P695))),P695,IF(R695&lt;&gt;"",VLOOKUP(R695,'ESO zones'!$D$5:$H$10005,5,FALSE),""))</f>
        <v>1502</v>
      </c>
      <c r="R695" t="str">
        <f>IF(AND(O695&lt;&gt;"",NOT(ISERROR(O695))),O695,IF(AND(P695&lt;&gt;"",ISNUMBER(P695),P695&gt;0,NOT(ISNA(P695))),VLOOKUP(P695,'ESO zones'!$A$5:$D$10003,4,FALSE),IF(AND(K695&lt;&gt;"",K695&gt;0,NOT(ISERROR(K695))),VLOOKUP(K695,'ESO wayshrines'!$K$3:$N$9972,4,FALSE),"")))</f>
        <v>Solstice</v>
      </c>
      <c r="T695" s="16" t="str">
        <f>IF(AND(S695&lt;&gt;"",NOT(ISERROR(S695))),S695,VLOOKUP(A695,'ESO Set&amp;DLCs'!$A$3:$D$99998,4,FALSE))</f>
        <v>DLC_SEASONS_OF_THE_WORMCULT2</v>
      </c>
      <c r="U695" s="3" t="str">
        <f>IF(T695&lt;&gt;"",VLOOKUP(T695,ConstDLCIds!$B$4:$C$1000,2,FALSE),"")</f>
        <v>Seasons of the Wormcult Part 2</v>
      </c>
      <c r="V695" s="4" t="s">
        <v>281</v>
      </c>
      <c r="Y695" s="5"/>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zones'!$A$5:$D$10003,4,FALSE),"")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zones'!$A$5:$D$10003,4,FALSE),"")</f>
        <v>Solstice</v>
      </c>
      <c r="AI695" s="30"/>
      <c r="AJ695" s="30"/>
      <c r="AK695" s="3" t="str">
        <f>IF(AND(G695&lt;&gt;"LIBSETS_SETTYPE_BATTLEGROUND",G695&lt;&gt;"LIBSETS_SETTYPE_SPECIAL"),IF(AL695&lt;&gt;"",VLOOKUP(AL695,'ESO zones'!$D$5:$H$4957,5,FALSE),""),"")</f>
        <v/>
      </c>
      <c r="AN695" s="30"/>
      <c r="AO695" s="30"/>
      <c r="AP695" s="3" t="str">
        <f>IF(AND(G695&lt;&gt;"LIBSETS_SETTYPE_BATTLEGROUND",G695&lt;&gt;"LIBSETS_SETTYPE_SPECIAL"),IF(AQ695&lt;&gt;"",VLOOKUP(AQ695,'ESO zones'!$D$5:$H$4957,5,FALSE),""),"")</f>
        <v/>
      </c>
      <c r="AS695" s="30"/>
      <c r="AT695" s="30"/>
      <c r="AU695" s="3" t="str">
        <f>IF(AND(G695&lt;&gt;"LIBSETS_SETTYPE_BATTLEGROUND",G695&lt;&gt;"LIBSETS_SETTYPE_SPECIAL"),IF(AV695&lt;&gt;"",VLOOKUP(AV695,'ESO zones'!$D$5:$H$4957,5,FALSE),""),"")</f>
        <v/>
      </c>
      <c r="AX695" s="30"/>
      <c r="AY695" s="30"/>
      <c r="AZ695" s="49" t="s">
        <v>403</v>
      </c>
      <c r="BA695" s="49"/>
      <c r="BB695" s="49"/>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1">
        <v>811</v>
      </c>
      <c r="B696" t="s">
        <v>2042</v>
      </c>
      <c r="C696" t="s">
        <v>2042</v>
      </c>
      <c r="D696" s="3">
        <f t="shared" si="60"/>
        <v>811</v>
      </c>
      <c r="G696" s="3" t="s">
        <v>180</v>
      </c>
      <c r="I696" t="s">
        <v>401</v>
      </c>
      <c r="J696" t="s">
        <v>401</v>
      </c>
      <c r="K696">
        <v>-1</v>
      </c>
      <c r="L696">
        <v>-1</v>
      </c>
      <c r="M696">
        <v>-1</v>
      </c>
      <c r="O696" s="5" t="s">
        <v>2043</v>
      </c>
      <c r="Q696" s="3">
        <f>IF(AND(P696&lt;&gt;"",ISNUMBER(P696),NOT(ISNA(P696))),P696,IF(R696&lt;&gt;"",VLOOKUP(R696,'ESO zones'!$D$5:$H$10005,5,FALSE),""))</f>
        <v>1512</v>
      </c>
      <c r="R696" t="str">
        <f>IF(AND(O696&lt;&gt;"",NOT(ISERROR(O696))),O696,IF(AND(P696&lt;&gt;"",ISNUMBER(P696),P696&gt;0,NOT(ISNA(P696))),VLOOKUP(P696,'ESO zones'!$A$5:$D$10003,4,FALSE),IF(AND(K696&lt;&gt;"",K696&gt;0,NOT(ISERROR(K696))),VLOOKUP(K696,'ESO wayshrines'!$K$3:$N$9972,4,FALSE),"")))</f>
        <v>Carapace Cavern</v>
      </c>
      <c r="T696" s="16" t="str">
        <f>IF(AND(S696&lt;&gt;"",NOT(ISERROR(S696))),S696,VLOOKUP(A696,'ESO Set&amp;DLCs'!$A$3:$D$99998,4,FALSE))</f>
        <v>DLC_SEASONS_OF_THE_WORMCULT1</v>
      </c>
      <c r="U696" s="3" t="str">
        <f>IF(T696&lt;&gt;"",VLOOKUP(T696,ConstDLCIds!$B$4:$C$1000,2,FALSE),"")</f>
        <v>Seasons of the Wormcult Part 1</v>
      </c>
      <c r="V696" s="4" t="s">
        <v>215</v>
      </c>
      <c r="W696" s="3" t="s">
        <v>2044</v>
      </c>
      <c r="X696" s="3" t="s">
        <v>2044</v>
      </c>
      <c r="Y696" s="5">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zones'!$A$5:$D$10003,4,FALSE),"")</f>
        <v>Vale of Revelry</v>
      </c>
      <c r="AB696" s="80" t="s">
        <v>215</v>
      </c>
      <c r="AE696" s="3">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zones'!$A$5:$D$10003,4,FALSE),"")</f>
        <v>Solstice</v>
      </c>
      <c r="AH696" s="4" t="s">
        <v>221</v>
      </c>
      <c r="AI696" s="30" t="s">
        <v>2045</v>
      </c>
      <c r="AJ696" s="30" t="s">
        <v>2045</v>
      </c>
      <c r="AK696" s="3">
        <f>IF(AND(G696&lt;&gt;"LIBSETS_SETTYPE_BATTLEGROUND",G696&lt;&gt;"LIBSETS_SETTYPE_SPECIAL"),IF(AL696&lt;&gt;"",VLOOKUP(AL696,'ESO zones'!$D$5:$H$4957,5,FALSE),""),"")</f>
        <v>1502</v>
      </c>
      <c r="AL696" t="s">
        <v>2036</v>
      </c>
      <c r="AM696" s="4" t="s">
        <v>218</v>
      </c>
      <c r="AN696" s="30" t="s">
        <v>2046</v>
      </c>
      <c r="AO696" s="30" t="s">
        <v>2046</v>
      </c>
      <c r="AP696" s="3">
        <f>IF(AND(G696&lt;&gt;"LIBSETS_SETTYPE_BATTLEGROUND",G696&lt;&gt;"LIBSETS_SETTYPE_SPECIAL"),IF(AQ696&lt;&gt;"",VLOOKUP(AQ696,'ESO zones'!$D$5:$H$4957,5,FALSE),""),"")</f>
        <v>1081</v>
      </c>
      <c r="AQ696" s="30" t="s">
        <v>1272</v>
      </c>
      <c r="AR696" s="4" t="s">
        <v>212</v>
      </c>
      <c r="AS696" s="30" t="s">
        <v>2047</v>
      </c>
      <c r="AT696" s="30" t="s">
        <v>2047</v>
      </c>
      <c r="AU696" s="3" t="str">
        <f>IF(AND(G696&lt;&gt;"LIBSETS_SETTYPE_BATTLEGROUND",G696&lt;&gt;"LIBSETS_SETTYPE_SPECIAL"),IF(AV696&lt;&gt;"",VLOOKUP(AV696,'ESO zones'!$D$5:$H$4957,5,FALSE),""),"")</f>
        <v/>
      </c>
      <c r="AV696" s="30"/>
      <c r="AX696" s="30"/>
      <c r="AY696" s="30" t="s">
        <v>2047</v>
      </c>
      <c r="AZ696" s="49" t="s">
        <v>403</v>
      </c>
      <c r="BA696" s="49" t="s">
        <v>2048</v>
      </c>
      <c r="BB696" s="49" t="s">
        <v>2048</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1">
        <v>812</v>
      </c>
      <c r="B697" t="s">
        <v>2049</v>
      </c>
      <c r="C697" t="s">
        <v>2049</v>
      </c>
      <c r="D697" s="3">
        <f t="shared" si="60"/>
        <v>812</v>
      </c>
      <c r="G697" s="3" t="s">
        <v>180</v>
      </c>
      <c r="I697" t="s">
        <v>401</v>
      </c>
      <c r="J697" t="s">
        <v>401</v>
      </c>
      <c r="K697">
        <v>-1</v>
      </c>
      <c r="L697">
        <v>383</v>
      </c>
      <c r="M697">
        <v>-1</v>
      </c>
      <c r="O697" s="5" t="s">
        <v>1289</v>
      </c>
      <c r="Q697" s="3">
        <f>IF(AND(P697&lt;&gt;"",ISNUMBER(P697),NOT(ISNA(P697))),P697,IF(R697&lt;&gt;"",VLOOKUP(R697,'ESO zones'!$D$5:$H$10005,5,FALSE),""))</f>
        <v>1089</v>
      </c>
      <c r="R697" t="str">
        <f>IF(AND(O697&lt;&gt;"",NOT(ISERROR(O697))),O697,IF(AND(P697&lt;&gt;"",ISNUMBER(P697),P697&gt;0,NOT(ISNA(P697))),VLOOKUP(P697,'ESO zones'!$A$5:$D$10003,4,FALSE),IF(AND(K697&lt;&gt;"",K697&gt;0,NOT(ISERROR(K697))),VLOOKUP(K697,'ESO wayshrines'!$K$3:$N$9972,4,FALSE),"")))</f>
        <v>Rimmen Necropolis</v>
      </c>
      <c r="T697" s="16" t="str">
        <f>IF(AND(S697&lt;&gt;"",NOT(ISERROR(S697))),S697,VLOOKUP(A697,'ESO Set&amp;DLCs'!$A$3:$D$99998,4,FALSE))</f>
        <v>DLC_SEASONS_OF_THE_WORMCULT1</v>
      </c>
      <c r="U697" s="3" t="str">
        <f>IF(T697&lt;&gt;"",VLOOKUP(T697,ConstDLCIds!$B$4:$C$1000,2,FALSE),"")</f>
        <v>Seasons of the Wormcult Part 1</v>
      </c>
      <c r="V697" s="4" t="s">
        <v>221</v>
      </c>
      <c r="W697" s="3" t="s">
        <v>2050</v>
      </c>
      <c r="X697" s="3" t="s">
        <v>2050</v>
      </c>
      <c r="Y697" s="5"/>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zones'!$A$5:$D$10003,4,FALSE),"")</f>
        <v>Northern Elsweyr</v>
      </c>
      <c r="AB697" s="80" t="s">
        <v>218</v>
      </c>
      <c r="AE697" s="3">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zones'!$A$5:$D$10003,4,FALSE),"")</f>
        <v>Maw of Lorkhaj</v>
      </c>
      <c r="AH697" s="4" t="s">
        <v>272</v>
      </c>
      <c r="AI697" s="30" t="s">
        <v>2051</v>
      </c>
      <c r="AJ697" s="30"/>
      <c r="AK697" s="3">
        <f>IF(AND(G697&lt;&gt;"LIBSETS_SETTYPE_BATTLEGROUND",G697&lt;&gt;"LIBSETS_SETTYPE_SPECIAL"),IF(AL697&lt;&gt;"",VLOOKUP(AL697,'ESO zones'!$D$5:$H$4957,5,FALSE),""),"")</f>
        <v>1090</v>
      </c>
      <c r="AL697" t="s">
        <v>1984</v>
      </c>
      <c r="AM697" s="4" t="s">
        <v>221</v>
      </c>
      <c r="AN697" s="30" t="s">
        <v>2052</v>
      </c>
      <c r="AO697" s="30" t="s">
        <v>2052</v>
      </c>
      <c r="AP697" s="3">
        <f>IF(AND(G697&lt;&gt;"LIBSETS_SETTYPE_BATTLEGROUND",G697&lt;&gt;"LIBSETS_SETTYPE_SPECIAL"),IF(AQ697&lt;&gt;"",VLOOKUP(AQ697,'ESO zones'!$D$5:$H$4957,5,FALSE),""),"")</f>
        <v>725</v>
      </c>
      <c r="AQ697" s="30" t="s">
        <v>846</v>
      </c>
      <c r="AR697" s="4" t="s">
        <v>272</v>
      </c>
      <c r="AS697" s="30" t="s">
        <v>2053</v>
      </c>
      <c r="AT697" s="30" t="s">
        <v>2053</v>
      </c>
      <c r="AU697" s="3" t="str">
        <f>IF(AND(G697&lt;&gt;"LIBSETS_SETTYPE_BATTLEGROUND",G697&lt;&gt;"LIBSETS_SETTYPE_SPECIAL"),IF(AV697&lt;&gt;"",VLOOKUP(AV697,'ESO zones'!$D$5:$H$4957,5,FALSE),""),"")</f>
        <v/>
      </c>
      <c r="AX697" s="30"/>
      <c r="AY697" s="30"/>
      <c r="AZ697" s="49" t="s">
        <v>403</v>
      </c>
      <c r="BA697" s="49" t="s">
        <v>2054</v>
      </c>
      <c r="BB697" s="49" t="s">
        <v>2054</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1">
        <v>813</v>
      </c>
      <c r="B698" t="s">
        <v>2055</v>
      </c>
      <c r="C698" t="s">
        <v>2055</v>
      </c>
      <c r="D698" s="3">
        <f t="shared" si="60"/>
        <v>813</v>
      </c>
      <c r="G698" s="3" t="s">
        <v>180</v>
      </c>
      <c r="I698" t="s">
        <v>401</v>
      </c>
      <c r="J698" t="s">
        <v>401</v>
      </c>
      <c r="K698">
        <v>145</v>
      </c>
      <c r="L698">
        <v>-1</v>
      </c>
      <c r="M698">
        <v>-1</v>
      </c>
      <c r="Q698" s="3">
        <f>IF(AND(P698&lt;&gt;"",ISNUMBER(P698),NOT(ISNA(P698))),P698,IF(R698&lt;&gt;"",VLOOKUP(R698,'ESO zones'!$D$5:$H$10005,5,FALSE),""))</f>
        <v>347</v>
      </c>
      <c r="R698" t="str">
        <f>IF(AND(O698&lt;&gt;"",NOT(ISERROR(O698))),O698,IF(AND(P698&lt;&gt;"",ISNUMBER(P698),P698&gt;0,NOT(ISNA(P698))),VLOOKUP(P698,'ESO zones'!$A$5:$D$10003,4,FALSE),IF(AND(K698&lt;&gt;"",K698&gt;0,NOT(ISERROR(K698))),VLOOKUP(K698,'ESO wayshrines'!$K$3:$N$9972,4,FALSE),"")))</f>
        <v>Coldharbour</v>
      </c>
      <c r="T698" s="16" t="str">
        <f>IF(AND(S698&lt;&gt;"",NOT(ISERROR(S698))),S698,VLOOKUP(A698,'ESO Set&amp;DLCs'!$A$3:$D$99998,4,FALSE))</f>
        <v>DLC_SEASONS_OF_THE_WORMCULT1</v>
      </c>
      <c r="U698" s="3" t="str">
        <f>IF(T698&lt;&gt;"",VLOOKUP(T698,ConstDLCIds!$B$4:$C$1000,2,FALSE),"")</f>
        <v>Seasons of the Wormcult Part 1</v>
      </c>
      <c r="V698" s="4" t="s">
        <v>218</v>
      </c>
      <c r="W698" s="3" t="s">
        <v>2056</v>
      </c>
      <c r="X698" s="3" t="s">
        <v>2056</v>
      </c>
      <c r="Y698" s="5">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zones'!$A$5:$D$10003,4,FALSE),"")</f>
        <v>Depths of Malatar</v>
      </c>
      <c r="AB698" s="80" t="s">
        <v>272</v>
      </c>
      <c r="AE698" s="3">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zones'!$A$5:$D$10003,4,FALSE),"")</f>
        <v>Jode's Light</v>
      </c>
      <c r="AH698" s="4" t="s">
        <v>215</v>
      </c>
      <c r="AI698" s="30" t="s">
        <v>2057</v>
      </c>
      <c r="AJ698" s="30" t="s">
        <v>2057</v>
      </c>
      <c r="AK698" s="3">
        <f>IF(AND(G698&lt;&gt;"LIBSETS_SETTYPE_BATTLEGROUND",G698&lt;&gt;"LIBSETS_SETTYPE_SPECIAL"),IF(AL698&lt;&gt;"",VLOOKUP(AL698,'ESO zones'!$D$5:$H$4957,5,FALSE),""),"")</f>
        <v>1513</v>
      </c>
      <c r="AL698" t="s">
        <v>2058</v>
      </c>
      <c r="AM698" s="4" t="s">
        <v>215</v>
      </c>
      <c r="AN698" s="30" t="s">
        <v>2059</v>
      </c>
      <c r="AO698" s="30" t="s">
        <v>2059</v>
      </c>
      <c r="AP698" s="3">
        <f>IF(AND(G698&lt;&gt;"LIBSETS_SETTYPE_BATTLEGROUND",G698&lt;&gt;"LIBSETS_SETTYPE_SPECIAL"),IF(AQ698&lt;&gt;"",VLOOKUP(AQ698,'ESO zones'!$D$5:$H$4957,5,FALSE),""),"")</f>
        <v>137</v>
      </c>
      <c r="AQ698" s="30" t="s">
        <v>2060</v>
      </c>
      <c r="AR698" s="4" t="s">
        <v>221</v>
      </c>
      <c r="AS698" s="30" t="s">
        <v>2061</v>
      </c>
      <c r="AT698" s="30" t="s">
        <v>2061</v>
      </c>
      <c r="AU698" s="3" t="str">
        <f>IF(AND(G698&lt;&gt;"LIBSETS_SETTYPE_BATTLEGROUND",G698&lt;&gt;"LIBSETS_SETTYPE_SPECIAL"),IF(AV698&lt;&gt;"",VLOOKUP(AV698,'ESO zones'!$D$5:$H$4957,5,FALSE),""),"")</f>
        <v/>
      </c>
      <c r="AX698" s="30"/>
      <c r="AY698" s="30"/>
      <c r="AZ698" s="49" t="s">
        <v>403</v>
      </c>
      <c r="BA698" s="49" t="s">
        <v>2062</v>
      </c>
      <c r="BB698" s="49" t="s">
        <v>2062</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1">
        <v>814</v>
      </c>
      <c r="B699" t="s">
        <v>2063</v>
      </c>
      <c r="C699" t="s">
        <v>2063</v>
      </c>
      <c r="D699" s="3">
        <f t="shared" si="60"/>
        <v>814</v>
      </c>
      <c r="G699" s="3" t="s">
        <v>178</v>
      </c>
      <c r="I699" t="s">
        <v>401</v>
      </c>
      <c r="J699" t="s">
        <v>401</v>
      </c>
      <c r="K699">
        <v>-1</v>
      </c>
      <c r="L699">
        <v>-1</v>
      </c>
      <c r="M699">
        <v>-1</v>
      </c>
      <c r="O699" s="5" t="s">
        <v>2064</v>
      </c>
      <c r="Q699" s="3">
        <f>IF(AND(P699&lt;&gt;"",ISNUMBER(P699),NOT(ISNA(P699))),P699,IF(R699&lt;&gt;"",VLOOKUP(R699,'ESO zones'!$D$5:$H$10005,5,FALSE),""))</f>
        <v>1548</v>
      </c>
      <c r="R699" t="str">
        <f>IF(AND(O699&lt;&gt;"",NOT(ISERROR(O699))),O699,IF(AND(P699&lt;&gt;"",ISNUMBER(P699),P699&gt;0,NOT(ISNA(P699))),VLOOKUP(P699,'ESO zones'!$A$5:$D$10003,4,FALSE),IF(AND(K699&lt;&gt;"",K699&gt;0,NOT(ISERROR(K699))),VLOOKUP(K699,'ESO wayshrines'!$K$3:$N$9972,4,FALSE),"")))</f>
        <v>Ossein Cage</v>
      </c>
      <c r="T699" s="16" t="str">
        <f>IF(AND(S699&lt;&gt;"",NOT(ISERROR(S699))),S699,VLOOKUP(A699,'ESO Set&amp;DLCs'!$A$3:$D$99998,4,FALSE))</f>
        <v>DLC_SEASONS_OF_THE_WORMCULT1</v>
      </c>
      <c r="U699" s="3" t="str">
        <f>IF(T699&lt;&gt;"",VLOOKUP(T699,ConstDLCIds!$B$4:$C$1000,2,FALSE),"")</f>
        <v>Seasons of the Wormcult Part 1</v>
      </c>
      <c r="V699" s="4" t="s">
        <v>272</v>
      </c>
      <c r="Y699" s="5"/>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zones'!$A$5:$D$10003,4,FALSE),"")</f>
        <v/>
      </c>
      <c r="AB699" s="4"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zones'!$A$5:$D$10003,4,FALSE),"")</f>
        <v/>
      </c>
      <c r="AH699" s="4" t="s">
        <v>272</v>
      </c>
      <c r="AI699" s="30"/>
      <c r="AJ699" s="30"/>
      <c r="AK699" s="3" t="str">
        <f>IF(AND(G699&lt;&gt;"LIBSETS_SETTYPE_BATTLEGROUND",G699&lt;&gt;"LIBSETS_SETTYPE_SPECIAL"),IF(AL699&lt;&gt;"",VLOOKUP(AL699,'ESO zones'!$D$5:$H$4957,5,FALSE),""),"")</f>
        <v/>
      </c>
      <c r="AN699" s="30"/>
      <c r="AO699" s="30"/>
      <c r="AP699" s="3" t="str">
        <f>IF(AND(G699&lt;&gt;"LIBSETS_SETTYPE_BATTLEGROUND",G699&lt;&gt;"LIBSETS_SETTYPE_SPECIAL"),IF(AQ699&lt;&gt;"",VLOOKUP(AQ699,'ESO zones'!$D$5:$H$4957,5,FALSE),""),"")</f>
        <v/>
      </c>
      <c r="AS699" s="30"/>
      <c r="AT699" s="30"/>
      <c r="AU699" s="3" t="str">
        <f>IF(AND(G699&lt;&gt;"LIBSETS_SETTYPE_BATTLEGROUND",G699&lt;&gt;"LIBSETS_SETTYPE_SPECIAL"),IF(AV699&lt;&gt;"",VLOOKUP(AV699,'ESO zones'!$D$5:$H$4957,5,FALSE),""),"")</f>
        <v/>
      </c>
      <c r="AX699" s="30"/>
      <c r="AY699" s="30"/>
      <c r="AZ699" s="49" t="s">
        <v>403</v>
      </c>
      <c r="BA699" s="49"/>
      <c r="BB699" s="49"/>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1">
        <v>815</v>
      </c>
      <c r="B700" t="s">
        <v>2065</v>
      </c>
      <c r="C700" t="s">
        <v>2065</v>
      </c>
      <c r="D700" s="3">
        <f t="shared" si="60"/>
        <v>815</v>
      </c>
      <c r="G700" s="3" t="s">
        <v>178</v>
      </c>
      <c r="I700" t="s">
        <v>401</v>
      </c>
      <c r="J700" t="s">
        <v>401</v>
      </c>
      <c r="K700">
        <v>-1</v>
      </c>
      <c r="L700">
        <v>-1</v>
      </c>
      <c r="M700">
        <v>-1</v>
      </c>
      <c r="O700" s="5" t="s">
        <v>2064</v>
      </c>
      <c r="Q700" s="3">
        <f>IF(AND(P700&lt;&gt;"",ISNUMBER(P700),NOT(ISNA(P700))),P700,IF(R700&lt;&gt;"",VLOOKUP(R700,'ESO zones'!$D$5:$H$10005,5,FALSE),""))</f>
        <v>1548</v>
      </c>
      <c r="R700" t="str">
        <f>IF(AND(O700&lt;&gt;"",NOT(ISERROR(O700))),O700,IF(AND(P700&lt;&gt;"",ISNUMBER(P700),P700&gt;0,NOT(ISNA(P700))),VLOOKUP(P700,'ESO zones'!$A$5:$D$10003,4,FALSE),IF(AND(K700&lt;&gt;"",K700&gt;0,NOT(ISERROR(K700))),VLOOKUP(K700,'ESO wayshrines'!$K$3:$N$9972,4,FALSE),"")))</f>
        <v>Ossein Cage</v>
      </c>
      <c r="T700" s="16" t="str">
        <f>IF(AND(S700&lt;&gt;"",NOT(ISERROR(S700))),S700,VLOOKUP(A700,'ESO Set&amp;DLCs'!$A$3:$D$99998,4,FALSE))</f>
        <v>DLC_SEASONS_OF_THE_WORMCULT1</v>
      </c>
      <c r="U700" s="3" t="str">
        <f>IF(T700&lt;&gt;"",VLOOKUP(T700,ConstDLCIds!$B$4:$C$1000,2,FALSE),"")</f>
        <v>Seasons of the Wormcult Part 1</v>
      </c>
      <c r="V700" s="4" t="s">
        <v>272</v>
      </c>
      <c r="Y700" s="5"/>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zones'!$A$5:$D$10003,4,FALSE),"")</f>
        <v/>
      </c>
      <c r="AB700" s="4"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zones'!$A$5:$D$10003,4,FALSE),"")</f>
        <v/>
      </c>
      <c r="AH700" s="4" t="s">
        <v>272</v>
      </c>
      <c r="AI700" s="30"/>
      <c r="AJ700" s="30"/>
      <c r="AK700" s="3" t="str">
        <f>IF(AND(G700&lt;&gt;"LIBSETS_SETTYPE_BATTLEGROUND",G700&lt;&gt;"LIBSETS_SETTYPE_SPECIAL"),IF(AL700&lt;&gt;"",VLOOKUP(AL700,'ESO zones'!$D$5:$H$4957,5,FALSE),""),"")</f>
        <v/>
      </c>
      <c r="AN700" s="30"/>
      <c r="AO700" s="30"/>
      <c r="AP700" s="3" t="str">
        <f>IF(AND(G700&lt;&gt;"LIBSETS_SETTYPE_BATTLEGROUND",G700&lt;&gt;"LIBSETS_SETTYPE_SPECIAL"),IF(AQ700&lt;&gt;"",VLOOKUP(AQ700,'ESO zones'!$D$5:$H$4957,5,FALSE),""),"")</f>
        <v/>
      </c>
      <c r="AS700" s="30"/>
      <c r="AT700" s="30"/>
      <c r="AU700" s="3" t="str">
        <f>IF(AND(G700&lt;&gt;"LIBSETS_SETTYPE_BATTLEGROUND",G700&lt;&gt;"LIBSETS_SETTYPE_SPECIAL"),IF(AV700&lt;&gt;"",VLOOKUP(AV700,'ESO zones'!$D$5:$H$4957,5,FALSE),""),"")</f>
        <v/>
      </c>
      <c r="AX700" s="30"/>
      <c r="AY700" s="30"/>
      <c r="AZ700" s="49" t="s">
        <v>403</v>
      </c>
      <c r="BA700" s="49"/>
      <c r="BB700" s="49"/>
      <c r="BC700"/>
      <c r="BD700" s="53">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1">
        <v>816</v>
      </c>
      <c r="B701" t="s">
        <v>2066</v>
      </c>
      <c r="C701" t="s">
        <v>2066</v>
      </c>
      <c r="D701" s="3">
        <f t="shared" si="60"/>
        <v>816</v>
      </c>
      <c r="G701" s="3" t="s">
        <v>178</v>
      </c>
      <c r="I701" t="s">
        <v>401</v>
      </c>
      <c r="J701" t="s">
        <v>401</v>
      </c>
      <c r="K701">
        <v>-1</v>
      </c>
      <c r="L701">
        <v>-1</v>
      </c>
      <c r="M701">
        <v>-1</v>
      </c>
      <c r="O701" s="5" t="s">
        <v>2064</v>
      </c>
      <c r="Q701" s="3">
        <f>IF(AND(P701&lt;&gt;"",ISNUMBER(P701),NOT(ISNA(P701))),P701,IF(R701&lt;&gt;"",VLOOKUP(R701,'ESO zones'!$D$5:$H$10005,5,FALSE),""))</f>
        <v>1548</v>
      </c>
      <c r="R701" t="str">
        <f>IF(AND(O701&lt;&gt;"",NOT(ISERROR(O701))),O701,IF(AND(P701&lt;&gt;"",ISNUMBER(P701),P701&gt;0,NOT(ISNA(P701))),VLOOKUP(P701,'ESO zones'!$A$5:$D$10003,4,FALSE),IF(AND(K701&lt;&gt;"",K701&gt;0,NOT(ISERROR(K701))),VLOOKUP(K701,'ESO wayshrines'!$K$3:$N$9972,4,FALSE),"")))</f>
        <v>Ossein Cage</v>
      </c>
      <c r="T701" s="16" t="str">
        <f>IF(AND(S701&lt;&gt;"",NOT(ISERROR(S701))),S701,VLOOKUP(A701,'ESO Set&amp;DLCs'!$A$3:$D$99998,4,FALSE))</f>
        <v>DLC_SEASONS_OF_THE_WORMCULT1</v>
      </c>
      <c r="U701" s="3" t="str">
        <f>IF(T701&lt;&gt;"",VLOOKUP(T701,ConstDLCIds!$B$4:$C$1000,2,FALSE),"")</f>
        <v>Seasons of the Wormcult Part 1</v>
      </c>
      <c r="V701" s="4" t="s">
        <v>272</v>
      </c>
      <c r="Y701" s="5"/>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zones'!$A$5:$D$10003,4,FALSE),"")</f>
        <v/>
      </c>
      <c r="AB701" s="4"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zones'!$A$5:$D$10003,4,FALSE),"")</f>
        <v/>
      </c>
      <c r="AH701" s="4" t="s">
        <v>272</v>
      </c>
      <c r="AI701" s="30"/>
      <c r="AJ701" s="30"/>
      <c r="AK701" s="3" t="str">
        <f>IF(AND(G701&lt;&gt;"LIBSETS_SETTYPE_BATTLEGROUND",G701&lt;&gt;"LIBSETS_SETTYPE_SPECIAL"),IF(AL701&lt;&gt;"",VLOOKUP(AL701,'ESO zones'!$D$5:$H$4957,5,FALSE),""),"")</f>
        <v/>
      </c>
      <c r="AN701" s="30"/>
      <c r="AO701" s="30"/>
      <c r="AP701" s="3" t="str">
        <f>IF(AND(G701&lt;&gt;"LIBSETS_SETTYPE_BATTLEGROUND",G701&lt;&gt;"LIBSETS_SETTYPE_SPECIAL"),IF(AQ701&lt;&gt;"",VLOOKUP(AQ701,'ESO zones'!$D$5:$H$4957,5,FALSE),""),"")</f>
        <v/>
      </c>
      <c r="AS701" s="30"/>
      <c r="AT701" s="30"/>
      <c r="AU701" s="3" t="str">
        <f>IF(AND(G701&lt;&gt;"LIBSETS_SETTYPE_BATTLEGROUND",G701&lt;&gt;"LIBSETS_SETTYPE_SPECIAL"),IF(AV701&lt;&gt;"",VLOOKUP(AV701,'ESO zones'!$D$5:$H$4957,5,FALSE),""),"")</f>
        <v/>
      </c>
      <c r="AX701" s="30"/>
      <c r="AY701" s="30"/>
      <c r="AZ701" s="49" t="s">
        <v>403</v>
      </c>
      <c r="BA701" s="49"/>
      <c r="BB701" s="49"/>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1">
        <v>817</v>
      </c>
      <c r="B702" t="s">
        <v>2067</v>
      </c>
      <c r="C702" t="s">
        <v>2067</v>
      </c>
      <c r="D702" s="3">
        <f t="shared" si="60"/>
        <v>817</v>
      </c>
      <c r="G702" s="3" t="s">
        <v>178</v>
      </c>
      <c r="I702" t="s">
        <v>401</v>
      </c>
      <c r="J702" t="s">
        <v>401</v>
      </c>
      <c r="K702">
        <v>-1</v>
      </c>
      <c r="L702">
        <v>-1</v>
      </c>
      <c r="M702">
        <v>-1</v>
      </c>
      <c r="O702" s="5" t="s">
        <v>2064</v>
      </c>
      <c r="Q702" s="3">
        <f>IF(AND(P702&lt;&gt;"",ISNUMBER(P702),NOT(ISNA(P702))),P702,IF(R702&lt;&gt;"",VLOOKUP(R702,'ESO zones'!$D$5:$H$10005,5,FALSE),""))</f>
        <v>1548</v>
      </c>
      <c r="R702" t="str">
        <f>IF(AND(O702&lt;&gt;"",NOT(ISERROR(O702))),O702,IF(AND(P702&lt;&gt;"",ISNUMBER(P702),P702&gt;0,NOT(ISNA(P702))),VLOOKUP(P702,'ESO zones'!$A$5:$D$10003,4,FALSE),IF(AND(K702&lt;&gt;"",K702&gt;0,NOT(ISERROR(K702))),VLOOKUP(K702,'ESO wayshrines'!$K$3:$N$9972,4,FALSE),"")))</f>
        <v>Ossein Cage</v>
      </c>
      <c r="T702" s="16" t="str">
        <f>IF(AND(S702&lt;&gt;"",NOT(ISERROR(S702))),S702,VLOOKUP(A702,'ESO Set&amp;DLCs'!$A$3:$D$99998,4,FALSE))</f>
        <v>DLC_SEASONS_OF_THE_WORMCULT1</v>
      </c>
      <c r="U702" s="3" t="str">
        <f>IF(T702&lt;&gt;"",VLOOKUP(T702,ConstDLCIds!$B$4:$C$1000,2,FALSE),"")</f>
        <v>Seasons of the Wormcult Part 1</v>
      </c>
      <c r="V702" s="4" t="s">
        <v>272</v>
      </c>
      <c r="Y702" s="5"/>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zones'!$A$5:$D$10003,4,FALSE),"")</f>
        <v/>
      </c>
      <c r="AB702" s="4"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zones'!$A$5:$D$10003,4,FALSE),"")</f>
        <v/>
      </c>
      <c r="AH702" s="4" t="s">
        <v>272</v>
      </c>
      <c r="AI702" s="30"/>
      <c r="AJ702" s="30"/>
      <c r="AK702" s="3" t="str">
        <f>IF(AND(G702&lt;&gt;"LIBSETS_SETTYPE_BATTLEGROUND",G702&lt;&gt;"LIBSETS_SETTYPE_SPECIAL"),IF(AL702&lt;&gt;"",VLOOKUP(AL702,'ESO zones'!$D$5:$H$4957,5,FALSE),""),"")</f>
        <v/>
      </c>
      <c r="AN702" s="30"/>
      <c r="AO702" s="30"/>
      <c r="AP702" s="3" t="str">
        <f>IF(AND(G702&lt;&gt;"LIBSETS_SETTYPE_BATTLEGROUND",G702&lt;&gt;"LIBSETS_SETTYPE_SPECIAL"),IF(AQ702&lt;&gt;"",VLOOKUP(AQ702,'ESO zones'!$D$5:$H$4957,5,FALSE),""),"")</f>
        <v/>
      </c>
      <c r="AS702" s="30"/>
      <c r="AT702" s="30"/>
      <c r="AU702" s="3" t="str">
        <f>IF(AND(G702&lt;&gt;"LIBSETS_SETTYPE_BATTLEGROUND",G702&lt;&gt;"LIBSETS_SETTYPE_SPECIAL"),IF(AV702&lt;&gt;"",VLOOKUP(AV702,'ESO zones'!$D$5:$H$4957,5,FALSE),""),"")</f>
        <v/>
      </c>
      <c r="AX702" s="30"/>
      <c r="AY702" s="30"/>
      <c r="AZ702" s="49" t="s">
        <v>403</v>
      </c>
      <c r="BA702" s="49"/>
      <c r="BB702" s="49"/>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1">
        <v>818</v>
      </c>
      <c r="B703" t="s">
        <v>2068</v>
      </c>
      <c r="C703" t="s">
        <v>2068</v>
      </c>
      <c r="D703" s="3">
        <f t="shared" si="60"/>
        <v>818</v>
      </c>
      <c r="G703" s="3" t="s">
        <v>178</v>
      </c>
      <c r="I703" t="s">
        <v>1120</v>
      </c>
      <c r="J703" t="s">
        <v>401</v>
      </c>
      <c r="K703">
        <v>-1</v>
      </c>
      <c r="L703">
        <v>-1</v>
      </c>
      <c r="M703">
        <v>-1</v>
      </c>
      <c r="O703" s="5" t="s">
        <v>2064</v>
      </c>
      <c r="Q703" s="3">
        <f>IF(AND(P703&lt;&gt;"",ISNUMBER(P703),NOT(ISNA(P703))),P703,IF(R703&lt;&gt;"",VLOOKUP(R703,'ESO zones'!$D$5:$H$10005,5,FALSE),""))</f>
        <v>1548</v>
      </c>
      <c r="R703" t="str">
        <f>IF(AND(O703&lt;&gt;"",NOT(ISERROR(O703))),O703,IF(AND(P703&lt;&gt;"",ISNUMBER(P703),P703&gt;0,NOT(ISNA(P703))),VLOOKUP(P703,'ESO zones'!$A$5:$D$10003,4,FALSE),IF(AND(K703&lt;&gt;"",K703&gt;0,NOT(ISERROR(K703))),VLOOKUP(K703,'ESO wayshrines'!$K$3:$N$9972,4,FALSE),"")))</f>
        <v>Ossein Cage</v>
      </c>
      <c r="T703" s="16" t="str">
        <f>IF(AND(S703&lt;&gt;"",NOT(ISERROR(S703))),S703,VLOOKUP(A703,'ESO Set&amp;DLCs'!$A$3:$D$99998,4,FALSE))</f>
        <v>DLC_SEASONS_OF_THE_WORMCULT1</v>
      </c>
      <c r="U703" s="3" t="str">
        <f>IF(T703&lt;&gt;"",VLOOKUP(T703,ConstDLCIds!$B$4:$C$1000,2,FALSE),"")</f>
        <v>Seasons of the Wormcult Part 1</v>
      </c>
      <c r="V703" s="4" t="s">
        <v>272</v>
      </c>
      <c r="Y703" s="5"/>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zones'!$A$5:$D$10003,4,FALSE),"")</f>
        <v/>
      </c>
      <c r="AB703" s="4"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zones'!$A$5:$D$10003,4,FALSE),"")</f>
        <v/>
      </c>
      <c r="AH703" s="4" t="s">
        <v>272</v>
      </c>
      <c r="AI703" s="30"/>
      <c r="AJ703" s="30"/>
      <c r="AK703" s="3" t="str">
        <f>IF(AND(G703&lt;&gt;"LIBSETS_SETTYPE_BATTLEGROUND",G703&lt;&gt;"LIBSETS_SETTYPE_SPECIAL"),IF(AL703&lt;&gt;"",VLOOKUP(AL703,'ESO zones'!$D$5:$H$4957,5,FALSE),""),"")</f>
        <v/>
      </c>
      <c r="AN703" s="30"/>
      <c r="AO703" s="30"/>
      <c r="AP703" s="3" t="str">
        <f>IF(AND(G703&lt;&gt;"LIBSETS_SETTYPE_BATTLEGROUND",G703&lt;&gt;"LIBSETS_SETTYPE_SPECIAL"),IF(AQ703&lt;&gt;"",VLOOKUP(AQ703,'ESO zones'!$D$5:$H$4957,5,FALSE),""),"")</f>
        <v/>
      </c>
      <c r="AS703" s="30"/>
      <c r="AT703" s="30"/>
      <c r="AU703" s="3" t="str">
        <f>IF(AND(G703&lt;&gt;"LIBSETS_SETTYPE_BATTLEGROUND",G703&lt;&gt;"LIBSETS_SETTYPE_SPECIAL"),IF(AV703&lt;&gt;"",VLOOKUP(AV703,'ESO zones'!$D$5:$H$4957,5,FALSE),""),"")</f>
        <v/>
      </c>
      <c r="AX703" s="30"/>
      <c r="AY703" s="30"/>
      <c r="AZ703" s="49" t="s">
        <v>403</v>
      </c>
      <c r="BA703" s="49"/>
      <c r="BB703" s="49"/>
      <c r="BC703"/>
      <c r="BD703" t="s">
        <v>1122</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1">
        <v>819</v>
      </c>
      <c r="B704" t="s">
        <v>2069</v>
      </c>
      <c r="C704" t="s">
        <v>2069</v>
      </c>
      <c r="D704" s="3">
        <f t="shared" si="60"/>
        <v>819</v>
      </c>
      <c r="G704" s="3" t="s">
        <v>178</v>
      </c>
      <c r="I704" t="s">
        <v>1120</v>
      </c>
      <c r="J704" t="s">
        <v>401</v>
      </c>
      <c r="K704">
        <v>-1</v>
      </c>
      <c r="L704">
        <v>-1</v>
      </c>
      <c r="M704">
        <v>-1</v>
      </c>
      <c r="O704" s="5" t="s">
        <v>2064</v>
      </c>
      <c r="Q704" s="3">
        <f>IF(AND(P704&lt;&gt;"",ISNUMBER(P704),NOT(ISNA(P704))),P704,IF(R704&lt;&gt;"",VLOOKUP(R704,'ESO zones'!$D$5:$H$10005,5,FALSE),""))</f>
        <v>1548</v>
      </c>
      <c r="R704" t="str">
        <f>IF(AND(O704&lt;&gt;"",NOT(ISERROR(O704))),O704,IF(AND(P704&lt;&gt;"",ISNUMBER(P704),P704&gt;0,NOT(ISNA(P704))),VLOOKUP(P704,'ESO zones'!$A$5:$D$10003,4,FALSE),IF(AND(K704&lt;&gt;"",K704&gt;0,NOT(ISERROR(K704))),VLOOKUP(K704,'ESO wayshrines'!$K$3:$N$9972,4,FALSE),"")))</f>
        <v>Ossein Cage</v>
      </c>
      <c r="T704" s="16" t="str">
        <f>IF(AND(S704&lt;&gt;"",NOT(ISERROR(S704))),S704,VLOOKUP(A704,'ESO Set&amp;DLCs'!$A$3:$D$99998,4,FALSE))</f>
        <v>DLC_SEASONS_OF_THE_WORMCULT1</v>
      </c>
      <c r="U704" s="3" t="str">
        <f>IF(T704&lt;&gt;"",VLOOKUP(T704,ConstDLCIds!$B$4:$C$1000,2,FALSE),"")</f>
        <v>Seasons of the Wormcult Part 1</v>
      </c>
      <c r="V704" s="4" t="s">
        <v>272</v>
      </c>
      <c r="Y704" s="5"/>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zones'!$A$5:$D$10003,4,FALSE),"")</f>
        <v/>
      </c>
      <c r="AB704" s="4"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zones'!$A$5:$D$10003,4,FALSE),"")</f>
        <v/>
      </c>
      <c r="AH704" s="4" t="s">
        <v>272</v>
      </c>
      <c r="AI704" s="30"/>
      <c r="AJ704" s="30"/>
      <c r="AK704" s="3" t="str">
        <f>IF(AND(G704&lt;&gt;"LIBSETS_SETTYPE_BATTLEGROUND",G704&lt;&gt;"LIBSETS_SETTYPE_SPECIAL"),IF(AL704&lt;&gt;"",VLOOKUP(AL704,'ESO zones'!$D$5:$H$4957,5,FALSE),""),"")</f>
        <v/>
      </c>
      <c r="AN704" s="30"/>
      <c r="AO704" s="30"/>
      <c r="AP704" s="3" t="str">
        <f>IF(AND(G704&lt;&gt;"LIBSETS_SETTYPE_BATTLEGROUND",G704&lt;&gt;"LIBSETS_SETTYPE_SPECIAL"),IF(AQ704&lt;&gt;"",VLOOKUP(AQ704,'ESO zones'!$D$5:$H$4957,5,FALSE),""),"")</f>
        <v/>
      </c>
      <c r="AS704" s="30"/>
      <c r="AT704" s="30"/>
      <c r="AU704" s="3" t="str">
        <f>IF(AND(G704&lt;&gt;"LIBSETS_SETTYPE_BATTLEGROUND",G704&lt;&gt;"LIBSETS_SETTYPE_SPECIAL"),IF(AV704&lt;&gt;"",VLOOKUP(AV704,'ESO zones'!$D$5:$H$4957,5,FALSE),""),"")</f>
        <v/>
      </c>
      <c r="AX704" s="30"/>
      <c r="AY704" s="30"/>
      <c r="AZ704" s="49" t="s">
        <v>403</v>
      </c>
      <c r="BA704" s="49"/>
      <c r="BB704" s="49"/>
      <c r="BC704"/>
      <c r="BD704" t="s">
        <v>1122</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1">
        <v>820</v>
      </c>
      <c r="B705" t="s">
        <v>2070</v>
      </c>
      <c r="C705" t="s">
        <v>2070</v>
      </c>
      <c r="D705" s="3">
        <f t="shared" si="60"/>
        <v>820</v>
      </c>
      <c r="G705" s="3" t="s">
        <v>178</v>
      </c>
      <c r="I705" t="s">
        <v>1120</v>
      </c>
      <c r="J705" t="s">
        <v>401</v>
      </c>
      <c r="K705">
        <v>-1</v>
      </c>
      <c r="L705">
        <v>-1</v>
      </c>
      <c r="M705">
        <v>-1</v>
      </c>
      <c r="O705" s="5" t="s">
        <v>2064</v>
      </c>
      <c r="Q705" s="3">
        <f>IF(AND(P705&lt;&gt;"",ISNUMBER(P705),NOT(ISNA(P705))),P705,IF(R705&lt;&gt;"",VLOOKUP(R705,'ESO zones'!$D$5:$H$10005,5,FALSE),""))</f>
        <v>1548</v>
      </c>
      <c r="R705" t="str">
        <f>IF(AND(O705&lt;&gt;"",NOT(ISERROR(O705))),O705,IF(AND(P705&lt;&gt;"",ISNUMBER(P705),P705&gt;0,NOT(ISNA(P705))),VLOOKUP(P705,'ESO zones'!$A$5:$D$10003,4,FALSE),IF(AND(K705&lt;&gt;"",K705&gt;0,NOT(ISERROR(K705))),VLOOKUP(K705,'ESO wayshrines'!$K$3:$N$9972,4,FALSE),"")))</f>
        <v>Ossein Cage</v>
      </c>
      <c r="T705" s="16" t="str">
        <f>IF(AND(S705&lt;&gt;"",NOT(ISERROR(S705))),S705,VLOOKUP(A705,'ESO Set&amp;DLCs'!$A$3:$D$99998,4,FALSE))</f>
        <v>DLC_SEASONS_OF_THE_WORMCULT1</v>
      </c>
      <c r="U705" s="3" t="str">
        <f>IF(T705&lt;&gt;"",VLOOKUP(T705,ConstDLCIds!$B$4:$C$1000,2,FALSE),"")</f>
        <v>Seasons of the Wormcult Part 1</v>
      </c>
      <c r="V705" s="4" t="s">
        <v>272</v>
      </c>
      <c r="Y705" s="5"/>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zones'!$A$5:$D$10003,4,FALSE),"")</f>
        <v/>
      </c>
      <c r="AB705" s="4"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zones'!$A$5:$D$10003,4,FALSE),"")</f>
        <v/>
      </c>
      <c r="AH705" s="4" t="s">
        <v>272</v>
      </c>
      <c r="AI705" s="30"/>
      <c r="AJ705" s="30"/>
      <c r="AK705" s="3" t="str">
        <f>IF(AND(G705&lt;&gt;"LIBSETS_SETTYPE_BATTLEGROUND",G705&lt;&gt;"LIBSETS_SETTYPE_SPECIAL"),IF(AL705&lt;&gt;"",VLOOKUP(AL705,'ESO zones'!$D$5:$H$4957,5,FALSE),""),"")</f>
        <v/>
      </c>
      <c r="AN705" s="30"/>
      <c r="AO705" s="30"/>
      <c r="AP705" s="3" t="str">
        <f>IF(AND(G705&lt;&gt;"LIBSETS_SETTYPE_BATTLEGROUND",G705&lt;&gt;"LIBSETS_SETTYPE_SPECIAL"),IF(AQ705&lt;&gt;"",VLOOKUP(AQ705,'ESO zones'!$D$5:$H$4957,5,FALSE),""),"")</f>
        <v/>
      </c>
      <c r="AS705" s="30"/>
      <c r="AT705" s="30"/>
      <c r="AU705" s="3" t="str">
        <f>IF(AND(G705&lt;&gt;"LIBSETS_SETTYPE_BATTLEGROUND",G705&lt;&gt;"LIBSETS_SETTYPE_SPECIAL"),IF(AV705&lt;&gt;"",VLOOKUP(AV705,'ESO zones'!$D$5:$H$4957,5,FALSE),""),"")</f>
        <v/>
      </c>
      <c r="AX705" s="30"/>
      <c r="AY705" s="30"/>
      <c r="AZ705" s="49" t="s">
        <v>403</v>
      </c>
      <c r="BA705" s="49"/>
      <c r="BB705" s="49"/>
      <c r="BC705"/>
      <c r="BD705" t="s">
        <v>1122</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1">
        <v>821</v>
      </c>
      <c r="B706" t="s">
        <v>2071</v>
      </c>
      <c r="C706" t="s">
        <v>2071</v>
      </c>
      <c r="D706" s="3">
        <f t="shared" si="60"/>
        <v>821</v>
      </c>
      <c r="G706" s="3" t="s">
        <v>178</v>
      </c>
      <c r="I706" t="s">
        <v>1120</v>
      </c>
      <c r="J706" t="s">
        <v>401</v>
      </c>
      <c r="K706">
        <v>-1</v>
      </c>
      <c r="L706">
        <v>-1</v>
      </c>
      <c r="M706">
        <v>-1</v>
      </c>
      <c r="O706" s="5" t="s">
        <v>2064</v>
      </c>
      <c r="Q706" s="3">
        <f>IF(AND(P706&lt;&gt;"",ISNUMBER(P706),NOT(ISNA(P706))),P706,IF(R706&lt;&gt;"",VLOOKUP(R706,'ESO zones'!$D$5:$H$10005,5,FALSE),""))</f>
        <v>1548</v>
      </c>
      <c r="R706" t="str">
        <f>IF(AND(O706&lt;&gt;"",NOT(ISERROR(O706))),O706,IF(AND(P706&lt;&gt;"",ISNUMBER(P706),P706&gt;0,NOT(ISNA(P706))),VLOOKUP(P706,'ESO zones'!$A$5:$D$10003,4,FALSE),IF(AND(K706&lt;&gt;"",K706&gt;0,NOT(ISERROR(K706))),VLOOKUP(K706,'ESO wayshrines'!$K$3:$N$9972,4,FALSE),"")))</f>
        <v>Ossein Cage</v>
      </c>
      <c r="T706" s="16" t="str">
        <f>IF(AND(S706&lt;&gt;"",NOT(ISERROR(S706))),S706,VLOOKUP(A706,'ESO Set&amp;DLCs'!$A$3:$D$99998,4,FALSE))</f>
        <v>DLC_SEASONS_OF_THE_WORMCULT1</v>
      </c>
      <c r="U706" s="3" t="str">
        <f>IF(T706&lt;&gt;"",VLOOKUP(T706,ConstDLCIds!$B$4:$C$1000,2,FALSE),"")</f>
        <v>Seasons of the Wormcult Part 1</v>
      </c>
      <c r="V706" s="4" t="s">
        <v>272</v>
      </c>
      <c r="Y706" s="5"/>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zones'!$A$5:$D$10003,4,FALSE),"")</f>
        <v/>
      </c>
      <c r="AB706" s="4"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zones'!$A$5:$D$10003,4,FALSE),"")</f>
        <v/>
      </c>
      <c r="AH706" s="4" t="s">
        <v>272</v>
      </c>
      <c r="AI706" s="30"/>
      <c r="AJ706" s="30"/>
      <c r="AK706" s="3" t="str">
        <f>IF(AND(G706&lt;&gt;"LIBSETS_SETTYPE_BATTLEGROUND",G706&lt;&gt;"LIBSETS_SETTYPE_SPECIAL"),IF(AL706&lt;&gt;"",VLOOKUP(AL706,'ESO zones'!$D$5:$H$4957,5,FALSE),""),"")</f>
        <v/>
      </c>
      <c r="AN706" s="30"/>
      <c r="AO706" s="30"/>
      <c r="AP706" s="3" t="str">
        <f>IF(AND(G706&lt;&gt;"LIBSETS_SETTYPE_BATTLEGROUND",G706&lt;&gt;"LIBSETS_SETTYPE_SPECIAL"),IF(AQ706&lt;&gt;"",VLOOKUP(AQ706,'ESO zones'!$D$5:$H$4957,5,FALSE),""),"")</f>
        <v/>
      </c>
      <c r="AS706" s="30"/>
      <c r="AT706" s="30"/>
      <c r="AU706" s="3" t="str">
        <f>IF(AND(G706&lt;&gt;"LIBSETS_SETTYPE_BATTLEGROUND",G706&lt;&gt;"LIBSETS_SETTYPE_SPECIAL"),IF(AV706&lt;&gt;"",VLOOKUP(AV706,'ESO zones'!$D$5:$H$4957,5,FALSE),""),"")</f>
        <v/>
      </c>
      <c r="AX706" s="30"/>
      <c r="AY706" s="30"/>
      <c r="AZ706" s="49" t="s">
        <v>403</v>
      </c>
      <c r="BA706" s="49"/>
      <c r="BB706" s="49"/>
      <c r="BC706"/>
      <c r="BD706" t="s">
        <v>1122</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1">
        <v>822</v>
      </c>
      <c r="B707" s="56" t="s">
        <v>2072</v>
      </c>
      <c r="C707" s="56" t="s">
        <v>2072</v>
      </c>
      <c r="D707" s="3">
        <f t="shared" ref="D707:D724" si="66">A707</f>
        <v>822</v>
      </c>
      <c r="G707" s="3" t="s">
        <v>169</v>
      </c>
      <c r="I707" t="s">
        <v>401</v>
      </c>
      <c r="J707" t="s">
        <v>401</v>
      </c>
      <c r="K707">
        <v>605</v>
      </c>
      <c r="L707">
        <v>605</v>
      </c>
      <c r="M707">
        <v>605</v>
      </c>
      <c r="O707" s="5" t="s">
        <v>2073</v>
      </c>
      <c r="Q707" s="3">
        <f>IF(AND(P707&lt;&gt;"",ISNUMBER(P707),NOT(ISNA(P707))),P707,IF(R707&lt;&gt;"",VLOOKUP(R707,'ESO zones'!$D$5:$H$10005,5,FALSE),""))</f>
        <v>1552</v>
      </c>
      <c r="R707" t="str">
        <f>IF(AND(O707&lt;&gt;"",NOT(ISERROR(O707))),O707,IF(AND(P707&lt;&gt;"",ISNUMBER(P707),P707&gt;0,NOT(ISNA(P707))),VLOOKUP(P707,'ESO zones'!$A$5:$D$10003,4,FALSE),IF(AND(K707&lt;&gt;"",K707&gt;0,NOT(ISERROR(K707))),VLOOKUP(K707,'ESO wayshrines'!$K$3:$N$9972,4,FALSE),"")))</f>
        <v>Black Gem Foundry</v>
      </c>
      <c r="T707" s="16" t="str">
        <f>IF(AND(S707&lt;&gt;"",NOT(ISERROR(S707))),S707,VLOOKUP(A707,'ESO Set&amp;DLCs'!$A$3:$D$99998,4,FALSE))</f>
        <v>DLC_FEAST_OF_SHADOWS</v>
      </c>
      <c r="U707" s="3" t="str">
        <f>IF(T707&lt;&gt;"",VLOOKUP(T707,ConstDLCIds!$B$4:$C$1000,2,FALSE),"")</f>
        <v>Feast of Shadows</v>
      </c>
      <c r="V707" s="57"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zones'!$A$5:$D$10003,4,FALSE),"")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zones'!$A$5:$D$10003,4,FALSE),"")</f>
        <v>Solstice</v>
      </c>
      <c r="AK707" s="3" t="str">
        <f>IF(AND(G707&lt;&gt;"LIBSETS_SETTYPE_BATTLEGROUND",G707&lt;&gt;"LIBSETS_SETTYPE_SPECIAL"),IF(AL707&lt;&gt;"",VLOOKUP(AL707,'ESO zones'!$D$5:$H$4957,5,FALSE),""),"")</f>
        <v/>
      </c>
      <c r="AP707" s="3" t="str">
        <f>IF(AND(G707&lt;&gt;"LIBSETS_SETTYPE_BATTLEGROUND",G707&lt;&gt;"LIBSETS_SETTYPE_SPECIAL"),IF(AQ707&lt;&gt;"",VLOOKUP(AQ707,'ESO zones'!$D$5:$H$4957,5,FALSE),""),"")</f>
        <v/>
      </c>
      <c r="AU707" s="3" t="str">
        <f>IF(AND(G707&lt;&gt;"LIBSETS_SETTYPE_BATTLEGROUND",G707&lt;&gt;"LIBSETS_SETTYPE_SPECIAL"),IF(AV707&lt;&gt;"",VLOOKUP(AV707,'ESO zones'!$D$5:$H$4957,5,FALSE),""),"")</f>
        <v/>
      </c>
      <c r="BE707" s="18" t="str">
        <f t="shared" ref="BE707:BE724" si="67">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8" t="str">
        <f t="shared" ref="BF707:BF724" si="68">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8" t="str">
        <f t="shared" ref="BG707:BG724" si="69">IF(A707&lt;&gt;"",IF(F707&lt;&gt;"Not in the game (anymore)",IF(A707&lt;&gt;"",", setType="&amp;G707,"")&amp;IF(G707="LIBSETS_SETTYPE_CLASS",", classId="&amp;BC707,"")&amp;IF(J707="true",", multiTrialSet=true",""),"")&amp;IF(AND(H707&lt;&gt;"",ISNUMBER(H707)),", undauntedChestId="&amp;H707,""),"")</f>
        <v>, setType=LIBSETS_SETTYPE_DUNGEON</v>
      </c>
      <c r="BH707" s="18" t="str">
        <f t="shared" ref="BH707:BH724" si="70">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8" t="str">
        <f t="shared" ref="BI707:BI724" si="71">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row>
    <row r="708" spans="1:61" x14ac:dyDescent="0.25">
      <c r="A708" s="1">
        <v>823</v>
      </c>
      <c r="B708" s="56" t="s">
        <v>2074</v>
      </c>
      <c r="C708" s="56" t="s">
        <v>2074</v>
      </c>
      <c r="D708" s="3">
        <f t="shared" si="66"/>
        <v>823</v>
      </c>
      <c r="G708" s="3" t="s">
        <v>169</v>
      </c>
      <c r="I708" t="s">
        <v>401</v>
      </c>
      <c r="J708" t="s">
        <v>401</v>
      </c>
      <c r="K708">
        <v>605</v>
      </c>
      <c r="L708">
        <v>605</v>
      </c>
      <c r="M708">
        <v>605</v>
      </c>
      <c r="O708" s="5" t="s">
        <v>2073</v>
      </c>
      <c r="Q708" s="3">
        <f>IF(AND(P708&lt;&gt;"",ISNUMBER(P708),NOT(ISNA(P708))),P708,IF(R708&lt;&gt;"",VLOOKUP(R708,'ESO zones'!$D$5:$H$10005,5,FALSE),""))</f>
        <v>1552</v>
      </c>
      <c r="R708" t="str">
        <f>IF(AND(O708&lt;&gt;"",NOT(ISERROR(O708))),O708,IF(AND(P708&lt;&gt;"",ISNUMBER(P708),P708&gt;0,NOT(ISNA(P708))),VLOOKUP(P708,'ESO zones'!$A$5:$D$10003,4,FALSE),IF(AND(K708&lt;&gt;"",K708&gt;0,NOT(ISERROR(K708))),VLOOKUP(K708,'ESO wayshrines'!$K$3:$N$9972,4,FALSE),"")))</f>
        <v>Black Gem Foundry</v>
      </c>
      <c r="T708" s="16" t="str">
        <f>IF(AND(S708&lt;&gt;"",NOT(ISERROR(S708))),S708,VLOOKUP(A708,'ESO Set&amp;DLCs'!$A$3:$D$99998,4,FALSE))</f>
        <v>DLC_FEAST_OF_SHADOWS</v>
      </c>
      <c r="U708" s="3" t="str">
        <f>IF(T708&lt;&gt;"",VLOOKUP(T708,ConstDLCIds!$B$4:$C$1000,2,FALSE),"")</f>
        <v>Feast of Shadows</v>
      </c>
      <c r="V708" s="57"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zones'!$A$5:$D$10003,4,FALSE),"")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zones'!$A$5:$D$10003,4,FALSE),"")</f>
        <v>Solstice</v>
      </c>
      <c r="AK708" s="3" t="str">
        <f>IF(AND(G708&lt;&gt;"LIBSETS_SETTYPE_BATTLEGROUND",G708&lt;&gt;"LIBSETS_SETTYPE_SPECIAL"),IF(AL708&lt;&gt;"",VLOOKUP(AL708,'ESO zones'!$D$5:$H$4957,5,FALSE),""),"")</f>
        <v/>
      </c>
      <c r="AP708" s="3" t="str">
        <f>IF(AND(G708&lt;&gt;"LIBSETS_SETTYPE_BATTLEGROUND",G708&lt;&gt;"LIBSETS_SETTYPE_SPECIAL"),IF(AQ708&lt;&gt;"",VLOOKUP(AQ708,'ESO zones'!$D$5:$H$4957,5,FALSE),""),"")</f>
        <v/>
      </c>
      <c r="AU708" s="3" t="str">
        <f>IF(AND(G708&lt;&gt;"LIBSETS_SETTYPE_BATTLEGROUND",G708&lt;&gt;"LIBSETS_SETTYPE_SPECIAL"),IF(AV708&lt;&gt;"",VLOOKUP(AV708,'ESO zones'!$D$5:$H$4957,5,FALSE),""),"")</f>
        <v/>
      </c>
      <c r="BE708" s="18" t="str">
        <f t="shared" si="67"/>
        <v>[823] = {wayshrines={605,605,605,}, dlcId=DLC_FEAST_OF_SHADOWS</v>
      </c>
      <c r="BF708" s="18" t="str">
        <f t="shared" si="68"/>
        <v>, zoneIds={1552,1502,1502}, veteran=false</v>
      </c>
      <c r="BG708" s="18" t="str">
        <f t="shared" si="69"/>
        <v>, setType=LIBSETS_SETTYPE_DUNGEON</v>
      </c>
      <c r="BH708" s="18" t="str">
        <f t="shared" si="70"/>
        <v>, dropMechanic={LIBSETS_DROP_MECHANIC_GROUP_DUNGEON_BOSS}</v>
      </c>
      <c r="BI708" s="18" t="str">
        <f t="shared" si="71"/>
        <v>}, --Vykand\'s Soulfury / Vykand\'s Soulfury   [Black Gem Foundry, Solstice, Solstice]</v>
      </c>
    </row>
    <row r="709" spans="1:61" x14ac:dyDescent="0.25">
      <c r="A709" s="1">
        <v>824</v>
      </c>
      <c r="B709" s="56" t="s">
        <v>2075</v>
      </c>
      <c r="C709" s="56" t="s">
        <v>2075</v>
      </c>
      <c r="D709" s="3">
        <f t="shared" si="66"/>
        <v>824</v>
      </c>
      <c r="G709" s="3" t="s">
        <v>169</v>
      </c>
      <c r="I709" t="s">
        <v>401</v>
      </c>
      <c r="J709" t="s">
        <v>401</v>
      </c>
      <c r="K709">
        <v>605</v>
      </c>
      <c r="L709">
        <v>605</v>
      </c>
      <c r="M709">
        <v>605</v>
      </c>
      <c r="O709" s="5" t="s">
        <v>2073</v>
      </c>
      <c r="Q709" s="3">
        <f>IF(AND(P709&lt;&gt;"",ISNUMBER(P709),NOT(ISNA(P709))),P709,IF(R709&lt;&gt;"",VLOOKUP(R709,'ESO zones'!$D$5:$H$10005,5,FALSE),""))</f>
        <v>1552</v>
      </c>
      <c r="R709" t="str">
        <f>IF(AND(O709&lt;&gt;"",NOT(ISERROR(O709))),O709,IF(AND(P709&lt;&gt;"",ISNUMBER(P709),P709&gt;0,NOT(ISNA(P709))),VLOOKUP(P709,'ESO zones'!$A$5:$D$10003,4,FALSE),IF(AND(K709&lt;&gt;"",K709&gt;0,NOT(ISERROR(K709))),VLOOKUP(K709,'ESO wayshrines'!$K$3:$N$9972,4,FALSE),"")))</f>
        <v>Black Gem Foundry</v>
      </c>
      <c r="T709" s="16" t="str">
        <f>IF(AND(S709&lt;&gt;"",NOT(ISERROR(S709))),S709,VLOOKUP(A709,'ESO Set&amp;DLCs'!$A$3:$D$99998,4,FALSE))</f>
        <v>DLC_FEAST_OF_SHADOWS</v>
      </c>
      <c r="U709" s="3" t="str">
        <f>IF(T709&lt;&gt;"",VLOOKUP(T709,ConstDLCIds!$B$4:$C$1000,2,FALSE),"")</f>
        <v>Feast of Shadows</v>
      </c>
      <c r="V709" s="57"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zones'!$A$5:$D$10003,4,FALSE),"")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zones'!$A$5:$D$10003,4,FALSE),"")</f>
        <v>Solstice</v>
      </c>
      <c r="AK709" s="3" t="str">
        <f>IF(AND(G709&lt;&gt;"LIBSETS_SETTYPE_BATTLEGROUND",G709&lt;&gt;"LIBSETS_SETTYPE_SPECIAL"),IF(AL709&lt;&gt;"",VLOOKUP(AL709,'ESO zones'!$D$5:$H$4957,5,FALSE),""),"")</f>
        <v/>
      </c>
      <c r="AP709" s="3" t="str">
        <f>IF(AND(G709&lt;&gt;"LIBSETS_SETTYPE_BATTLEGROUND",G709&lt;&gt;"LIBSETS_SETTYPE_SPECIAL"),IF(AQ709&lt;&gt;"",VLOOKUP(AQ709,'ESO zones'!$D$5:$H$4957,5,FALSE),""),"")</f>
        <v/>
      </c>
      <c r="AU709" s="3" t="str">
        <f>IF(AND(G709&lt;&gt;"LIBSETS_SETTYPE_BATTLEGROUND",G709&lt;&gt;"LIBSETS_SETTYPE_SPECIAL"),IF(AV709&lt;&gt;"",VLOOKUP(AV709,'ESO zones'!$D$5:$H$4957,5,FALSE),""),"")</f>
        <v/>
      </c>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1">
        <v>825</v>
      </c>
      <c r="B710" s="56" t="s">
        <v>2076</v>
      </c>
      <c r="C710" s="56" t="s">
        <v>2076</v>
      </c>
      <c r="D710" s="3">
        <f t="shared" si="66"/>
        <v>825</v>
      </c>
      <c r="G710" s="3" t="s">
        <v>169</v>
      </c>
      <c r="I710" t="s">
        <v>401</v>
      </c>
      <c r="J710" t="s">
        <v>401</v>
      </c>
      <c r="K710">
        <v>606</v>
      </c>
      <c r="L710">
        <v>606</v>
      </c>
      <c r="M710">
        <v>606</v>
      </c>
      <c r="O710" s="5" t="s">
        <v>2077</v>
      </c>
      <c r="Q710" s="3">
        <f>IF(AND(P710&lt;&gt;"",ISNUMBER(P710),NOT(ISNA(P710))),P710,IF(R710&lt;&gt;"",VLOOKUP(R710,'ESO zones'!$D$5:$H$10005,5,FALSE),""))</f>
        <v>1551</v>
      </c>
      <c r="R710" t="str">
        <f>IF(AND(O710&lt;&gt;"",NOT(ISERROR(O710))),O710,IF(AND(P710&lt;&gt;"",ISNUMBER(P710),P710&gt;0,NOT(ISNA(P710))),VLOOKUP(P710,'ESO zones'!$A$5:$D$10003,4,FALSE),IF(AND(K710&lt;&gt;"",K710&gt;0,NOT(ISERROR(K710))),VLOOKUP(K710,'ESO wayshrines'!$K$3:$N$9972,4,FALSE),"")))</f>
        <v>Naj-Caldeesh</v>
      </c>
      <c r="T710" s="16" t="str">
        <f>IF(AND(S710&lt;&gt;"",NOT(ISERROR(S710))),S710,VLOOKUP(A710,'ESO Set&amp;DLCs'!$A$3:$D$99998,4,FALSE))</f>
        <v>DLC_FEAST_OF_SHADOWS</v>
      </c>
      <c r="U710" s="3" t="str">
        <f>IF(T710&lt;&gt;"",VLOOKUP(T710,ConstDLCIds!$B$4:$C$1000,2,FALSE),"")</f>
        <v>Feast of Shadows</v>
      </c>
      <c r="V710" s="57"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zones'!$A$5:$D$10003,4,FALSE),"")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zones'!$A$5:$D$10003,4,FALSE),"")</f>
        <v>Solstice</v>
      </c>
      <c r="AK710" s="3" t="str">
        <f>IF(AND(G710&lt;&gt;"LIBSETS_SETTYPE_BATTLEGROUND",G710&lt;&gt;"LIBSETS_SETTYPE_SPECIAL"),IF(AL710&lt;&gt;"",VLOOKUP(AL710,'ESO zones'!$D$5:$H$4957,5,FALSE),""),"")</f>
        <v/>
      </c>
      <c r="AP710" s="3" t="str">
        <f>IF(AND(G710&lt;&gt;"LIBSETS_SETTYPE_BATTLEGROUND",G710&lt;&gt;"LIBSETS_SETTYPE_SPECIAL"),IF(AQ710&lt;&gt;"",VLOOKUP(AQ710,'ESO zones'!$D$5:$H$4957,5,FALSE),""),"")</f>
        <v/>
      </c>
      <c r="AU710" s="3" t="str">
        <f>IF(AND(G710&lt;&gt;"LIBSETS_SETTYPE_BATTLEGROUND",G710&lt;&gt;"LIBSETS_SETTYPE_SPECIAL"),IF(AV710&lt;&gt;"",VLOOKUP(AV710,'ESO zones'!$D$5:$H$4957,5,FALSE),""),"")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1">
        <v>826</v>
      </c>
      <c r="B711" s="56" t="s">
        <v>2078</v>
      </c>
      <c r="C711" s="56" t="s">
        <v>2078</v>
      </c>
      <c r="D711" s="3">
        <f t="shared" si="66"/>
        <v>826</v>
      </c>
      <c r="G711" s="3" t="s">
        <v>169</v>
      </c>
      <c r="I711" t="s">
        <v>401</v>
      </c>
      <c r="J711" t="s">
        <v>401</v>
      </c>
      <c r="K711">
        <v>606</v>
      </c>
      <c r="L711">
        <v>606</v>
      </c>
      <c r="M711">
        <v>606</v>
      </c>
      <c r="O711" s="5" t="s">
        <v>2077</v>
      </c>
      <c r="Q711" s="3">
        <f>IF(AND(P711&lt;&gt;"",ISNUMBER(P711),NOT(ISNA(P711))),P711,IF(R711&lt;&gt;"",VLOOKUP(R711,'ESO zones'!$D$5:$H$10005,5,FALSE),""))</f>
        <v>1551</v>
      </c>
      <c r="R711" t="str">
        <f>IF(AND(O711&lt;&gt;"",NOT(ISERROR(O711))),O711,IF(AND(P711&lt;&gt;"",ISNUMBER(P711),P711&gt;0,NOT(ISNA(P711))),VLOOKUP(P711,'ESO zones'!$A$5:$D$10003,4,FALSE),IF(AND(K711&lt;&gt;"",K711&gt;0,NOT(ISERROR(K711))),VLOOKUP(K711,'ESO wayshrines'!$K$3:$N$9972,4,FALSE),"")))</f>
        <v>Naj-Caldeesh</v>
      </c>
      <c r="T711" s="16" t="str">
        <f>IF(AND(S711&lt;&gt;"",NOT(ISERROR(S711))),S711,VLOOKUP(A711,'ESO Set&amp;DLCs'!$A$3:$D$99998,4,FALSE))</f>
        <v>DLC_FEAST_OF_SHADOWS</v>
      </c>
      <c r="U711" s="3" t="str">
        <f>IF(T711&lt;&gt;"",VLOOKUP(T711,ConstDLCIds!$B$4:$C$1000,2,FALSE),"")</f>
        <v>Feast of Shadows</v>
      </c>
      <c r="V711" s="57"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zones'!$A$5:$D$10003,4,FALSE),"")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zones'!$A$5:$D$10003,4,FALSE),"")</f>
        <v>Solstice</v>
      </c>
      <c r="AK711" s="3" t="str">
        <f>IF(AND(G711&lt;&gt;"LIBSETS_SETTYPE_BATTLEGROUND",G711&lt;&gt;"LIBSETS_SETTYPE_SPECIAL"),IF(AL711&lt;&gt;"",VLOOKUP(AL711,'ESO zones'!$D$5:$H$4957,5,FALSE),""),"")</f>
        <v/>
      </c>
      <c r="AP711" s="3" t="str">
        <f>IF(AND(G711&lt;&gt;"LIBSETS_SETTYPE_BATTLEGROUND",G711&lt;&gt;"LIBSETS_SETTYPE_SPECIAL"),IF(AQ711&lt;&gt;"",VLOOKUP(AQ711,'ESO zones'!$D$5:$H$4957,5,FALSE),""),"")</f>
        <v/>
      </c>
      <c r="AU711" s="3" t="str">
        <f>IF(AND(G711&lt;&gt;"LIBSETS_SETTYPE_BATTLEGROUND",G711&lt;&gt;"LIBSETS_SETTYPE_SPECIAL"),IF(AV711&lt;&gt;"",VLOOKUP(AV711,'ESO zones'!$D$5:$H$4957,5,FALSE),""),"")</f>
        <v/>
      </c>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1">
        <v>827</v>
      </c>
      <c r="B712" s="56" t="s">
        <v>2079</v>
      </c>
      <c r="C712" s="56" t="s">
        <v>2079</v>
      </c>
      <c r="D712" s="3">
        <f t="shared" si="66"/>
        <v>827</v>
      </c>
      <c r="G712" s="3" t="s">
        <v>169</v>
      </c>
      <c r="I712" t="s">
        <v>401</v>
      </c>
      <c r="J712" t="s">
        <v>401</v>
      </c>
      <c r="K712">
        <v>606</v>
      </c>
      <c r="L712">
        <v>606</v>
      </c>
      <c r="M712">
        <v>606</v>
      </c>
      <c r="O712" s="5" t="s">
        <v>2077</v>
      </c>
      <c r="Q712" s="3">
        <f>IF(AND(P712&lt;&gt;"",ISNUMBER(P712),NOT(ISNA(P712))),P712,IF(R712&lt;&gt;"",VLOOKUP(R712,'ESO zones'!$D$5:$H$10005,5,FALSE),""))</f>
        <v>1551</v>
      </c>
      <c r="R712" t="str">
        <f>IF(AND(O712&lt;&gt;"",NOT(ISERROR(O712))),O712,IF(AND(P712&lt;&gt;"",ISNUMBER(P712),P712&gt;0,NOT(ISNA(P712))),VLOOKUP(P712,'ESO zones'!$A$5:$D$10003,4,FALSE),IF(AND(K712&lt;&gt;"",K712&gt;0,NOT(ISERROR(K712))),VLOOKUP(K712,'ESO wayshrines'!$K$3:$N$9972,4,FALSE),"")))</f>
        <v>Naj-Caldeesh</v>
      </c>
      <c r="T712" s="16" t="str">
        <f>IF(AND(S712&lt;&gt;"",NOT(ISERROR(S712))),S712,VLOOKUP(A712,'ESO Set&amp;DLCs'!$A$3:$D$99998,4,FALSE))</f>
        <v>DLC_FEAST_OF_SHADOWS</v>
      </c>
      <c r="U712" s="3" t="str">
        <f>IF(T712&lt;&gt;"",VLOOKUP(T712,ConstDLCIds!$B$4:$C$1000,2,FALSE),"")</f>
        <v>Feast of Shadows</v>
      </c>
      <c r="V712" s="57"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zones'!$A$5:$D$10003,4,FALSE),"")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zones'!$A$5:$D$10003,4,FALSE),"")</f>
        <v>Solstice</v>
      </c>
      <c r="AK712" s="3" t="str">
        <f>IF(AND(G712&lt;&gt;"LIBSETS_SETTYPE_BATTLEGROUND",G712&lt;&gt;"LIBSETS_SETTYPE_SPECIAL"),IF(AL712&lt;&gt;"",VLOOKUP(AL712,'ESO zones'!$D$5:$H$4957,5,FALSE),""),"")</f>
        <v/>
      </c>
      <c r="AP712" s="3" t="str">
        <f>IF(AND(G712&lt;&gt;"LIBSETS_SETTYPE_BATTLEGROUND",G712&lt;&gt;"LIBSETS_SETTYPE_SPECIAL"),IF(AQ712&lt;&gt;"",VLOOKUP(AQ712,'ESO zones'!$D$5:$H$4957,5,FALSE),""),"")</f>
        <v/>
      </c>
      <c r="AU712" s="3" t="str">
        <f>IF(AND(G712&lt;&gt;"LIBSETS_SETTYPE_BATTLEGROUND",G712&lt;&gt;"LIBSETS_SETTYPE_SPECIAL"),IF(AV712&lt;&gt;"",VLOOKUP(AV712,'ESO zones'!$D$5:$H$4957,5,FALSE),""),"")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1">
        <v>828</v>
      </c>
      <c r="B713" s="56" t="s">
        <v>2080</v>
      </c>
      <c r="C713" s="56" t="s">
        <v>2080</v>
      </c>
      <c r="D713" s="3">
        <f t="shared" si="66"/>
        <v>828</v>
      </c>
      <c r="G713" s="3" t="s">
        <v>172</v>
      </c>
      <c r="H713">
        <v>3</v>
      </c>
      <c r="I713" t="s">
        <v>712</v>
      </c>
      <c r="J713" t="s">
        <v>401</v>
      </c>
      <c r="K713">
        <v>605</v>
      </c>
      <c r="L713">
        <v>605</v>
      </c>
      <c r="M713">
        <v>605</v>
      </c>
      <c r="O713" s="5" t="s">
        <v>2073</v>
      </c>
      <c r="Q713" s="3">
        <f>IF(AND(P713&lt;&gt;"",ISNUMBER(P713),NOT(ISNA(P713))),P713,IF(R713&lt;&gt;"",VLOOKUP(R713,'ESO zones'!$D$5:$H$10005,5,FALSE),""))</f>
        <v>1552</v>
      </c>
      <c r="R713" t="str">
        <f>IF(AND(O713&lt;&gt;"",NOT(ISERROR(O713))),O713,IF(AND(P713&lt;&gt;"",ISNUMBER(P713),P713&gt;0,NOT(ISNA(P713))),VLOOKUP(P713,'ESO zones'!$A$5:$D$10003,4,FALSE),IF(AND(K713&lt;&gt;"",K713&gt;0,NOT(ISERROR(K713))),VLOOKUP(K713,'ESO wayshrines'!$K$3:$N$9972,4,FALSE),"")))</f>
        <v>Black Gem Foundry</v>
      </c>
      <c r="T713" s="16" t="str">
        <f>IF(AND(S713&lt;&gt;"",NOT(ISERROR(S713))),S713,VLOOKUP(A713,'ESO Set&amp;DLCs'!$A$3:$D$99998,4,FALSE))</f>
        <v>DLC_FEAST_OF_SHADOWS</v>
      </c>
      <c r="U713" s="3" t="str">
        <f>IF(T713&lt;&gt;"",VLOOKUP(T713,ConstDLCIds!$B$4:$C$1000,2,FALSE),"")</f>
        <v>Feast of Shadows</v>
      </c>
      <c r="V713" s="4" t="s">
        <v>212</v>
      </c>
      <c r="W713" s="3" t="s">
        <v>2080</v>
      </c>
      <c r="X713" s="3" t="s">
        <v>2081</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zones'!$A$5:$D$10003,4,FALSE),"")</f>
        <v>Solstice</v>
      </c>
      <c r="AC713" s="3" t="str">
        <f>IF(AB713&lt;&gt;"",IF(AB713&lt;&gt;"LIBSETS_DROP_MECHANIC_MONSTER_NAME",VLOOKUP(AB713,ConstDropMechs!$B$4:$C$1001,2,FALSE),""),"")</f>
        <v/>
      </c>
      <c r="AD713" s="3" t="str">
        <f>IF(AB713&lt;&gt;"",IF(AB713&lt;&gt;"LIBSETS_DROP_MECHANIC_MONSTER_NAME",VLOOKUP(AB713,ConstDropMechs!$B$4:$D$1001,3,FALSE),""),"")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zones'!$A$5:$D$10003,4,FALSE),"")</f>
        <v>Solstice</v>
      </c>
      <c r="AK713" s="3" t="str">
        <f>IF(AND(G713&lt;&gt;"LIBSETS_SETTYPE_BATTLEGROUND",G713&lt;&gt;"LIBSETS_SETTYPE_SPECIAL"),IF(AL713&lt;&gt;"",VLOOKUP(AL713,'ESO zones'!$D$5:$H$4957,5,FALSE),""),"")</f>
        <v/>
      </c>
      <c r="AP713" s="3" t="str">
        <f>IF(AND(G713&lt;&gt;"LIBSETS_SETTYPE_BATTLEGROUND",G713&lt;&gt;"LIBSETS_SETTYPE_SPECIAL"),IF(AQ713&lt;&gt;"",VLOOKUP(AQ713,'ESO zones'!$D$5:$H$4957,5,FALSE),""),"")</f>
        <v/>
      </c>
      <c r="AU713" s="3" t="str">
        <f>IF(AND(G713&lt;&gt;"LIBSETS_SETTYPE_BATTLEGROUND",G713&lt;&gt;"LIBSETS_SETTYPE_SPECIAL"),IF(AV713&lt;&gt;"",VLOOKUP(AV713,'ESO zones'!$D$5:$H$4957,5,FALSE),""),"")</f>
        <v/>
      </c>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1">
        <v>829</v>
      </c>
      <c r="B714" s="56" t="s">
        <v>2082</v>
      </c>
      <c r="C714" s="56" t="s">
        <v>2082</v>
      </c>
      <c r="D714" s="3">
        <f t="shared" si="66"/>
        <v>829</v>
      </c>
      <c r="G714" s="3" t="s">
        <v>172</v>
      </c>
      <c r="H714">
        <v>3</v>
      </c>
      <c r="I714" t="s">
        <v>712</v>
      </c>
      <c r="J714" t="s">
        <v>401</v>
      </c>
      <c r="K714">
        <v>606</v>
      </c>
      <c r="L714">
        <v>606</v>
      </c>
      <c r="M714">
        <v>606</v>
      </c>
      <c r="O714" s="5" t="s">
        <v>2077</v>
      </c>
      <c r="Q714" s="3">
        <f>IF(AND(P714&lt;&gt;"",ISNUMBER(P714),NOT(ISNA(P714))),P714,IF(R714&lt;&gt;"",VLOOKUP(R714,'ESO zones'!$D$5:$H$10005,5,FALSE),""))</f>
        <v>1551</v>
      </c>
      <c r="R714" t="str">
        <f>IF(AND(O714&lt;&gt;"",NOT(ISERROR(O714))),O714,IF(AND(P714&lt;&gt;"",ISNUMBER(P714),P714&gt;0,NOT(ISNA(P714))),VLOOKUP(P714,'ESO zones'!$A$5:$D$10003,4,FALSE),IF(AND(K714&lt;&gt;"",K714&gt;0,NOT(ISERROR(K714))),VLOOKUP(K714,'ESO wayshrines'!$K$3:$N$9972,4,FALSE),"")))</f>
        <v>Naj-Caldeesh</v>
      </c>
      <c r="T714" s="16" t="str">
        <f>IF(AND(S714&lt;&gt;"",NOT(ISERROR(S714))),S714,VLOOKUP(A714,'ESO Set&amp;DLCs'!$A$3:$D$99998,4,FALSE))</f>
        <v>DLC_FEAST_OF_SHADOWS</v>
      </c>
      <c r="U714" s="3" t="str">
        <f>IF(T714&lt;&gt;"",VLOOKUP(T714,ConstDLCIds!$B$4:$C$1000,2,FALSE),"")</f>
        <v>Feast of Shadows</v>
      </c>
      <c r="V714" s="4" t="s">
        <v>212</v>
      </c>
      <c r="W714" s="3" t="s">
        <v>2082</v>
      </c>
      <c r="X714" s="3" t="s">
        <v>2082</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zones'!$A$5:$D$10003,4,FALSE),"")</f>
        <v>Solstice</v>
      </c>
      <c r="AC714" s="3" t="str">
        <f>IF(AB714&lt;&gt;"",IF(AB714&lt;&gt;"LIBSETS_DROP_MECHANIC_MONSTER_NAME",VLOOKUP(AB714,ConstDropMechs!$B$4:$C$1001,2,FALSE),""),"")</f>
        <v/>
      </c>
      <c r="AD714" s="3" t="str">
        <f>IF(AB714&lt;&gt;"",IF(AB714&lt;&gt;"LIBSETS_DROP_MECHANIC_MONSTER_NAME",VLOOKUP(AB714,ConstDropMechs!$B$4:$D$1001,3,FALSE),""),"")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zones'!$A$5:$D$10003,4,FALSE),"")</f>
        <v>Solstice</v>
      </c>
      <c r="AK714" s="3" t="str">
        <f>IF(AND(G714&lt;&gt;"LIBSETS_SETTYPE_BATTLEGROUND",G714&lt;&gt;"LIBSETS_SETTYPE_SPECIAL"),IF(AL714&lt;&gt;"",VLOOKUP(AL714,'ESO zones'!$D$5:$H$4957,5,FALSE),""),"")</f>
        <v/>
      </c>
      <c r="AP714" s="3" t="str">
        <f>IF(AND(G714&lt;&gt;"LIBSETS_SETTYPE_BATTLEGROUND",G714&lt;&gt;"LIBSETS_SETTYPE_SPECIAL"),IF(AQ714&lt;&gt;"",VLOOKUP(AQ714,'ESO zones'!$D$5:$H$4957,5,FALSE),""),"")</f>
        <v/>
      </c>
      <c r="AU714" s="3" t="str">
        <f>IF(AND(G714&lt;&gt;"LIBSETS_SETTYPE_BATTLEGROUND",G714&lt;&gt;"LIBSETS_SETTYPE_SPECIAL"),IF(AV714&lt;&gt;"",VLOOKUP(AV714,'ESO zones'!$D$5:$H$4957,5,FALSE),""),"")</f>
        <v/>
      </c>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1">
        <v>830</v>
      </c>
      <c r="B715" s="56" t="s">
        <v>2083</v>
      </c>
      <c r="C715" s="56" t="s">
        <v>2083</v>
      </c>
      <c r="D715" s="3">
        <f t="shared" si="66"/>
        <v>830</v>
      </c>
      <c r="G715" s="9" t="s">
        <v>165</v>
      </c>
      <c r="I715" t="s">
        <v>401</v>
      </c>
      <c r="J715" t="s">
        <v>401</v>
      </c>
      <c r="K715">
        <v>-1</v>
      </c>
      <c r="L715">
        <v>-1</v>
      </c>
      <c r="M715">
        <v>-1</v>
      </c>
      <c r="O715" s="5" t="s">
        <v>166</v>
      </c>
      <c r="Q715" s="3">
        <f>IF(AND(P715&lt;&gt;"",ISNUMBER(P715),NOT(ISNA(P715))),P715,IF(R715&lt;&gt;"",VLOOKUP(R715,'ESO zones'!$D$5:$H$10005,5,FALSE),""))</f>
        <v>181</v>
      </c>
      <c r="R715" t="str">
        <f>IF(AND(O715&lt;&gt;"",NOT(ISERROR(O715))),O715,IF(AND(P715&lt;&gt;"",ISNUMBER(P715),P715&gt;0,NOT(ISNA(P715))),VLOOKUP(P715,'ESO zones'!$A$5:$D$10003,4,FALSE),IF(AND(K715&lt;&gt;"",K715&gt;0,NOT(ISERROR(K715))),VLOOKUP(K715,'ESO wayshrines'!$K$3:$N$9972,4,FALSE),"")))</f>
        <v>Cyrodiil</v>
      </c>
      <c r="T715" s="16" t="str">
        <f>IF(AND(S715&lt;&gt;"",NOT(ISERROR(S715))),S715,VLOOKUP(A715,'ESO Set&amp;DLCs'!$A$3:$D$99998,4,FALSE))</f>
        <v>DLC_FEAST_OF_SHADOWS</v>
      </c>
      <c r="U715" s="3" t="str">
        <f>IF(T715&lt;&gt;"",VLOOKUP(T715,ConstDLCIds!$B$4:$C$1000,2,FALSE),"")</f>
        <v>Feast of Shadows</v>
      </c>
      <c r="V715" s="4" t="s">
        <v>197</v>
      </c>
      <c r="Y715" s="5">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zones'!$A$5:$D$10003,4,FALSE),"")</f>
        <v>Cyrodiil</v>
      </c>
      <c r="AB715" s="4" t="s">
        <v>301</v>
      </c>
      <c r="AE715" s="3">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zones'!$A$5:$D$10003,4,FALSE),"")</f>
        <v>Cyrodiil</v>
      </c>
      <c r="AH715" s="4" t="s">
        <v>248</v>
      </c>
      <c r="AK715" s="3">
        <f>IF(AND(G715&lt;&gt;"LIBSETS_SETTYPE_BATTLEGROUND",G715&lt;&gt;"LIBSETS_SETTYPE_SPECIAL"),IF(AL715&lt;&gt;"",VLOOKUP(AL715,'ESO zones'!$D$5:$H$4957,5,FALSE),""),"")</f>
        <v>181</v>
      </c>
      <c r="AL715" t="s">
        <v>166</v>
      </c>
      <c r="AM715" s="4" t="s">
        <v>298</v>
      </c>
      <c r="AP715" s="3">
        <f>IF(AND(G715&lt;&gt;"LIBSETS_SETTYPE_BATTLEGROUND",G715&lt;&gt;"LIBSETS_SETTYPE_SPECIAL"),IF(AQ715&lt;&gt;"",VLOOKUP(AQ715,'ESO zones'!$D$5:$H$4957,5,FALSE),""),"")</f>
        <v>181</v>
      </c>
      <c r="AQ715" t="s">
        <v>166</v>
      </c>
      <c r="AR715" s="4" t="s">
        <v>215</v>
      </c>
      <c r="AU715" s="3">
        <f>IF(AND(G715&lt;&gt;"LIBSETS_SETTYPE_BATTLEGROUND",G715&lt;&gt;"LIBSETS_SETTYPE_SPECIAL"),IF(AV715&lt;&gt;"",VLOOKUP(AV715,'ESO zones'!$D$5:$H$4957,5,FALSE),""),"")</f>
        <v>181</v>
      </c>
      <c r="AV715" t="s">
        <v>166</v>
      </c>
      <c r="AW715" s="4" t="s">
        <v>257</v>
      </c>
      <c r="AZ715" s="49" t="s">
        <v>403</v>
      </c>
      <c r="BA715" s="49"/>
      <c r="BB715" s="49"/>
      <c r="BC715" s="49"/>
      <c r="BD715" s="49"/>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1">
        <v>831</v>
      </c>
      <c r="B716" s="56" t="s">
        <v>2084</v>
      </c>
      <c r="C716" s="56" t="s">
        <v>2084</v>
      </c>
      <c r="D716" s="3">
        <f t="shared" si="66"/>
        <v>831</v>
      </c>
      <c r="G716" s="9" t="s">
        <v>165</v>
      </c>
      <c r="I716" t="s">
        <v>401</v>
      </c>
      <c r="J716" t="s">
        <v>401</v>
      </c>
      <c r="K716">
        <v>-1</v>
      </c>
      <c r="L716">
        <v>-1</v>
      </c>
      <c r="M716">
        <v>-1</v>
      </c>
      <c r="O716" s="5" t="s">
        <v>166</v>
      </c>
      <c r="Q716" s="3">
        <f>IF(AND(P716&lt;&gt;"",ISNUMBER(P716),NOT(ISNA(P716))),P716,IF(R716&lt;&gt;"",VLOOKUP(R716,'ESO zones'!$D$5:$H$10005,5,FALSE),""))</f>
        <v>181</v>
      </c>
      <c r="R716" t="str">
        <f>IF(AND(O716&lt;&gt;"",NOT(ISERROR(O716))),O716,IF(AND(P716&lt;&gt;"",ISNUMBER(P716),P716&gt;0,NOT(ISNA(P716))),VLOOKUP(P716,'ESO zones'!$A$5:$D$10003,4,FALSE),IF(AND(K716&lt;&gt;"",K716&gt;0,NOT(ISERROR(K716))),VLOOKUP(K716,'ESO wayshrines'!$K$3:$N$9972,4,FALSE),"")))</f>
        <v>Cyrodiil</v>
      </c>
      <c r="T716" s="16" t="str">
        <f>IF(AND(S716&lt;&gt;"",NOT(ISERROR(S716))),S716,VLOOKUP(A716,'ESO Set&amp;DLCs'!$A$3:$D$99998,4,FALSE))</f>
        <v>DLC_FEAST_OF_SHADOWS</v>
      </c>
      <c r="U716" s="3" t="str">
        <f>IF(T716&lt;&gt;"",VLOOKUP(T716,ConstDLCIds!$B$4:$C$1000,2,FALSE),"")</f>
        <v>Feast of Shadows</v>
      </c>
      <c r="V716" s="4" t="s">
        <v>197</v>
      </c>
      <c r="Y716" s="5">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zones'!$A$5:$D$10003,4,FALSE),"")</f>
        <v>Cyrodiil</v>
      </c>
      <c r="AB716" s="4" t="s">
        <v>301</v>
      </c>
      <c r="AE716" s="3">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zones'!$A$5:$D$10003,4,FALSE),"")</f>
        <v>Cyrodiil</v>
      </c>
      <c r="AH716" s="4" t="s">
        <v>248</v>
      </c>
      <c r="AK716" s="3">
        <f>IF(AND(G716&lt;&gt;"LIBSETS_SETTYPE_BATTLEGROUND",G716&lt;&gt;"LIBSETS_SETTYPE_SPECIAL"),IF(AL716&lt;&gt;"",VLOOKUP(AL716,'ESO zones'!$D$5:$H$4957,5,FALSE),""),"")</f>
        <v>181</v>
      </c>
      <c r="AL716" t="s">
        <v>166</v>
      </c>
      <c r="AM716" s="4" t="s">
        <v>298</v>
      </c>
      <c r="AP716" s="3">
        <f>IF(AND(G716&lt;&gt;"LIBSETS_SETTYPE_BATTLEGROUND",G716&lt;&gt;"LIBSETS_SETTYPE_SPECIAL"),IF(AQ716&lt;&gt;"",VLOOKUP(AQ716,'ESO zones'!$D$5:$H$4957,5,FALSE),""),"")</f>
        <v>181</v>
      </c>
      <c r="AQ716" t="s">
        <v>166</v>
      </c>
      <c r="AR716" s="4" t="s">
        <v>215</v>
      </c>
      <c r="AU716" s="3">
        <f>IF(AND(G716&lt;&gt;"LIBSETS_SETTYPE_BATTLEGROUND",G716&lt;&gt;"LIBSETS_SETTYPE_SPECIAL"),IF(AV716&lt;&gt;"",VLOOKUP(AV716,'ESO zones'!$D$5:$H$4957,5,FALSE),""),"")</f>
        <v>181</v>
      </c>
      <c r="AV716" t="s">
        <v>166</v>
      </c>
      <c r="AW716" s="4" t="s">
        <v>257</v>
      </c>
      <c r="AZ716" s="49" t="s">
        <v>403</v>
      </c>
      <c r="BA716" s="49"/>
      <c r="BB716" s="49"/>
      <c r="BC716" s="49"/>
      <c r="BD716" s="49"/>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1">
        <v>832</v>
      </c>
      <c r="B717" s="56" t="s">
        <v>2085</v>
      </c>
      <c r="C717" s="56" t="s">
        <v>2085</v>
      </c>
      <c r="D717" s="3">
        <f t="shared" si="66"/>
        <v>832</v>
      </c>
      <c r="G717" s="9" t="s">
        <v>165</v>
      </c>
      <c r="I717" t="s">
        <v>401</v>
      </c>
      <c r="J717" t="s">
        <v>401</v>
      </c>
      <c r="K717">
        <v>-1</v>
      </c>
      <c r="L717">
        <v>-1</v>
      </c>
      <c r="M717">
        <v>-1</v>
      </c>
      <c r="O717" s="5" t="s">
        <v>166</v>
      </c>
      <c r="Q717" s="3">
        <f>IF(AND(P717&lt;&gt;"",ISNUMBER(P717),NOT(ISNA(P717))),P717,IF(R717&lt;&gt;"",VLOOKUP(R717,'ESO zones'!$D$5:$H$10005,5,FALSE),""))</f>
        <v>181</v>
      </c>
      <c r="R717" t="str">
        <f>IF(AND(O717&lt;&gt;"",NOT(ISERROR(O717))),O717,IF(AND(P717&lt;&gt;"",ISNUMBER(P717),P717&gt;0,NOT(ISNA(P717))),VLOOKUP(P717,'ESO zones'!$A$5:$D$10003,4,FALSE),IF(AND(K717&lt;&gt;"",K717&gt;0,NOT(ISERROR(K717))),VLOOKUP(K717,'ESO wayshrines'!$K$3:$N$9972,4,FALSE),"")))</f>
        <v>Cyrodiil</v>
      </c>
      <c r="T717" s="16" t="str">
        <f>IF(AND(S717&lt;&gt;"",NOT(ISERROR(S717))),S717,VLOOKUP(A717,'ESO Set&amp;DLCs'!$A$3:$D$99998,4,FALSE))</f>
        <v>DLC_FEAST_OF_SHADOWS</v>
      </c>
      <c r="U717" s="3" t="str">
        <f>IF(T717&lt;&gt;"",VLOOKUP(T717,ConstDLCIds!$B$4:$C$1000,2,FALSE),"")</f>
        <v>Feast of Shadows</v>
      </c>
      <c r="V717" s="4" t="s">
        <v>197</v>
      </c>
      <c r="Y717" s="5">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zones'!$A$5:$D$10003,4,FALSE),"")</f>
        <v>Cyrodiil</v>
      </c>
      <c r="AB717" s="4" t="s">
        <v>301</v>
      </c>
      <c r="AE717" s="3">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zones'!$A$5:$D$10003,4,FALSE),"")</f>
        <v>Cyrodiil</v>
      </c>
      <c r="AH717" s="4" t="s">
        <v>248</v>
      </c>
      <c r="AK717" s="3">
        <f>IF(AND(G717&lt;&gt;"LIBSETS_SETTYPE_BATTLEGROUND",G717&lt;&gt;"LIBSETS_SETTYPE_SPECIAL"),IF(AL717&lt;&gt;"",VLOOKUP(AL717,'ESO zones'!$D$5:$H$4957,5,FALSE),""),"")</f>
        <v>181</v>
      </c>
      <c r="AL717" t="s">
        <v>166</v>
      </c>
      <c r="AM717" s="4" t="s">
        <v>298</v>
      </c>
      <c r="AP717" s="3">
        <f>IF(AND(G717&lt;&gt;"LIBSETS_SETTYPE_BATTLEGROUND",G717&lt;&gt;"LIBSETS_SETTYPE_SPECIAL"),IF(AQ717&lt;&gt;"",VLOOKUP(AQ717,'ESO zones'!$D$5:$H$4957,5,FALSE),""),"")</f>
        <v>181</v>
      </c>
      <c r="AQ717" t="s">
        <v>166</v>
      </c>
      <c r="AR717" s="4" t="s">
        <v>215</v>
      </c>
      <c r="AU717" s="3">
        <f>IF(AND(G717&lt;&gt;"LIBSETS_SETTYPE_BATTLEGROUND",G717&lt;&gt;"LIBSETS_SETTYPE_SPECIAL"),IF(AV717&lt;&gt;"",VLOOKUP(AV717,'ESO zones'!$D$5:$H$4957,5,FALSE),""),"")</f>
        <v>181</v>
      </c>
      <c r="AV717" t="s">
        <v>166</v>
      </c>
      <c r="AW717" s="4" t="s">
        <v>257</v>
      </c>
      <c r="AZ717" s="49" t="s">
        <v>403</v>
      </c>
      <c r="BA717" s="49"/>
      <c r="BB717" s="49"/>
      <c r="BC717" s="49"/>
      <c r="BD717" s="49"/>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1">
        <v>845</v>
      </c>
      <c r="B718" t="s">
        <v>2086</v>
      </c>
      <c r="C718" t="s">
        <v>2086</v>
      </c>
      <c r="D718" s="3">
        <f t="shared" si="66"/>
        <v>845</v>
      </c>
      <c r="G718" s="3" t="s">
        <v>180</v>
      </c>
      <c r="I718" t="s">
        <v>401</v>
      </c>
      <c r="J718" t="s">
        <v>401</v>
      </c>
      <c r="K718">
        <v>420</v>
      </c>
      <c r="L718">
        <v>371</v>
      </c>
      <c r="M718">
        <v>445</v>
      </c>
      <c r="O718" s="5" t="s">
        <v>2036</v>
      </c>
      <c r="Q718" s="3">
        <f>IF(AND(P718&lt;&gt;"",ISNUMBER(P718),NOT(ISNA(P718))),P718,IF(R718&lt;&gt;"",VLOOKUP(R718,'ESO zones'!$D$5:$H$10005,5,FALSE),""))</f>
        <v>1502</v>
      </c>
      <c r="R718" t="str">
        <f>IF(AND(O718&lt;&gt;"",NOT(ISERROR(O718))),O718,IF(AND(P718&lt;&gt;"",ISNUMBER(P718),P718&gt;0,NOT(ISNA(P718))),VLOOKUP(P718,'ESO zones'!$A$5:$D$10003,4,FALSE),IF(AND(K718&lt;&gt;"",K718&gt;0,NOT(ISERROR(K718))),VLOOKUP(K718,'ESO wayshrines'!$K$3:$N$9972,4,FALSE),"")))</f>
        <v>Solstice</v>
      </c>
      <c r="T718" s="16" t="str">
        <f>IF(AND(S718&lt;&gt;"",NOT(ISERROR(S718))),S718,VLOOKUP(A718,'ESO Set&amp;DLCs'!$A$3:$D$99998,4,FALSE))</f>
        <v>DLC_SEASONS_OF_THE_WORMCULT2</v>
      </c>
      <c r="U718" s="3" t="str">
        <f>IF(T718&lt;&gt;"",VLOOKUP(T718,ConstDLCIds!$B$4:$C$1000,2,FALSE),"")</f>
        <v>Seasons of the Wormcult Part 2</v>
      </c>
      <c r="V718" s="4" t="s">
        <v>218</v>
      </c>
      <c r="W718" s="3" t="s">
        <v>2087</v>
      </c>
      <c r="X718" s="3" t="s">
        <v>2087</v>
      </c>
      <c r="Y718" s="5"/>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zones'!$A$5:$D$10003,4,FALSE),"")</f>
        <v>Reaper's March</v>
      </c>
      <c r="AB718" s="4" t="s">
        <v>278</v>
      </c>
      <c r="AE718" s="83"/>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zones'!$A$5:$D$10003,4,FALSE),"")</f>
        <v>The Reach</v>
      </c>
      <c r="AH718" s="4" t="s">
        <v>218</v>
      </c>
      <c r="AI718" s="3" t="s">
        <v>2088</v>
      </c>
      <c r="AJ718" s="3" t="s">
        <v>2088</v>
      </c>
      <c r="AK718" s="3">
        <f>IF(AND(G718&lt;&gt;"LIBSETS_SETTYPE_BATTLEGROUND",G718&lt;&gt;"LIBSETS_SETTYPE_SPECIAL"),IF(AL718&lt;&gt;"",VLOOKUP(AL718,'ESO zones'!$D$5:$H$4957,5,FALSE),""),"")</f>
        <v>1055</v>
      </c>
      <c r="AL718" t="s">
        <v>1195</v>
      </c>
      <c r="AM718" s="4" t="s">
        <v>278</v>
      </c>
      <c r="AN718" s="3" t="s">
        <v>2089</v>
      </c>
      <c r="AO718" s="3" t="s">
        <v>2089</v>
      </c>
      <c r="AP718" s="3">
        <f>IF(AND(G718&lt;&gt;"LIBSETS_SETTYPE_BATTLEGROUND",G718&lt;&gt;"LIBSETS_SETTYPE_SPECIAL"),IF(AQ718&lt;&gt;"",VLOOKUP(AQ718,'ESO zones'!$D$5:$H$4957,5,FALSE),""),"")</f>
        <v>694</v>
      </c>
      <c r="AQ718" s="30" t="s">
        <v>2090</v>
      </c>
      <c r="AR718" s="80" t="s">
        <v>215</v>
      </c>
      <c r="AS718" s="3" t="s">
        <v>2091</v>
      </c>
      <c r="AT718" s="3" t="s">
        <v>2091</v>
      </c>
      <c r="AU718" s="3" t="str">
        <f>IF(AND(G718&lt;&gt;"LIBSETS_SETTYPE_BATTLEGROUND",G718&lt;&gt;"LIBSETS_SETTYPE_SPECIAL"),IF(AV718&lt;&gt;"",VLOOKUP(AV718,'ESO zones'!$D$5:$H$4957,5,FALSE),""),"")</f>
        <v/>
      </c>
      <c r="AZ718" s="49" t="s">
        <v>403</v>
      </c>
      <c r="BA718" t="s">
        <v>2092</v>
      </c>
      <c r="BB718" t="s">
        <v>2092</v>
      </c>
      <c r="BC718" s="49"/>
      <c r="BD718" s="49"/>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1">
        <v>846</v>
      </c>
      <c r="B719" t="s">
        <v>2093</v>
      </c>
      <c r="C719" t="s">
        <v>2093</v>
      </c>
      <c r="D719" s="3">
        <f t="shared" si="66"/>
        <v>846</v>
      </c>
      <c r="G719" s="3" t="s">
        <v>174</v>
      </c>
      <c r="I719" t="s">
        <v>401</v>
      </c>
      <c r="J719" t="s">
        <v>401</v>
      </c>
      <c r="K719">
        <v>592</v>
      </c>
      <c r="L719">
        <v>592</v>
      </c>
      <c r="M719">
        <v>592</v>
      </c>
      <c r="O719" s="5" t="s">
        <v>2036</v>
      </c>
      <c r="Q719" s="3">
        <f>IF(AND(P719&lt;&gt;"",ISNUMBER(P719),NOT(ISNA(P719))),P719,IF(R719&lt;&gt;"",VLOOKUP(R719,'ESO zones'!$D$5:$H$10005,5,FALSE),""))</f>
        <v>1502</v>
      </c>
      <c r="R719" t="str">
        <f>IF(AND(O719&lt;&gt;"",NOT(ISERROR(O719))),O719,IF(AND(P719&lt;&gt;"",ISNUMBER(P719),P719&gt;0,NOT(ISNA(P719))),VLOOKUP(P719,'ESO zones'!$A$5:$D$10003,4,FALSE),IF(AND(K719&lt;&gt;"",K719&gt;0,NOT(ISERROR(K719))),VLOOKUP(K719,'ESO wayshrines'!$K$3:$N$9972,4,FALSE),"")))</f>
        <v>Solstice</v>
      </c>
      <c r="T719" s="16" t="str">
        <f>IF(AND(S719&lt;&gt;"",NOT(ISERROR(S719))),S719,VLOOKUP(A719,'ESO Set&amp;DLCs'!$A$3:$D$99998,4,FALSE))</f>
        <v>DLC_SEASONS_OF_THE_WORMCULT2</v>
      </c>
      <c r="U719" s="3" t="str">
        <f>IF(T719&lt;&gt;"",VLOOKUP(T719,ConstDLCIds!$B$4:$C$1000,2,FALSE),"")</f>
        <v>Seasons of the Wormcult Part 2</v>
      </c>
      <c r="V719" s="4" t="s">
        <v>215</v>
      </c>
      <c r="Y719" s="5"/>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zones'!$A$5:$D$10003,4,FALSE),"")</f>
        <v>Solstice</v>
      </c>
      <c r="AB719" s="57" t="s">
        <v>218</v>
      </c>
      <c r="AE719" s="68">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zones'!$A$5:$D$10003,4,FALSE),"")</f>
        <v>Calindvale Gardens</v>
      </c>
      <c r="AH719" s="4" t="s">
        <v>221</v>
      </c>
      <c r="AI719" s="30"/>
      <c r="AJ719" s="30"/>
      <c r="AK719" s="3">
        <f>IF(AND(G719&lt;&gt;"LIBSETS_SETTYPE_BATTLEGROUND",G719&lt;&gt;"LIBSETS_SETTYPE_SPECIAL"),IF(AL719&lt;&gt;"",VLOOKUP(AL719,'ESO zones'!$D$5:$H$4957,5,FALSE),""),"")</f>
        <v>1502</v>
      </c>
      <c r="AL719" t="s">
        <v>2036</v>
      </c>
      <c r="AM719" s="4" t="s">
        <v>224</v>
      </c>
      <c r="AN719" s="30"/>
      <c r="AO719" s="30"/>
      <c r="AP719" s="3">
        <f>IF(AND(G719&lt;&gt;"LIBSETS_SETTYPE_BATTLEGROUND",G719&lt;&gt;"LIBSETS_SETTYPE_SPECIAL"),IF(AQ719&lt;&gt;"",VLOOKUP(AQ719,'ESO zones'!$D$5:$H$4957,5,FALSE),""),"")</f>
        <v>1502</v>
      </c>
      <c r="AQ719" t="s">
        <v>2036</v>
      </c>
      <c r="AR719" s="4" t="s">
        <v>269</v>
      </c>
      <c r="AS719" s="30"/>
      <c r="AT719" s="30"/>
      <c r="AU719" s="3" t="str">
        <f>IF(AND(G719&lt;&gt;"LIBSETS_SETTYPE_BATTLEGROUND",G719&lt;&gt;"LIBSETS_SETTYPE_SPECIAL"),IF(AV719&lt;&gt;"",VLOOKUP(AV719,'ESO zones'!$D$5:$H$4957,5,FALSE),""),"")</f>
        <v/>
      </c>
      <c r="AZ719" s="49" t="s">
        <v>403</v>
      </c>
      <c r="BA719" s="49"/>
      <c r="BB719" s="49"/>
      <c r="BC719" s="49"/>
      <c r="BD719" s="49"/>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A720" s="1">
        <v>848</v>
      </c>
      <c r="B720" t="s">
        <v>2094</v>
      </c>
      <c r="C720" t="s">
        <v>2095</v>
      </c>
      <c r="D720" s="3">
        <f t="shared" si="66"/>
        <v>848</v>
      </c>
      <c r="G720" s="3" t="s">
        <v>180</v>
      </c>
      <c r="I720" t="s">
        <v>401</v>
      </c>
      <c r="J720" t="s">
        <v>401</v>
      </c>
      <c r="K720">
        <v>616</v>
      </c>
      <c r="L720">
        <v>616</v>
      </c>
      <c r="M720">
        <v>616</v>
      </c>
      <c r="O720" s="5" t="s">
        <v>311</v>
      </c>
      <c r="Q720" s="3">
        <f>IF(AND(P720&lt;&gt;"",ISNUMBER(P720),NOT(ISNA(P720))),P720,IF(R720&lt;&gt;"",VLOOKUP(R720,'ESO zones'!$D$5:$H$10005,5,FALSE),""))</f>
        <v>1559</v>
      </c>
      <c r="R720" t="str">
        <f>IF(AND(O720&lt;&gt;"",NOT(ISERROR(O720))),O720,IF(AND(P720&lt;&gt;"",ISNUMBER(P720),P720&gt;0,NOT(ISNA(P720))),VLOOKUP(P720,'ESO zones'!$A$5:$D$10003,4,FALSE),IF(AND(K720&lt;&gt;"",K720&gt;0,NOT(ISERROR(K720))),VLOOKUP(K720,'ESO wayshrines'!$K$3:$N$9972,4,FALSE),"")))</f>
        <v>Night Market</v>
      </c>
      <c r="S720" s="85" t="s">
        <v>126</v>
      </c>
      <c r="T720" s="16" t="str">
        <f>IF(AND(S720&lt;&gt;"",NOT(ISERROR(S720))),S720,VLOOKUP(A720,'ESO Set&amp;DLCs'!$A$3:$D$99998,4,FALSE))</f>
        <v>DLC_SEASON0</v>
      </c>
      <c r="U720" s="3" t="str">
        <f>IF(T720&lt;&gt;"",VLOOKUP(T720,ConstDLCIds!$B$4:$C$1000,2,FALSE),"")</f>
        <v>Season 0</v>
      </c>
      <c r="V720" s="4" t="s">
        <v>310</v>
      </c>
      <c r="W720" s="3" t="s">
        <v>2096</v>
      </c>
      <c r="X720" s="3" t="s">
        <v>2096</v>
      </c>
      <c r="Y720" s="5">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zones'!$A$5:$D$10003,4,FALSE),"")</f>
        <v>Night Market</v>
      </c>
      <c r="AB720" s="4" t="s">
        <v>310</v>
      </c>
      <c r="AC720" t="s">
        <v>2097</v>
      </c>
      <c r="AD720" t="s">
        <v>2097</v>
      </c>
      <c r="AE720" s="68">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zones'!$A$5:$D$10003,4,FALSE),"")</f>
        <v>Night Market</v>
      </c>
      <c r="AH720" s="4" t="s">
        <v>310</v>
      </c>
      <c r="AI720" t="s">
        <v>2098</v>
      </c>
      <c r="AJ720" t="s">
        <v>2098</v>
      </c>
      <c r="AK720" s="3">
        <f>IF(AND(G720&lt;&gt;"LIBSETS_SETTYPE_BATTLEGROUND",G720&lt;&gt;"LIBSETS_SETTYPE_SPECIAL"),IF(AL720&lt;&gt;"",VLOOKUP(AL720,'ESO zones'!$D$5:$H$4957,5,FALSE),""),"")</f>
        <v>1559</v>
      </c>
      <c r="AL720" t="s">
        <v>311</v>
      </c>
      <c r="AM720" s="4" t="s">
        <v>310</v>
      </c>
      <c r="AN720" t="s">
        <v>2099</v>
      </c>
      <c r="AO720" t="s">
        <v>2099</v>
      </c>
      <c r="AP720" s="3">
        <f>IF(AND(G720&lt;&gt;"LIBSETS_SETTYPE_BATTLEGROUND",G720&lt;&gt;"LIBSETS_SETTYPE_SPECIAL"),IF(AQ720&lt;&gt;"",VLOOKUP(AQ720,'ESO zones'!$D$5:$H$4957,5,FALSE),""),"")</f>
        <v>1559</v>
      </c>
      <c r="AQ720" t="s">
        <v>311</v>
      </c>
      <c r="AR720" s="4" t="s">
        <v>310</v>
      </c>
      <c r="AS720" t="s">
        <v>2100</v>
      </c>
      <c r="AT720" t="s">
        <v>2100</v>
      </c>
      <c r="AU720" s="3" t="str">
        <f>IF(AND(G720&lt;&gt;"LIBSETS_SETTYPE_BATTLEGROUND",G720&lt;&gt;"LIBSETS_SETTYPE_SPECIAL"),IF(AV720&lt;&gt;"",VLOOKUP(AV720,'ESO zones'!$D$5:$H$4957,5,FALSE),""),"")</f>
        <v/>
      </c>
      <c r="AZ720" s="49" t="s">
        <v>403</v>
      </c>
      <c r="BA720" t="s">
        <v>2101</v>
      </c>
      <c r="BB720" s="49"/>
      <c r="BC720" s="49"/>
      <c r="BD720" s="49"/>
      <c r="BE720" s="18" t="str">
        <f t="shared" si="67"/>
        <v>[848] = {wayshrines={616,616,616,}, dlcId=DLC_SEASON0</v>
      </c>
      <c r="BF720" s="18" t="str">
        <f t="shared" si="68"/>
        <v>, zoneIds={1559,1559,1559,1559,1559}, veteran=false</v>
      </c>
      <c r="BG720" s="18" t="str">
        <f t="shared" si="69"/>
        <v>, setType=LIBSETS_SETTYPE_MYTHIC</v>
      </c>
      <c r="BH720" s="18" t="str">
        <f t="shared" si="70"/>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8" t="str">
        <f t="shared" si="71"/>
        <v>, addTooltip={['en']='https://en.uesp.net/wiki/Online:Shattered_Paths_Signet',},}, --Shattered Paths Signet / Siegelring der zerschlagenen Pfade   [Night Market, Night Market, Night Market, Night Market, Night Market]</v>
      </c>
    </row>
    <row r="721" spans="1:61" x14ac:dyDescent="0.25">
      <c r="A721" s="1">
        <v>850</v>
      </c>
      <c r="B721" t="s">
        <v>2102</v>
      </c>
      <c r="C721" t="s">
        <v>2103</v>
      </c>
      <c r="D721" s="3">
        <f t="shared" si="66"/>
        <v>850</v>
      </c>
      <c r="G721" s="3" t="s">
        <v>172</v>
      </c>
      <c r="I721" t="s">
        <v>712</v>
      </c>
      <c r="J721" t="s">
        <v>401</v>
      </c>
      <c r="K721">
        <v>616</v>
      </c>
      <c r="L721">
        <v>616</v>
      </c>
      <c r="M721">
        <v>616</v>
      </c>
      <c r="O721" s="5" t="s">
        <v>311</v>
      </c>
      <c r="Q721" s="3">
        <f>IF(AND(P721&lt;&gt;"",ISNUMBER(P721),NOT(ISNA(P721))),P721,IF(R721&lt;&gt;"",VLOOKUP(R721,'ESO zones'!$D$5:$H$10005,5,FALSE),""))</f>
        <v>1559</v>
      </c>
      <c r="R721" t="str">
        <f>IF(AND(O721&lt;&gt;"",NOT(ISERROR(O721))),O721,IF(AND(P721&lt;&gt;"",ISNUMBER(P721),P721&gt;0,NOT(ISNA(P721))),VLOOKUP(P721,'ESO zones'!$A$5:$D$10003,4,FALSE),IF(AND(K721&lt;&gt;"",K721&gt;0,NOT(ISERROR(K721))),VLOOKUP(K721,'ESO wayshrines'!$K$3:$N$9972,4,FALSE),"")))</f>
        <v>Night Market</v>
      </c>
      <c r="S721" s="85" t="s">
        <v>126</v>
      </c>
      <c r="T721" s="16" t="str">
        <f>IF(AND(S721&lt;&gt;"",NOT(ISERROR(S721))),S721,VLOOKUP(A721,'ESO Set&amp;DLCs'!$A$3:$D$99998,4,FALSE))</f>
        <v>DLC_SEASON0</v>
      </c>
      <c r="U721" s="3" t="str">
        <f>IF(T721&lt;&gt;"",VLOOKUP(T721,ConstDLCIds!$B$4:$C$1000,2,FALSE),"")</f>
        <v>Season 0</v>
      </c>
      <c r="V721" s="4" t="s">
        <v>310</v>
      </c>
      <c r="Y721" s="5">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zones'!$A$5:$D$10003,4,FALSE),"")</f>
        <v>Night Market</v>
      </c>
      <c r="AB721" s="57"/>
      <c r="AE721" s="5">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zones'!$A$5:$D$10003,4,FALSE),"")</f>
        <v>Night Market</v>
      </c>
      <c r="AI721" s="30"/>
      <c r="AJ721" s="30"/>
      <c r="AK721" s="3" t="str">
        <f>IF(AND(G721&lt;&gt;"LIBSETS_SETTYPE_BATTLEGROUND",G721&lt;&gt;"LIBSETS_SETTYPE_SPECIAL"),IF(AL721&lt;&gt;"",VLOOKUP(AL721,'ESO zones'!$D$5:$H$4957,5,FALSE),""),"")</f>
        <v/>
      </c>
      <c r="AN721" s="30"/>
      <c r="AO721" s="30"/>
      <c r="AP721" s="3" t="str">
        <f>IF(AND(G721&lt;&gt;"LIBSETS_SETTYPE_BATTLEGROUND",G721&lt;&gt;"LIBSETS_SETTYPE_SPECIAL"),IF(AQ721&lt;&gt;"",VLOOKUP(AQ721,'ESO zones'!$D$5:$H$4957,5,FALSE),""),"")</f>
        <v/>
      </c>
      <c r="AS721" s="30"/>
      <c r="AT721" s="30"/>
      <c r="AU721" s="3" t="str">
        <f>IF(AND(G721&lt;&gt;"LIBSETS_SETTYPE_BATTLEGROUND",G721&lt;&gt;"LIBSETS_SETTYPE_SPECIAL"),IF(AV721&lt;&gt;"",VLOOKUP(AV721,'ESO zones'!$D$5:$H$4957,5,FALSE),""),"")</f>
        <v/>
      </c>
      <c r="AZ721" s="49" t="s">
        <v>403</v>
      </c>
      <c r="BA721" s="49"/>
      <c r="BB721" s="49"/>
      <c r="BC721" s="49"/>
      <c r="BD721" s="49"/>
      <c r="BE721" s="18" t="str">
        <f t="shared" si="67"/>
        <v>[850] = {wayshrines={616,616,616,}, dlcId=DLC_SEASON0</v>
      </c>
      <c r="BF721" s="18" t="str">
        <f t="shared" si="68"/>
        <v>, zoneIds={1559,1559,1559}, veteran={[EQUIP_TYPE_HEAD]=true, [EQUIP_TYPE_SHOULDERS]=false}</v>
      </c>
      <c r="BG721" s="18" t="str">
        <f t="shared" si="69"/>
        <v>, setType=LIBSETS_SETTYPE_MONSTER</v>
      </c>
      <c r="BH721" s="18" t="str">
        <f t="shared" si="70"/>
        <v>, dropMechanic={LIBSETS_DROP_MECHANIC_NIGHT_MARKET}</v>
      </c>
      <c r="BI721" s="18" t="str">
        <f t="shared" si="71"/>
        <v>}, --Thousand Eyes / Tausend Augen   [Night Market, Night Market, Night Market]</v>
      </c>
    </row>
    <row r="722" spans="1:61" x14ac:dyDescent="0.25">
      <c r="A722" s="1">
        <v>849</v>
      </c>
      <c r="B722" t="s">
        <v>2104</v>
      </c>
      <c r="C722" t="s">
        <v>2105</v>
      </c>
      <c r="D722" s="3">
        <f t="shared" si="66"/>
        <v>849</v>
      </c>
      <c r="G722" s="3" t="s">
        <v>172</v>
      </c>
      <c r="I722" t="s">
        <v>712</v>
      </c>
      <c r="J722" t="s">
        <v>401</v>
      </c>
      <c r="K722">
        <v>616</v>
      </c>
      <c r="L722">
        <v>616</v>
      </c>
      <c r="M722">
        <v>616</v>
      </c>
      <c r="O722" s="5" t="s">
        <v>311</v>
      </c>
      <c r="Q722" s="3">
        <f>IF(AND(P722&lt;&gt;"",ISNUMBER(P722),NOT(ISNA(P722))),P722,IF(R722&lt;&gt;"",VLOOKUP(R722,'ESO zones'!$D$5:$H$10005,5,FALSE),""))</f>
        <v>1559</v>
      </c>
      <c r="R722" t="str">
        <f>IF(AND(O722&lt;&gt;"",NOT(ISERROR(O722))),O722,IF(AND(P722&lt;&gt;"",ISNUMBER(P722),P722&gt;0,NOT(ISNA(P722))),VLOOKUP(P722,'ESO zones'!$A$5:$D$10003,4,FALSE),IF(AND(K722&lt;&gt;"",K722&gt;0,NOT(ISERROR(K722))),VLOOKUP(K722,'ESO wayshrines'!$K$3:$N$9972,4,FALSE),"")))</f>
        <v>Night Market</v>
      </c>
      <c r="S722" s="85" t="s">
        <v>126</v>
      </c>
      <c r="T722" s="16" t="str">
        <f>IF(AND(S722&lt;&gt;"",NOT(ISERROR(S722))),S722,VLOOKUP(A722,'ESO Set&amp;DLCs'!$A$3:$D$99998,4,FALSE))</f>
        <v>DLC_SEASON0</v>
      </c>
      <c r="U722" s="3" t="str">
        <f>IF(T722&lt;&gt;"",VLOOKUP(T722,ConstDLCIds!$B$4:$C$1000,2,FALSE),"")</f>
        <v>Season 0</v>
      </c>
      <c r="V722" s="4" t="s">
        <v>310</v>
      </c>
      <c r="Y722" s="5">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zones'!$A$5:$D$10003,4,FALSE),"")</f>
        <v>Night Market</v>
      </c>
      <c r="AB722" s="57"/>
      <c r="AE722" s="5">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zones'!$A$5:$D$10003,4,FALSE),"")</f>
        <v>Night Market</v>
      </c>
      <c r="AI722" s="30"/>
      <c r="AJ722" s="30"/>
      <c r="AK722" s="3" t="str">
        <f>IF(AND(G722&lt;&gt;"LIBSETS_SETTYPE_BATTLEGROUND",G722&lt;&gt;"LIBSETS_SETTYPE_SPECIAL"),IF(AL722&lt;&gt;"",VLOOKUP(AL722,'ESO zones'!$D$5:$H$4957,5,FALSE),""),"")</f>
        <v/>
      </c>
      <c r="AN722" s="30"/>
      <c r="AO722" s="30"/>
      <c r="AP722" s="3" t="str">
        <f>IF(AND(G722&lt;&gt;"LIBSETS_SETTYPE_BATTLEGROUND",G722&lt;&gt;"LIBSETS_SETTYPE_SPECIAL"),IF(AQ722&lt;&gt;"",VLOOKUP(AQ722,'ESO zones'!$D$5:$H$4957,5,FALSE),""),"")</f>
        <v/>
      </c>
      <c r="AS722" s="30"/>
      <c r="AT722" s="30"/>
      <c r="AU722" s="3" t="str">
        <f>IF(AND(G722&lt;&gt;"LIBSETS_SETTYPE_BATTLEGROUND",G722&lt;&gt;"LIBSETS_SETTYPE_SPECIAL"),IF(AV722&lt;&gt;"",VLOOKUP(AV722,'ESO zones'!$D$5:$H$4957,5,FALSE),""),"")</f>
        <v/>
      </c>
      <c r="AZ722" s="49" t="s">
        <v>403</v>
      </c>
      <c r="BA722" s="49"/>
      <c r="BB722" s="49"/>
      <c r="BC722" s="49"/>
      <c r="BD722" s="49"/>
      <c r="BE722" s="18" t="str">
        <f t="shared" si="67"/>
        <v>[849] = {wayshrines={616,616,616,}, dlcId=DLC_SEASON0</v>
      </c>
      <c r="BF722" s="18" t="str">
        <f t="shared" si="68"/>
        <v>, zoneIds={1559,1559,1559}, veteran={[EQUIP_TYPE_HEAD]=true, [EQUIP_TYPE_SHOULDERS]=false}</v>
      </c>
      <c r="BG722" s="18" t="str">
        <f t="shared" si="69"/>
        <v>, setType=LIBSETS_SETTYPE_MONSTER</v>
      </c>
      <c r="BH722" s="18" t="str">
        <f t="shared" si="70"/>
        <v>, dropMechanic={LIBSETS_DROP_MECHANIC_NIGHT_MARKET}</v>
      </c>
      <c r="BI722" s="18" t="str">
        <f t="shared" si="71"/>
        <v>}, --Glittering Goad / Glanzvoller Ansporn   [Night Market, Night Market, Night Market]</v>
      </c>
    </row>
    <row r="723" spans="1:61" x14ac:dyDescent="0.25">
      <c r="A723" s="1">
        <v>851</v>
      </c>
      <c r="B723" t="s">
        <v>2106</v>
      </c>
      <c r="C723" t="s">
        <v>2107</v>
      </c>
      <c r="D723" s="3">
        <f t="shared" si="66"/>
        <v>851</v>
      </c>
      <c r="G723" s="3" t="s">
        <v>172</v>
      </c>
      <c r="I723" t="s">
        <v>712</v>
      </c>
      <c r="J723" t="s">
        <v>401</v>
      </c>
      <c r="K723">
        <v>616</v>
      </c>
      <c r="L723">
        <v>616</v>
      </c>
      <c r="M723">
        <v>616</v>
      </c>
      <c r="O723" s="5" t="s">
        <v>311</v>
      </c>
      <c r="Q723" s="3">
        <f>IF(AND(P723&lt;&gt;"",ISNUMBER(P723),NOT(ISNA(P723))),P723,IF(R723&lt;&gt;"",VLOOKUP(R723,'ESO zones'!$D$5:$H$10005,5,FALSE),""))</f>
        <v>1559</v>
      </c>
      <c r="R723" t="str">
        <f>IF(AND(O723&lt;&gt;"",NOT(ISERROR(O723))),O723,IF(AND(P723&lt;&gt;"",ISNUMBER(P723),P723&gt;0,NOT(ISNA(P723))),VLOOKUP(P723,'ESO zones'!$A$5:$D$10003,4,FALSE),IF(AND(K723&lt;&gt;"",K723&gt;0,NOT(ISERROR(K723))),VLOOKUP(K723,'ESO wayshrines'!$K$3:$N$9972,4,FALSE),"")))</f>
        <v>Night Market</v>
      </c>
      <c r="S723" s="85" t="s">
        <v>126</v>
      </c>
      <c r="T723" s="16" t="str">
        <f>IF(AND(S723&lt;&gt;"",NOT(ISERROR(S723))),S723,VLOOKUP(A723,'ESO Set&amp;DLCs'!$A$3:$D$99998,4,FALSE))</f>
        <v>DLC_SEASON0</v>
      </c>
      <c r="U723" s="3" t="str">
        <f>IF(T723&lt;&gt;"",VLOOKUP(T723,ConstDLCIds!$B$4:$C$1000,2,FALSE),"")</f>
        <v>Season 0</v>
      </c>
      <c r="V723" s="4" t="s">
        <v>310</v>
      </c>
      <c r="Y723" s="5">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zones'!$A$5:$D$10003,4,FALSE),"")</f>
        <v>Night Market</v>
      </c>
      <c r="AB723" s="57"/>
      <c r="AE723" s="5">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zones'!$A$5:$D$10003,4,FALSE),"")</f>
        <v>Night Market</v>
      </c>
      <c r="AI723" s="30"/>
      <c r="AJ723" s="30"/>
      <c r="AK723" s="3" t="str">
        <f>IF(AND(G723&lt;&gt;"LIBSETS_SETTYPE_BATTLEGROUND",G723&lt;&gt;"LIBSETS_SETTYPE_SPECIAL"),IF(AL723&lt;&gt;"",VLOOKUP(AL723,'ESO zones'!$D$5:$H$4957,5,FALSE),""),"")</f>
        <v/>
      </c>
      <c r="AN723" s="30"/>
      <c r="AO723" s="30"/>
      <c r="AP723" s="3" t="str">
        <f>IF(AND(G723&lt;&gt;"LIBSETS_SETTYPE_BATTLEGROUND",G723&lt;&gt;"LIBSETS_SETTYPE_SPECIAL"),IF(AQ723&lt;&gt;"",VLOOKUP(AQ723,'ESO zones'!$D$5:$H$4957,5,FALSE),""),"")</f>
        <v/>
      </c>
      <c r="AS723" s="30"/>
      <c r="AT723" s="30"/>
      <c r="AU723" s="3" t="str">
        <f>IF(AND(G723&lt;&gt;"LIBSETS_SETTYPE_BATTLEGROUND",G723&lt;&gt;"LIBSETS_SETTYPE_SPECIAL"),IF(AV723&lt;&gt;"",VLOOKUP(AV723,'ESO zones'!$D$5:$H$4957,5,FALSE),""),"")</f>
        <v/>
      </c>
      <c r="AZ723" s="49" t="s">
        <v>403</v>
      </c>
      <c r="BA723" s="49"/>
      <c r="BB723" s="49"/>
      <c r="BC723" s="49"/>
      <c r="BD723" s="49"/>
      <c r="BE723" s="18" t="str">
        <f t="shared" si="67"/>
        <v>[851] = {wayshrines={616,616,616,}, dlcId=DLC_SEASON0</v>
      </c>
      <c r="BF723" s="18" t="str">
        <f t="shared" si="68"/>
        <v>, zoneIds={1559,1559,1559}, veteran={[EQUIP_TYPE_HEAD]=true, [EQUIP_TYPE_SHOULDERS]=false}</v>
      </c>
      <c r="BG723" s="18" t="str">
        <f t="shared" si="69"/>
        <v>, setType=LIBSETS_SETTYPE_MONSTER</v>
      </c>
      <c r="BH723" s="18" t="str">
        <f t="shared" si="70"/>
        <v>, dropMechanic={LIBSETS_DROP_MECHANIC_NIGHT_MARKET}</v>
      </c>
      <c r="BI723" s="18" t="str">
        <f t="shared" si="71"/>
        <v>}, --The Ruckus / Der Krawall   [Night Market, Night Market, Night Market]</v>
      </c>
    </row>
    <row r="724" spans="1:61" x14ac:dyDescent="0.25">
      <c r="A724" s="1">
        <v>855</v>
      </c>
      <c r="B724" t="s">
        <v>2108</v>
      </c>
      <c r="C724" t="s">
        <v>2109</v>
      </c>
      <c r="D724" s="3">
        <f t="shared" si="66"/>
        <v>855</v>
      </c>
      <c r="G724" s="9" t="s">
        <v>165</v>
      </c>
      <c r="I724" t="s">
        <v>401</v>
      </c>
      <c r="J724" t="s">
        <v>401</v>
      </c>
      <c r="K724">
        <v>-1</v>
      </c>
      <c r="L724">
        <v>-1</v>
      </c>
      <c r="M724">
        <v>-1</v>
      </c>
      <c r="O724" s="5" t="s">
        <v>166</v>
      </c>
      <c r="Q724" s="3">
        <f>IF(AND(P724&lt;&gt;"",ISNUMBER(P724),NOT(ISNA(P724))),P724,IF(R724&lt;&gt;"",VLOOKUP(R724,'ESO zones'!$D$5:$H$10005,5,FALSE),""))</f>
        <v>181</v>
      </c>
      <c r="R724" t="str">
        <f>IF(AND(O724&lt;&gt;"",NOT(ISERROR(O724))),O724,IF(AND(P724&lt;&gt;"",ISNUMBER(P724),P724&gt;0,NOT(ISNA(P724))),VLOOKUP(P724,'ESO zones'!$A$5:$D$10003,4,FALSE),IF(AND(K724&lt;&gt;"",K724&gt;0,NOT(ISERROR(K724))),VLOOKUP(K724,'ESO wayshrines'!$K$3:$N$9972,4,FALSE),"")))</f>
        <v>Cyrodiil</v>
      </c>
      <c r="S724" s="85" t="s">
        <v>126</v>
      </c>
      <c r="T724" s="16" t="str">
        <f>IF(AND(S724&lt;&gt;"",NOT(ISERROR(S724))),S724,VLOOKUP(A724,'ESO Set&amp;DLCs'!$A$3:$D$99998,4,FALSE))</f>
        <v>DLC_SEASON0</v>
      </c>
      <c r="U724" s="3" t="str">
        <f>IF(T724&lt;&gt;"",VLOOKUP(T724,ConstDLCIds!$B$4:$C$1000,2,FALSE),"")</f>
        <v>Season 0</v>
      </c>
      <c r="V724" s="4" t="s">
        <v>197</v>
      </c>
      <c r="Y724" s="5">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zones'!$A$5:$D$10003,4,FALSE),"")</f>
        <v>Cyrodiil</v>
      </c>
      <c r="AB724" s="4" t="s">
        <v>301</v>
      </c>
      <c r="AE724" s="68">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zones'!$A$5:$D$10003,4,FALSE),"")</f>
        <v>Cyrodiil</v>
      </c>
      <c r="AH724" s="4" t="s">
        <v>248</v>
      </c>
      <c r="AI724" s="30"/>
      <c r="AJ724" s="30"/>
      <c r="AK724" s="3">
        <f>IF(AND(G724&lt;&gt;"LIBSETS_SETTYPE_BATTLEGROUND",G724&lt;&gt;"LIBSETS_SETTYPE_SPECIAL"),IF(AL724&lt;&gt;"",VLOOKUP(AL724,'ESO zones'!$D$5:$H$4957,5,FALSE),""),"")</f>
        <v>181</v>
      </c>
      <c r="AL724" t="s">
        <v>166</v>
      </c>
      <c r="AM724" s="4" t="s">
        <v>298</v>
      </c>
      <c r="AN724" s="30"/>
      <c r="AO724" s="30"/>
      <c r="AP724" s="3">
        <f>IF(AND(G724&lt;&gt;"LIBSETS_SETTYPE_BATTLEGROUND",G724&lt;&gt;"LIBSETS_SETTYPE_SPECIAL"),IF(AQ724&lt;&gt;"",VLOOKUP(AQ724,'ESO zones'!$D$5:$H$4957,5,FALSE),""),"")</f>
        <v>181</v>
      </c>
      <c r="AQ724" t="s">
        <v>166</v>
      </c>
      <c r="AR724" s="4" t="s">
        <v>215</v>
      </c>
      <c r="AS724" s="30"/>
      <c r="AT724" s="30"/>
      <c r="AU724" s="3">
        <f>IF(AND(G724&lt;&gt;"LIBSETS_SETTYPE_BATTLEGROUND",G724&lt;&gt;"LIBSETS_SETTYPE_SPECIAL"),IF(AV724&lt;&gt;"",VLOOKUP(AV724,'ESO zones'!$D$5:$H$4957,5,FALSE),""),"")</f>
        <v>181</v>
      </c>
      <c r="AV724" t="s">
        <v>166</v>
      </c>
      <c r="AW724" s="4" t="s">
        <v>257</v>
      </c>
      <c r="AZ724" s="49" t="s">
        <v>403</v>
      </c>
      <c r="BA724" s="49"/>
      <c r="BB724" s="49"/>
      <c r="BC724" s="49"/>
      <c r="BD724" s="49"/>
      <c r="BE724" s="18" t="str">
        <f t="shared" si="67"/>
        <v>[855] = {wayshrines={-1,-1,-1,}, dlcId=DLC_SEASON0</v>
      </c>
      <c r="BF724" s="18" t="str">
        <f t="shared" si="68"/>
        <v>, zoneIds={181,181,181,181,181,181}, veteran=false</v>
      </c>
      <c r="BG724" s="18" t="str">
        <f t="shared" si="69"/>
        <v>, setType=LIBSETS_SETTYPE_CYRODIIL</v>
      </c>
      <c r="BH724"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8" t="str">
        <f t="shared" si="71"/>
        <v>}, --Gorethief / Blutdieb   [Cyrodiil, Cyrodiil, Cyrodiil, Cyrodiil, Cyrodiil, Cyrodiil]</v>
      </c>
    </row>
    <row r="725" spans="1:61" x14ac:dyDescent="0.25">
      <c r="A725" s="1">
        <v>854</v>
      </c>
      <c r="B725" t="s">
        <v>2110</v>
      </c>
      <c r="C725" t="s">
        <v>2111</v>
      </c>
      <c r="D725" s="3">
        <f>A725</f>
        <v>854</v>
      </c>
      <c r="G725" s="9" t="s">
        <v>180</v>
      </c>
      <c r="I725" t="s">
        <v>401</v>
      </c>
      <c r="J725" t="s">
        <v>401</v>
      </c>
      <c r="K725" s="91">
        <v>-1</v>
      </c>
      <c r="L725" s="91">
        <v>-1</v>
      </c>
      <c r="M725" s="91">
        <v>-1</v>
      </c>
      <c r="P725" s="5">
        <v>816</v>
      </c>
      <c r="Q725" s="3">
        <f>IF(AND(P725&lt;&gt;"",ISNUMBER(P725),NOT(ISNA(P725))),P725,IF(R725&lt;&gt;"",VLOOKUP(R725,'ESO zones'!$D$5:$H$10005,5,FALSE),""))</f>
        <v>816</v>
      </c>
      <c r="R725" t="str">
        <f>IF(AND(O725&lt;&gt;"",NOT(ISERROR(O725))),O725,IF(AND(P725&lt;&gt;"",ISNUMBER(P725),P725&gt;0,NOT(ISNA(P725))),VLOOKUP(P725,'ESO zones'!$A$5:$D$10003,4,FALSE),IF(AND(K725&lt;&gt;"",K725&gt;0,NOT(ISERROR(K725))),VLOOKUP(K725,'ESO wayshrines'!$K$3:$N$9972,4,FALSE),"")))</f>
        <v>Hew's Bane</v>
      </c>
      <c r="S725" s="85"/>
      <c r="T725" s="16" t="str">
        <f>IF(AND(S725&lt;&gt;"",NOT(ISERROR(S725))),S725,VLOOKUP(A725,'ESO Set&amp;DLCs'!$A$3:$D$99998,4,FALSE))</f>
        <v>DLC_SEASON0_PART2</v>
      </c>
      <c r="U725" s="3" t="str">
        <f>IF(T725&lt;&gt;"",VLOOKUP(T725,ConstDLCIds!$B$4:$C$1000,2,FALSE),"")</f>
        <v>Season 0 - Part 2</v>
      </c>
      <c r="V725" s="4" t="s">
        <v>313</v>
      </c>
      <c r="W725" s="3" t="s">
        <v>2112</v>
      </c>
      <c r="X725" s="3" t="s">
        <v>2113</v>
      </c>
      <c r="Y725" s="5">
        <v>816</v>
      </c>
      <c r="Z725" s="3">
        <f>IF(AND(G725&lt;&gt;"LIBSETS_SETTYPE_BATTLEGROUND",G725&lt;&gt;"LIBSETS_SETTYPE_SPECIAL"),IF(AND(Y725&lt;&gt;"",ISNUMBER(Y725),NOT(ISNA(Y725))),Y725,IF(AND(L725&lt;&gt;"",ISNUMBER(L725),L725&gt;0,NOT(ISNA(L725))),VLOOKUP(L725,'ESO wayshrines'!$K$3:$L$9972,2,FALSE),"")),"")</f>
        <v>816</v>
      </c>
      <c r="AA725" t="str">
        <f>IF(AND(Z725&lt;&gt;"",ISNUMBER(Z725),NOT(ISNA(Z725))),VLOOKUP(Z725,'ESO zones'!$A$5:$D$10003,4,FALSE),"")</f>
        <v>Hew's Bane</v>
      </c>
      <c r="AE725" s="68">
        <v>816</v>
      </c>
      <c r="AF725" s="3">
        <f>IF(AND(G725&lt;&gt;"LIBSETS_SETTYPE_BATTLEGROUND",G725&lt;&gt;"LIBSETS_SETTYPE_SPECIAL"),IF(AND(AE725&lt;&gt;"",ISNUMBER(AE725),NOT(ISNA(AE725))),AE725,IF(AND(M725&lt;&gt;"",ISNUMBER(M725),M725&gt;0,NOT(ISNA(M725))),VLOOKUP(M725,'ESO wayshrines'!$K$3:$L$9972,2,FALSE),"")),"")</f>
        <v>816</v>
      </c>
      <c r="AG725" t="str">
        <f>IF(AND(AF725&lt;&gt;"",ISNUMBER(AF725),NOT(ISNA(AF725))),VLOOKUP(AF725,'ESO zones'!$A$5:$D$10003,4,FALSE),"")</f>
        <v>Hew's Bane</v>
      </c>
      <c r="AI725" s="30"/>
      <c r="AJ725" s="30"/>
      <c r="AK725" s="3" t="str">
        <f>IF(AND(G725&lt;&gt;"LIBSETS_SETTYPE_BATTLEGROUND",G725&lt;&gt;"LIBSETS_SETTYPE_SPECIAL"),IF(AL725&lt;&gt;"",VLOOKUP(AL725,'ESO zones'!$D$5:$H$4957,5,FALSE),""),"")</f>
        <v/>
      </c>
      <c r="AN725" s="30"/>
      <c r="AO725" s="30"/>
      <c r="AP725" s="3" t="str">
        <f>IF(AND(G725&lt;&gt;"LIBSETS_SETTYPE_BATTLEGROUND",G725&lt;&gt;"LIBSETS_SETTYPE_SPECIAL"),IF(AQ725&lt;&gt;"",VLOOKUP(AQ725,'ESO zones'!$D$5:$H$4957,5,FALSE),""),"")</f>
        <v/>
      </c>
      <c r="AS725" s="30"/>
      <c r="AT725" s="30"/>
      <c r="AU725" s="3" t="str">
        <f>IF(AND(G725&lt;&gt;"LIBSETS_SETTYPE_BATTLEGROUND",G725&lt;&gt;"LIBSETS_SETTYPE_SPECIAL"),IF(AV725&lt;&gt;"",VLOOKUP(AV725,'ESO zones'!$D$5:$H$4957,5,FALSE),""),"")</f>
        <v/>
      </c>
      <c r="AZ725" s="49" t="s">
        <v>403</v>
      </c>
      <c r="BA725" s="49"/>
      <c r="BB725" s="49"/>
      <c r="BC725" s="49"/>
      <c r="BD725" s="49"/>
      <c r="BE725" s="18" t="str">
        <f>IF(A725="???","--","")&amp;IF(F725&lt;&gt;"Not in the game (anymore)",IF(A725&lt;&gt;"",CONCATENATE("[",A725,"] = {wayshrines={")&amp;IF(K725&lt;&gt;"",CONCATENATE(K725,","),"")&amp;IF(L725&lt;&gt;"",CONCATENATE(L725,","),"")&amp;IF(M725&lt;&gt;"",CONCATENATE(M725,","),"")&amp;CONCATENATE("}")&amp;IF(VALUE(N725)&gt;0,CONCATENATE(", traitsNeeded=",N725),"")&amp;CONCATENATE(", dlcId=",IF(T725&lt;&gt;"",T725,"DLC_BASE_GAME")),""),"")</f>
        <v>[854] = {wayshrines={-1,-1,-1,}, dlcId=DLC_SEASON0_PART2</v>
      </c>
      <c r="BF725" s="18"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zoneIds={816,816,816}, veteran=false</v>
      </c>
      <c r="BG725" s="18" t="str">
        <f>IF(A725&lt;&gt;"",IF(F725&lt;&gt;"Not in the game (anymore)",IF(A725&lt;&gt;"",", setType="&amp;G725,"")&amp;IF(G725="LIBSETS_SETTYPE_CLASS",", classId="&amp;BC725,"")&amp;IF(J725="true",", multiTrialSet=true",""),"")&amp;IF(AND(H725&lt;&gt;"",ISNUMBER(H725)),", undauntedChestId="&amp;H725,""),"")</f>
        <v>, setType=LIBSETS_SETTYPE_MYTHIC</v>
      </c>
      <c r="BH725" s="18"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dropMechanic={LIBSETS_DROP_MECHANIC_ZONE_STORYLINE}, dropMechanicDropLocationNames={['en']={'Thieves Guild zone storyline','','','','','',},['de']={'Diebes Gilde Zonen Geschichte','','','','','',},}</v>
      </c>
      <c r="BI725" s="18"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--The Prowler\'s Talisman / Vagabundentalisman   [Hew's Bane, Hew's Bane, Hew's Bane]</v>
      </c>
    </row>
    <row r="726" spans="1:61" x14ac:dyDescent="0.25">
      <c r="A726" s="98">
        <v>876</v>
      </c>
      <c r="B726" t="s">
        <v>4310</v>
      </c>
      <c r="C726" t="s">
        <v>4310</v>
      </c>
      <c r="D726" s="3">
        <f>A726</f>
        <v>876</v>
      </c>
      <c r="G726" s="3" t="s">
        <v>4313</v>
      </c>
      <c r="I726" t="s">
        <v>712</v>
      </c>
      <c r="J726" t="s">
        <v>401</v>
      </c>
      <c r="K726">
        <v>370</v>
      </c>
      <c r="L726">
        <v>370</v>
      </c>
      <c r="M726">
        <v>370</v>
      </c>
      <c r="O726" s="5" t="s">
        <v>1195</v>
      </c>
      <c r="Q726" s="3">
        <f>IF(AND(P726&lt;&gt;"",ISNUMBER(P726),NOT(ISNA(P726))),P726,IF(R726&lt;&gt;"",VLOOKUP(R726,'ESO zones'!$D$5:$H$10005,5,FALSE),""))</f>
        <v>1055</v>
      </c>
      <c r="R726" t="s">
        <v>1195</v>
      </c>
      <c r="S726" s="85"/>
      <c r="T726" s="16" t="str">
        <f>IF(AND(S726&lt;&gt;"",NOT(ISERROR(S726))),S726,VLOOKUP(A726,'ESO Set&amp;DLCs'!$A$3:$D$99998,4,FALSE))</f>
        <v>DLC_SEASON2_PART0</v>
      </c>
      <c r="U726" s="3" t="str">
        <f>IF(T726&lt;&gt;"",VLOOKUP(T726,ConstDLCIds!$B$4:$C$1000,2,FALSE),"")</f>
        <v>Season 2 - Part 0</v>
      </c>
      <c r="V726" s="57" t="s">
        <v>4315</v>
      </c>
      <c r="W726" s="3" t="s">
        <v>1194</v>
      </c>
      <c r="X726" s="3" t="s">
        <v>1194</v>
      </c>
      <c r="Y726" s="5"/>
      <c r="Z726" s="3">
        <f>IF(AND(G726&lt;&gt;"LIBSETS_SETTYPE_BATTLEGROUND",G726&lt;&gt;"LIBSETS_SETTYPE_SPECIAL"),IF(AND(Y726&lt;&gt;"",ISNUMBER(Y726),NOT(ISNA(Y726))),Y726,IF(AND(L726&lt;&gt;"",ISNUMBER(L726),L726&gt;0,NOT(ISNA(L726))),VLOOKUP(L726,'ESO wayshrines'!$K$3:$L$9972,2,FALSE),"")),"")</f>
        <v>108</v>
      </c>
      <c r="AA726" t="str">
        <f>IF(AND(Z726&lt;&gt;"",ISNUMBER(Z726),NOT(ISNA(Z726))),VLOOKUP(Z726,'ESO zones'!$A$5:$D$10003,4,FALSE),"")</f>
        <v>Greenshade</v>
      </c>
      <c r="AE726" s="68"/>
      <c r="AF726" s="3">
        <f>IF(AND(G726&lt;&gt;"LIBSETS_SETTYPE_BATTLEGROUND",G726&lt;&gt;"LIBSETS_SETTYPE_SPECIAL"),IF(AND(AE726&lt;&gt;"",ISNUMBER(AE726),NOT(ISNA(AE726))),AE726,IF(AND(M726&lt;&gt;"",ISNUMBER(M726),M726&gt;0,NOT(ISNA(M726))),VLOOKUP(M726,'ESO wayshrines'!$K$3:$L$9972,2,FALSE),"")),"")</f>
        <v>108</v>
      </c>
      <c r="AG726" t="str">
        <f>IF(AND(AF726&lt;&gt;"",ISNUMBER(AF726),NOT(ISNA(AF726))),VLOOKUP(AF726,'ESO zones'!$A$5:$D$10003,4,FALSE),"")</f>
        <v>Greenshade</v>
      </c>
      <c r="AI726" s="30"/>
      <c r="AJ726" s="30"/>
      <c r="AK726" s="3" t="str">
        <f>IF(AND(G726&lt;&gt;"LIBSETS_SETTYPE_BATTLEGROUND",G726&lt;&gt;"LIBSETS_SETTYPE_SPECIAL"),IF(AL726&lt;&gt;"",VLOOKUP(AL726,'ESO zones'!$D$5:$H$4957,5,FALSE),""),"")</f>
        <v/>
      </c>
      <c r="AN726" s="30"/>
      <c r="AO726" s="30"/>
      <c r="AP726" s="3" t="str">
        <f>IF(AND(G726&lt;&gt;"LIBSETS_SETTYPE_BATTLEGROUND",G726&lt;&gt;"LIBSETS_SETTYPE_SPECIAL"),IF(AQ726&lt;&gt;"",VLOOKUP(AQ726,'ESO zones'!$D$5:$H$4957,5,FALSE),""),"")</f>
        <v/>
      </c>
      <c r="AS726" s="30"/>
      <c r="AT726" s="30"/>
      <c r="AU726" s="3" t="str">
        <f>IF(AND(G726&lt;&gt;"LIBSETS_SETTYPE_BATTLEGROUND",G726&lt;&gt;"LIBSETS_SETTYPE_SPECIAL"),IF(AV726&lt;&gt;"",VLOOKUP(AV726,'ESO zones'!$D$5:$H$4957,5,FALSE),""),"")</f>
        <v/>
      </c>
      <c r="AZ726" s="49" t="s">
        <v>403</v>
      </c>
      <c r="BA726" s="49"/>
      <c r="BB726" s="49"/>
      <c r="BC726" s="49"/>
      <c r="BD726" s="49"/>
      <c r="BE726" s="18" t="str">
        <f t="shared" ref="BE726:BE727" si="72">IF(A726="???","--","")&amp;IF(F726&lt;&gt;"Not in the game (anymore)",IF(A726&lt;&gt;"",CONCATENATE("[",A726,"] = {wayshrines={")&amp;IF(K726&lt;&gt;"",CONCATENATE(K726,","),"")&amp;IF(L726&lt;&gt;"",CONCATENATE(L726,","),"")&amp;IF(M726&lt;&gt;"",CONCATENATE(M726,","),"")&amp;CONCATENATE("}")&amp;IF(VALUE(N726)&gt;0,CONCATENATE(", traitsNeeded=",N726),"")&amp;CONCATENATE(", dlcId=",IF(T726&lt;&gt;"",T726,"DLC_BASE_GAME")),""),"")</f>
        <v>[876] = {wayshrines={370,370,370,}, dlcId=DLC_SEASON2_PART0</v>
      </c>
      <c r="BF726" s="18" t="str">
        <f t="shared" ref="BF726:BF727" si="73">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zoneIds={1055,108,108}, veteran={[EQUIP_TYPE_HEAD]=true, [EQUIP_TYPE_SHOULDERS]=false}</v>
      </c>
      <c r="BG726" s="18" t="str">
        <f t="shared" ref="BG726:BG727" si="74">IF(A726&lt;&gt;"",IF(F726&lt;&gt;"Not in the game (anymore)",IF(A726&lt;&gt;"",", setType="&amp;G726,"")&amp;IF(G726="LIBSETS_SETTYPE_CLASS",", classId="&amp;BC726,"")&amp;IF(J726="true",", multiTrialSet=true",""),"")&amp;IF(AND(H726&lt;&gt;"",ISNUMBER(H726)),", undauntedChestId="&amp;H726,""),"")</f>
        <v>, setType=LIBSETS_SETTYPE_SOLO_MONSTER</v>
      </c>
      <c r="BH726" s="18" t="str">
        <f t="shared" ref="BH726:BH727" si="75">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dropMechanic={LIBSETS_DROP_MECHANIC_SOLO_DUNGEON_BOSS}, dropMechanicDropLocationNames={['en']={'Balorgh','','','','','',},['de']={'Balorgh','','','','','',},}</v>
      </c>
      <c r="BI726" s="18" t="str">
        <f t="shared" ref="BI726:BI727" si="76">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--Tarcyr / Tarcyr   [March of Sacrifices, Greenshade, Greenshade]</v>
      </c>
    </row>
    <row r="727" spans="1:61" x14ac:dyDescent="0.25">
      <c r="A727" s="98">
        <v>877</v>
      </c>
      <c r="B727" t="s">
        <v>4311</v>
      </c>
      <c r="C727" t="s">
        <v>4312</v>
      </c>
      <c r="D727" s="3">
        <f>A727</f>
        <v>877</v>
      </c>
      <c r="G727" s="3" t="s">
        <v>4313</v>
      </c>
      <c r="I727" t="s">
        <v>712</v>
      </c>
      <c r="J727" t="s">
        <v>401</v>
      </c>
      <c r="K727">
        <v>371</v>
      </c>
      <c r="L727">
        <v>371</v>
      </c>
      <c r="M727">
        <v>371</v>
      </c>
      <c r="O727" t="s">
        <v>1197</v>
      </c>
      <c r="Q727" s="3">
        <f>IF(AND(P727&lt;&gt;"",ISNUMBER(P727),NOT(ISNA(P727))),P727,IF(R727&lt;&gt;"",VLOOKUP(R727,'ESO zones'!$D$5:$H$10005,5,FALSE),""))</f>
        <v>1052</v>
      </c>
      <c r="R727" t="s">
        <v>1197</v>
      </c>
      <c r="S727" s="85"/>
      <c r="T727" s="16" t="str">
        <f>IF(AND(S727&lt;&gt;"",NOT(ISERROR(S727))),S727,VLOOKUP(A727,'ESO Set&amp;DLCs'!$A$3:$D$99998,4,FALSE))</f>
        <v>DLC_SEASON2_PART0</v>
      </c>
      <c r="U727" s="3" t="str">
        <f>IF(T727&lt;&gt;"",VLOOKUP(T727,ConstDLCIds!$B$4:$C$1000,2,FALSE),"")</f>
        <v>Season 2 - Part 0</v>
      </c>
      <c r="V727" s="57" t="s">
        <v>4315</v>
      </c>
      <c r="W727" s="3" t="s">
        <v>4312</v>
      </c>
      <c r="X727" s="3" t="s">
        <v>4311</v>
      </c>
      <c r="Y727" s="5"/>
      <c r="Z727" s="3">
        <f>IF(AND(G727&lt;&gt;"LIBSETS_SETTYPE_BATTLEGROUND",G727&lt;&gt;"LIBSETS_SETTYPE_SPECIAL"),IF(AND(Y727&lt;&gt;"",ISNUMBER(Y727),NOT(ISNA(Y727))),Y727,IF(AND(L727&lt;&gt;"",ISNUMBER(L727),L727&gt;0,NOT(ISNA(L727))),VLOOKUP(L727,'ESO wayshrines'!$K$3:$L$9972,2,FALSE),"")),"")</f>
        <v>382</v>
      </c>
      <c r="AA727" t="str">
        <f>IF(AND(Z727&lt;&gt;"",ISNUMBER(Z727),NOT(ISNA(Z727))),VLOOKUP(Z727,'ESO zones'!$A$5:$D$10003,4,FALSE),"")</f>
        <v>Reaper's March</v>
      </c>
      <c r="AE727" s="68"/>
      <c r="AF727" s="3">
        <f>IF(AND(G727&lt;&gt;"LIBSETS_SETTYPE_BATTLEGROUND",G727&lt;&gt;"LIBSETS_SETTYPE_SPECIAL"),IF(AND(AE727&lt;&gt;"",ISNUMBER(AE727),NOT(ISNA(AE727))),AE727,IF(AND(M727&lt;&gt;"",ISNUMBER(M727),M727&gt;0,NOT(ISNA(M727))),VLOOKUP(M727,'ESO wayshrines'!$K$3:$L$9972,2,FALSE),"")),"")</f>
        <v>382</v>
      </c>
      <c r="AG727" t="str">
        <f>IF(AND(AF727&lt;&gt;"",ISNUMBER(AF727),NOT(ISNA(AF727))),VLOOKUP(AF727,'ESO zones'!$A$5:$D$10003,4,FALSE),"")</f>
        <v>Reaper's March</v>
      </c>
      <c r="AI727" s="30"/>
      <c r="AJ727" s="30"/>
      <c r="AK727" s="3" t="str">
        <f>IF(AND(G727&lt;&gt;"LIBSETS_SETTYPE_BATTLEGROUND",G727&lt;&gt;"LIBSETS_SETTYPE_SPECIAL"),IF(AL727&lt;&gt;"",VLOOKUP(AL727,'ESO zones'!$D$5:$H$4957,5,FALSE),""),"")</f>
        <v/>
      </c>
      <c r="AN727" s="30"/>
      <c r="AO727" s="30"/>
      <c r="AP727" s="3" t="str">
        <f>IF(AND(G727&lt;&gt;"LIBSETS_SETTYPE_BATTLEGROUND",G727&lt;&gt;"LIBSETS_SETTYPE_SPECIAL"),IF(AQ727&lt;&gt;"",VLOOKUP(AQ727,'ESO zones'!$D$5:$H$4957,5,FALSE),""),"")</f>
        <v/>
      </c>
      <c r="AS727" s="30"/>
      <c r="AT727" s="30"/>
      <c r="AU727" s="3" t="str">
        <f>IF(AND(G727&lt;&gt;"LIBSETS_SETTYPE_BATTLEGROUND",G727&lt;&gt;"LIBSETS_SETTYPE_SPECIAL"),IF(AV727&lt;&gt;"",VLOOKUP(AV727,'ESO zones'!$D$5:$H$4957,5,FALSE),""),"")</f>
        <v/>
      </c>
      <c r="AZ727" s="49" t="s">
        <v>403</v>
      </c>
      <c r="BA727" s="49"/>
      <c r="BB727" s="49"/>
      <c r="BC727" s="49"/>
      <c r="BD727" s="49"/>
      <c r="BE727" s="18" t="str">
        <f t="shared" si="72"/>
        <v>[877] = {wayshrines={371,371,371,}, dlcId=DLC_SEASON2_PART0</v>
      </c>
      <c r="BF727" s="18" t="str">
        <f t="shared" si="73"/>
        <v>, zoneIds={1052,382,382}, veteran={[EQUIP_TYPE_HEAD]=true, [EQUIP_TYPE_SHOULDERS]=false}</v>
      </c>
      <c r="BG727" s="18" t="str">
        <f t="shared" si="74"/>
        <v>, setType=LIBSETS_SETTYPE_SOLO_MONSTER</v>
      </c>
      <c r="BH727" s="18" t="str">
        <f t="shared" si="75"/>
        <v>, dropMechanic={LIBSETS_DROP_MECHANIC_SOLO_DUNGEON_BOSS}, dropMechanicDropLocationNames={['en']={'Mylenne Moon-Caller','','','','','',},['de']={'Mylenne Mondruferin','','','','','',},}</v>
      </c>
      <c r="BI727" s="18" t="str">
        <f t="shared" si="76"/>
        <v>}, --Mylenne Moon-Caller / Mylenne Mondruferin   [Moon Hunter Keep, Reaper's March, Reaper's March]</v>
      </c>
    </row>
  </sheetData>
  <autoFilter ref="A2:BI727" xr:uid="{00000000-0009-0000-0000-000006000000}"/>
  <mergeCells count="1">
    <mergeCell ref="A1:C1"/>
  </mergeCells>
  <pageMargins left="0.7" right="0.7" top="0.78749999999999998" bottom="0.78749999999999998" header="0.3" footer="0.3"/>
  <pageSetup paperSize="9" fitToWidth="0" orientation="portrait" r:id="rId1"/>
  <legacyDrawing r:id="rId2"/>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tabColor rgb="FF7F7F7F"/>
  </sheetPr>
  <dimension ref="A1:D742"/>
  <sheetViews>
    <sheetView zoomScale="80" workbookViewId="0">
      <pane xSplit="3" ySplit="2" topLeftCell="D713" activePane="bottomRight" state="frozen"/>
      <selection pane="topRight"/>
      <selection pane="bottomLeft"/>
      <selection pane="bottomRight" activeCell="A741" sqref="A741:A742"/>
    </sheetView>
  </sheetViews>
  <sheetFormatPr defaultColWidth="11.5703125" defaultRowHeight="15" x14ac:dyDescent="0.25"/>
  <cols>
    <col min="1" max="1" width="18.7109375" style="1" customWidth="1"/>
    <col min="2" max="2" width="33.7109375" style="3" customWidth="1"/>
    <col min="3" max="3" width="43.28515625" style="3" customWidth="1"/>
    <col min="4" max="4" width="127.140625" customWidth="1"/>
  </cols>
  <sheetData>
    <row r="1" spans="1:4" ht="75" customHeight="1" x14ac:dyDescent="0.25">
      <c r="A1" s="104" t="s">
        <v>2114</v>
      </c>
      <c r="B1" s="104"/>
      <c r="C1" s="104"/>
      <c r="D1" s="31" t="s">
        <v>2115</v>
      </c>
    </row>
    <row r="2" spans="1:4" x14ac:dyDescent="0.25">
      <c r="A2" s="8" t="s">
        <v>339</v>
      </c>
      <c r="B2" s="3" t="s">
        <v>2116</v>
      </c>
      <c r="C2" s="3" t="s">
        <v>2117</v>
      </c>
      <c r="D2" s="6" t="s">
        <v>2118</v>
      </c>
    </row>
    <row r="3" spans="1:4" x14ac:dyDescent="0.25">
      <c r="A3" s="12">
        <v>19</v>
      </c>
      <c r="B3" s="9" t="str">
        <f>VLOOKUP(A3,'Sets (lua data)'!$A$3:$C$9838,3,FALSE)</f>
        <v>Vestments of the Warlock</v>
      </c>
      <c r="C3" s="9" t="str">
        <f>VLOOKUP(A3,'Sets (lua data)'!$A$3:$C$9838,2,FALSE)</f>
        <v>Gewänder des Hexers</v>
      </c>
    </row>
    <row r="4" spans="1:4" x14ac:dyDescent="0.25">
      <c r="A4" s="12">
        <v>20</v>
      </c>
      <c r="B4" s="9" t="str">
        <f>VLOOKUP(A4,'Sets (lua data)'!$A$3:$C$9838,3,FALSE)</f>
        <v>Witchman Armor</v>
      </c>
      <c r="C4" s="9" t="str">
        <f>VLOOKUP(A4,'Sets (lua data)'!$A$3:$C$9838,2,FALSE)</f>
        <v>Hexenwerk</v>
      </c>
    </row>
    <row r="5" spans="1:4" x14ac:dyDescent="0.25">
      <c r="A5" s="12">
        <v>21</v>
      </c>
      <c r="B5" s="9" t="str">
        <f>VLOOKUP(A5,'Sets (lua data)'!$A$3:$C$9838,3,FALSE)</f>
        <v>Akaviri Dragonguard</v>
      </c>
      <c r="C5" s="9" t="str">
        <f>VLOOKUP(A5,'Sets (lua data)'!$A$3:$C$9838,2,FALSE)</f>
        <v>Akavirische Drachengarde</v>
      </c>
    </row>
    <row r="6" spans="1:4" x14ac:dyDescent="0.25">
      <c r="A6" s="12">
        <v>22</v>
      </c>
      <c r="B6" s="9" t="str">
        <f>VLOOKUP(A6,'Sets (lua data)'!$A$3:$C$9838,3,FALSE)</f>
        <v>Dreamer\'s Mantle</v>
      </c>
      <c r="C6" s="9" t="str">
        <f>VLOOKUP(A6,'Sets (lua data)'!$A$3:$C$9838,2,FALSE)</f>
        <v>Mantel des Träumers</v>
      </c>
    </row>
    <row r="7" spans="1:4" x14ac:dyDescent="0.25">
      <c r="A7" s="12">
        <v>23</v>
      </c>
      <c r="B7" s="9" t="str">
        <f>VLOOKUP(A7,'Sets (lua data)'!$A$3:$C$9838,3,FALSE)</f>
        <v>Archer\'s Mind</v>
      </c>
      <c r="C7" s="9" t="str">
        <f>VLOOKUP(A7,'Sets (lua data)'!$A$3:$C$9838,2,FALSE)</f>
        <v>Schützensinn</v>
      </c>
    </row>
    <row r="8" spans="1:4" x14ac:dyDescent="0.25">
      <c r="A8" s="12">
        <v>24</v>
      </c>
      <c r="B8" s="9" t="str">
        <f>VLOOKUP(A8,'Sets (lua data)'!$A$3:$C$9838,3,FALSE)</f>
        <v>Footman\'s Fortune</v>
      </c>
      <c r="C8" s="9" t="str">
        <f>VLOOKUP(A8,'Sets (lua data)'!$A$3:$C$9838,2,FALSE)</f>
        <v>Geschick des Fußsoldaten</v>
      </c>
    </row>
    <row r="9" spans="1:4" x14ac:dyDescent="0.25">
      <c r="A9" s="12">
        <v>25</v>
      </c>
      <c r="B9" s="9" t="str">
        <f>VLOOKUP(A9,'Sets (lua data)'!$A$3:$C$9838,3,FALSE)</f>
        <v>Desert Rose</v>
      </c>
      <c r="C9" s="9" t="str">
        <f>VLOOKUP(A9,'Sets (lua data)'!$A$3:$C$9838,2,FALSE)</f>
        <v>Wüstenrose</v>
      </c>
    </row>
    <row r="10" spans="1:4" x14ac:dyDescent="0.25">
      <c r="A10" s="12">
        <v>26</v>
      </c>
      <c r="B10" s="9" t="str">
        <f>VLOOKUP(A10,'Sets (lua data)'!$A$3:$C$9838,3,FALSE)</f>
        <v>Prisoner\'s Rags</v>
      </c>
      <c r="C10" s="9" t="str">
        <f>VLOOKUP(A10,'Sets (lua data)'!$A$3:$C$9838,2,FALSE)</f>
        <v>Lumpen des Gefangenen</v>
      </c>
    </row>
    <row r="11" spans="1:4" x14ac:dyDescent="0.25">
      <c r="A11" s="12">
        <v>27</v>
      </c>
      <c r="B11" s="9" t="str">
        <f>VLOOKUP(A11,'Sets (lua data)'!$A$3:$C$9838,3,FALSE)</f>
        <v>Fiord\'s Legacy</v>
      </c>
      <c r="C11" s="9" t="str">
        <f>VLOOKUP(A11,'Sets (lua data)'!$A$3:$C$9838,2,FALSE)</f>
        <v>Fiords Erbe</v>
      </c>
    </row>
    <row r="12" spans="1:4" x14ac:dyDescent="0.25">
      <c r="A12" s="12">
        <v>28</v>
      </c>
      <c r="B12" s="9" t="str">
        <f>VLOOKUP(A12,'Sets (lua data)'!$A$3:$C$9838,3,FALSE)</f>
        <v>Barkskin</v>
      </c>
      <c r="C12" s="9" t="str">
        <f>VLOOKUP(A12,'Sets (lua data)'!$A$3:$C$9838,2,FALSE)</f>
        <v>Borkenhaut</v>
      </c>
    </row>
    <row r="13" spans="1:4" x14ac:dyDescent="0.25">
      <c r="A13" s="12">
        <v>29</v>
      </c>
      <c r="B13" s="9" t="str">
        <f>VLOOKUP(A13,'Sets (lua data)'!$A$3:$C$9838,3,FALSE)</f>
        <v>Sergeant\'s Mail</v>
      </c>
      <c r="C13" s="9" t="str">
        <f>VLOOKUP(A13,'Sets (lua data)'!$A$3:$C$9838,2,FALSE)</f>
        <v>Rüstung des Feldwebels</v>
      </c>
    </row>
    <row r="14" spans="1:4" x14ac:dyDescent="0.25">
      <c r="A14" s="12">
        <v>30</v>
      </c>
      <c r="B14" s="9" t="str">
        <f>VLOOKUP(A14,'Sets (lua data)'!$A$3:$C$9838,3,FALSE)</f>
        <v>Thunderbug\'s Carapace</v>
      </c>
      <c r="C14" s="9" t="str">
        <f>VLOOKUP(A14,'Sets (lua data)'!$A$3:$C$9838,2,FALSE)</f>
        <v>Donnerkäferpanzer</v>
      </c>
    </row>
    <row r="15" spans="1:4" x14ac:dyDescent="0.25">
      <c r="A15" s="12">
        <v>31</v>
      </c>
      <c r="B15" s="9" t="str">
        <f>VLOOKUP(A15,'Sets (lua data)'!$A$3:$C$9838,3,FALSE)</f>
        <v>Silks of the Sun</v>
      </c>
      <c r="C15" s="9" t="str">
        <f>VLOOKUP(A15,'Sets (lua data)'!$A$3:$C$9838,2,FALSE)</f>
        <v>Sonnenseide</v>
      </c>
    </row>
    <row r="16" spans="1:4" x14ac:dyDescent="0.25">
      <c r="A16" s="12">
        <v>32</v>
      </c>
      <c r="B16" s="9" t="str">
        <f>VLOOKUP(A16,'Sets (lua data)'!$A$3:$C$9838,3,FALSE)</f>
        <v>Healer\'s Habit</v>
      </c>
      <c r="C16" s="9" t="str">
        <f>VLOOKUP(A16,'Sets (lua data)'!$A$3:$C$9838,2,FALSE)</f>
        <v>Bräuche des Heilers</v>
      </c>
    </row>
    <row r="17" spans="1:3" x14ac:dyDescent="0.25">
      <c r="A17" s="12">
        <v>33</v>
      </c>
      <c r="B17" s="9" t="str">
        <f>VLOOKUP(A17,'Sets (lua data)'!$A$3:$C$9838,3,FALSE)</f>
        <v>Viper\'s Sting</v>
      </c>
      <c r="C17" s="9" t="str">
        <f>VLOOKUP(A17,'Sets (lua data)'!$A$3:$C$9838,2,FALSE)</f>
        <v>Vipernbiss</v>
      </c>
    </row>
    <row r="18" spans="1:3" x14ac:dyDescent="0.25">
      <c r="A18" s="12">
        <v>34</v>
      </c>
      <c r="B18" s="9" t="str">
        <f>VLOOKUP(A18,'Sets (lua data)'!$A$3:$C$9838,3,FALSE)</f>
        <v>Night Mother\'s Embrace</v>
      </c>
      <c r="C18" s="9" t="str">
        <f>VLOOKUP(A18,'Sets (lua data)'!$A$3:$C$9838,2,FALSE)</f>
        <v>Umarmung der Mutter der Nacht</v>
      </c>
    </row>
    <row r="19" spans="1:3" x14ac:dyDescent="0.25">
      <c r="A19" s="12">
        <v>35</v>
      </c>
      <c r="B19" s="9" t="str">
        <f>VLOOKUP(A19,'Sets (lua data)'!$A$3:$C$9838,3,FALSE)</f>
        <v>Knightmare</v>
      </c>
      <c r="C19" s="9" t="str">
        <f>VLOOKUP(A19,'Sets (lua data)'!$A$3:$C$9838,2,FALSE)</f>
        <v>Albtraumritter</v>
      </c>
    </row>
    <row r="20" spans="1:3" x14ac:dyDescent="0.25">
      <c r="A20" s="12">
        <v>36</v>
      </c>
      <c r="B20" s="9" t="str">
        <f>VLOOKUP(A20,'Sets (lua data)'!$A$3:$C$9838,3,FALSE)</f>
        <v>Armor of the Veiled Heritance</v>
      </c>
      <c r="C20" s="9" t="str">
        <f>VLOOKUP(A20,'Sets (lua data)'!$A$3:$C$9838,2,FALSE)</f>
        <v>Rüstung des Schleiererbes</v>
      </c>
    </row>
    <row r="21" spans="1:3" x14ac:dyDescent="0.25">
      <c r="A21" s="12">
        <v>37</v>
      </c>
      <c r="B21" s="9" t="str">
        <f>VLOOKUP(A21,'Sets (lua data)'!$A$3:$C$9838,3,FALSE)</f>
        <v>Death\'s Wind</v>
      </c>
      <c r="C21" s="9" t="str">
        <f>VLOOKUP(A21,'Sets (lua data)'!$A$3:$C$9838,2,FALSE)</f>
        <v>Todeswind</v>
      </c>
    </row>
    <row r="22" spans="1:3" x14ac:dyDescent="0.25">
      <c r="A22" s="12">
        <v>38</v>
      </c>
      <c r="B22" s="9" t="str">
        <f>VLOOKUP(A22,'Sets (lua data)'!$A$3:$C$9838,3,FALSE)</f>
        <v>Twilight\'s Embrace</v>
      </c>
      <c r="C22" s="9" t="str">
        <f>VLOOKUP(A22,'Sets (lua data)'!$A$3:$C$9838,2,FALSE)</f>
        <v>Zwielichtkuss</v>
      </c>
    </row>
    <row r="23" spans="1:3" x14ac:dyDescent="0.25">
      <c r="A23" s="12">
        <v>39</v>
      </c>
      <c r="B23" s="9" t="str">
        <f>VLOOKUP(A23,'Sets (lua data)'!$A$3:$C$9838,3,FALSE)</f>
        <v>Alessian Order</v>
      </c>
      <c r="C23" s="9" t="str">
        <f>VLOOKUP(A23,'Sets (lua data)'!$A$3:$C$9838,2,FALSE)</f>
        <v>Alessianischer Orden</v>
      </c>
    </row>
    <row r="24" spans="1:3" x14ac:dyDescent="0.25">
      <c r="A24" s="12">
        <v>40</v>
      </c>
      <c r="B24" s="9" t="str">
        <f>VLOOKUP(A24,'Sets (lua data)'!$A$3:$C$9838,3,FALSE)</f>
        <v>Night\'s Silence</v>
      </c>
      <c r="C24" s="9" t="str">
        <f>VLOOKUP(A24,'Sets (lua data)'!$A$3:$C$9838,2,FALSE)</f>
        <v>Stille der Nacht</v>
      </c>
    </row>
    <row r="25" spans="1:3" x14ac:dyDescent="0.25">
      <c r="A25" s="12">
        <v>41</v>
      </c>
      <c r="B25" s="9" t="str">
        <f>VLOOKUP(A25,'Sets (lua data)'!$A$3:$C$9838,3,FALSE)</f>
        <v>Whitestrake\'s Retribution</v>
      </c>
      <c r="C25" s="9" t="str">
        <f>VLOOKUP(A25,'Sets (lua data)'!$A$3:$C$9838,2,FALSE)</f>
        <v>Weißplankes Vergeltung</v>
      </c>
    </row>
    <row r="26" spans="1:3" x14ac:dyDescent="0.25">
      <c r="A26" s="12">
        <v>43</v>
      </c>
      <c r="B26" s="9" t="str">
        <f>VLOOKUP(A26,'Sets (lua data)'!$A$3:$C$9838,3,FALSE)</f>
        <v>Armor of the Seducer</v>
      </c>
      <c r="C26" s="9" t="str">
        <f>VLOOKUP(A26,'Sets (lua data)'!$A$3:$C$9838,2,FALSE)</f>
        <v>Rüstung der Verführung</v>
      </c>
    </row>
    <row r="27" spans="1:3" x14ac:dyDescent="0.25">
      <c r="A27" s="12">
        <v>44</v>
      </c>
      <c r="B27" s="9" t="str">
        <f>VLOOKUP(A27,'Sets (lua data)'!$A$3:$C$9838,3,FALSE)</f>
        <v>Vampire\'s Kiss</v>
      </c>
      <c r="C27" s="9" t="str">
        <f>VLOOKUP(A27,'Sets (lua data)'!$A$3:$C$9838,2,FALSE)</f>
        <v>Kuss des Vampirs</v>
      </c>
    </row>
    <row r="28" spans="1:3" x14ac:dyDescent="0.25">
      <c r="A28" s="12">
        <v>46</v>
      </c>
      <c r="B28" s="9" t="str">
        <f>VLOOKUP(A28,'Sets (lua data)'!$A$3:$C$9838,3,FALSE)</f>
        <v>Noble Duelist\'s Silks</v>
      </c>
      <c r="C28" s="9" t="str">
        <f>VLOOKUP(A28,'Sets (lua data)'!$A$3:$C$9838,2,FALSE)</f>
        <v>Seide des edlen Duellanten</v>
      </c>
    </row>
    <row r="29" spans="1:3" x14ac:dyDescent="0.25">
      <c r="A29" s="12">
        <v>47</v>
      </c>
      <c r="B29" s="9" t="str">
        <f>VLOOKUP(A29,'Sets (lua data)'!$A$3:$C$9838,3,FALSE)</f>
        <v>Robes of the Withered Hand</v>
      </c>
      <c r="C29" s="9" t="str">
        <f>VLOOKUP(A29,'Sets (lua data)'!$A$3:$C$9838,2,FALSE)</f>
        <v>Roben der Verdorrten Hand</v>
      </c>
    </row>
    <row r="30" spans="1:3" x14ac:dyDescent="0.25">
      <c r="A30" s="12">
        <v>48</v>
      </c>
      <c r="B30" s="9" t="str">
        <f>VLOOKUP(A30,'Sets (lua data)'!$A$3:$C$9838,3,FALSE)</f>
        <v>Magnus\' Gift</v>
      </c>
      <c r="C30" s="9" t="str">
        <f>VLOOKUP(A30,'Sets (lua data)'!$A$3:$C$9838,2,FALSE)</f>
        <v>Magnus' Gabe</v>
      </c>
    </row>
    <row r="31" spans="1:3" x14ac:dyDescent="0.25">
      <c r="A31" s="12">
        <v>49</v>
      </c>
      <c r="B31" s="9" t="str">
        <f>VLOOKUP(A31,'Sets (lua data)'!$A$3:$C$9838,3,FALSE)</f>
        <v>Shadow of the Red Mountain</v>
      </c>
      <c r="C31" s="9" t="str">
        <f>VLOOKUP(A31,'Sets (lua data)'!$A$3:$C$9838,2,FALSE)</f>
        <v>Schatten des Roten Berges</v>
      </c>
    </row>
    <row r="32" spans="1:3" x14ac:dyDescent="0.25">
      <c r="A32" s="12">
        <v>50</v>
      </c>
      <c r="B32" s="9" t="str">
        <f>VLOOKUP(A32,'Sets (lua data)'!$A$3:$C$9838,3,FALSE)</f>
        <v>The Morag Tong</v>
      </c>
      <c r="C32" s="9" t="str">
        <f>VLOOKUP(A32,'Sets (lua data)'!$A$3:$C$9838,2,FALSE)</f>
        <v>Morag Tong</v>
      </c>
    </row>
    <row r="33" spans="1:3" x14ac:dyDescent="0.25">
      <c r="A33" s="12">
        <v>51</v>
      </c>
      <c r="B33" s="9" t="str">
        <f>VLOOKUP(A33,'Sets (lua data)'!$A$3:$C$9838,3,FALSE)</f>
        <v>Night Mother\'s Gaze</v>
      </c>
      <c r="C33" s="9" t="str">
        <f>VLOOKUP(A33,'Sets (lua data)'!$A$3:$C$9838,2,FALSE)</f>
        <v>Blick der Mutter der Nacht</v>
      </c>
    </row>
    <row r="34" spans="1:3" x14ac:dyDescent="0.25">
      <c r="A34" s="12">
        <v>52</v>
      </c>
      <c r="B34" s="9" t="str">
        <f>VLOOKUP(A34,'Sets (lua data)'!$A$3:$C$9838,3,FALSE)</f>
        <v>Beckoning Steel</v>
      </c>
      <c r="C34" s="9" t="str">
        <f>VLOOKUP(A34,'Sets (lua data)'!$A$3:$C$9838,2,FALSE)</f>
        <v>Klingender Stahl</v>
      </c>
    </row>
    <row r="35" spans="1:3" x14ac:dyDescent="0.25">
      <c r="A35" s="12">
        <v>53</v>
      </c>
      <c r="B35" s="9" t="str">
        <f>VLOOKUP(A35,'Sets (lua data)'!$A$3:$C$9838,3,FALSE)</f>
        <v>The Ice Furnace</v>
      </c>
      <c r="C35" s="9" t="str">
        <f>VLOOKUP(A35,'Sets (lua data)'!$A$3:$C$9838,2,FALSE)</f>
        <v>Eisschmiede</v>
      </c>
    </row>
    <row r="36" spans="1:3" x14ac:dyDescent="0.25">
      <c r="A36" s="12">
        <v>54</v>
      </c>
      <c r="B36" s="9" t="str">
        <f>VLOOKUP(A36,'Sets (lua data)'!$A$3:$C$9838,3,FALSE)</f>
        <v>Ashen Grip</v>
      </c>
      <c r="C36" s="9" t="str">
        <f>VLOOKUP(A36,'Sets (lua data)'!$A$3:$C$9838,2,FALSE)</f>
        <v>Aschengriff</v>
      </c>
    </row>
    <row r="37" spans="1:3" x14ac:dyDescent="0.25">
      <c r="A37" s="12">
        <v>55</v>
      </c>
      <c r="B37" s="9" t="str">
        <f>VLOOKUP(A37,'Sets (lua data)'!$A$3:$C$9838,3,FALSE)</f>
        <v>Prayer Shawl</v>
      </c>
      <c r="C37" s="9" t="str">
        <f>VLOOKUP(A37,'Sets (lua data)'!$A$3:$C$9838,2,FALSE)</f>
        <v>Gebetstuch</v>
      </c>
    </row>
    <row r="38" spans="1:3" x14ac:dyDescent="0.25">
      <c r="A38" s="12">
        <v>56</v>
      </c>
      <c r="B38" s="9" t="str">
        <f>VLOOKUP(A38,'Sets (lua data)'!$A$3:$C$9838,3,FALSE)</f>
        <v>Stendarr\'s Embrace</v>
      </c>
      <c r="C38" s="9" t="str">
        <f>VLOOKUP(A38,'Sets (lua data)'!$A$3:$C$9838,2,FALSE)</f>
        <v>Stendarrs Umarmung</v>
      </c>
    </row>
    <row r="39" spans="1:3" x14ac:dyDescent="0.25">
      <c r="A39" s="12">
        <v>57</v>
      </c>
      <c r="B39" s="9" t="str">
        <f>VLOOKUP(A39,'Sets (lua data)'!$A$3:$C$9838,3,FALSE)</f>
        <v>Syrabane\'s Grip</v>
      </c>
      <c r="C39" s="9" t="str">
        <f>VLOOKUP(A39,'Sets (lua data)'!$A$3:$C$9838,2,FALSE)</f>
        <v>Syrabanns Griff</v>
      </c>
    </row>
    <row r="40" spans="1:3" x14ac:dyDescent="0.25">
      <c r="A40" s="12">
        <v>58</v>
      </c>
      <c r="B40" s="9" t="str">
        <f>VLOOKUP(A40,'Sets (lua data)'!$A$3:$C$9838,3,FALSE)</f>
        <v>Hide of the Werewolf</v>
      </c>
      <c r="C40" s="9" t="str">
        <f>VLOOKUP(A40,'Sets (lua data)'!$A$3:$C$9838,2,FALSE)</f>
        <v>Fell des Werwolfs</v>
      </c>
    </row>
    <row r="41" spans="1:3" x14ac:dyDescent="0.25">
      <c r="A41" s="12">
        <v>59</v>
      </c>
      <c r="B41" s="9" t="str">
        <f>VLOOKUP(A41,'Sets (lua data)'!$A$3:$C$9838,3,FALSE)</f>
        <v>Kyne\'s Kiss</v>
      </c>
      <c r="C41" s="9" t="str">
        <f>VLOOKUP(A41,'Sets (lua data)'!$A$3:$C$9838,2,FALSE)</f>
        <v>Kynes Kuss</v>
      </c>
    </row>
    <row r="42" spans="1:3" x14ac:dyDescent="0.25">
      <c r="A42" s="12">
        <v>60</v>
      </c>
      <c r="B42" s="9" t="str">
        <f>VLOOKUP(A42,'Sets (lua data)'!$A$3:$C$9838,3,FALSE)</f>
        <v>Darkstride</v>
      </c>
      <c r="C42" s="9" t="str">
        <f>VLOOKUP(A42,'Sets (lua data)'!$A$3:$C$9838,2,FALSE)</f>
        <v>Dunkelschritt</v>
      </c>
    </row>
    <row r="43" spans="1:3" x14ac:dyDescent="0.25">
      <c r="A43" s="12">
        <v>61</v>
      </c>
      <c r="B43" s="9" t="str">
        <f>VLOOKUP(A43,'Sets (lua data)'!$A$3:$C$9838,3,FALSE)</f>
        <v>Dreugh King Slayer</v>
      </c>
      <c r="C43" s="9" t="str">
        <f>VLOOKUP(A43,'Sets (lua data)'!$A$3:$C$9838,2,FALSE)</f>
        <v>Dreughkönigsschlächter</v>
      </c>
    </row>
    <row r="44" spans="1:3" x14ac:dyDescent="0.25">
      <c r="A44" s="12">
        <v>62</v>
      </c>
      <c r="B44" s="9" t="str">
        <f>VLOOKUP(A44,'Sets (lua data)'!$A$3:$C$9838,3,FALSE)</f>
        <v>Hatchling\'s Shell</v>
      </c>
      <c r="C44" s="9" t="str">
        <f>VLOOKUP(A44,'Sets (lua data)'!$A$3:$C$9838,2,FALSE)</f>
        <v>Schlüpflingspanzer</v>
      </c>
    </row>
    <row r="45" spans="1:3" x14ac:dyDescent="0.25">
      <c r="A45" s="12">
        <v>63</v>
      </c>
      <c r="B45" s="9" t="str">
        <f>VLOOKUP(A45,'Sets (lua data)'!$A$3:$C$9838,3,FALSE)</f>
        <v>The Juggernaut</v>
      </c>
      <c r="C45" s="9" t="str">
        <f>VLOOKUP(A45,'Sets (lua data)'!$A$3:$C$9838,2,FALSE)</f>
        <v>Koloss</v>
      </c>
    </row>
    <row r="46" spans="1:3" x14ac:dyDescent="0.25">
      <c r="A46" s="12">
        <v>64</v>
      </c>
      <c r="B46" s="9" t="str">
        <f>VLOOKUP(A46,'Sets (lua data)'!$A$3:$C$9838,3,FALSE)</f>
        <v>Shadow Dancer\'s Raiment</v>
      </c>
      <c r="C46" s="9" t="str">
        <f>VLOOKUP(A46,'Sets (lua data)'!$A$3:$C$9838,2,FALSE)</f>
        <v>Kleidung des Schattentänzers</v>
      </c>
    </row>
    <row r="47" spans="1:3" x14ac:dyDescent="0.25">
      <c r="A47" s="12">
        <v>65</v>
      </c>
      <c r="B47" s="9" t="str">
        <f>VLOOKUP(A47,'Sets (lua data)'!$A$3:$C$9838,3,FALSE)</f>
        <v>Bloodthorn\'s Touch</v>
      </c>
      <c r="C47" s="9" t="str">
        <f>VLOOKUP(A47,'Sets (lua data)'!$A$3:$C$9838,2,FALSE)</f>
        <v>Spur eines Blutdorns</v>
      </c>
    </row>
    <row r="48" spans="1:3" x14ac:dyDescent="0.25">
      <c r="A48" s="12">
        <v>66</v>
      </c>
      <c r="B48" s="9" t="str">
        <f>VLOOKUP(A48,'Sets (lua data)'!$A$3:$C$9838,3,FALSE)</f>
        <v>Robes of the Hist</v>
      </c>
      <c r="C48" s="9" t="str">
        <f>VLOOKUP(A48,'Sets (lua data)'!$A$3:$C$9838,2,FALSE)</f>
        <v>Roben des Hist</v>
      </c>
    </row>
    <row r="49" spans="1:3" x14ac:dyDescent="0.25">
      <c r="A49" s="12">
        <v>67</v>
      </c>
      <c r="B49" s="9" t="str">
        <f>VLOOKUP(A49,'Sets (lua data)'!$A$3:$C$9838,3,FALSE)</f>
        <v>Shadow Walker</v>
      </c>
      <c r="C49" s="9" t="str">
        <f>VLOOKUP(A49,'Sets (lua data)'!$A$3:$C$9838,2,FALSE)</f>
        <v>Schattengänger</v>
      </c>
    </row>
    <row r="50" spans="1:3" x14ac:dyDescent="0.25">
      <c r="A50" s="12">
        <v>68</v>
      </c>
      <c r="B50" s="9" t="str">
        <f>VLOOKUP(A50,'Sets (lua data)'!$A$3:$C$9838,3,FALSE)</f>
        <v>Stygian</v>
      </c>
      <c r="C50" s="9" t="str">
        <f>VLOOKUP(A50,'Sets (lua data)'!$A$3:$C$9838,2,FALSE)</f>
        <v>Stygier</v>
      </c>
    </row>
    <row r="51" spans="1:3" x14ac:dyDescent="0.25">
      <c r="A51" s="12">
        <v>69</v>
      </c>
      <c r="B51" s="9" t="str">
        <f>VLOOKUP(A51,'Sets (lua data)'!$A$3:$C$9838,3,FALSE)</f>
        <v>Ranger\'s Gait</v>
      </c>
      <c r="C51" s="9" t="str">
        <f>VLOOKUP(A51,'Sets (lua data)'!$A$3:$C$9838,2,FALSE)</f>
        <v>Laufstil des Waldläufers</v>
      </c>
    </row>
    <row r="52" spans="1:3" x14ac:dyDescent="0.25">
      <c r="A52" s="12">
        <v>70</v>
      </c>
      <c r="B52" s="9" t="str">
        <f>VLOOKUP(A52,'Sets (lua data)'!$A$3:$C$9838,3,FALSE)</f>
        <v>Seventh Legion Brute</v>
      </c>
      <c r="C52" s="9" t="str">
        <f>VLOOKUP(A52,'Sets (lua data)'!$A$3:$C$9838,2,FALSE)</f>
        <v>Rohling der siebten Legion</v>
      </c>
    </row>
    <row r="53" spans="1:3" x14ac:dyDescent="0.25">
      <c r="A53" s="12">
        <v>71</v>
      </c>
      <c r="B53" s="9" t="str">
        <f>VLOOKUP(A53,'Sets (lua data)'!$A$3:$C$9838,3,FALSE)</f>
        <v>Durok\'s Bane</v>
      </c>
      <c r="C53" s="9" t="str">
        <f>VLOOKUP(A53,'Sets (lua data)'!$A$3:$C$9838,2,FALSE)</f>
        <v>Duroks Fluch</v>
      </c>
    </row>
    <row r="54" spans="1:3" x14ac:dyDescent="0.25">
      <c r="A54" s="12">
        <v>72</v>
      </c>
      <c r="B54" s="9" t="str">
        <f>VLOOKUP(A54,'Sets (lua data)'!$A$3:$C$9838,3,FALSE)</f>
        <v>Nikulas\' Heavy Armor</v>
      </c>
      <c r="C54" s="9" t="str">
        <f>VLOOKUP(A54,'Sets (lua data)'!$A$3:$C$9838,2,FALSE)</f>
        <v>Nikulas' schwere Rüstung</v>
      </c>
    </row>
    <row r="55" spans="1:3" x14ac:dyDescent="0.25">
      <c r="A55" s="12">
        <v>73</v>
      </c>
      <c r="B55" s="9" t="str">
        <f>VLOOKUP(A55,'Sets (lua data)'!$A$3:$C$9838,3,FALSE)</f>
        <v>Oblivion\'s Foe</v>
      </c>
      <c r="C55" s="9" t="str">
        <f>VLOOKUP(A55,'Sets (lua data)'!$A$3:$C$9838,2,FALSE)</f>
        <v>Erinnerung</v>
      </c>
    </row>
    <row r="56" spans="1:3" x14ac:dyDescent="0.25">
      <c r="A56" s="12">
        <v>74</v>
      </c>
      <c r="B56" s="9" t="str">
        <f>VLOOKUP(A56,'Sets (lua data)'!$A$3:$C$9838,3,FALSE)</f>
        <v>Spectre\'s Eye</v>
      </c>
      <c r="C56" s="9" t="str">
        <f>VLOOKUP(A56,'Sets (lua data)'!$A$3:$C$9838,2,FALSE)</f>
        <v>Schemenauge</v>
      </c>
    </row>
    <row r="57" spans="1:3" x14ac:dyDescent="0.25">
      <c r="A57" s="12">
        <v>75</v>
      </c>
      <c r="B57" s="9" t="str">
        <f>VLOOKUP(A57,'Sets (lua data)'!$A$3:$C$9838,3,FALSE)</f>
        <v>Torug\'s Pact</v>
      </c>
      <c r="C57" s="9" t="str">
        <f>VLOOKUP(A57,'Sets (lua data)'!$A$3:$C$9838,2,FALSE)</f>
        <v>Torugs Pakt</v>
      </c>
    </row>
    <row r="58" spans="1:3" x14ac:dyDescent="0.25">
      <c r="A58" s="12">
        <v>76</v>
      </c>
      <c r="B58" s="9" t="str">
        <f>VLOOKUP(A58,'Sets (lua data)'!$A$3:$C$9838,3,FALSE)</f>
        <v>Robes of Alteration Mastery</v>
      </c>
      <c r="C58" s="9" t="str">
        <f>VLOOKUP(A58,'Sets (lua data)'!$A$3:$C$9838,2,FALSE)</f>
        <v>Roben der Veränderungsbeherrschung</v>
      </c>
    </row>
    <row r="59" spans="1:3" x14ac:dyDescent="0.25">
      <c r="A59" s="12">
        <v>77</v>
      </c>
      <c r="B59" s="9" t="str">
        <f>VLOOKUP(A59,'Sets (lua data)'!$A$3:$C$9838,3,FALSE)</f>
        <v>Crusader</v>
      </c>
      <c r="C59" s="9" t="str">
        <f>VLOOKUP(A59,'Sets (lua data)'!$A$3:$C$9838,2,FALSE)</f>
        <v>Glaubenskrieger</v>
      </c>
    </row>
    <row r="60" spans="1:3" x14ac:dyDescent="0.25">
      <c r="A60" s="12">
        <v>78</v>
      </c>
      <c r="B60" s="9" t="str">
        <f>VLOOKUP(A60,'Sets (lua data)'!$A$3:$C$9838,3,FALSE)</f>
        <v>Hist Bark</v>
      </c>
      <c r="C60" s="9" t="str">
        <f>VLOOKUP(A60,'Sets (lua data)'!$A$3:$C$9838,2,FALSE)</f>
        <v>Histrinde</v>
      </c>
    </row>
    <row r="61" spans="1:3" x14ac:dyDescent="0.25">
      <c r="A61" s="12">
        <v>79</v>
      </c>
      <c r="B61" s="9" t="str">
        <f>VLOOKUP(A61,'Sets (lua data)'!$A$3:$C$9838,3,FALSE)</f>
        <v>Willow\'s Path</v>
      </c>
      <c r="C61" s="9" t="str">
        <f>VLOOKUP(A61,'Sets (lua data)'!$A$3:$C$9838,2,FALSE)</f>
        <v>Weidenpfad</v>
      </c>
    </row>
    <row r="62" spans="1:3" x14ac:dyDescent="0.25">
      <c r="A62" s="12">
        <v>80</v>
      </c>
      <c r="B62" s="9" t="str">
        <f>VLOOKUP(A62,'Sets (lua data)'!$A$3:$C$9838,3,FALSE)</f>
        <v>Hunding\'s Rage</v>
      </c>
      <c r="C62" s="9" t="str">
        <f>VLOOKUP(A62,'Sets (lua data)'!$A$3:$C$9838,2,FALSE)</f>
        <v>Hundings Zorn</v>
      </c>
    </row>
    <row r="63" spans="1:3" x14ac:dyDescent="0.25">
      <c r="A63" s="12">
        <v>81</v>
      </c>
      <c r="B63" s="9" t="str">
        <f>VLOOKUP(A63,'Sets (lua data)'!$A$3:$C$9838,3,FALSE)</f>
        <v>Song of Lamae</v>
      </c>
      <c r="C63" s="9" t="str">
        <f>VLOOKUP(A63,'Sets (lua data)'!$A$3:$C$9838,2,FALSE)</f>
        <v>Lied der Lamien</v>
      </c>
    </row>
    <row r="64" spans="1:3" x14ac:dyDescent="0.25">
      <c r="A64" s="12">
        <v>82</v>
      </c>
      <c r="B64" s="9" t="str">
        <f>VLOOKUP(A64,'Sets (lua data)'!$A$3:$C$9838,3,FALSE)</f>
        <v>Alessia\'s Bulwark</v>
      </c>
      <c r="C64" s="9" t="str">
        <f>VLOOKUP(A64,'Sets (lua data)'!$A$3:$C$9838,2,FALSE)</f>
        <v>Alessias Bollwerk</v>
      </c>
    </row>
    <row r="65" spans="1:3" x14ac:dyDescent="0.25">
      <c r="A65" s="12">
        <v>83</v>
      </c>
      <c r="B65" s="9" t="str">
        <f>VLOOKUP(A65,'Sets (lua data)'!$A$3:$C$9838,3,FALSE)</f>
        <v>Elf Bane</v>
      </c>
      <c r="C65" s="9" t="str">
        <f>VLOOKUP(A65,'Sets (lua data)'!$A$3:$C$9838,2,FALSE)</f>
        <v>Elfenfluch</v>
      </c>
    </row>
    <row r="66" spans="1:3" x14ac:dyDescent="0.25">
      <c r="A66" s="12">
        <v>84</v>
      </c>
      <c r="B66" s="9" t="str">
        <f>VLOOKUP(A66,'Sets (lua data)'!$A$3:$C$9838,3,FALSE)</f>
        <v>Orgnum\'s Scales</v>
      </c>
      <c r="C66" s="9" t="str">
        <f>VLOOKUP(A66,'Sets (lua data)'!$A$3:$C$9838,2,FALSE)</f>
        <v>Orgnums Schuppen</v>
      </c>
    </row>
    <row r="67" spans="1:3" x14ac:dyDescent="0.25">
      <c r="A67" s="12">
        <v>85</v>
      </c>
      <c r="B67" s="9" t="str">
        <f>VLOOKUP(A67,'Sets (lua data)'!$A$3:$C$9838,3,FALSE)</f>
        <v>Almalexia\'s Mercy</v>
      </c>
      <c r="C67" s="9" t="str">
        <f>VLOOKUP(A67,'Sets (lua data)'!$A$3:$C$9838,2,FALSE)</f>
        <v>Almalexias Gnade</v>
      </c>
    </row>
    <row r="68" spans="1:3" x14ac:dyDescent="0.25">
      <c r="A68" s="12">
        <v>86</v>
      </c>
      <c r="B68" s="9" t="str">
        <f>VLOOKUP(A68,'Sets (lua data)'!$A$3:$C$9838,3,FALSE)</f>
        <v>Queen\'s Elegance</v>
      </c>
      <c r="C68" s="9" t="str">
        <f>VLOOKUP(A68,'Sets (lua data)'!$A$3:$C$9838,2,FALSE)</f>
        <v>Eleganz der Königin</v>
      </c>
    </row>
    <row r="69" spans="1:3" x14ac:dyDescent="0.25">
      <c r="A69" s="12">
        <v>87</v>
      </c>
      <c r="B69" s="9" t="str">
        <f>VLOOKUP(A69,'Sets (lua data)'!$A$3:$C$9838,3,FALSE)</f>
        <v>Eyes of Mara</v>
      </c>
      <c r="C69" s="9" t="str">
        <f>VLOOKUP(A69,'Sets (lua data)'!$A$3:$C$9838,2,FALSE)</f>
        <v>Augen von Mara</v>
      </c>
    </row>
    <row r="70" spans="1:3" x14ac:dyDescent="0.25">
      <c r="A70" s="12">
        <v>88</v>
      </c>
      <c r="B70" s="9" t="str">
        <f>VLOOKUP(A70,'Sets (lua data)'!$A$3:$C$9838,3,FALSE)</f>
        <v>Robes of Destruction Mastery</v>
      </c>
      <c r="C70" s="9" t="str">
        <f>VLOOKUP(A70,'Sets (lua data)'!$A$3:$C$9838,2,FALSE)</f>
        <v>Roben der Zerstörungsbeherrschung</v>
      </c>
    </row>
    <row r="71" spans="1:3" x14ac:dyDescent="0.25">
      <c r="A71" s="12">
        <v>89</v>
      </c>
      <c r="B71" s="9" t="str">
        <f>VLOOKUP(A71,'Sets (lua data)'!$A$3:$C$9838,3,FALSE)</f>
        <v>Sentry</v>
      </c>
      <c r="C71" s="9" t="str">
        <f>VLOOKUP(A71,'Sets (lua data)'!$A$3:$C$9838,2,FALSE)</f>
        <v>Wachposten</v>
      </c>
    </row>
    <row r="72" spans="1:3" x14ac:dyDescent="0.25">
      <c r="A72" s="12">
        <v>90</v>
      </c>
      <c r="B72" s="9" t="str">
        <f>VLOOKUP(A72,'Sets (lua data)'!$A$3:$C$9838,3,FALSE)</f>
        <v>Senche\'s Bite</v>
      </c>
      <c r="C72" s="9" t="str">
        <f>VLOOKUP(A72,'Sets (lua data)'!$A$3:$C$9838,2,FALSE)</f>
        <v>Biss des Senche</v>
      </c>
    </row>
    <row r="73" spans="1:3" x14ac:dyDescent="0.25">
      <c r="A73" s="12">
        <v>91</v>
      </c>
      <c r="B73" s="9" t="str">
        <f>VLOOKUP(A73,'Sets (lua data)'!$A$3:$C$9838,3,FALSE)</f>
        <v>Oblivion\'s Edge</v>
      </c>
      <c r="C73" s="9" t="str">
        <f>VLOOKUP(A73,'Sets (lua data)'!$A$3:$C$9838,2,FALSE)</f>
        <v>Vorteil des Vergessens</v>
      </c>
    </row>
    <row r="74" spans="1:3" x14ac:dyDescent="0.25">
      <c r="A74" s="12">
        <v>92</v>
      </c>
      <c r="B74" s="9" t="str">
        <f>VLOOKUP(A74,'Sets (lua data)'!$A$3:$C$9838,3,FALSE)</f>
        <v>Kagrenac\'s Hope</v>
      </c>
      <c r="C74" s="9" t="str">
        <f>VLOOKUP(A74,'Sets (lua data)'!$A$3:$C$9838,2,FALSE)</f>
        <v>Kagrenacs Hoffnung</v>
      </c>
    </row>
    <row r="75" spans="1:3" x14ac:dyDescent="0.25">
      <c r="A75" s="12">
        <v>93</v>
      </c>
      <c r="B75" s="9" t="str">
        <f>VLOOKUP(A75,'Sets (lua data)'!$A$3:$C$9838,3,FALSE)</f>
        <v>Storm Knight\'s Plate</v>
      </c>
      <c r="C75" s="9" t="str">
        <f>VLOOKUP(A75,'Sets (lua data)'!$A$3:$C$9838,2,FALSE)</f>
        <v>Wut des Sturmritters</v>
      </c>
    </row>
    <row r="76" spans="1:3" x14ac:dyDescent="0.25">
      <c r="A76" s="12">
        <v>94</v>
      </c>
      <c r="B76" s="9" t="str">
        <f>VLOOKUP(A76,'Sets (lua data)'!$A$3:$C$9838,3,FALSE)</f>
        <v>Meridia\'s Blessed Armor</v>
      </c>
      <c r="C76" s="9" t="str">
        <f>VLOOKUP(A76,'Sets (lua data)'!$A$3:$C$9838,2,FALSE)</f>
        <v>Meridias gesegnete Rüstung</v>
      </c>
    </row>
    <row r="77" spans="1:3" x14ac:dyDescent="0.25">
      <c r="A77" s="12">
        <v>95</v>
      </c>
      <c r="B77" s="9" t="str">
        <f>VLOOKUP(A77,'Sets (lua data)'!$A$3:$C$9838,3,FALSE)</f>
        <v>Shalidor\'s Curse</v>
      </c>
      <c r="C77" s="9" t="str">
        <f>VLOOKUP(A77,'Sets (lua data)'!$A$3:$C$9838,2,FALSE)</f>
        <v>Shalidors Fluch</v>
      </c>
    </row>
    <row r="78" spans="1:3" x14ac:dyDescent="0.25">
      <c r="A78" s="12">
        <v>96</v>
      </c>
      <c r="B78" s="9" t="str">
        <f>VLOOKUP(A78,'Sets (lua data)'!$A$3:$C$9838,3,FALSE)</f>
        <v>Armor of Truth</v>
      </c>
      <c r="C78" s="9" t="str">
        <f>VLOOKUP(A78,'Sets (lua data)'!$A$3:$C$9838,2,FALSE)</f>
        <v>Rüstung der Wahrheit</v>
      </c>
    </row>
    <row r="79" spans="1:3" x14ac:dyDescent="0.25">
      <c r="A79" s="12">
        <v>97</v>
      </c>
      <c r="B79" s="9" t="str">
        <f>VLOOKUP(A79,'Sets (lua data)'!$A$3:$C$9838,3,FALSE)</f>
        <v>The Arch-Mage</v>
      </c>
      <c r="C79" s="9" t="str">
        <f>VLOOKUP(A79,'Sets (lua data)'!$A$3:$C$9838,2,FALSE)</f>
        <v>Erzmagier</v>
      </c>
    </row>
    <row r="80" spans="1:3" x14ac:dyDescent="0.25">
      <c r="A80" s="12">
        <v>98</v>
      </c>
      <c r="B80" s="9" t="str">
        <f>VLOOKUP(A80,'Sets (lua data)'!$A$3:$C$9838,3,FALSE)</f>
        <v>Necropotence</v>
      </c>
      <c r="C80" s="9" t="str">
        <f>VLOOKUP(A80,'Sets (lua data)'!$A$3:$C$9838,2,FALSE)</f>
        <v>Nekropotenz</v>
      </c>
    </row>
    <row r="81" spans="1:3" x14ac:dyDescent="0.25">
      <c r="A81" s="12">
        <v>99</v>
      </c>
      <c r="B81" s="9" t="str">
        <f>VLOOKUP(A81,'Sets (lua data)'!$A$3:$C$9838,3,FALSE)</f>
        <v>Salvation</v>
      </c>
      <c r="C81" s="9" t="str">
        <f>VLOOKUP(A81,'Sets (lua data)'!$A$3:$C$9838,2,FALSE)</f>
        <v>Erlösung</v>
      </c>
    </row>
    <row r="82" spans="1:3" x14ac:dyDescent="0.25">
      <c r="A82" s="12">
        <v>100</v>
      </c>
      <c r="B82" s="9" t="str">
        <f>VLOOKUP(A82,'Sets (lua data)'!$A$3:$C$9838,3,FALSE)</f>
        <v>Hawk\'s Eye</v>
      </c>
      <c r="C82" s="9" t="str">
        <f>VLOOKUP(A82,'Sets (lua data)'!$A$3:$C$9838,2,FALSE)</f>
        <v>Falkenauge</v>
      </c>
    </row>
    <row r="83" spans="1:3" x14ac:dyDescent="0.25">
      <c r="A83" s="12">
        <v>101</v>
      </c>
      <c r="B83" s="9" t="str">
        <f>VLOOKUP(A83,'Sets (lua data)'!$A$3:$C$9838,3,FALSE)</f>
        <v>Affliction</v>
      </c>
      <c r="C83" s="9" t="str">
        <f>VLOOKUP(A83,'Sets (lua data)'!$A$3:$C$9838,2,FALSE)</f>
        <v>Elend (Befallen)</v>
      </c>
    </row>
    <row r="84" spans="1:3" x14ac:dyDescent="0.25">
      <c r="A84" s="12">
        <v>102</v>
      </c>
      <c r="B84" s="9" t="str">
        <f>VLOOKUP(A84,'Sets (lua data)'!$A$3:$C$9838,3,FALSE)</f>
        <v>Duneripper\'s Scales</v>
      </c>
      <c r="C84" s="9" t="str">
        <f>VLOOKUP(A84,'Sets (lua data)'!$A$3:$C$9838,2,FALSE)</f>
        <v>Schuppen des Dünenbrechers</v>
      </c>
    </row>
    <row r="85" spans="1:3" x14ac:dyDescent="0.25">
      <c r="A85" s="12">
        <v>103</v>
      </c>
      <c r="B85" s="9" t="str">
        <f>VLOOKUP(A85,'Sets (lua data)'!$A$3:$C$9838,3,FALSE)</f>
        <v>Magicka Furnace</v>
      </c>
      <c r="C85" s="9" t="str">
        <f>VLOOKUP(A85,'Sets (lua data)'!$A$3:$C$9838,2,FALSE)</f>
        <v>Magickaschmiede</v>
      </c>
    </row>
    <row r="86" spans="1:3" x14ac:dyDescent="0.25">
      <c r="A86" s="12">
        <v>104</v>
      </c>
      <c r="B86" s="9" t="str">
        <f>VLOOKUP(A86,'Sets (lua data)'!$A$3:$C$9838,3,FALSE)</f>
        <v>Curse Eater</v>
      </c>
      <c r="C86" s="9" t="str">
        <f>VLOOKUP(A86,'Sets (lua data)'!$A$3:$C$9838,2,FALSE)</f>
        <v>Fluchfresser</v>
      </c>
    </row>
    <row r="87" spans="1:3" x14ac:dyDescent="0.25">
      <c r="A87" s="12">
        <v>105</v>
      </c>
      <c r="B87" s="9" t="str">
        <f>VLOOKUP(A87,'Sets (lua data)'!$A$3:$C$9838,3,FALSE)</f>
        <v>Twin Sisters</v>
      </c>
      <c r="C87" s="9" t="str">
        <f>VLOOKUP(A87,'Sets (lua data)'!$A$3:$C$9838,2,FALSE)</f>
        <v>Zwillingsschwestern</v>
      </c>
    </row>
    <row r="88" spans="1:3" x14ac:dyDescent="0.25">
      <c r="A88" s="12">
        <v>106</v>
      </c>
      <c r="B88" s="9" t="str">
        <f>VLOOKUP(A88,'Sets (lua data)'!$A$3:$C$9838,3,FALSE)</f>
        <v>Wilderqueen\'s Arch</v>
      </c>
      <c r="C88" s="9" t="str">
        <f>VLOOKUP(A88,'Sets (lua data)'!$A$3:$C$9838,2,FALSE)</f>
        <v>Bogen der Wildkönigin</v>
      </c>
    </row>
    <row r="89" spans="1:3" x14ac:dyDescent="0.25">
      <c r="A89" s="12">
        <v>107</v>
      </c>
      <c r="B89" s="9" t="str">
        <f>VLOOKUP(A89,'Sets (lua data)'!$A$3:$C$9838,3,FALSE)</f>
        <v>Wyrd Tree\'s Blessing</v>
      </c>
      <c r="C89" s="9" t="str">
        <f>VLOOKUP(A89,'Sets (lua data)'!$A$3:$C$9838,2,FALSE)</f>
        <v>Segen des Wyrdbaums</v>
      </c>
    </row>
    <row r="90" spans="1:3" x14ac:dyDescent="0.25">
      <c r="A90" s="12">
        <v>108</v>
      </c>
      <c r="B90" s="9" t="str">
        <f>VLOOKUP(A90,'Sets (lua data)'!$A$3:$C$9838,3,FALSE)</f>
        <v>Ravager</v>
      </c>
      <c r="C90" s="9" t="str">
        <f>VLOOKUP(A90,'Sets (lua data)'!$A$3:$C$9838,2,FALSE)</f>
        <v>Verwüster</v>
      </c>
    </row>
    <row r="91" spans="1:3" x14ac:dyDescent="0.25">
      <c r="A91" s="12">
        <v>109</v>
      </c>
      <c r="B91" s="9" t="str">
        <f>VLOOKUP(A91,'Sets (lua data)'!$A$3:$C$9838,3,FALSE)</f>
        <v>Light of Cyrodiil</v>
      </c>
      <c r="C91" s="9" t="str">
        <f>VLOOKUP(A91,'Sets (lua data)'!$A$3:$C$9838,2,FALSE)</f>
        <v>Licht von Cyrodiil</v>
      </c>
    </row>
    <row r="92" spans="1:3" x14ac:dyDescent="0.25">
      <c r="A92" s="12">
        <v>110</v>
      </c>
      <c r="B92" s="9" t="str">
        <f>VLOOKUP(A92,'Sets (lua data)'!$A$3:$C$9838,3,FALSE)</f>
        <v>Sanctuary</v>
      </c>
      <c r="C92" s="9" t="str">
        <f>VLOOKUP(A92,'Sets (lua data)'!$A$3:$C$9838,2,FALSE)</f>
        <v>Heiligtum</v>
      </c>
    </row>
    <row r="93" spans="1:3" x14ac:dyDescent="0.25">
      <c r="A93" s="12">
        <v>111</v>
      </c>
      <c r="B93" s="9" t="str">
        <f>VLOOKUP(A93,'Sets (lua data)'!$A$3:$C$9838,3,FALSE)</f>
        <v>Ward of Cyrodiil</v>
      </c>
      <c r="C93" s="9" t="str">
        <f>VLOOKUP(A93,'Sets (lua data)'!$A$3:$C$9838,2,FALSE)</f>
        <v>Schutz von Cyrodiil</v>
      </c>
    </row>
    <row r="94" spans="1:3" x14ac:dyDescent="0.25">
      <c r="A94" s="12">
        <v>112</v>
      </c>
      <c r="B94" s="9" t="str">
        <f>VLOOKUP(A94,'Sets (lua data)'!$A$3:$C$9838,3,FALSE)</f>
        <v>Night Terror</v>
      </c>
      <c r="C94" s="9" t="str">
        <f>VLOOKUP(A94,'Sets (lua data)'!$A$3:$C$9838,2,FALSE)</f>
        <v>Nachtschrecken</v>
      </c>
    </row>
    <row r="95" spans="1:3" x14ac:dyDescent="0.25">
      <c r="A95" s="12">
        <v>113</v>
      </c>
      <c r="B95" s="9" t="str">
        <f>VLOOKUP(A95,'Sets (lua data)'!$A$3:$C$9838,3,FALSE)</f>
        <v>Crest of Cyrodiil</v>
      </c>
      <c r="C95" s="9" t="str">
        <f>VLOOKUP(A95,'Sets (lua data)'!$A$3:$C$9838,2,FALSE)</f>
        <v>Wappen von Cyrodiil</v>
      </c>
    </row>
    <row r="96" spans="1:3" x14ac:dyDescent="0.25">
      <c r="A96" s="12">
        <v>114</v>
      </c>
      <c r="B96" s="9" t="str">
        <f>VLOOKUP(A96,'Sets (lua data)'!$A$3:$C$9838,3,FALSE)</f>
        <v>Soulshine</v>
      </c>
      <c r="C96" s="9" t="str">
        <f>VLOOKUP(A96,'Sets (lua data)'!$A$3:$C$9838,2,FALSE)</f>
        <v>Seelenschein</v>
      </c>
    </row>
    <row r="97" spans="1:3" x14ac:dyDescent="0.25">
      <c r="A97" s="12">
        <v>116</v>
      </c>
      <c r="B97" s="9" t="str">
        <f>VLOOKUP(A97,'Sets (lua data)'!$A$3:$C$9838,3,FALSE)</f>
        <v>The Destruction Suite</v>
      </c>
      <c r="C97" s="9" t="str">
        <f>VLOOKUP(A97,'Sets (lua data)'!$A$3:$C$9838,2,FALSE)</f>
        <v>Garnitur der Zerstörung</v>
      </c>
    </row>
    <row r="98" spans="1:3" x14ac:dyDescent="0.25">
      <c r="A98" s="12">
        <v>117</v>
      </c>
      <c r="B98" s="9" t="str">
        <f>VLOOKUP(A98,'Sets (lua data)'!$A$3:$C$9838,3,FALSE)</f>
        <v>Relics of the Physician, Ansur</v>
      </c>
      <c r="C98" s="9" t="str">
        <f>VLOOKUP(A98,'Sets (lua data)'!$A$3:$C$9838,2,FALSE)</f>
        <v>Relikte des Mediziners Ansur</v>
      </c>
    </row>
    <row r="99" spans="1:3" x14ac:dyDescent="0.25">
      <c r="A99" s="12">
        <v>118</v>
      </c>
      <c r="B99" s="9" t="str">
        <f>VLOOKUP(A99,'Sets (lua data)'!$A$3:$C$9838,3,FALSE)</f>
        <v>Treasures of the Earthforge</v>
      </c>
      <c r="C99" s="9" t="str">
        <f>VLOOKUP(A99,'Sets (lua data)'!$A$3:$C$9838,2,FALSE)</f>
        <v>Schätze der Erdenschmiede</v>
      </c>
    </row>
    <row r="100" spans="1:3" x14ac:dyDescent="0.25">
      <c r="A100" s="12">
        <v>119</v>
      </c>
      <c r="B100" s="9" t="str">
        <f>VLOOKUP(A100,'Sets (lua data)'!$A$3:$C$9838,3,FALSE)</f>
        <v>Relics of the Rebellion</v>
      </c>
      <c r="C100" s="9" t="str">
        <f>VLOOKUP(A100,'Sets (lua data)'!$A$3:$C$9838,2,FALSE)</f>
        <v>Relikte der Rebellion</v>
      </c>
    </row>
    <row r="101" spans="1:3" x14ac:dyDescent="0.25">
      <c r="A101" s="12">
        <v>120</v>
      </c>
      <c r="B101" s="9" t="str">
        <f>VLOOKUP(A101,'Sets (lua data)'!$A$3:$C$9838,3,FALSE)</f>
        <v>Arms of Infernace</v>
      </c>
      <c r="C101" s="9" t="str">
        <f>VLOOKUP(A101,'Sets (lua data)'!$A$3:$C$9838,2,FALSE)</f>
        <v>Waffen Infernals</v>
      </c>
    </row>
    <row r="102" spans="1:3" x14ac:dyDescent="0.25">
      <c r="A102" s="12">
        <v>121</v>
      </c>
      <c r="B102" s="9" t="str">
        <f>VLOOKUP(A102,'Sets (lua data)'!$A$3:$C$9838,3,FALSE)</f>
        <v>Arms of the Ancestors</v>
      </c>
      <c r="C102" s="9" t="str">
        <f>VLOOKUP(A102,'Sets (lua data)'!$A$3:$C$9838,2,FALSE)</f>
        <v>Waffen der Ahnen</v>
      </c>
    </row>
    <row r="103" spans="1:3" x14ac:dyDescent="0.25">
      <c r="A103" s="12">
        <v>122</v>
      </c>
      <c r="B103" s="9" t="str">
        <f>VLOOKUP(A103,'Sets (lua data)'!$A$3:$C$9838,3,FALSE)</f>
        <v>Ebon Armory</v>
      </c>
      <c r="C103" s="9" t="str">
        <f>VLOOKUP(A103,'Sets (lua data)'!$A$3:$C$9838,2,FALSE)</f>
        <v>Ebenerzarsenal</v>
      </c>
    </row>
    <row r="104" spans="1:3" x14ac:dyDescent="0.25">
      <c r="A104" s="12">
        <v>123</v>
      </c>
      <c r="B104" s="9" t="str">
        <f>VLOOKUP(A104,'Sets (lua data)'!$A$3:$C$9838,3,FALSE)</f>
        <v>Hircine\'s Veneer</v>
      </c>
      <c r="C104" s="9" t="str">
        <f>VLOOKUP(A104,'Sets (lua data)'!$A$3:$C$9838,2,FALSE)</f>
        <v>Hircines Schein</v>
      </c>
    </row>
    <row r="105" spans="1:3" x14ac:dyDescent="0.25">
      <c r="A105" s="12">
        <v>124</v>
      </c>
      <c r="B105" s="9" t="str">
        <f>VLOOKUP(A105,'Sets (lua data)'!$A$3:$C$9838,3,FALSE)</f>
        <v>The Worm\'s Raiment</v>
      </c>
      <c r="C105" s="9" t="str">
        <f>VLOOKUP(A105,'Sets (lua data)'!$A$3:$C$9838,2,FALSE)</f>
        <v>Garderobe des Wurms</v>
      </c>
    </row>
    <row r="106" spans="1:3" x14ac:dyDescent="0.25">
      <c r="A106" s="12">
        <v>125</v>
      </c>
      <c r="B106" s="9" t="str">
        <f>VLOOKUP(A106,'Sets (lua data)'!$A$3:$C$9838,3,FALSE)</f>
        <v>Wrath of the Imperium</v>
      </c>
      <c r="C106" s="9" t="str">
        <f>VLOOKUP(A106,'Sets (lua data)'!$A$3:$C$9838,2,FALSE)</f>
        <v>Zorn des Kaiserreichs</v>
      </c>
    </row>
    <row r="107" spans="1:3" x14ac:dyDescent="0.25">
      <c r="A107" s="12">
        <v>126</v>
      </c>
      <c r="B107" s="9" t="str">
        <f>VLOOKUP(A107,'Sets (lua data)'!$A$3:$C$9838,3,FALSE)</f>
        <v>Grace of the Ancients</v>
      </c>
      <c r="C107" s="9" t="str">
        <f>VLOOKUP(A107,'Sets (lua data)'!$A$3:$C$9838,2,FALSE)</f>
        <v>Anmut der Ahnen</v>
      </c>
    </row>
    <row r="108" spans="1:3" x14ac:dyDescent="0.25">
      <c r="A108" s="12">
        <v>127</v>
      </c>
      <c r="B108" s="9" t="str">
        <f>VLOOKUP(A108,'Sets (lua data)'!$A$3:$C$9838,3,FALSE)</f>
        <v>Deadly Strike</v>
      </c>
      <c r="C108" s="9" t="str">
        <f>VLOOKUP(A108,'Sets (lua data)'!$A$3:$C$9838,2,FALSE)</f>
        <v>Tödlicher Stoß</v>
      </c>
    </row>
    <row r="109" spans="1:3" x14ac:dyDescent="0.25">
      <c r="A109" s="12">
        <v>128</v>
      </c>
      <c r="B109" s="9" t="str">
        <f>VLOOKUP(A109,'Sets (lua data)'!$A$3:$C$9838,3,FALSE)</f>
        <v>Blessing of the Potentates</v>
      </c>
      <c r="C109" s="9" t="str">
        <f>VLOOKUP(A109,'Sets (lua data)'!$A$3:$C$9838,2,FALSE)</f>
        <v>Segen des Potentaten</v>
      </c>
    </row>
    <row r="110" spans="1:3" x14ac:dyDescent="0.25">
      <c r="A110" s="12">
        <v>129</v>
      </c>
      <c r="B110" s="9" t="str">
        <f>VLOOKUP(A110,'Sets (lua data)'!$A$3:$C$9838,3,FALSE)</f>
        <v>Vengeance Leech</v>
      </c>
      <c r="C110" s="9" t="str">
        <f>VLOOKUP(A110,'Sets (lua data)'!$A$3:$C$9838,2,FALSE)</f>
        <v>Saugende Vergeltung</v>
      </c>
    </row>
    <row r="111" spans="1:3" x14ac:dyDescent="0.25">
      <c r="A111" s="12">
        <v>130</v>
      </c>
      <c r="B111" s="9" t="str">
        <f>VLOOKUP(A111,'Sets (lua data)'!$A$3:$C$9838,3,FALSE)</f>
        <v>Eagle Eye</v>
      </c>
      <c r="C111" s="9" t="str">
        <f>VLOOKUP(A111,'Sets (lua data)'!$A$3:$C$9838,2,FALSE)</f>
        <v>Adlerauge</v>
      </c>
    </row>
    <row r="112" spans="1:3" x14ac:dyDescent="0.25">
      <c r="A112" s="12">
        <v>131</v>
      </c>
      <c r="B112" s="9" t="str">
        <f>VLOOKUP(A112,'Sets (lua data)'!$A$3:$C$9838,3,FALSE)</f>
        <v>Bastion of the Heartland</v>
      </c>
      <c r="C112" s="9" t="str">
        <f>VLOOKUP(A112,'Sets (lua data)'!$A$3:$C$9838,2,FALSE)</f>
        <v>Bastion des Herzlandes</v>
      </c>
    </row>
    <row r="113" spans="1:3" x14ac:dyDescent="0.25">
      <c r="A113" s="12">
        <v>132</v>
      </c>
      <c r="B113" s="9" t="str">
        <f>VLOOKUP(A113,'Sets (lua data)'!$A$3:$C$9838,3,FALSE)</f>
        <v>Shield of the Valiant</v>
      </c>
      <c r="C113" s="9" t="str">
        <f>VLOOKUP(A113,'Sets (lua data)'!$A$3:$C$9838,2,FALSE)</f>
        <v>Schild des Tapferen</v>
      </c>
    </row>
    <row r="114" spans="1:3" x14ac:dyDescent="0.25">
      <c r="A114" s="12">
        <v>133</v>
      </c>
      <c r="B114" s="9" t="str">
        <f>VLOOKUP(A114,'Sets (lua data)'!$A$3:$C$9838,3,FALSE)</f>
        <v>Buffer of the Swift</v>
      </c>
      <c r="C114" s="9" t="str">
        <f>VLOOKUP(A114,'Sets (lua data)'!$A$3:$C$9838,2,FALSE)</f>
        <v>Dämpfer des Geschwinden</v>
      </c>
    </row>
    <row r="115" spans="1:3" x14ac:dyDescent="0.25">
      <c r="A115" s="12">
        <v>134</v>
      </c>
      <c r="B115" s="9" t="str">
        <f>VLOOKUP(A115,'Sets (lua data)'!$A$3:$C$9838,3,FALSE)</f>
        <v>Shroud of the Lich</v>
      </c>
      <c r="C115" s="9" t="str">
        <f>VLOOKUP(A115,'Sets (lua data)'!$A$3:$C$9838,2,FALSE)</f>
        <v>Tuch des Lich</v>
      </c>
    </row>
    <row r="116" spans="1:3" x14ac:dyDescent="0.25">
      <c r="A116" s="12">
        <v>135</v>
      </c>
      <c r="B116" s="9" t="str">
        <f>VLOOKUP(A116,'Sets (lua data)'!$A$3:$C$9838,3,FALSE)</f>
        <v>Draugr\'s Heritage</v>
      </c>
      <c r="C116" s="9" t="str">
        <f>VLOOKUP(A116,'Sets (lua data)'!$A$3:$C$9838,2,FALSE)</f>
        <v>Erbe des Draugrs</v>
      </c>
    </row>
    <row r="117" spans="1:3" x14ac:dyDescent="0.25">
      <c r="A117" s="12">
        <v>136</v>
      </c>
      <c r="B117" s="9" t="str">
        <f>VLOOKUP(A117,'Sets (lua data)'!$A$3:$C$9838,3,FALSE)</f>
        <v>Immortal Warrior</v>
      </c>
      <c r="C117" s="9" t="str">
        <f>VLOOKUP(A117,'Sets (lua data)'!$A$3:$C$9838,2,FALSE)</f>
        <v>Unsterblicher Krieger</v>
      </c>
    </row>
    <row r="118" spans="1:3" x14ac:dyDescent="0.25">
      <c r="A118" s="12">
        <v>137</v>
      </c>
      <c r="B118" s="9" t="str">
        <f>VLOOKUP(A118,'Sets (lua data)'!$A$3:$C$9838,3,FALSE)</f>
        <v>Berserking Warrior</v>
      </c>
      <c r="C118" s="9" t="str">
        <f>VLOOKUP(A118,'Sets (lua data)'!$A$3:$C$9838,2,FALSE)</f>
        <v>Tobender Krieger</v>
      </c>
    </row>
    <row r="119" spans="1:3" x14ac:dyDescent="0.25">
      <c r="A119" s="12">
        <v>138</v>
      </c>
      <c r="B119" s="9" t="str">
        <f>VLOOKUP(A119,'Sets (lua data)'!$A$3:$C$9838,3,FALSE)</f>
        <v>Defending Warrior</v>
      </c>
      <c r="C119" s="9" t="str">
        <f>VLOOKUP(A119,'Sets (lua data)'!$A$3:$C$9838,2,FALSE)</f>
        <v>Verteidigender Krieger</v>
      </c>
    </row>
    <row r="120" spans="1:3" x14ac:dyDescent="0.25">
      <c r="A120" s="12">
        <v>139</v>
      </c>
      <c r="B120" s="9" t="str">
        <f>VLOOKUP(A120,'Sets (lua data)'!$A$3:$C$9838,3,FALSE)</f>
        <v>Wise Mage</v>
      </c>
      <c r="C120" s="9" t="str">
        <f>VLOOKUP(A120,'Sets (lua data)'!$A$3:$C$9838,2,FALSE)</f>
        <v>Weiser Magier</v>
      </c>
    </row>
    <row r="121" spans="1:3" x14ac:dyDescent="0.25">
      <c r="A121" s="12">
        <v>140</v>
      </c>
      <c r="B121" s="9" t="str">
        <f>VLOOKUP(A121,'Sets (lua data)'!$A$3:$C$9838,3,FALSE)</f>
        <v>Destructive Mage</v>
      </c>
      <c r="C121" s="9" t="str">
        <f>VLOOKUP(A121,'Sets (lua data)'!$A$3:$C$9838,2,FALSE)</f>
        <v>Zerstörerischer Magier</v>
      </c>
    </row>
    <row r="122" spans="1:3" x14ac:dyDescent="0.25">
      <c r="A122" s="12">
        <v>141</v>
      </c>
      <c r="B122" s="9" t="str">
        <f>VLOOKUP(A122,'Sets (lua data)'!$A$3:$C$9838,3,FALSE)</f>
        <v>Healing Mage</v>
      </c>
      <c r="C122" s="9" t="str">
        <f>VLOOKUP(A122,'Sets (lua data)'!$A$3:$C$9838,2,FALSE)</f>
        <v>Heilender Magier</v>
      </c>
    </row>
    <row r="123" spans="1:3" x14ac:dyDescent="0.25">
      <c r="A123" s="12">
        <v>142</v>
      </c>
      <c r="B123" s="9" t="str">
        <f>VLOOKUP(A123,'Sets (lua data)'!$A$3:$C$9838,3,FALSE)</f>
        <v>Quick Serpent</v>
      </c>
      <c r="C123" s="9" t="str">
        <f>VLOOKUP(A123,'Sets (lua data)'!$A$3:$C$9838,2,FALSE)</f>
        <v>Flinke Schlange</v>
      </c>
    </row>
    <row r="124" spans="1:3" x14ac:dyDescent="0.25">
      <c r="A124" s="12">
        <v>143</v>
      </c>
      <c r="B124" s="9" t="str">
        <f>VLOOKUP(A124,'Sets (lua data)'!$A$3:$C$9838,3,FALSE)</f>
        <v>Poisonous Serpent</v>
      </c>
      <c r="C124" s="9" t="str">
        <f>VLOOKUP(A124,'Sets (lua data)'!$A$3:$C$9838,2,FALSE)</f>
        <v>Giftschlange</v>
      </c>
    </row>
    <row r="125" spans="1:3" x14ac:dyDescent="0.25">
      <c r="A125" s="12">
        <v>144</v>
      </c>
      <c r="B125" s="9" t="str">
        <f>VLOOKUP(A125,'Sets (lua data)'!$A$3:$C$9838,3,FALSE)</f>
        <v>Twice-Fanged Serpent</v>
      </c>
      <c r="C125" s="9" t="str">
        <f>VLOOKUP(A125,'Sets (lua data)'!$A$3:$C$9838,2,FALSE)</f>
        <v>Doppelzüngige Schlange</v>
      </c>
    </row>
    <row r="126" spans="1:3" x14ac:dyDescent="0.25">
      <c r="A126" s="12">
        <v>145</v>
      </c>
      <c r="B126" s="9" t="str">
        <f>VLOOKUP(A126,'Sets (lua data)'!$A$3:$C$9838,3,FALSE)</f>
        <v>Way of Fire</v>
      </c>
      <c r="C126" s="9" t="str">
        <f>VLOOKUP(A126,'Sets (lua data)'!$A$3:$C$9838,2,FALSE)</f>
        <v>Weg des Feuers</v>
      </c>
    </row>
    <row r="127" spans="1:3" x14ac:dyDescent="0.25">
      <c r="A127" s="12">
        <v>146</v>
      </c>
      <c r="B127" s="9" t="str">
        <f>VLOOKUP(A127,'Sets (lua data)'!$A$3:$C$9838,3,FALSE)</f>
        <v>Way of Air</v>
      </c>
      <c r="C127" s="9" t="str">
        <f>VLOOKUP(A127,'Sets (lua data)'!$A$3:$C$9838,2,FALSE)</f>
        <v>Weg der Luft</v>
      </c>
    </row>
    <row r="128" spans="1:3" x14ac:dyDescent="0.25">
      <c r="A128" s="12">
        <v>147</v>
      </c>
      <c r="B128" s="9" t="str">
        <f>VLOOKUP(A128,'Sets (lua data)'!$A$3:$C$9838,3,FALSE)</f>
        <v>Way of Martial Knowledge</v>
      </c>
      <c r="C128" s="9" t="str">
        <f>VLOOKUP(A128,'Sets (lua data)'!$A$3:$C$9838,2,FALSE)</f>
        <v>Weg der Kampfkunst</v>
      </c>
    </row>
    <row r="129" spans="1:3" x14ac:dyDescent="0.25">
      <c r="A129" s="12">
        <v>148</v>
      </c>
      <c r="B129" s="9" t="str">
        <f>VLOOKUP(A129,'Sets (lua data)'!$A$3:$C$9838,3,FALSE)</f>
        <v>Way of the Arena</v>
      </c>
      <c r="C129" s="9" t="str">
        <f>VLOOKUP(A129,'Sets (lua data)'!$A$3:$C$9838,2,FALSE)</f>
        <v>Weg der Arena</v>
      </c>
    </row>
    <row r="130" spans="1:3" x14ac:dyDescent="0.25">
      <c r="A130" s="12">
        <v>155</v>
      </c>
      <c r="B130" s="9" t="str">
        <f>VLOOKUP(A130,'Sets (lua data)'!$A$3:$C$9838,3,FALSE)</f>
        <v>Undaunted Bastion</v>
      </c>
      <c r="C130" s="9" t="str">
        <f>VLOOKUP(A130,'Sets (lua data)'!$A$3:$C$9838,2,FALSE)</f>
        <v>Unerschrockenen-Bastion</v>
      </c>
    </row>
    <row r="131" spans="1:3" x14ac:dyDescent="0.25">
      <c r="A131" s="12">
        <v>156</v>
      </c>
      <c r="B131" s="9" t="str">
        <f>VLOOKUP(A131,'Sets (lua data)'!$A$3:$C$9838,3,FALSE)</f>
        <v>Undaunted Infiltrator</v>
      </c>
      <c r="C131" s="9" t="str">
        <f>VLOOKUP(A131,'Sets (lua data)'!$A$3:$C$9838,2,FALSE)</f>
        <v>Unerschrockener Infiltrator</v>
      </c>
    </row>
    <row r="132" spans="1:3" x14ac:dyDescent="0.25">
      <c r="A132" s="12">
        <v>157</v>
      </c>
      <c r="B132" s="9" t="str">
        <f>VLOOKUP(A132,'Sets (lua data)'!$A$3:$C$9838,3,FALSE)</f>
        <v>Undaunted Unweaver</v>
      </c>
      <c r="C132" s="9" t="str">
        <f>VLOOKUP(A132,'Sets (lua data)'!$A$3:$C$9838,2,FALSE)</f>
        <v>Unerschrockener Entflechter</v>
      </c>
    </row>
    <row r="133" spans="1:3" x14ac:dyDescent="0.25">
      <c r="A133" s="12">
        <v>158</v>
      </c>
      <c r="B133" s="9" t="str">
        <f>VLOOKUP(A133,'Sets (lua data)'!$A$3:$C$9838,3,FALSE)</f>
        <v>Embershield</v>
      </c>
      <c r="C133" s="9" t="str">
        <f>VLOOKUP(A133,'Sets (lua data)'!$A$3:$C$9838,2,FALSE)</f>
        <v>Glutschild</v>
      </c>
    </row>
    <row r="134" spans="1:3" x14ac:dyDescent="0.25">
      <c r="A134" s="12">
        <v>159</v>
      </c>
      <c r="B134" s="9" t="str">
        <f>VLOOKUP(A134,'Sets (lua data)'!$A$3:$C$9838,3,FALSE)</f>
        <v>Sunderflame</v>
      </c>
      <c r="C134" s="9" t="str">
        <f>VLOOKUP(A134,'Sets (lua data)'!$A$3:$C$9838,2,FALSE)</f>
        <v>Trennflamme</v>
      </c>
    </row>
    <row r="135" spans="1:3" x14ac:dyDescent="0.25">
      <c r="A135" s="12">
        <v>160</v>
      </c>
      <c r="B135" s="9" t="str">
        <f>VLOOKUP(A135,'Sets (lua data)'!$A$3:$C$9838,3,FALSE)</f>
        <v>Burning Spellweave</v>
      </c>
      <c r="C135" s="9" t="str">
        <f>VLOOKUP(A135,'Sets (lua data)'!$A$3:$C$9838,2,FALSE)</f>
        <v>Branntzauberweber</v>
      </c>
    </row>
    <row r="136" spans="1:3" x14ac:dyDescent="0.25">
      <c r="A136" s="12">
        <v>161</v>
      </c>
      <c r="B136" s="9" t="str">
        <f>VLOOKUP(A136,'Sets (lua data)'!$A$3:$C$9838,3,FALSE)</f>
        <v>Twice-Born Star</v>
      </c>
      <c r="C136" s="9" t="str">
        <f>VLOOKUP(A136,'Sets (lua data)'!$A$3:$C$9838,2,FALSE)</f>
        <v>Doppelstern</v>
      </c>
    </row>
    <row r="137" spans="1:3" x14ac:dyDescent="0.25">
      <c r="A137" s="12">
        <v>162</v>
      </c>
      <c r="B137" s="9" t="str">
        <f>VLOOKUP(A137,'Sets (lua data)'!$A$3:$C$9838,3,FALSE)</f>
        <v>Spawn of Mephala</v>
      </c>
      <c r="C137" s="9" t="str">
        <f>VLOOKUP(A137,'Sets (lua data)'!$A$3:$C$9838,2,FALSE)</f>
        <v>Mephalas Brut</v>
      </c>
    </row>
    <row r="138" spans="1:3" x14ac:dyDescent="0.25">
      <c r="A138" s="12">
        <v>163</v>
      </c>
      <c r="B138" s="9" t="str">
        <f>VLOOKUP(A138,'Sets (lua data)'!$A$3:$C$9838,3,FALSE)</f>
        <v>Blood Spawn</v>
      </c>
      <c r="C138" s="9" t="str">
        <f>VLOOKUP(A138,'Sets (lua data)'!$A$3:$C$9838,2,FALSE)</f>
        <v>Blutbrut</v>
      </c>
    </row>
    <row r="139" spans="1:3" x14ac:dyDescent="0.25">
      <c r="A139" s="12">
        <v>164</v>
      </c>
      <c r="B139" s="9" t="str">
        <f>VLOOKUP(A139,'Sets (lua data)'!$A$3:$C$9838,3,FALSE)</f>
        <v>Lord Warden</v>
      </c>
      <c r="C139" s="9" t="str">
        <f>VLOOKUP(A139,'Sets (lua data)'!$A$3:$C$9838,2,FALSE)</f>
        <v>Hochwärter</v>
      </c>
    </row>
    <row r="140" spans="1:3" x14ac:dyDescent="0.25">
      <c r="A140" s="12">
        <v>165</v>
      </c>
      <c r="B140" s="9" t="str">
        <f>VLOOKUP(A140,'Sets (lua data)'!$A$3:$C$9838,3,FALSE)</f>
        <v>Scourge Harvester</v>
      </c>
      <c r="C140" s="9" t="str">
        <f>VLOOKUP(A140,'Sets (lua data)'!$A$3:$C$9838,2,FALSE)</f>
        <v>Geißelernter</v>
      </c>
    </row>
    <row r="141" spans="1:3" x14ac:dyDescent="0.25">
      <c r="A141" s="12">
        <v>166</v>
      </c>
      <c r="B141" s="9" t="str">
        <f>VLOOKUP(A141,'Sets (lua data)'!$A$3:$C$9838,3,FALSE)</f>
        <v>Engine Guardian</v>
      </c>
      <c r="C141" s="9" t="str">
        <f>VLOOKUP(A141,'Sets (lua data)'!$A$3:$C$9838,2,FALSE)</f>
        <v>Maschinenwächter</v>
      </c>
    </row>
    <row r="142" spans="1:3" x14ac:dyDescent="0.25">
      <c r="A142" s="12">
        <v>167</v>
      </c>
      <c r="B142" s="9" t="str">
        <f>VLOOKUP(A142,'Sets (lua data)'!$A$3:$C$9838,3,FALSE)</f>
        <v>Nightflame</v>
      </c>
      <c r="C142" s="9" t="str">
        <f>VLOOKUP(A142,'Sets (lua data)'!$A$3:$C$9838,2,FALSE)</f>
        <v>Nachtflamme</v>
      </c>
    </row>
    <row r="143" spans="1:3" x14ac:dyDescent="0.25">
      <c r="A143" s="12">
        <v>168</v>
      </c>
      <c r="B143" s="9" t="str">
        <f>VLOOKUP(A143,'Sets (lua data)'!$A$3:$C$9838,3,FALSE)</f>
        <v>Nerien\'eth</v>
      </c>
      <c r="C143" s="9" t="str">
        <f>VLOOKUP(A143,'Sets (lua data)'!$A$3:$C$9838,2,FALSE)</f>
        <v>Nerien'eth</v>
      </c>
    </row>
    <row r="144" spans="1:3" x14ac:dyDescent="0.25">
      <c r="A144" s="12">
        <v>169</v>
      </c>
      <c r="B144" s="9" t="str">
        <f>VLOOKUP(A144,'Sets (lua data)'!$A$3:$C$9838,3,FALSE)</f>
        <v>Valkyn Skoria</v>
      </c>
      <c r="C144" s="9" t="str">
        <f>VLOOKUP(A144,'Sets (lua data)'!$A$3:$C$9838,2,FALSE)</f>
        <v>Valkyn Skoria</v>
      </c>
    </row>
    <row r="145" spans="1:3" x14ac:dyDescent="0.25">
      <c r="A145" s="12">
        <v>170</v>
      </c>
      <c r="B145" s="9" t="str">
        <f>VLOOKUP(A145,'Sets (lua data)'!$A$3:$C$9838,3,FALSE)</f>
        <v>Maw of the Infernal</v>
      </c>
      <c r="C145" s="9" t="str">
        <f>VLOOKUP(A145,'Sets (lua data)'!$A$3:$C$9838,2,FALSE)</f>
        <v>Schlund des Infernalen</v>
      </c>
    </row>
    <row r="146" spans="1:3" x14ac:dyDescent="0.25">
      <c r="A146" s="12">
        <v>171</v>
      </c>
      <c r="B146" s="9" t="str">
        <f>VLOOKUP(A146,'Sets (lua data)'!$A$3:$C$9838,3,FALSE)</f>
        <v>Eternal Warrior</v>
      </c>
      <c r="C146" s="9" t="str">
        <f>VLOOKUP(A146,'Sets (lua data)'!$A$3:$C$9838,2,FALSE)</f>
        <v>Ewiger Krieger</v>
      </c>
    </row>
    <row r="147" spans="1:3" x14ac:dyDescent="0.25">
      <c r="A147" s="12">
        <v>172</v>
      </c>
      <c r="B147" s="9" t="str">
        <f>VLOOKUP(A147,'Sets (lua data)'!$A$3:$C$9838,3,FALSE)</f>
        <v>Infallible Mage</v>
      </c>
      <c r="C147" s="9" t="str">
        <f>VLOOKUP(A147,'Sets (lua data)'!$A$3:$C$9838,2,FALSE)</f>
        <v>Unfehlbare Magierin</v>
      </c>
    </row>
    <row r="148" spans="1:3" x14ac:dyDescent="0.25">
      <c r="A148" s="12">
        <v>173</v>
      </c>
      <c r="B148" s="9" t="str">
        <f>VLOOKUP(A148,'Sets (lua data)'!$A$3:$C$9838,3,FALSE)</f>
        <v>Vicious Serpent</v>
      </c>
      <c r="C148" s="9" t="str">
        <f>VLOOKUP(A148,'Sets (lua data)'!$A$3:$C$9838,2,FALSE)</f>
        <v>Boshafte Schlange</v>
      </c>
    </row>
    <row r="149" spans="1:3" x14ac:dyDescent="0.25">
      <c r="A149" s="12">
        <v>176</v>
      </c>
      <c r="B149" s="9" t="str">
        <f>VLOOKUP(A149,'Sets (lua data)'!$A$3:$C$9838,3,FALSE)</f>
        <v>Noble\'s Conquest</v>
      </c>
      <c r="C149" s="9" t="str">
        <f>VLOOKUP(A149,'Sets (lua data)'!$A$3:$C$9838,2,FALSE)</f>
        <v>Adelssieg</v>
      </c>
    </row>
    <row r="150" spans="1:3" x14ac:dyDescent="0.25">
      <c r="A150" s="12">
        <v>177</v>
      </c>
      <c r="B150" s="9" t="str">
        <f>VLOOKUP(A150,'Sets (lua data)'!$A$3:$C$9838,3,FALSE)</f>
        <v>Redistributor</v>
      </c>
      <c r="C150" s="9" t="str">
        <f>VLOOKUP(A150,'Sets (lua data)'!$A$3:$C$9838,2,FALSE)</f>
        <v>Umverteilung</v>
      </c>
    </row>
    <row r="151" spans="1:3" x14ac:dyDescent="0.25">
      <c r="A151" s="12">
        <v>178</v>
      </c>
      <c r="B151" s="9" t="str">
        <f>VLOOKUP(A151,'Sets (lua data)'!$A$3:$C$9838,3,FALSE)</f>
        <v>Armor Master</v>
      </c>
      <c r="C151" s="9" t="str">
        <f>VLOOKUP(A151,'Sets (lua data)'!$A$3:$C$9838,2,FALSE)</f>
        <v>Rüstungsmeister</v>
      </c>
    </row>
    <row r="152" spans="1:3" x14ac:dyDescent="0.25">
      <c r="A152" s="12">
        <v>179</v>
      </c>
      <c r="B152" s="9" t="str">
        <f>VLOOKUP(A152,'Sets (lua data)'!$A$3:$C$9838,3,FALSE)</f>
        <v>Black Rose</v>
      </c>
      <c r="C152" s="9" t="str">
        <f>VLOOKUP(A152,'Sets (lua data)'!$A$3:$C$9838,2,FALSE)</f>
        <v>Schwarze Rose</v>
      </c>
    </row>
    <row r="153" spans="1:3" x14ac:dyDescent="0.25">
      <c r="A153" s="12">
        <v>180</v>
      </c>
      <c r="B153" s="9" t="str">
        <f>VLOOKUP(A153,'Sets (lua data)'!$A$3:$C$9838,3,FALSE)</f>
        <v>Powerful Assault</v>
      </c>
      <c r="C153" s="9" t="str">
        <f>VLOOKUP(A153,'Sets (lua data)'!$A$3:$C$9838,2,FALSE)</f>
        <v>Kraftvoller Ansturm</v>
      </c>
    </row>
    <row r="154" spans="1:3" x14ac:dyDescent="0.25">
      <c r="A154" s="12">
        <v>181</v>
      </c>
      <c r="B154" s="9" t="str">
        <f>VLOOKUP(A154,'Sets (lua data)'!$A$3:$C$9838,3,FALSE)</f>
        <v>Meritorious Service</v>
      </c>
      <c r="C154" s="9" t="str">
        <f>VLOOKUP(A154,'Sets (lua data)'!$A$3:$C$9838,2,FALSE)</f>
        <v>Meritorischer Dienst</v>
      </c>
    </row>
    <row r="155" spans="1:3" x14ac:dyDescent="0.25">
      <c r="A155" s="12">
        <v>183</v>
      </c>
      <c r="B155" s="9" t="str">
        <f>VLOOKUP(A155,'Sets (lua data)'!$A$3:$C$9838,3,FALSE)</f>
        <v>Molag Kena</v>
      </c>
      <c r="C155" s="9" t="str">
        <f>VLOOKUP(A155,'Sets (lua data)'!$A$3:$C$9838,2,FALSE)</f>
        <v>Molag Kena</v>
      </c>
    </row>
    <row r="156" spans="1:3" x14ac:dyDescent="0.25">
      <c r="A156" s="12">
        <v>184</v>
      </c>
      <c r="B156" s="9" t="str">
        <f>VLOOKUP(A156,'Sets (lua data)'!$A$3:$C$9838,3,FALSE)</f>
        <v>Brands of Imperium</v>
      </c>
      <c r="C156" s="9" t="str">
        <f>VLOOKUP(A156,'Sets (lua data)'!$A$3:$C$9838,2,FALSE)</f>
        <v>Male des Kaiserreichs</v>
      </c>
    </row>
    <row r="157" spans="1:3" x14ac:dyDescent="0.25">
      <c r="A157" s="12">
        <v>185</v>
      </c>
      <c r="B157" s="9" t="str">
        <f>VLOOKUP(A157,'Sets (lua data)'!$A$3:$C$9838,3,FALSE)</f>
        <v>Spell Power Cure</v>
      </c>
      <c r="C157" s="9" t="str">
        <f>VLOOKUP(A157,'Sets (lua data)'!$A$3:$C$9838,2,FALSE)</f>
        <v>Magiekraftheilung</v>
      </c>
    </row>
    <row r="158" spans="1:3" x14ac:dyDescent="0.25">
      <c r="A158" s="12">
        <v>186</v>
      </c>
      <c r="B158" s="9" t="str">
        <f>VLOOKUP(A158,'Sets (lua data)'!$A$3:$C$9838,3,FALSE)</f>
        <v>Jolting Arms</v>
      </c>
      <c r="C158" s="9" t="str">
        <f>VLOOKUP(A158,'Sets (lua data)'!$A$3:$C$9838,2,FALSE)</f>
        <v>Rüttelnde Rüstung</v>
      </c>
    </row>
    <row r="159" spans="1:3" x14ac:dyDescent="0.25">
      <c r="A159" s="12">
        <v>187</v>
      </c>
      <c r="B159" s="9" t="str">
        <f>VLOOKUP(A159,'Sets (lua data)'!$A$3:$C$9838,3,FALSE)</f>
        <v>Swamp Raider</v>
      </c>
      <c r="C159" s="9" t="str">
        <f>VLOOKUP(A159,'Sets (lua data)'!$A$3:$C$9838,2,FALSE)</f>
        <v>Sumpfräuber</v>
      </c>
    </row>
    <row r="160" spans="1:3" x14ac:dyDescent="0.25">
      <c r="A160" s="12">
        <v>188</v>
      </c>
      <c r="B160" s="9" t="str">
        <f>VLOOKUP(A160,'Sets (lua data)'!$A$3:$C$9838,3,FALSE)</f>
        <v>Storm Master</v>
      </c>
      <c r="C160" s="9" t="str">
        <f>VLOOKUP(A160,'Sets (lua data)'!$A$3:$C$9838,2,FALSE)</f>
        <v>Sturmmeister</v>
      </c>
    </row>
    <row r="161" spans="1:3" x14ac:dyDescent="0.25">
      <c r="A161" s="12">
        <v>190</v>
      </c>
      <c r="B161" s="9" t="str">
        <f>VLOOKUP(A161,'Sets (lua data)'!$A$3:$C$9838,3,FALSE)</f>
        <v>Scathing Mage</v>
      </c>
      <c r="C161" s="9" t="str">
        <f>VLOOKUP(A161,'Sets (lua data)'!$A$3:$C$9838,2,FALSE)</f>
        <v>Verletzender Magier</v>
      </c>
    </row>
    <row r="162" spans="1:3" x14ac:dyDescent="0.25">
      <c r="A162" s="12">
        <v>193</v>
      </c>
      <c r="B162" s="9" t="str">
        <f>VLOOKUP(A162,'Sets (lua data)'!$A$3:$C$9838,3,FALSE)</f>
        <v>Overwhelming Surge</v>
      </c>
      <c r="C162" s="9" t="str">
        <f>VLOOKUP(A162,'Sets (lua data)'!$A$3:$C$9838,2,FALSE)</f>
        <v>Überwältigende Woge</v>
      </c>
    </row>
    <row r="163" spans="1:3" x14ac:dyDescent="0.25">
      <c r="A163" s="12">
        <v>194</v>
      </c>
      <c r="B163" s="9" t="str">
        <f>VLOOKUP(A163,'Sets (lua data)'!$A$3:$C$9838,3,FALSE)</f>
        <v>Combat Physician</v>
      </c>
      <c r="C163" s="9" t="str">
        <f>VLOOKUP(A163,'Sets (lua data)'!$A$3:$C$9838,2,FALSE)</f>
        <v>Feldarzt</v>
      </c>
    </row>
    <row r="164" spans="1:3" x14ac:dyDescent="0.25">
      <c r="A164" s="12">
        <v>195</v>
      </c>
      <c r="B164" s="9" t="str">
        <f>VLOOKUP(A164,'Sets (lua data)'!$A$3:$C$9838,3,FALSE)</f>
        <v>Sheer Venom</v>
      </c>
      <c r="C164" s="9" t="str">
        <f>VLOOKUP(A164,'Sets (lua data)'!$A$3:$C$9838,2,FALSE)</f>
        <v>Reingift</v>
      </c>
    </row>
    <row r="165" spans="1:3" x14ac:dyDescent="0.25">
      <c r="A165" s="12">
        <v>196</v>
      </c>
      <c r="B165" s="9" t="str">
        <f>VLOOKUP(A165,'Sets (lua data)'!$A$3:$C$9838,3,FALSE)</f>
        <v>Leeching Plate</v>
      </c>
      <c r="C165" s="9" t="str">
        <f>VLOOKUP(A165,'Sets (lua data)'!$A$3:$C$9838,2,FALSE)</f>
        <v>Auslaugende Rüstung</v>
      </c>
    </row>
    <row r="166" spans="1:3" x14ac:dyDescent="0.25">
      <c r="A166" s="12">
        <v>197</v>
      </c>
      <c r="B166" s="9" t="str">
        <f>VLOOKUP(A166,'Sets (lua data)'!$A$3:$C$9838,3,FALSE)</f>
        <v>Tormentor</v>
      </c>
      <c r="C166" s="9" t="str">
        <f>VLOOKUP(A166,'Sets (lua data)'!$A$3:$C$9838,2,FALSE)</f>
        <v>Quälender</v>
      </c>
    </row>
    <row r="167" spans="1:3" x14ac:dyDescent="0.25">
      <c r="A167" s="12">
        <v>198</v>
      </c>
      <c r="B167" s="9" t="str">
        <f>VLOOKUP(A167,'Sets (lua data)'!$A$3:$C$9838,3,FALSE)</f>
        <v>Essence Thief</v>
      </c>
      <c r="C167" s="9" t="str">
        <f>VLOOKUP(A167,'Sets (lua data)'!$A$3:$C$9838,2,FALSE)</f>
        <v>Essenzdieb</v>
      </c>
    </row>
    <row r="168" spans="1:3" x14ac:dyDescent="0.25">
      <c r="A168" s="12">
        <v>199</v>
      </c>
      <c r="B168" s="9" t="str">
        <f>VLOOKUP(A168,'Sets (lua data)'!$A$3:$C$9838,3,FALSE)</f>
        <v>Shield Breaker</v>
      </c>
      <c r="C168" s="9" t="str">
        <f>VLOOKUP(A168,'Sets (lua data)'!$A$3:$C$9838,2,FALSE)</f>
        <v>Schildbrecher</v>
      </c>
    </row>
    <row r="169" spans="1:3" x14ac:dyDescent="0.25">
      <c r="A169" s="12">
        <v>200</v>
      </c>
      <c r="B169" s="9" t="str">
        <f>VLOOKUP(A169,'Sets (lua data)'!$A$3:$C$9838,3,FALSE)</f>
        <v>Phoenix</v>
      </c>
      <c r="C169" s="9" t="str">
        <f>VLOOKUP(A169,'Sets (lua data)'!$A$3:$C$9838,2,FALSE)</f>
        <v>Phönix</v>
      </c>
    </row>
    <row r="170" spans="1:3" x14ac:dyDescent="0.25">
      <c r="A170" s="12">
        <v>201</v>
      </c>
      <c r="B170" s="9" t="str">
        <f>VLOOKUP(A170,'Sets (lua data)'!$A$3:$C$9838,3,FALSE)</f>
        <v>Reactive Armor</v>
      </c>
      <c r="C170" s="9" t="str">
        <f>VLOOKUP(A170,'Sets (lua data)'!$A$3:$C$9838,2,FALSE)</f>
        <v>Reaktive Rüstung</v>
      </c>
    </row>
    <row r="171" spans="1:3" x14ac:dyDescent="0.25">
      <c r="A171" s="12">
        <v>204</v>
      </c>
      <c r="B171" s="9" t="str">
        <f>VLOOKUP(A171,'Sets (lua data)'!$A$3:$C$9838,3,FALSE)</f>
        <v>Endurance</v>
      </c>
      <c r="C171" s="9" t="str">
        <f>VLOOKUP(A171,'Sets (lua data)'!$A$3:$C$9838,2,FALSE)</f>
        <v>Beständigkeit</v>
      </c>
    </row>
    <row r="172" spans="1:3" x14ac:dyDescent="0.25">
      <c r="A172" s="12">
        <v>205</v>
      </c>
      <c r="B172" s="9" t="str">
        <f>VLOOKUP(A172,'Sets (lua data)'!$A$3:$C$9838,3,FALSE)</f>
        <v>Willpower</v>
      </c>
      <c r="C172" s="9" t="str">
        <f>VLOOKUP(A172,'Sets (lua data)'!$A$3:$C$9838,2,FALSE)</f>
        <v>Willenskraft</v>
      </c>
    </row>
    <row r="173" spans="1:3" x14ac:dyDescent="0.25">
      <c r="A173" s="12">
        <v>206</v>
      </c>
      <c r="B173" s="9" t="str">
        <f>VLOOKUP(A173,'Sets (lua data)'!$A$3:$C$9838,3,FALSE)</f>
        <v>Agility</v>
      </c>
      <c r="C173" s="9" t="str">
        <f>VLOOKUP(A173,'Sets (lua data)'!$A$3:$C$9838,2,FALSE)</f>
        <v>Agilität</v>
      </c>
    </row>
    <row r="174" spans="1:3" x14ac:dyDescent="0.25">
      <c r="A174" s="12">
        <v>207</v>
      </c>
      <c r="B174" s="9" t="str">
        <f>VLOOKUP(A174,'Sets (lua data)'!$A$3:$C$9838,3,FALSE)</f>
        <v>Law of Julianos</v>
      </c>
      <c r="C174" s="9" t="str">
        <f>VLOOKUP(A174,'Sets (lua data)'!$A$3:$C$9838,2,FALSE)</f>
        <v>Gesetz von Julianos</v>
      </c>
    </row>
    <row r="175" spans="1:3" x14ac:dyDescent="0.25">
      <c r="A175" s="12">
        <v>208</v>
      </c>
      <c r="B175" s="9" t="str">
        <f>VLOOKUP(A175,'Sets (lua data)'!$A$3:$C$9838,3,FALSE)</f>
        <v>Trial by Fire</v>
      </c>
      <c r="C175" s="9" t="str">
        <f>VLOOKUP(A175,'Sets (lua data)'!$A$3:$C$9838,2,FALSE)</f>
        <v>Feuertaufe</v>
      </c>
    </row>
    <row r="176" spans="1:3" x14ac:dyDescent="0.25">
      <c r="A176" s="12">
        <v>209</v>
      </c>
      <c r="B176" s="9" t="str">
        <f>VLOOKUP(A176,'Sets (lua data)'!$A$3:$C$9838,3,FALSE)</f>
        <v>Armor of the Code</v>
      </c>
      <c r="C176" s="9" t="str">
        <f>VLOOKUP(A176,'Sets (lua data)'!$A$3:$C$9838,2,FALSE)</f>
        <v>Armor of the Code</v>
      </c>
    </row>
    <row r="177" spans="1:3" x14ac:dyDescent="0.25">
      <c r="A177" s="12">
        <v>210</v>
      </c>
      <c r="B177" s="9" t="str">
        <f>VLOOKUP(A177,'Sets (lua data)'!$A$3:$C$9838,3,FALSE)</f>
        <v>Mark of the Pariah</v>
      </c>
      <c r="C177" s="9" t="str">
        <f>VLOOKUP(A177,'Sets (lua data)'!$A$3:$C$9838,2,FALSE)</f>
        <v>Zeichen des Ausgestoßenen</v>
      </c>
    </row>
    <row r="178" spans="1:3" x14ac:dyDescent="0.25">
      <c r="A178" s="12">
        <v>211</v>
      </c>
      <c r="B178" s="9" t="str">
        <f>VLOOKUP(A178,'Sets (lua data)'!$A$3:$C$9838,3,FALSE)</f>
        <v>Permafrost</v>
      </c>
      <c r="C178" s="9" t="str">
        <f>VLOOKUP(A178,'Sets (lua data)'!$A$3:$C$9838,2,FALSE)</f>
        <v>Permafrost</v>
      </c>
    </row>
    <row r="179" spans="1:3" x14ac:dyDescent="0.25">
      <c r="A179" s="12">
        <v>212</v>
      </c>
      <c r="B179" s="9" t="str">
        <f>VLOOKUP(A179,'Sets (lua data)'!$A$3:$C$9838,3,FALSE)</f>
        <v>Briarheart</v>
      </c>
      <c r="C179" s="9" t="str">
        <f>VLOOKUP(A179,'Sets (lua data)'!$A$3:$C$9838,2,FALSE)</f>
        <v>Dornenherz</v>
      </c>
    </row>
    <row r="180" spans="1:3" x14ac:dyDescent="0.25">
      <c r="A180" s="12">
        <v>213</v>
      </c>
      <c r="B180" s="9" t="str">
        <f>VLOOKUP(A180,'Sets (lua data)'!$A$3:$C$9838,3,FALSE)</f>
        <v>Glorious Defender</v>
      </c>
      <c r="C180" s="9" t="str">
        <f>VLOOKUP(A180,'Sets (lua data)'!$A$3:$C$9838,2,FALSE)</f>
        <v>Ruhmreicher Verteidiger</v>
      </c>
    </row>
    <row r="181" spans="1:3" x14ac:dyDescent="0.25">
      <c r="A181" s="12">
        <v>214</v>
      </c>
      <c r="B181" s="9" t="str">
        <f>VLOOKUP(A181,'Sets (lua data)'!$A$3:$C$9838,3,FALSE)</f>
        <v>Para Bellum</v>
      </c>
      <c r="C181" s="9" t="str">
        <f>VLOOKUP(A181,'Sets (lua data)'!$A$3:$C$9838,2,FALSE)</f>
        <v>Para Bellum</v>
      </c>
    </row>
    <row r="182" spans="1:3" x14ac:dyDescent="0.25">
      <c r="A182" s="12">
        <v>215</v>
      </c>
      <c r="B182" s="9" t="str">
        <f>VLOOKUP(A182,'Sets (lua data)'!$A$3:$C$9838,3,FALSE)</f>
        <v>Elemental Succession</v>
      </c>
      <c r="C182" s="9" t="str">
        <f>VLOOKUP(A182,'Sets (lua data)'!$A$3:$C$9838,2,FALSE)</f>
        <v>Elementarfolge</v>
      </c>
    </row>
    <row r="183" spans="1:3" x14ac:dyDescent="0.25">
      <c r="A183" s="12">
        <v>216</v>
      </c>
      <c r="B183" s="9" t="str">
        <f>VLOOKUP(A183,'Sets (lua data)'!$A$3:$C$9838,3,FALSE)</f>
        <v>Hunt Leader</v>
      </c>
      <c r="C183" s="9" t="str">
        <f>VLOOKUP(A183,'Sets (lua data)'!$A$3:$C$9838,2,FALSE)</f>
        <v>Jagdleiter</v>
      </c>
    </row>
    <row r="184" spans="1:3" x14ac:dyDescent="0.25">
      <c r="A184" s="12">
        <v>217</v>
      </c>
      <c r="B184" s="9" t="str">
        <f>VLOOKUP(A184,'Sets (lua data)'!$A$3:$C$9838,3,FALSE)</f>
        <v>Winterborn</v>
      </c>
      <c r="C184" s="9" t="str">
        <f>VLOOKUP(A184,'Sets (lua data)'!$A$3:$C$9838,2,FALSE)</f>
        <v>Winterkind</v>
      </c>
    </row>
    <row r="185" spans="1:3" x14ac:dyDescent="0.25">
      <c r="A185" s="12">
        <v>218</v>
      </c>
      <c r="B185" s="9" t="str">
        <f>VLOOKUP(A185,'Sets (lua data)'!$A$3:$C$9838,3,FALSE)</f>
        <v>Trinimac\'s Valor</v>
      </c>
      <c r="C185" s="9" t="str">
        <f>VLOOKUP(A185,'Sets (lua data)'!$A$3:$C$9838,2,FALSE)</f>
        <v>Trinimacs Heldenmut</v>
      </c>
    </row>
    <row r="186" spans="1:3" x14ac:dyDescent="0.25">
      <c r="A186" s="12">
        <v>219</v>
      </c>
      <c r="B186" s="9" t="str">
        <f>VLOOKUP(A186,'Sets (lua data)'!$A$3:$C$9838,3,FALSE)</f>
        <v>Morkuldin</v>
      </c>
      <c r="C186" s="9" t="str">
        <f>VLOOKUP(A186,'Sets (lua data)'!$A$3:$C$9838,2,FALSE)</f>
        <v>Morkuldin</v>
      </c>
    </row>
    <row r="187" spans="1:3" x14ac:dyDescent="0.25">
      <c r="A187" s="12">
        <v>224</v>
      </c>
      <c r="B187" s="9" t="str">
        <f>VLOOKUP(A187,'Sets (lua data)'!$A$3:$C$9838,3,FALSE)</f>
        <v>Tava\'s Favor</v>
      </c>
      <c r="C187" s="9" t="str">
        <f>VLOOKUP(A187,'Sets (lua data)'!$A$3:$C$9838,2,FALSE)</f>
        <v>Tavas Gunst</v>
      </c>
    </row>
    <row r="188" spans="1:3" x14ac:dyDescent="0.25">
      <c r="A188" s="12">
        <v>225</v>
      </c>
      <c r="B188" s="9" t="str">
        <f>VLOOKUP(A188,'Sets (lua data)'!$A$3:$C$9838,3,FALSE)</f>
        <v>Clever Alchemist</v>
      </c>
      <c r="C188" s="9" t="str">
        <f>VLOOKUP(A188,'Sets (lua data)'!$A$3:$C$9838,2,FALSE)</f>
        <v>Schlauer Alchemist</v>
      </c>
    </row>
    <row r="189" spans="1:3" x14ac:dyDescent="0.25">
      <c r="A189" s="12">
        <v>226</v>
      </c>
      <c r="B189" s="9" t="str">
        <f>VLOOKUP(A189,'Sets (lua data)'!$A$3:$C$9838,3,FALSE)</f>
        <v>Eternal Hunt</v>
      </c>
      <c r="C189" s="9" t="str">
        <f>VLOOKUP(A189,'Sets (lua data)'!$A$3:$C$9838,2,FALSE)</f>
        <v>Ewige Jagd</v>
      </c>
    </row>
    <row r="190" spans="1:3" x14ac:dyDescent="0.25">
      <c r="A190" s="12">
        <v>227</v>
      </c>
      <c r="B190" s="9" t="str">
        <f>VLOOKUP(A190,'Sets (lua data)'!$A$3:$C$9838,3,FALSE)</f>
        <v>Bahraha\'s Curse</v>
      </c>
      <c r="C190" s="9" t="str">
        <f>VLOOKUP(A190,'Sets (lua data)'!$A$3:$C$9838,2,FALSE)</f>
        <v>Bahrahas Fluch</v>
      </c>
    </row>
    <row r="191" spans="1:3" x14ac:dyDescent="0.25">
      <c r="A191" s="12">
        <v>228</v>
      </c>
      <c r="B191" s="9" t="str">
        <f>VLOOKUP(A191,'Sets (lua data)'!$A$3:$C$9838,3,FALSE)</f>
        <v>Syvarra\'s Scales</v>
      </c>
      <c r="C191" s="9" t="str">
        <f>VLOOKUP(A191,'Sets (lua data)'!$A$3:$C$9838,2,FALSE)</f>
        <v>Syvarras Schuppen</v>
      </c>
    </row>
    <row r="192" spans="1:3" x14ac:dyDescent="0.25">
      <c r="A192" s="12">
        <v>229</v>
      </c>
      <c r="B192" s="9" t="str">
        <f>VLOOKUP(A192,'Sets (lua data)'!$A$3:$C$9838,3,FALSE)</f>
        <v>Twilight Remedy</v>
      </c>
      <c r="C192" s="9" t="str">
        <f>VLOOKUP(A192,'Sets (lua data)'!$A$3:$C$9838,2,FALSE)</f>
        <v>Zwielichtgenesung</v>
      </c>
    </row>
    <row r="193" spans="1:3" x14ac:dyDescent="0.25">
      <c r="A193" s="12">
        <v>230</v>
      </c>
      <c r="B193" s="9" t="str">
        <f>VLOOKUP(A193,'Sets (lua data)'!$A$3:$C$9838,3,FALSE)</f>
        <v>Moondancer</v>
      </c>
      <c r="C193" s="9" t="str">
        <f>VLOOKUP(A193,'Sets (lua data)'!$A$3:$C$9838,2,FALSE)</f>
        <v>Mondtänzer</v>
      </c>
    </row>
    <row r="194" spans="1:3" x14ac:dyDescent="0.25">
      <c r="A194" s="12">
        <v>231</v>
      </c>
      <c r="B194" s="9" t="str">
        <f>VLOOKUP(A194,'Sets (lua data)'!$A$3:$C$9838,3,FALSE)</f>
        <v>Lunar Bastion</v>
      </c>
      <c r="C194" s="9" t="str">
        <f>VLOOKUP(A194,'Sets (lua data)'!$A$3:$C$9838,2,FALSE)</f>
        <v>Mondbastion</v>
      </c>
    </row>
    <row r="195" spans="1:3" x14ac:dyDescent="0.25">
      <c r="A195" s="12">
        <v>232</v>
      </c>
      <c r="B195" s="9" t="str">
        <f>VLOOKUP(A195,'Sets (lua data)'!$A$3:$C$9838,3,FALSE)</f>
        <v>Roar of Alkosh</v>
      </c>
      <c r="C195" s="9" t="str">
        <f>VLOOKUP(A195,'Sets (lua data)'!$A$3:$C$9838,2,FALSE)</f>
        <v>Brüllen von Alkosh</v>
      </c>
    </row>
    <row r="196" spans="1:3" x14ac:dyDescent="0.25">
      <c r="A196" s="12">
        <v>234</v>
      </c>
      <c r="B196" s="9" t="str">
        <f>VLOOKUP(A196,'Sets (lua data)'!$A$3:$C$9838,3,FALSE)</f>
        <v>Marksman\'s Crest</v>
      </c>
      <c r="C196" s="9" t="str">
        <f>VLOOKUP(A196,'Sets (lua data)'!$A$3:$C$9838,2,FALSE)</f>
        <v>Wappen des Meisterschützen</v>
      </c>
    </row>
    <row r="197" spans="1:3" x14ac:dyDescent="0.25">
      <c r="A197" s="12">
        <v>235</v>
      </c>
      <c r="B197" s="9" t="str">
        <f>VLOOKUP(A197,'Sets (lua data)'!$A$3:$C$9838,3,FALSE)</f>
        <v>Robes of Transmutation</v>
      </c>
      <c r="C197" s="9" t="str">
        <f>VLOOKUP(A197,'Sets (lua data)'!$A$3:$C$9838,2,FALSE)</f>
        <v>Roben der Transmutation</v>
      </c>
    </row>
    <row r="198" spans="1:3" x14ac:dyDescent="0.25">
      <c r="A198" s="12">
        <v>236</v>
      </c>
      <c r="B198" s="9" t="str">
        <f>VLOOKUP(A198,'Sets (lua data)'!$A$3:$C$9838,3,FALSE)</f>
        <v>Vicious Death</v>
      </c>
      <c r="C198" s="9" t="str">
        <f>VLOOKUP(A198,'Sets (lua data)'!$A$3:$C$9838,2,FALSE)</f>
        <v>Grausamer Tod</v>
      </c>
    </row>
    <row r="199" spans="1:3" x14ac:dyDescent="0.25">
      <c r="A199" s="12">
        <v>237</v>
      </c>
      <c r="B199" s="9" t="str">
        <f>VLOOKUP(A199,'Sets (lua data)'!$A$3:$C$9838,3,FALSE)</f>
        <v>Leki\'s Focus</v>
      </c>
      <c r="C199" s="9" t="str">
        <f>VLOOKUP(A199,'Sets (lua data)'!$A$3:$C$9838,2,FALSE)</f>
        <v>Lekis Fokus</v>
      </c>
    </row>
    <row r="200" spans="1:3" x14ac:dyDescent="0.25">
      <c r="A200" s="12">
        <v>238</v>
      </c>
      <c r="B200" s="9" t="str">
        <f>VLOOKUP(A200,'Sets (lua data)'!$A$3:$C$9838,3,FALSE)</f>
        <v>Fasalla\'s Guile</v>
      </c>
      <c r="C200" s="9" t="str">
        <f>VLOOKUP(A200,'Sets (lua data)'!$A$3:$C$9838,2,FALSE)</f>
        <v>Fasallas List</v>
      </c>
    </row>
    <row r="201" spans="1:3" x14ac:dyDescent="0.25">
      <c r="A201" s="12">
        <v>239</v>
      </c>
      <c r="B201" s="9" t="str">
        <f>VLOOKUP(A201,'Sets (lua data)'!$A$3:$C$9838,3,FALSE)</f>
        <v>Warrior\'s Fury</v>
      </c>
      <c r="C201" s="9" t="str">
        <f>VLOOKUP(A201,'Sets (lua data)'!$A$3:$C$9838,2,FALSE)</f>
        <v>Raserei des Kriegers</v>
      </c>
    </row>
    <row r="202" spans="1:3" x14ac:dyDescent="0.25">
      <c r="A202" s="12">
        <v>240</v>
      </c>
      <c r="B202" s="9" t="str">
        <f>VLOOKUP(A202,'Sets (lua data)'!$A$3:$C$9838,3,FALSE)</f>
        <v>Kvatch Gladiator</v>
      </c>
      <c r="C202" s="9" t="str">
        <f>VLOOKUP(A202,'Sets (lua data)'!$A$3:$C$9838,2,FALSE)</f>
        <v>Gladiator von Kvatch</v>
      </c>
    </row>
    <row r="203" spans="1:3" x14ac:dyDescent="0.25">
      <c r="A203" s="12">
        <v>241</v>
      </c>
      <c r="B203" s="9" t="str">
        <f>VLOOKUP(A203,'Sets (lua data)'!$A$3:$C$9838,3,FALSE)</f>
        <v>Varen\'s Legacy</v>
      </c>
      <c r="C203" s="9" t="str">
        <f>VLOOKUP(A203,'Sets (lua data)'!$A$3:$C$9838,2,FALSE)</f>
        <v>Varens Erbe</v>
      </c>
    </row>
    <row r="204" spans="1:3" x14ac:dyDescent="0.25">
      <c r="A204" s="12">
        <v>242</v>
      </c>
      <c r="B204" s="9" t="str">
        <f>VLOOKUP(A204,'Sets (lua data)'!$A$3:$C$9838,3,FALSE)</f>
        <v>Pelinal\'s Wrath</v>
      </c>
      <c r="C204" s="9" t="str">
        <f>VLOOKUP(A204,'Sets (lua data)'!$A$3:$C$9838,2,FALSE)</f>
        <v>Pelinals Talent</v>
      </c>
    </row>
    <row r="205" spans="1:3" x14ac:dyDescent="0.25">
      <c r="A205" s="12">
        <v>243</v>
      </c>
      <c r="B205" s="9" t="str">
        <f>VLOOKUP(A205,'Sets (lua data)'!$A$3:$C$9838,3,FALSE)</f>
        <v>Hide of Morihaus</v>
      </c>
      <c r="C205" s="9" t="str">
        <f>VLOOKUP(A205,'Sets (lua data)'!$A$3:$C$9838,2,FALSE)</f>
        <v>Haut von Morihaus</v>
      </c>
    </row>
    <row r="206" spans="1:3" x14ac:dyDescent="0.25">
      <c r="A206" s="12">
        <v>244</v>
      </c>
      <c r="B206" s="9" t="str">
        <f>VLOOKUP(A206,'Sets (lua data)'!$A$3:$C$9838,3,FALSE)</f>
        <v>Flanking Strategist</v>
      </c>
      <c r="C206" s="9" t="str">
        <f>VLOOKUP(A206,'Sets (lua data)'!$A$3:$C$9838,2,FALSE)</f>
        <v>Flankierender Stratege</v>
      </c>
    </row>
    <row r="207" spans="1:3" x14ac:dyDescent="0.25">
      <c r="A207" s="12">
        <v>245</v>
      </c>
      <c r="B207" s="9" t="str">
        <f>VLOOKUP(A207,'Sets (lua data)'!$A$3:$C$9838,3,FALSE)</f>
        <v>Sithis\' Touch</v>
      </c>
      <c r="C207" s="9" t="str">
        <f>VLOOKUP(A207,'Sets (lua data)'!$A$3:$C$9838,2,FALSE)</f>
        <v>Sithis' Berührung</v>
      </c>
    </row>
    <row r="208" spans="1:3" x14ac:dyDescent="0.25">
      <c r="A208" s="12">
        <v>246</v>
      </c>
      <c r="B208" s="9" t="str">
        <f>VLOOKUP(A208,'Sets (lua data)'!$A$3:$C$9838,3,FALSE)</f>
        <v>Galerion\'s Revenge</v>
      </c>
      <c r="C208" s="9" t="str">
        <f>VLOOKUP(A208,'Sets (lua data)'!$A$3:$C$9838,2,FALSE)</f>
        <v>Galerions Revanche</v>
      </c>
    </row>
    <row r="209" spans="1:3" x14ac:dyDescent="0.25">
      <c r="A209" s="12">
        <v>247</v>
      </c>
      <c r="B209" s="9" t="str">
        <f>VLOOKUP(A209,'Sets (lua data)'!$A$3:$C$9838,3,FALSE)</f>
        <v>Vicecanon of Venom</v>
      </c>
      <c r="C209" s="9" t="str">
        <f>VLOOKUP(A209,'Sets (lua data)'!$A$3:$C$9838,2,FALSE)</f>
        <v>Vizekanoniker des Gifts</v>
      </c>
    </row>
    <row r="210" spans="1:3" x14ac:dyDescent="0.25">
      <c r="A210" s="12">
        <v>248</v>
      </c>
      <c r="B210" s="9" t="str">
        <f>VLOOKUP(A210,'Sets (lua data)'!$A$3:$C$9838,3,FALSE)</f>
        <v>Thews of the Harbinger</v>
      </c>
      <c r="C210" s="9" t="str">
        <f>VLOOKUP(A210,'Sets (lua data)'!$A$3:$C$9838,2,FALSE)</f>
        <v>Muskeln des Vorboten</v>
      </c>
    </row>
    <row r="211" spans="1:3" x14ac:dyDescent="0.25">
      <c r="A211" s="12">
        <v>253</v>
      </c>
      <c r="B211" s="9" t="str">
        <f>VLOOKUP(A211,'Sets (lua data)'!$A$3:$C$9838,3,FALSE)</f>
        <v>Imperial Physique</v>
      </c>
      <c r="C211" s="9" t="str">
        <f>VLOOKUP(A211,'Sets (lua data)'!$A$3:$C$9838,2,FALSE)</f>
        <v>Kaiserliche Physis</v>
      </c>
    </row>
    <row r="212" spans="1:3" x14ac:dyDescent="0.25">
      <c r="A212" s="12">
        <v>256</v>
      </c>
      <c r="B212" s="9" t="str">
        <f>VLOOKUP(A212,'Sets (lua data)'!$A$3:$C$9838,3,FALSE)</f>
        <v>Mighty Chudan</v>
      </c>
      <c r="C212" s="9" t="str">
        <f>VLOOKUP(A212,'Sets (lua data)'!$A$3:$C$9838,2,FALSE)</f>
        <v>Mächtiger Chudan</v>
      </c>
    </row>
    <row r="213" spans="1:3" x14ac:dyDescent="0.25">
      <c r="A213" s="12">
        <v>257</v>
      </c>
      <c r="B213" s="9" t="str">
        <f>VLOOKUP(A213,'Sets (lua data)'!$A$3:$C$9838,3,FALSE)</f>
        <v>Velidreth</v>
      </c>
      <c r="C213" s="9" t="str">
        <f>VLOOKUP(A213,'Sets (lua data)'!$A$3:$C$9838,2,FALSE)</f>
        <v>Velidreth</v>
      </c>
    </row>
    <row r="214" spans="1:3" x14ac:dyDescent="0.25">
      <c r="A214" s="12">
        <v>258</v>
      </c>
      <c r="B214" s="9" t="str">
        <f>VLOOKUP(A214,'Sets (lua data)'!$A$3:$C$9838,3,FALSE)</f>
        <v>Amber Plasm</v>
      </c>
      <c r="C214" s="9" t="str">
        <f>VLOOKUP(A214,'Sets (lua data)'!$A$3:$C$9838,2,FALSE)</f>
        <v>Bernsteinplasma</v>
      </c>
    </row>
    <row r="215" spans="1:3" x14ac:dyDescent="0.25">
      <c r="A215" s="12">
        <v>259</v>
      </c>
      <c r="B215" s="9" t="str">
        <f>VLOOKUP(A215,'Sets (lua data)'!$A$3:$C$9838,3,FALSE)</f>
        <v>Heem-Jas\' Retribution</v>
      </c>
      <c r="C215" s="9" t="str">
        <f>VLOOKUP(A215,'Sets (lua data)'!$A$3:$C$9838,2,FALSE)</f>
        <v>Heem-Jas' Vergeltung</v>
      </c>
    </row>
    <row r="216" spans="1:3" x14ac:dyDescent="0.25">
      <c r="A216" s="12">
        <v>260</v>
      </c>
      <c r="B216" s="9" t="str">
        <f>VLOOKUP(A216,'Sets (lua data)'!$A$3:$C$9838,3,FALSE)</f>
        <v>Aspect of Mazzatun</v>
      </c>
      <c r="C216" s="9" t="str">
        <f>VLOOKUP(A216,'Sets (lua data)'!$A$3:$C$9838,2,FALSE)</f>
        <v>Aspekt von Mazzatun</v>
      </c>
    </row>
    <row r="217" spans="1:3" x14ac:dyDescent="0.25">
      <c r="A217" s="12">
        <v>261</v>
      </c>
      <c r="B217" s="9" t="str">
        <f>VLOOKUP(A217,'Sets (lua data)'!$A$3:$C$9838,3,FALSE)</f>
        <v>Gossamer</v>
      </c>
      <c r="C217" s="9" t="str">
        <f>VLOOKUP(A217,'Sets (lua data)'!$A$3:$C$9838,2,FALSE)</f>
        <v>Gespinst</v>
      </c>
    </row>
    <row r="218" spans="1:3" x14ac:dyDescent="0.25">
      <c r="A218" s="12">
        <v>262</v>
      </c>
      <c r="B218" s="9" t="str">
        <f>VLOOKUP(A218,'Sets (lua data)'!$A$3:$C$9838,3,FALSE)</f>
        <v>Widowmaker</v>
      </c>
      <c r="C218" s="9" t="str">
        <f>VLOOKUP(A218,'Sets (lua data)'!$A$3:$C$9838,2,FALSE)</f>
        <v>Witwenmacher</v>
      </c>
    </row>
    <row r="219" spans="1:3" x14ac:dyDescent="0.25">
      <c r="A219" s="12">
        <v>263</v>
      </c>
      <c r="B219" s="9" t="str">
        <f>VLOOKUP(A219,'Sets (lua data)'!$A$3:$C$9838,3,FALSE)</f>
        <v>Hand of Mephala</v>
      </c>
      <c r="C219" s="9" t="str">
        <f>VLOOKUP(A219,'Sets (lua data)'!$A$3:$C$9838,2,FALSE)</f>
        <v>Hand von Mephala</v>
      </c>
    </row>
    <row r="220" spans="1:3" x14ac:dyDescent="0.25">
      <c r="A220" s="12">
        <v>264</v>
      </c>
      <c r="B220" s="9" t="str">
        <f>VLOOKUP(A220,'Sets (lua data)'!$A$3:$C$9838,3,FALSE)</f>
        <v>Giant Spider</v>
      </c>
      <c r="C220" s="9" t="str">
        <f>VLOOKUP(A220,'Sets (lua data)'!$A$3:$C$9838,2,FALSE)</f>
        <v>Riesenspinne</v>
      </c>
    </row>
    <row r="221" spans="1:3" x14ac:dyDescent="0.25">
      <c r="A221" s="12">
        <v>265</v>
      </c>
      <c r="B221" s="9" t="str">
        <f>VLOOKUP(A221,'Sets (lua data)'!$A$3:$C$9838,3,FALSE)</f>
        <v>Shadowrend</v>
      </c>
      <c r="C221" s="9" t="str">
        <f>VLOOKUP(A221,'Sets (lua data)'!$A$3:$C$9838,2,FALSE)</f>
        <v>Schattenriss</v>
      </c>
    </row>
    <row r="222" spans="1:3" x14ac:dyDescent="0.25">
      <c r="A222" s="12">
        <v>266</v>
      </c>
      <c r="B222" s="9" t="str">
        <f>VLOOKUP(A222,'Sets (lua data)'!$A$3:$C$9838,3,FALSE)</f>
        <v>Kra\'gh</v>
      </c>
      <c r="C222" s="9" t="str">
        <f>VLOOKUP(A222,'Sets (lua data)'!$A$3:$C$9838,2,FALSE)</f>
        <v>Kra'gh</v>
      </c>
    </row>
    <row r="223" spans="1:3" x14ac:dyDescent="0.25">
      <c r="A223" s="12">
        <v>267</v>
      </c>
      <c r="B223" s="9" t="str">
        <f>VLOOKUP(A223,'Sets (lua data)'!$A$3:$C$9838,3,FALSE)</f>
        <v>Swarm Mother</v>
      </c>
      <c r="C223" s="9" t="str">
        <f>VLOOKUP(A223,'Sets (lua data)'!$A$3:$C$9838,2,FALSE)</f>
        <v>Schwarmmutter</v>
      </c>
    </row>
    <row r="224" spans="1:3" x14ac:dyDescent="0.25">
      <c r="A224" s="12">
        <v>268</v>
      </c>
      <c r="B224" s="9" t="str">
        <f>VLOOKUP(A224,'Sets (lua data)'!$A$3:$C$9838,3,FALSE)</f>
        <v>Sentinel of Rkugamz</v>
      </c>
      <c r="C224" s="9" t="str">
        <f>VLOOKUP(A224,'Sets (lua data)'!$A$3:$C$9838,2,FALSE)</f>
        <v>Wachposten von Rkugamz</v>
      </c>
    </row>
    <row r="225" spans="1:3" x14ac:dyDescent="0.25">
      <c r="A225" s="12">
        <v>269</v>
      </c>
      <c r="B225" s="9" t="str">
        <f>VLOOKUP(A225,'Sets (lua data)'!$A$3:$C$9838,3,FALSE)</f>
        <v>Chokethorn</v>
      </c>
      <c r="C225" s="9" t="str">
        <f>VLOOKUP(A225,'Sets (lua data)'!$A$3:$C$9838,2,FALSE)</f>
        <v>Würgedorn</v>
      </c>
    </row>
    <row r="226" spans="1:3" x14ac:dyDescent="0.25">
      <c r="A226" s="12">
        <v>270</v>
      </c>
      <c r="B226" s="9" t="str">
        <f>VLOOKUP(A226,'Sets (lua data)'!$A$3:$C$9838,3,FALSE)</f>
        <v>Slimecraw</v>
      </c>
      <c r="C226" s="9" t="str">
        <f>VLOOKUP(A226,'Sets (lua data)'!$A$3:$C$9838,2,FALSE)</f>
        <v>Schleimkropf</v>
      </c>
    </row>
    <row r="227" spans="1:3" x14ac:dyDescent="0.25">
      <c r="A227" s="12">
        <v>271</v>
      </c>
      <c r="B227" s="9" t="str">
        <f>VLOOKUP(A227,'Sets (lua data)'!$A$3:$C$9838,3,FALSE)</f>
        <v>Sellistrix</v>
      </c>
      <c r="C227" s="9" t="str">
        <f>VLOOKUP(A227,'Sets (lua data)'!$A$3:$C$9838,2,FALSE)</f>
        <v>Sellistrix</v>
      </c>
    </row>
    <row r="228" spans="1:3" x14ac:dyDescent="0.25">
      <c r="A228" s="12">
        <v>272</v>
      </c>
      <c r="B228" s="9" t="str">
        <f>VLOOKUP(A228,'Sets (lua data)'!$A$3:$C$9838,3,FALSE)</f>
        <v>Infernal Guardian</v>
      </c>
      <c r="C228" s="9" t="str">
        <f>VLOOKUP(A228,'Sets (lua data)'!$A$3:$C$9838,2,FALSE)</f>
        <v>Infernaler Wächter</v>
      </c>
    </row>
    <row r="229" spans="1:3" x14ac:dyDescent="0.25">
      <c r="A229" s="12">
        <v>273</v>
      </c>
      <c r="B229" s="9" t="str">
        <f>VLOOKUP(A229,'Sets (lua data)'!$A$3:$C$9838,3,FALSE)</f>
        <v>Ilambris</v>
      </c>
      <c r="C229" s="9" t="str">
        <f>VLOOKUP(A229,'Sets (lua data)'!$A$3:$C$9838,2,FALSE)</f>
        <v>Ilambris</v>
      </c>
    </row>
    <row r="230" spans="1:3" x14ac:dyDescent="0.25">
      <c r="A230" s="12">
        <v>274</v>
      </c>
      <c r="B230" s="9" t="str">
        <f>VLOOKUP(A230,'Sets (lua data)'!$A$3:$C$9838,3,FALSE)</f>
        <v>Iceheart</v>
      </c>
      <c r="C230" s="9" t="str">
        <f>VLOOKUP(A230,'Sets (lua data)'!$A$3:$C$9838,2,FALSE)</f>
        <v>Eisherz</v>
      </c>
    </row>
    <row r="231" spans="1:3" x14ac:dyDescent="0.25">
      <c r="A231" s="12">
        <v>275</v>
      </c>
      <c r="B231" s="9" t="str">
        <f>VLOOKUP(A231,'Sets (lua data)'!$A$3:$C$9838,3,FALSE)</f>
        <v>Stormfist</v>
      </c>
      <c r="C231" s="9" t="str">
        <f>VLOOKUP(A231,'Sets (lua data)'!$A$3:$C$9838,2,FALSE)</f>
        <v>Sturmfaust</v>
      </c>
    </row>
    <row r="232" spans="1:3" x14ac:dyDescent="0.25">
      <c r="A232" s="12">
        <v>276</v>
      </c>
      <c r="B232" s="9" t="str">
        <f>VLOOKUP(A232,'Sets (lua data)'!$A$3:$C$9838,3,FALSE)</f>
        <v>Tremorscale</v>
      </c>
      <c r="C232" s="9" t="str">
        <f>VLOOKUP(A232,'Sets (lua data)'!$A$3:$C$9838,2,FALSE)</f>
        <v>Bebenschuppe</v>
      </c>
    </row>
    <row r="233" spans="1:3" x14ac:dyDescent="0.25">
      <c r="A233" s="12">
        <v>277</v>
      </c>
      <c r="B233" s="9" t="str">
        <f>VLOOKUP(A233,'Sets (lua data)'!$A$3:$C$9838,3,FALSE)</f>
        <v>Pirate Skeleton</v>
      </c>
      <c r="C233" s="9" t="str">
        <f>VLOOKUP(A233,'Sets (lua data)'!$A$3:$C$9838,2,FALSE)</f>
        <v>Piratenskelett</v>
      </c>
    </row>
    <row r="234" spans="1:3" x14ac:dyDescent="0.25">
      <c r="A234" s="12">
        <v>278</v>
      </c>
      <c r="B234" s="9" t="str">
        <f>VLOOKUP(A234,'Sets (lua data)'!$A$3:$C$9838,3,FALSE)</f>
        <v>The Troll King</v>
      </c>
      <c r="C234" s="9" t="str">
        <f>VLOOKUP(A234,'Sets (lua data)'!$A$3:$C$9838,2,FALSE)</f>
        <v>Trollkönig</v>
      </c>
    </row>
    <row r="235" spans="1:3" x14ac:dyDescent="0.25">
      <c r="A235" s="12">
        <v>279</v>
      </c>
      <c r="B235" s="9" t="str">
        <f>VLOOKUP(A235,'Sets (lua data)'!$A$3:$C$9838,3,FALSE)</f>
        <v>Selene</v>
      </c>
      <c r="C235" s="9" t="str">
        <f>VLOOKUP(A235,'Sets (lua data)'!$A$3:$C$9838,2,FALSE)</f>
        <v>Selene</v>
      </c>
    </row>
    <row r="236" spans="1:3" x14ac:dyDescent="0.25">
      <c r="A236" s="12">
        <v>280</v>
      </c>
      <c r="B236" s="9" t="str">
        <f>VLOOKUP(A236,'Sets (lua data)'!$A$3:$C$9838,3,FALSE)</f>
        <v>Grothdarr</v>
      </c>
      <c r="C236" s="9" t="str">
        <f>VLOOKUP(A236,'Sets (lua data)'!$A$3:$C$9838,2,FALSE)</f>
        <v>Grothdarr</v>
      </c>
    </row>
    <row r="237" spans="1:3" x14ac:dyDescent="0.25">
      <c r="A237" s="12">
        <v>281</v>
      </c>
      <c r="B237" s="9" t="str">
        <f>VLOOKUP(A237,'Sets (lua data)'!$A$3:$C$9838,3,FALSE)</f>
        <v>Armor of the Trainee</v>
      </c>
      <c r="C237" s="9" t="str">
        <f>VLOOKUP(A237,'Sets (lua data)'!$A$3:$C$9838,2,FALSE)</f>
        <v>Rüstung des Auszubildenden</v>
      </c>
    </row>
    <row r="238" spans="1:3" x14ac:dyDescent="0.25">
      <c r="A238" s="12">
        <v>282</v>
      </c>
      <c r="B238" s="9" t="str">
        <f>VLOOKUP(A238,'Sets (lua data)'!$A$3:$C$9838,3,FALSE)</f>
        <v>Vampire Cloak</v>
      </c>
      <c r="C238" s="9" t="str">
        <f>VLOOKUP(A238,'Sets (lua data)'!$A$3:$C$9838,2,FALSE)</f>
        <v>Vampirumhang</v>
      </c>
    </row>
    <row r="239" spans="1:3" x14ac:dyDescent="0.25">
      <c r="A239" s="12">
        <v>283</v>
      </c>
      <c r="B239" s="9" t="str">
        <f>VLOOKUP(A239,'Sets (lua data)'!$A$3:$C$9838,3,FALSE)</f>
        <v>Sword-Singer</v>
      </c>
      <c r="C239" s="9" t="str">
        <f>VLOOKUP(A239,'Sets (lua data)'!$A$3:$C$9838,2,FALSE)</f>
        <v>Schwertsänger</v>
      </c>
    </row>
    <row r="240" spans="1:3" x14ac:dyDescent="0.25">
      <c r="A240" s="12">
        <v>284</v>
      </c>
      <c r="B240" s="9" t="str">
        <f>VLOOKUP(A240,'Sets (lua data)'!$A$3:$C$9838,3,FALSE)</f>
        <v>Order of Diagna</v>
      </c>
      <c r="C240" s="9" t="str">
        <f>VLOOKUP(A240,'Sets (lua data)'!$A$3:$C$9838,2,FALSE)</f>
        <v>Orden von Diagna</v>
      </c>
    </row>
    <row r="241" spans="1:3" x14ac:dyDescent="0.25">
      <c r="A241" s="12">
        <v>285</v>
      </c>
      <c r="B241" s="9" t="str">
        <f>VLOOKUP(A241,'Sets (lua data)'!$A$3:$C$9838,3,FALSE)</f>
        <v>Vampire Lord</v>
      </c>
      <c r="C241" s="9" t="str">
        <f>VLOOKUP(A241,'Sets (lua data)'!$A$3:$C$9838,2,FALSE)</f>
        <v>Vampirfürst</v>
      </c>
    </row>
    <row r="242" spans="1:3" x14ac:dyDescent="0.25">
      <c r="A242" s="12">
        <v>286</v>
      </c>
      <c r="B242" s="9" t="str">
        <f>VLOOKUP(A242,'Sets (lua data)'!$A$3:$C$9838,3,FALSE)</f>
        <v>Spriggan\'s Thorns</v>
      </c>
      <c r="C242" s="9" t="str">
        <f>VLOOKUP(A242,'Sets (lua data)'!$A$3:$C$9838,2,FALSE)</f>
        <v>Dornen des Zweiglings</v>
      </c>
    </row>
    <row r="243" spans="1:3" x14ac:dyDescent="0.25">
      <c r="A243" s="12">
        <v>287</v>
      </c>
      <c r="B243" s="9" t="str">
        <f>VLOOKUP(A243,'Sets (lua data)'!$A$3:$C$9838,3,FALSE)</f>
        <v>Green Pact</v>
      </c>
      <c r="C243" s="9" t="str">
        <f>VLOOKUP(A243,'Sets (lua data)'!$A$3:$C$9838,2,FALSE)</f>
        <v>Der Grüne Pakt</v>
      </c>
    </row>
    <row r="244" spans="1:3" x14ac:dyDescent="0.25">
      <c r="A244" s="12">
        <v>288</v>
      </c>
      <c r="B244" s="9" t="str">
        <f>VLOOKUP(A244,'Sets (lua data)'!$A$3:$C$9838,3,FALSE)</f>
        <v>Beekeeper\'s Gear</v>
      </c>
      <c r="C244" s="9" t="str">
        <f>VLOOKUP(A244,'Sets (lua data)'!$A$3:$C$9838,2,FALSE)</f>
        <v>Werkzeug des Bienenhüters</v>
      </c>
    </row>
    <row r="245" spans="1:3" x14ac:dyDescent="0.25">
      <c r="A245" s="12">
        <v>289</v>
      </c>
      <c r="B245" s="9" t="str">
        <f>VLOOKUP(A245,'Sets (lua data)'!$A$3:$C$9838,3,FALSE)</f>
        <v>Spinner\'s Garments</v>
      </c>
      <c r="C245" s="9" t="str">
        <f>VLOOKUP(A245,'Sets (lua data)'!$A$3:$C$9838,2,FALSE)</f>
        <v>Gewänder des Webers</v>
      </c>
    </row>
    <row r="246" spans="1:3" x14ac:dyDescent="0.25">
      <c r="A246" s="12">
        <v>290</v>
      </c>
      <c r="B246" s="9" t="str">
        <f>VLOOKUP(A246,'Sets (lua data)'!$A$3:$C$9838,3,FALSE)</f>
        <v>Skooma Smuggler</v>
      </c>
      <c r="C246" s="9" t="str">
        <f>VLOOKUP(A246,'Sets (lua data)'!$A$3:$C$9838,2,FALSE)</f>
        <v>Skoomaschmuggler</v>
      </c>
    </row>
    <row r="247" spans="1:3" x14ac:dyDescent="0.25">
      <c r="A247" s="12">
        <v>291</v>
      </c>
      <c r="B247" s="9" t="str">
        <f>VLOOKUP(A247,'Sets (lua data)'!$A$3:$C$9838,3,FALSE)</f>
        <v>Shalk Exoskeleton</v>
      </c>
      <c r="C247" s="9" t="str">
        <f>VLOOKUP(A247,'Sets (lua data)'!$A$3:$C$9838,2,FALSE)</f>
        <v>Schröterpanzer</v>
      </c>
    </row>
    <row r="248" spans="1:3" x14ac:dyDescent="0.25">
      <c r="A248" s="12">
        <v>292</v>
      </c>
      <c r="B248" s="9" t="str">
        <f>VLOOKUP(A248,'Sets (lua data)'!$A$3:$C$9838,3,FALSE)</f>
        <v>Mother\'s Sorrow</v>
      </c>
      <c r="C248" s="9" t="str">
        <f>VLOOKUP(A248,'Sets (lua data)'!$A$3:$C$9838,2,FALSE)</f>
        <v>Muttertränen</v>
      </c>
    </row>
    <row r="249" spans="1:3" x14ac:dyDescent="0.25">
      <c r="A249" s="12">
        <v>293</v>
      </c>
      <c r="B249" s="9" t="str">
        <f>VLOOKUP(A249,'Sets (lua data)'!$A$3:$C$9838,3,FALSE)</f>
        <v>Plague Doctor</v>
      </c>
      <c r="C249" s="9" t="str">
        <f>VLOOKUP(A249,'Sets (lua data)'!$A$3:$C$9838,2,FALSE)</f>
        <v>Seuchendoktor</v>
      </c>
    </row>
    <row r="250" spans="1:3" x14ac:dyDescent="0.25">
      <c r="A250" s="12">
        <v>294</v>
      </c>
      <c r="B250" s="9" t="str">
        <f>VLOOKUP(A250,'Sets (lua data)'!$A$3:$C$9838,3,FALSE)</f>
        <v>Ysgramor\'s Birthright</v>
      </c>
      <c r="C250" s="9" t="str">
        <f>VLOOKUP(A250,'Sets (lua data)'!$A$3:$C$9838,2,FALSE)</f>
        <v>Ysgramors Geburtsrecht</v>
      </c>
    </row>
    <row r="251" spans="1:3" x14ac:dyDescent="0.25">
      <c r="A251" s="12">
        <v>295</v>
      </c>
      <c r="B251" s="9" t="str">
        <f>VLOOKUP(A251,'Sets (lua data)'!$A$3:$C$9838,3,FALSE)</f>
        <v>Jailbreaker</v>
      </c>
      <c r="C251" s="9" t="str">
        <f>VLOOKUP(A251,'Sets (lua data)'!$A$3:$C$9838,2,FALSE)</f>
        <v>Ausbrecher</v>
      </c>
    </row>
    <row r="252" spans="1:3" x14ac:dyDescent="0.25">
      <c r="A252" s="12">
        <v>296</v>
      </c>
      <c r="B252" s="9" t="str">
        <f>VLOOKUP(A252,'Sets (lua data)'!$A$3:$C$9838,3,FALSE)</f>
        <v>Spelunker</v>
      </c>
      <c r="C252" s="9" t="str">
        <f>VLOOKUP(A252,'Sets (lua data)'!$A$3:$C$9838,2,FALSE)</f>
        <v>Höhlenforscher</v>
      </c>
    </row>
    <row r="253" spans="1:3" x14ac:dyDescent="0.25">
      <c r="A253" s="12">
        <v>297</v>
      </c>
      <c r="B253" s="9" t="str">
        <f>VLOOKUP(A253,'Sets (lua data)'!$A$3:$C$9838,3,FALSE)</f>
        <v>Spider Cultist Cowl</v>
      </c>
      <c r="C253" s="9" t="str">
        <f>VLOOKUP(A253,'Sets (lua data)'!$A$3:$C$9838,2,FALSE)</f>
        <v>Spinnenkultistenkutte</v>
      </c>
    </row>
    <row r="254" spans="1:3" x14ac:dyDescent="0.25">
      <c r="A254" s="12">
        <v>298</v>
      </c>
      <c r="B254" s="9" t="str">
        <f>VLOOKUP(A254,'Sets (lua data)'!$A$3:$C$9838,3,FALSE)</f>
        <v>Light Speaker</v>
      </c>
      <c r="C254" s="9" t="str">
        <f>VLOOKUP(A254,'Sets (lua data)'!$A$3:$C$9838,2,FALSE)</f>
        <v>Lichtsprecher</v>
      </c>
    </row>
    <row r="255" spans="1:3" x14ac:dyDescent="0.25">
      <c r="A255" s="12">
        <v>299</v>
      </c>
      <c r="B255" s="9" t="str">
        <f>VLOOKUP(A255,'Sets (lua data)'!$A$3:$C$9838,3,FALSE)</f>
        <v>Toothrow</v>
      </c>
      <c r="C255" s="9" t="str">
        <f>VLOOKUP(A255,'Sets (lua data)'!$A$3:$C$9838,2,FALSE)</f>
        <v>Zahnreihe</v>
      </c>
    </row>
    <row r="256" spans="1:3" x14ac:dyDescent="0.25">
      <c r="A256" s="12">
        <v>300</v>
      </c>
      <c r="B256" s="9" t="str">
        <f>VLOOKUP(A256,'Sets (lua data)'!$A$3:$C$9838,3,FALSE)</f>
        <v>Netch\'s Touch</v>
      </c>
      <c r="C256" s="9" t="str">
        <f>VLOOKUP(A256,'Sets (lua data)'!$A$3:$C$9838,2,FALSE)</f>
        <v>Berührung des Netch</v>
      </c>
    </row>
    <row r="257" spans="1:3" x14ac:dyDescent="0.25">
      <c r="A257" s="12">
        <v>301</v>
      </c>
      <c r="B257" s="9" t="str">
        <f>VLOOKUP(A257,'Sets (lua data)'!$A$3:$C$9838,3,FALSE)</f>
        <v>Strength of the Automaton</v>
      </c>
      <c r="C257" s="9" t="str">
        <f>VLOOKUP(A257,'Sets (lua data)'!$A$3:$C$9838,2,FALSE)</f>
        <v>Stärke des Automaten</v>
      </c>
    </row>
    <row r="258" spans="1:3" x14ac:dyDescent="0.25">
      <c r="A258" s="12">
        <v>302</v>
      </c>
      <c r="B258" s="9" t="str">
        <f>VLOOKUP(A258,'Sets (lua data)'!$A$3:$C$9838,3,FALSE)</f>
        <v>Leviathan</v>
      </c>
      <c r="C258" s="9" t="str">
        <f>VLOOKUP(A258,'Sets (lua data)'!$A$3:$C$9838,2,FALSE)</f>
        <v>Leviathan</v>
      </c>
    </row>
    <row r="259" spans="1:3" x14ac:dyDescent="0.25">
      <c r="A259" s="12">
        <v>303</v>
      </c>
      <c r="B259" s="9" t="str">
        <f>VLOOKUP(A259,'Sets (lua data)'!$A$3:$C$9838,3,FALSE)</f>
        <v>Lamia\'s Song</v>
      </c>
      <c r="C259" s="9" t="str">
        <f>VLOOKUP(A259,'Sets (lua data)'!$A$3:$C$9838,2,FALSE)</f>
        <v>Lied der Lamie</v>
      </c>
    </row>
    <row r="260" spans="1:3" x14ac:dyDescent="0.25">
      <c r="A260" s="12">
        <v>304</v>
      </c>
      <c r="B260" s="9" t="str">
        <f>VLOOKUP(A260,'Sets (lua data)'!$A$3:$C$9838,3,FALSE)</f>
        <v>Medusa</v>
      </c>
      <c r="C260" s="9" t="str">
        <f>VLOOKUP(A260,'Sets (lua data)'!$A$3:$C$9838,2,FALSE)</f>
        <v>Versteinernder Blick</v>
      </c>
    </row>
    <row r="261" spans="1:3" x14ac:dyDescent="0.25">
      <c r="A261" s="12">
        <v>305</v>
      </c>
      <c r="B261" s="9" t="str">
        <f>VLOOKUP(A261,'Sets (lua data)'!$A$3:$C$9838,3,FALSE)</f>
        <v>Treasure Hunter</v>
      </c>
      <c r="C261" s="9" t="str">
        <f>VLOOKUP(A261,'Sets (lua data)'!$A$3:$C$9838,2,FALSE)</f>
        <v>Schatzjäger</v>
      </c>
    </row>
    <row r="262" spans="1:3" x14ac:dyDescent="0.25">
      <c r="A262" s="12">
        <v>307</v>
      </c>
      <c r="B262" s="9" t="str">
        <f>VLOOKUP(A262,'Sets (lua data)'!$A$3:$C$9838,3,FALSE)</f>
        <v>Draugr Hulk</v>
      </c>
      <c r="C262" s="9" t="str">
        <f>VLOOKUP(A262,'Sets (lua data)'!$A$3:$C$9838,2,FALSE)</f>
        <v>Schwerfälliger Draugr</v>
      </c>
    </row>
    <row r="263" spans="1:3" x14ac:dyDescent="0.25">
      <c r="A263" s="12">
        <v>308</v>
      </c>
      <c r="B263" s="9" t="str">
        <f>VLOOKUP(A263,'Sets (lua data)'!$A$3:$C$9838,3,FALSE)</f>
        <v>Bone Pirate\'s Tatters</v>
      </c>
      <c r="C263" s="9" t="str">
        <f>VLOOKUP(A263,'Sets (lua data)'!$A$3:$C$9838,2,FALSE)</f>
        <v>Lumpen des Knochenpiraten</v>
      </c>
    </row>
    <row r="264" spans="1:3" x14ac:dyDescent="0.25">
      <c r="A264" s="12">
        <v>309</v>
      </c>
      <c r="B264" s="9" t="str">
        <f>VLOOKUP(A264,'Sets (lua data)'!$A$3:$C$9838,3,FALSE)</f>
        <v>Knight-errant\'s Mail</v>
      </c>
      <c r="C264" s="9" t="str">
        <f>VLOOKUP(A264,'Sets (lua data)'!$A$3:$C$9838,2,FALSE)</f>
        <v>Platten des Wanderritters</v>
      </c>
    </row>
    <row r="265" spans="1:3" x14ac:dyDescent="0.25">
      <c r="A265" s="12">
        <v>310</v>
      </c>
      <c r="B265" s="9" t="str">
        <f>VLOOKUP(A265,'Sets (lua data)'!$A$3:$C$9838,3,FALSE)</f>
        <v>Sword Dancer</v>
      </c>
      <c r="C265" s="9" t="str">
        <f>VLOOKUP(A265,'Sets (lua data)'!$A$3:$C$9838,2,FALSE)</f>
        <v>Schwerttänzer</v>
      </c>
    </row>
    <row r="266" spans="1:3" x14ac:dyDescent="0.25">
      <c r="A266" s="12">
        <v>311</v>
      </c>
      <c r="B266" s="9" t="str">
        <f>VLOOKUP(A266,'Sets (lua data)'!$A$3:$C$9838,3,FALSE)</f>
        <v>Rattlecage</v>
      </c>
      <c r="C266" s="9" t="str">
        <f>VLOOKUP(A266,'Sets (lua data)'!$A$3:$C$9838,2,FALSE)</f>
        <v>Klapperkäfig</v>
      </c>
    </row>
    <row r="267" spans="1:3" x14ac:dyDescent="0.25">
      <c r="A267" s="12">
        <v>313</v>
      </c>
      <c r="B267" s="9" t="str">
        <f>VLOOKUP(A267,'Sets (lua data)'!$A$3:$C$9838,3,FALSE)</f>
        <v>Titanic Cleave</v>
      </c>
      <c r="C267" s="9" t="str">
        <f>VLOOKUP(A267,'Sets (lua data)'!$A$3:$C$9838,2,FALSE)</f>
        <v>Titanisches Trennen</v>
      </c>
    </row>
    <row r="268" spans="1:3" x14ac:dyDescent="0.25">
      <c r="A268" s="12">
        <v>314</v>
      </c>
      <c r="B268" s="9" t="str">
        <f>VLOOKUP(A268,'Sets (lua data)'!$A$3:$C$9838,3,FALSE)</f>
        <v>Puncturing Remedy</v>
      </c>
      <c r="C268" s="9" t="str">
        <f>VLOOKUP(A268,'Sets (lua data)'!$A$3:$C$9838,2,FALSE)</f>
        <v>Durchschlagende Genesung</v>
      </c>
    </row>
    <row r="269" spans="1:3" x14ac:dyDescent="0.25">
      <c r="A269" s="12">
        <v>315</v>
      </c>
      <c r="B269" s="9" t="str">
        <f>VLOOKUP(A269,'Sets (lua data)'!$A$3:$C$9838,3,FALSE)</f>
        <v>Stinging Slashes</v>
      </c>
      <c r="C269" s="9" t="str">
        <f>VLOOKUP(A269,'Sets (lua data)'!$A$3:$C$9838,2,FALSE)</f>
        <v>Stechende Schnitte</v>
      </c>
    </row>
    <row r="270" spans="1:3" x14ac:dyDescent="0.25">
      <c r="A270" s="12">
        <v>316</v>
      </c>
      <c r="B270" s="9" t="str">
        <f>VLOOKUP(A270,'Sets (lua data)'!$A$3:$C$9838,3,FALSE)</f>
        <v>Caustic Arrow</v>
      </c>
      <c r="C270" s="9" t="str">
        <f>VLOOKUP(A270,'Sets (lua data)'!$A$3:$C$9838,2,FALSE)</f>
        <v>Beißender Pfeil</v>
      </c>
    </row>
    <row r="271" spans="1:3" x14ac:dyDescent="0.25">
      <c r="A271" s="12">
        <v>317</v>
      </c>
      <c r="B271" s="9" t="str">
        <f>VLOOKUP(A271,'Sets (lua data)'!$A$3:$C$9838,3,FALSE)</f>
        <v>Destructive Impact</v>
      </c>
      <c r="C271" s="9" t="str">
        <f>VLOOKUP(A271,'Sets (lua data)'!$A$3:$C$9838,2,FALSE)</f>
        <v>Zerstörerischer Einschlag</v>
      </c>
    </row>
    <row r="272" spans="1:3" x14ac:dyDescent="0.25">
      <c r="A272" s="12">
        <v>318</v>
      </c>
      <c r="B272" s="9" t="str">
        <f>VLOOKUP(A272,'Sets (lua data)'!$A$3:$C$9838,3,FALSE)</f>
        <v>Grand Rejuvenation</v>
      </c>
      <c r="C272" s="9" t="str">
        <f>VLOOKUP(A272,'Sets (lua data)'!$A$3:$C$9838,2,FALSE)</f>
        <v>Große Verjüngung</v>
      </c>
    </row>
    <row r="273" spans="1:3" x14ac:dyDescent="0.25">
      <c r="A273" s="12">
        <v>320</v>
      </c>
      <c r="B273" s="9" t="str">
        <f>VLOOKUP(A273,'Sets (lua data)'!$A$3:$C$9838,3,FALSE)</f>
        <v>War Maiden</v>
      </c>
      <c r="C273" s="9" t="str">
        <f>VLOOKUP(A273,'Sets (lua data)'!$A$3:$C$9838,2,FALSE)</f>
        <v>Kriegsjungfer</v>
      </c>
    </row>
    <row r="274" spans="1:3" x14ac:dyDescent="0.25">
      <c r="A274" s="12">
        <v>321</v>
      </c>
      <c r="B274" s="9" t="str">
        <f>VLOOKUP(A274,'Sets (lua data)'!$A$3:$C$9838,3,FALSE)</f>
        <v>Defiler</v>
      </c>
      <c r="C274" s="9" t="str">
        <f>VLOOKUP(A274,'Sets (lua data)'!$A$3:$C$9838,2,FALSE)</f>
        <v>Schänder</v>
      </c>
    </row>
    <row r="275" spans="1:3" x14ac:dyDescent="0.25">
      <c r="A275" s="12">
        <v>322</v>
      </c>
      <c r="B275" s="9" t="str">
        <f>VLOOKUP(A275,'Sets (lua data)'!$A$3:$C$9838,3,FALSE)</f>
        <v>Warrior-Poet</v>
      </c>
      <c r="C275" s="9" t="str">
        <f>VLOOKUP(A275,'Sets (lua data)'!$A$3:$C$9838,2,FALSE)</f>
        <v>Kriegerpoet</v>
      </c>
    </row>
    <row r="276" spans="1:3" x14ac:dyDescent="0.25">
      <c r="A276" s="12">
        <v>323</v>
      </c>
      <c r="B276" s="9" t="str">
        <f>VLOOKUP(A276,'Sets (lua data)'!$A$3:$C$9838,3,FALSE)</f>
        <v>Assassin\'s Guile</v>
      </c>
      <c r="C276" s="9" t="str">
        <f>VLOOKUP(A276,'Sets (lua data)'!$A$3:$C$9838,2,FALSE)</f>
        <v>Assassinenlist</v>
      </c>
    </row>
    <row r="277" spans="1:3" x14ac:dyDescent="0.25">
      <c r="A277" s="12">
        <v>324</v>
      </c>
      <c r="B277" s="9" t="str">
        <f>VLOOKUP(A277,'Sets (lua data)'!$A$3:$C$9838,3,FALSE)</f>
        <v>Daedric Trickery</v>
      </c>
      <c r="C277" s="9" t="str">
        <f>VLOOKUP(A277,'Sets (lua data)'!$A$3:$C$9838,2,FALSE)</f>
        <v>Daedrische Gaunerei</v>
      </c>
    </row>
    <row r="278" spans="1:3" x14ac:dyDescent="0.25">
      <c r="A278" s="12">
        <v>325</v>
      </c>
      <c r="B278" s="9" t="str">
        <f>VLOOKUP(A278,'Sets (lua data)'!$A$3:$C$9838,3,FALSE)</f>
        <v>Shacklebreaker</v>
      </c>
      <c r="C278" s="9" t="str">
        <f>VLOOKUP(A278,'Sets (lua data)'!$A$3:$C$9838,2,FALSE)</f>
        <v>Kettensprenger</v>
      </c>
    </row>
    <row r="279" spans="1:3" x14ac:dyDescent="0.25">
      <c r="A279" s="12">
        <v>326</v>
      </c>
      <c r="B279" s="9" t="str">
        <f>VLOOKUP(A279,'Sets (lua data)'!$A$3:$C$9838,3,FALSE)</f>
        <v>Vanguard\'s Challenge</v>
      </c>
      <c r="C279" s="9" t="str">
        <f>VLOOKUP(A279,'Sets (lua data)'!$A$3:$C$9838,2,FALSE)</f>
        <v>Vorhutdisput</v>
      </c>
    </row>
    <row r="280" spans="1:3" x14ac:dyDescent="0.25">
      <c r="A280" s="12">
        <v>327</v>
      </c>
      <c r="B280" s="9" t="str">
        <f>VLOOKUP(A280,'Sets (lua data)'!$A$3:$C$9838,3,FALSE)</f>
        <v>Coward\'s Gear</v>
      </c>
      <c r="C280" s="9" t="str">
        <f>VLOOKUP(A280,'Sets (lua data)'!$A$3:$C$9838,2,FALSE)</f>
        <v>Feiglingstracht</v>
      </c>
    </row>
    <row r="281" spans="1:3" x14ac:dyDescent="0.25">
      <c r="A281" s="12">
        <v>328</v>
      </c>
      <c r="B281" s="9" t="str">
        <f>VLOOKUP(A281,'Sets (lua data)'!$A$3:$C$9838,3,FALSE)</f>
        <v>Knight Slayer</v>
      </c>
      <c r="C281" s="9" t="str">
        <f>VLOOKUP(A281,'Sets (lua data)'!$A$3:$C$9838,2,FALSE)</f>
        <v>Ritterschlächter</v>
      </c>
    </row>
    <row r="282" spans="1:3" x14ac:dyDescent="0.25">
      <c r="A282" s="12">
        <v>329</v>
      </c>
      <c r="B282" s="9" t="str">
        <f>VLOOKUP(A282,'Sets (lua data)'!$A$3:$C$9838,3,FALSE)</f>
        <v>Wizard\'s Riposte</v>
      </c>
      <c r="C282" s="9" t="str">
        <f>VLOOKUP(A282,'Sets (lua data)'!$A$3:$C$9838,2,FALSE)</f>
        <v>Zaubererreplik</v>
      </c>
    </row>
    <row r="283" spans="1:3" x14ac:dyDescent="0.25">
      <c r="A283" s="12">
        <v>330</v>
      </c>
      <c r="B283" s="9" t="str">
        <f>VLOOKUP(A283,'Sets (lua data)'!$A$3:$C$9838,3,FALSE)</f>
        <v>Automated Defense</v>
      </c>
      <c r="C283" s="9" t="str">
        <f>VLOOKUP(A283,'Sets (lua data)'!$A$3:$C$9838,2,FALSE)</f>
        <v>Automatisierte Verteidigung</v>
      </c>
    </row>
    <row r="284" spans="1:3" x14ac:dyDescent="0.25">
      <c r="A284" s="12">
        <v>331</v>
      </c>
      <c r="B284" s="9" t="str">
        <f>VLOOKUP(A284,'Sets (lua data)'!$A$3:$C$9838,3,FALSE)</f>
        <v>War Machine</v>
      </c>
      <c r="C284" s="9" t="str">
        <f>VLOOKUP(A284,'Sets (lua data)'!$A$3:$C$9838,2,FALSE)</f>
        <v>Kriegsmaschine</v>
      </c>
    </row>
    <row r="285" spans="1:3" x14ac:dyDescent="0.25">
      <c r="A285" s="12">
        <v>332</v>
      </c>
      <c r="B285" s="9" t="str">
        <f>VLOOKUP(A285,'Sets (lua data)'!$A$3:$C$9838,3,FALSE)</f>
        <v>Master Architect</v>
      </c>
      <c r="C285" s="9" t="str">
        <f>VLOOKUP(A285,'Sets (lua data)'!$A$3:$C$9838,2,FALSE)</f>
        <v>Meisterarchitekt</v>
      </c>
    </row>
    <row r="286" spans="1:3" x14ac:dyDescent="0.25">
      <c r="A286" s="12">
        <v>333</v>
      </c>
      <c r="B286" s="9" t="str">
        <f>VLOOKUP(A286,'Sets (lua data)'!$A$3:$C$9838,3,FALSE)</f>
        <v>Inventor\'s Guard</v>
      </c>
      <c r="C286" s="9" t="str">
        <f>VLOOKUP(A286,'Sets (lua data)'!$A$3:$C$9838,2,FALSE)</f>
        <v>Erfindergarde</v>
      </c>
    </row>
    <row r="287" spans="1:3" x14ac:dyDescent="0.25">
      <c r="A287" s="12">
        <v>334</v>
      </c>
      <c r="B287" s="9" t="str">
        <f>VLOOKUP(A287,'Sets (lua data)'!$A$3:$C$9838,3,FALSE)</f>
        <v>Impregnable Armor</v>
      </c>
      <c r="C287" s="9" t="str">
        <f>VLOOKUP(A287,'Sets (lua data)'!$A$3:$C$9838,2,FALSE)</f>
        <v>Unüberwindliche Rüstung</v>
      </c>
    </row>
    <row r="288" spans="1:3" x14ac:dyDescent="0.25">
      <c r="A288" s="12">
        <v>335</v>
      </c>
      <c r="B288" s="9" t="str">
        <f>VLOOKUP(A288,'Sets (lua data)'!$A$3:$C$9838,3,FALSE)</f>
        <v>Draugr\'s Rest</v>
      </c>
      <c r="C288" s="9" t="str">
        <f>VLOOKUP(A288,'Sets (lua data)'!$A$3:$C$9838,2,FALSE)</f>
        <v>Draugrruhe</v>
      </c>
    </row>
    <row r="289" spans="1:3" x14ac:dyDescent="0.25">
      <c r="A289" s="12">
        <v>336</v>
      </c>
      <c r="B289" s="9" t="str">
        <f>VLOOKUP(A289,'Sets (lua data)'!$A$3:$C$9838,3,FALSE)</f>
        <v>Pillar of Nirn</v>
      </c>
      <c r="C289" s="9" t="str">
        <f>VLOOKUP(A289,'Sets (lua data)'!$A$3:$C$9838,2,FALSE)</f>
        <v>Säulen von Nirn</v>
      </c>
    </row>
    <row r="290" spans="1:3" x14ac:dyDescent="0.25">
      <c r="A290" s="12">
        <v>337</v>
      </c>
      <c r="B290" s="9" t="str">
        <f>VLOOKUP(A290,'Sets (lua data)'!$A$3:$C$9838,3,FALSE)</f>
        <v>Ironblood</v>
      </c>
      <c r="C290" s="9" t="str">
        <f>VLOOKUP(A290,'Sets (lua data)'!$A$3:$C$9838,2,FALSE)</f>
        <v>Eisenblut</v>
      </c>
    </row>
    <row r="291" spans="1:3" x14ac:dyDescent="0.25">
      <c r="A291" s="12">
        <v>338</v>
      </c>
      <c r="B291" s="9" t="str">
        <f>VLOOKUP(A291,'Sets (lua data)'!$A$3:$C$9838,3,FALSE)</f>
        <v>Flame Blossom</v>
      </c>
      <c r="C291" s="9" t="str">
        <f>VLOOKUP(A291,'Sets (lua data)'!$A$3:$C$9838,2,FALSE)</f>
        <v>Flammenblüte</v>
      </c>
    </row>
    <row r="292" spans="1:3" x14ac:dyDescent="0.25">
      <c r="A292" s="12">
        <v>339</v>
      </c>
      <c r="B292" s="9" t="str">
        <f>VLOOKUP(A292,'Sets (lua data)'!$A$3:$C$9838,3,FALSE)</f>
        <v>Blooddrinker</v>
      </c>
      <c r="C292" s="9" t="str">
        <f>VLOOKUP(A292,'Sets (lua data)'!$A$3:$C$9838,2,FALSE)</f>
        <v>Bluttrinker</v>
      </c>
    </row>
    <row r="293" spans="1:3" x14ac:dyDescent="0.25">
      <c r="A293" s="12">
        <v>340</v>
      </c>
      <c r="B293" s="9" t="str">
        <f>VLOOKUP(A293,'Sets (lua data)'!$A$3:$C$9838,3,FALSE)</f>
        <v>Hagraven\'s Garden</v>
      </c>
      <c r="C293" s="9" t="str">
        <f>VLOOKUP(A293,'Sets (lua data)'!$A$3:$C$9838,2,FALSE)</f>
        <v>Vettelgarten</v>
      </c>
    </row>
    <row r="294" spans="1:3" x14ac:dyDescent="0.25">
      <c r="A294" s="12">
        <v>341</v>
      </c>
      <c r="B294" s="9" t="str">
        <f>VLOOKUP(A294,'Sets (lua data)'!$A$3:$C$9838,3,FALSE)</f>
        <v>Earthgore</v>
      </c>
      <c r="C294" s="9" t="str">
        <f>VLOOKUP(A294,'Sets (lua data)'!$A$3:$C$9838,2,FALSE)</f>
        <v>Erdbluter</v>
      </c>
    </row>
    <row r="295" spans="1:3" x14ac:dyDescent="0.25">
      <c r="A295" s="12">
        <v>342</v>
      </c>
      <c r="B295" s="9" t="str">
        <f>VLOOKUP(A295,'Sets (lua data)'!$A$3:$C$9838,3,FALSE)</f>
        <v>Domihaus</v>
      </c>
      <c r="C295" s="9" t="str">
        <f>VLOOKUP(A295,'Sets (lua data)'!$A$3:$C$9838,2,FALSE)</f>
        <v>Domihaus</v>
      </c>
    </row>
    <row r="296" spans="1:3" x14ac:dyDescent="0.25">
      <c r="A296" s="12">
        <v>343</v>
      </c>
      <c r="B296" s="9" t="str">
        <f>VLOOKUP(A296,'Sets (lua data)'!$A$3:$C$9838,3,FALSE)</f>
        <v>Caluurion\'s Legacy</v>
      </c>
      <c r="C296" s="9" t="str">
        <f>VLOOKUP(A296,'Sets (lua data)'!$A$3:$C$9838,2,FALSE)</f>
        <v>Caluurions Erbe</v>
      </c>
    </row>
    <row r="297" spans="1:3" x14ac:dyDescent="0.25">
      <c r="A297" s="12">
        <v>344</v>
      </c>
      <c r="B297" s="9" t="str">
        <f>VLOOKUP(A297,'Sets (lua data)'!$A$3:$C$9838,3,FALSE)</f>
        <v>Trappings of Invigoration</v>
      </c>
      <c r="C297" s="9" t="str">
        <f>VLOOKUP(A297,'Sets (lua data)'!$A$3:$C$9838,2,FALSE)</f>
        <v>Stärkungsprunk</v>
      </c>
    </row>
    <row r="298" spans="1:3" x14ac:dyDescent="0.25">
      <c r="A298" s="12">
        <v>345</v>
      </c>
      <c r="B298" s="9" t="str">
        <f>VLOOKUP(A298,'Sets (lua data)'!$A$3:$C$9838,3,FALSE)</f>
        <v>Ulfnor\'s Favor</v>
      </c>
      <c r="C298" s="9" t="str">
        <f>VLOOKUP(A298,'Sets (lua data)'!$A$3:$C$9838,2,FALSE)</f>
        <v>Ulfnors Gunst</v>
      </c>
    </row>
    <row r="299" spans="1:3" x14ac:dyDescent="0.25">
      <c r="A299" s="12">
        <v>346</v>
      </c>
      <c r="B299" s="9" t="str">
        <f>VLOOKUP(A299,'Sets (lua data)'!$A$3:$C$9838,3,FALSE)</f>
        <v>Jorvuld\'s Guidance</v>
      </c>
      <c r="C299" s="9" t="str">
        <f>VLOOKUP(A299,'Sets (lua data)'!$A$3:$C$9838,2,FALSE)</f>
        <v>Jorvulds Führung</v>
      </c>
    </row>
    <row r="300" spans="1:3" x14ac:dyDescent="0.25">
      <c r="A300" s="12">
        <v>347</v>
      </c>
      <c r="B300" s="9" t="str">
        <f>VLOOKUP(A300,'Sets (lua data)'!$A$3:$C$9838,3,FALSE)</f>
        <v>Plague Slinger</v>
      </c>
      <c r="C300" s="9" t="str">
        <f>VLOOKUP(A300,'Sets (lua data)'!$A$3:$C$9838,2,FALSE)</f>
        <v>Seuchenschleuder</v>
      </c>
    </row>
    <row r="301" spans="1:3" x14ac:dyDescent="0.25">
      <c r="A301" s="12">
        <v>348</v>
      </c>
      <c r="B301" s="9" t="str">
        <f>VLOOKUP(A301,'Sets (lua data)'!$A$3:$C$9838,3,FALSE)</f>
        <v>Curse of Doylemish</v>
      </c>
      <c r="C301" s="9" t="str">
        <f>VLOOKUP(A301,'Sets (lua data)'!$A$3:$C$9838,2,FALSE)</f>
        <v>Fluch von Doylemish</v>
      </c>
    </row>
    <row r="302" spans="1:3" x14ac:dyDescent="0.25">
      <c r="A302" s="12">
        <v>349</v>
      </c>
      <c r="B302" s="9" t="str">
        <f>VLOOKUP(A302,'Sets (lua data)'!$A$3:$C$9838,3,FALSE)</f>
        <v>Thurvokun</v>
      </c>
      <c r="C302" s="9" t="str">
        <f>VLOOKUP(A302,'Sets (lua data)'!$A$3:$C$9838,2,FALSE)</f>
        <v>Thurvokun</v>
      </c>
    </row>
    <row r="303" spans="1:3" x14ac:dyDescent="0.25">
      <c r="A303" s="12">
        <v>350</v>
      </c>
      <c r="B303" s="9" t="str">
        <f>VLOOKUP(A303,'Sets (lua data)'!$A$3:$C$9838,3,FALSE)</f>
        <v>Zaan</v>
      </c>
      <c r="C303" s="9" t="str">
        <f>VLOOKUP(A303,'Sets (lua data)'!$A$3:$C$9838,2,FALSE)</f>
        <v>Zaan</v>
      </c>
    </row>
    <row r="304" spans="1:3" x14ac:dyDescent="0.25">
      <c r="A304" s="12">
        <v>351</v>
      </c>
      <c r="B304" s="9" t="str">
        <f>VLOOKUP(A304,'Sets (lua data)'!$A$3:$C$9838,3,FALSE)</f>
        <v>Innate Axiom</v>
      </c>
      <c r="C304" s="9" t="str">
        <f>VLOOKUP(A304,'Sets (lua data)'!$A$3:$C$9838,2,FALSE)</f>
        <v>Kernaxiom</v>
      </c>
    </row>
    <row r="305" spans="1:3" x14ac:dyDescent="0.25">
      <c r="A305" s="12">
        <v>352</v>
      </c>
      <c r="B305" s="9" t="str">
        <f>VLOOKUP(A305,'Sets (lua data)'!$A$3:$C$9838,3,FALSE)</f>
        <v>Fortified Brass</v>
      </c>
      <c r="C305" s="9" t="str">
        <f>VLOOKUP(A305,'Sets (lua data)'!$A$3:$C$9838,2,FALSE)</f>
        <v>Messingpanzer</v>
      </c>
    </row>
    <row r="306" spans="1:3" x14ac:dyDescent="0.25">
      <c r="A306" s="12">
        <v>353</v>
      </c>
      <c r="B306" s="9" t="str">
        <f>VLOOKUP(A306,'Sets (lua data)'!$A$3:$C$9838,3,FALSE)</f>
        <v>Mechanical Acuity</v>
      </c>
      <c r="C306" s="9" t="str">
        <f>VLOOKUP(A306,'Sets (lua data)'!$A$3:$C$9838,2,FALSE)</f>
        <v>Mechanikblick</v>
      </c>
    </row>
    <row r="307" spans="1:3" x14ac:dyDescent="0.25">
      <c r="A307" s="12">
        <v>354</v>
      </c>
      <c r="B307" s="9" t="str">
        <f>VLOOKUP(A307,'Sets (lua data)'!$A$3:$C$9838,3,FALSE)</f>
        <v>Mad Tinkerer</v>
      </c>
      <c r="C307" s="9" t="str">
        <f>VLOOKUP(A307,'Sets (lua data)'!$A$3:$C$9838,2,FALSE)</f>
        <v>Wahntüftler</v>
      </c>
    </row>
    <row r="308" spans="1:3" x14ac:dyDescent="0.25">
      <c r="A308" s="12">
        <v>355</v>
      </c>
      <c r="B308" s="9" t="str">
        <f>VLOOKUP(A308,'Sets (lua data)'!$A$3:$C$9838,3,FALSE)</f>
        <v>Unfathomable Darkness</v>
      </c>
      <c r="C308" s="9" t="str">
        <f>VLOOKUP(A308,'Sets (lua data)'!$A$3:$C$9838,2,FALSE)</f>
        <v>Unermessliche Dunkelheit</v>
      </c>
    </row>
    <row r="309" spans="1:3" x14ac:dyDescent="0.25">
      <c r="A309" s="12">
        <v>356</v>
      </c>
      <c r="B309" s="9" t="str">
        <f>VLOOKUP(A309,'Sets (lua data)'!$A$3:$C$9838,3,FALSE)</f>
        <v>Livewire</v>
      </c>
      <c r="C309" s="9" t="str">
        <f>VLOOKUP(A309,'Sets (lua data)'!$A$3:$C$9838,2,FALSE)</f>
        <v>Stromschlag</v>
      </c>
    </row>
    <row r="310" spans="1:3" x14ac:dyDescent="0.25">
      <c r="A310" s="12">
        <v>357</v>
      </c>
      <c r="B310" s="9" t="str">
        <f>VLOOKUP(A310,'Sets (lua data)'!$A$3:$C$9838,3,FALSE)</f>
        <v>Perfected Disciplined Slash</v>
      </c>
      <c r="C310" s="9" t="str">
        <f>VLOOKUP(A310,'Sets (lua data)'!$A$3:$C$9838,2,FALSE)</f>
        <v>Vollendeter Disziplinierter Schnitt</v>
      </c>
    </row>
    <row r="311" spans="1:3" x14ac:dyDescent="0.25">
      <c r="A311" s="12">
        <v>358</v>
      </c>
      <c r="B311" s="9" t="str">
        <f>VLOOKUP(A311,'Sets (lua data)'!$A$3:$C$9838,3,FALSE)</f>
        <v>Perfected Defensive Position</v>
      </c>
      <c r="C311" s="9" t="str">
        <f>VLOOKUP(A311,'Sets (lua data)'!$A$3:$C$9838,2,FALSE)</f>
        <v>Vollendete Defensive Position</v>
      </c>
    </row>
    <row r="312" spans="1:3" x14ac:dyDescent="0.25">
      <c r="A312" s="12">
        <v>359</v>
      </c>
      <c r="B312" s="9" t="str">
        <f>VLOOKUP(A312,'Sets (lua data)'!$A$3:$C$9838,3,FALSE)</f>
        <v>Perfected Chaotic Whirlwind</v>
      </c>
      <c r="C312" s="9" t="str">
        <f>VLOOKUP(A312,'Sets (lua data)'!$A$3:$C$9838,2,FALSE)</f>
        <v>Vollendeter Chaotischer Wirbelwind</v>
      </c>
    </row>
    <row r="313" spans="1:3" x14ac:dyDescent="0.25">
      <c r="A313" s="12">
        <v>360</v>
      </c>
      <c r="B313" s="9" t="str">
        <f>VLOOKUP(A313,'Sets (lua data)'!$A$3:$C$9838,3,FALSE)</f>
        <v>Perfected Piercing Spray</v>
      </c>
      <c r="C313" s="9" t="str">
        <f>VLOOKUP(A313,'Sets (lua data)'!$A$3:$C$9838,2,FALSE)</f>
        <v>Vollendete Durchdringende Salve</v>
      </c>
    </row>
    <row r="314" spans="1:3" x14ac:dyDescent="0.25">
      <c r="A314" s="12">
        <v>361</v>
      </c>
      <c r="B314" s="9" t="str">
        <f>VLOOKUP(A314,'Sets (lua data)'!$A$3:$C$9838,3,FALSE)</f>
        <v>Perfected Concentrated Force</v>
      </c>
      <c r="C314" s="9" t="str">
        <f>VLOOKUP(A314,'Sets (lua data)'!$A$3:$C$9838,2,FALSE)</f>
        <v>Vollendete Konzentrierte Kraft</v>
      </c>
    </row>
    <row r="315" spans="1:3" x14ac:dyDescent="0.25">
      <c r="A315" s="12">
        <v>362</v>
      </c>
      <c r="B315" s="9" t="str">
        <f>VLOOKUP(A315,'Sets (lua data)'!$A$3:$C$9838,3,FALSE)</f>
        <v>Perfected Timeless Blessing</v>
      </c>
      <c r="C315" s="9" t="str">
        <f>VLOOKUP(A315,'Sets (lua data)'!$A$3:$C$9838,2,FALSE)</f>
        <v>Vollendeter Zeitloser Segen</v>
      </c>
    </row>
    <row r="316" spans="1:3" x14ac:dyDescent="0.25">
      <c r="A316" s="12">
        <v>363</v>
      </c>
      <c r="B316" s="9" t="str">
        <f>VLOOKUP(A316,'Sets (lua data)'!$A$3:$C$9838,3,FALSE)</f>
        <v>Disciplined Slash</v>
      </c>
      <c r="C316" s="9" t="str">
        <f>VLOOKUP(A316,'Sets (lua data)'!$A$3:$C$9838,2,FALSE)</f>
        <v>Disziplinierter Schnitt</v>
      </c>
    </row>
    <row r="317" spans="1:3" x14ac:dyDescent="0.25">
      <c r="A317" s="12">
        <v>364</v>
      </c>
      <c r="B317" s="9" t="str">
        <f>VLOOKUP(A317,'Sets (lua data)'!$A$3:$C$9838,3,FALSE)</f>
        <v>Defensive Position</v>
      </c>
      <c r="C317" s="9" t="str">
        <f>VLOOKUP(A317,'Sets (lua data)'!$A$3:$C$9838,2,FALSE)</f>
        <v>Defensive Position</v>
      </c>
    </row>
    <row r="318" spans="1:3" x14ac:dyDescent="0.25">
      <c r="A318" s="12">
        <v>365</v>
      </c>
      <c r="B318" s="9" t="str">
        <f>VLOOKUP(A318,'Sets (lua data)'!$A$3:$C$9838,3,FALSE)</f>
        <v>Chaotic Whirlwind</v>
      </c>
      <c r="C318" s="9" t="str">
        <f>VLOOKUP(A318,'Sets (lua data)'!$A$3:$C$9838,2,FALSE)</f>
        <v>Chaotischer Wirbelwind</v>
      </c>
    </row>
    <row r="319" spans="1:3" x14ac:dyDescent="0.25">
      <c r="A319" s="12">
        <v>366</v>
      </c>
      <c r="B319" s="9" t="str">
        <f>VLOOKUP(A319,'Sets (lua data)'!$A$3:$C$9838,3,FALSE)</f>
        <v>Piercing Spray</v>
      </c>
      <c r="C319" s="9" t="str">
        <f>VLOOKUP(A319,'Sets (lua data)'!$A$3:$C$9838,2,FALSE)</f>
        <v>Durchdringende Salve</v>
      </c>
    </row>
    <row r="320" spans="1:3" x14ac:dyDescent="0.25">
      <c r="A320" s="12">
        <v>367</v>
      </c>
      <c r="B320" s="9" t="str">
        <f>VLOOKUP(A320,'Sets (lua data)'!$A$3:$C$9838,3,FALSE)</f>
        <v>Concentrated Force</v>
      </c>
      <c r="C320" s="9" t="str">
        <f>VLOOKUP(A320,'Sets (lua data)'!$A$3:$C$9838,2,FALSE)</f>
        <v>Konzentrierte Kraft</v>
      </c>
    </row>
    <row r="321" spans="1:3" x14ac:dyDescent="0.25">
      <c r="A321" s="12">
        <v>368</v>
      </c>
      <c r="B321" s="9" t="str">
        <f>VLOOKUP(A321,'Sets (lua data)'!$A$3:$C$9838,3,FALSE)</f>
        <v>Timeless Blessing</v>
      </c>
      <c r="C321" s="9" t="str">
        <f>VLOOKUP(A321,'Sets (lua data)'!$A$3:$C$9838,2,FALSE)</f>
        <v>Zeitloser Segen</v>
      </c>
    </row>
    <row r="322" spans="1:3" x14ac:dyDescent="0.25">
      <c r="A322" s="12">
        <v>369</v>
      </c>
      <c r="B322" s="9" t="str">
        <f>VLOOKUP(A322,'Sets (lua data)'!$A$3:$C$9838,3,FALSE)</f>
        <v>Merciless Charge</v>
      </c>
      <c r="C322" s="9" t="str">
        <f>VLOOKUP(A322,'Sets (lua data)'!$A$3:$C$9838,2,FALSE)</f>
        <v>Gnadenloser Ansturm</v>
      </c>
    </row>
    <row r="323" spans="1:3" x14ac:dyDescent="0.25">
      <c r="A323" s="12">
        <v>370</v>
      </c>
      <c r="B323" s="9" t="str">
        <f>VLOOKUP(A323,'Sets (lua data)'!$A$3:$C$9838,3,FALSE)</f>
        <v>Rampaging Slash</v>
      </c>
      <c r="C323" s="9" t="str">
        <f>VLOOKUP(A323,'Sets (lua data)'!$A$3:$C$9838,2,FALSE)</f>
        <v>Tobender Schnitt</v>
      </c>
    </row>
    <row r="324" spans="1:3" x14ac:dyDescent="0.25">
      <c r="A324" s="12">
        <v>371</v>
      </c>
      <c r="B324" s="9" t="str">
        <f>VLOOKUP(A324,'Sets (lua data)'!$A$3:$C$9838,3,FALSE)</f>
        <v>Cruel Flurry</v>
      </c>
      <c r="C324" s="9" t="str">
        <f>VLOOKUP(A324,'Sets (lua data)'!$A$3:$C$9838,2,FALSE)</f>
        <v>Grausamer Schlaghagel</v>
      </c>
    </row>
    <row r="325" spans="1:3" x14ac:dyDescent="0.25">
      <c r="A325" s="12">
        <v>372</v>
      </c>
      <c r="B325" s="9" t="str">
        <f>VLOOKUP(A325,'Sets (lua data)'!$A$3:$C$9838,3,FALSE)</f>
        <v>Thunderous Volley</v>
      </c>
      <c r="C325" s="9" t="str">
        <f>VLOOKUP(A325,'Sets (lua data)'!$A$3:$C$9838,2,FALSE)</f>
        <v>Donnernde Salve</v>
      </c>
    </row>
    <row r="326" spans="1:3" x14ac:dyDescent="0.25">
      <c r="A326" s="12">
        <v>373</v>
      </c>
      <c r="B326" s="9" t="str">
        <f>VLOOKUP(A326,'Sets (lua data)'!$A$3:$C$9838,3,FALSE)</f>
        <v>Crushing Wall</v>
      </c>
      <c r="C326" s="9" t="str">
        <f>VLOOKUP(A326,'Sets (lua data)'!$A$3:$C$9838,2,FALSE)</f>
        <v>Zermalmende Mauer</v>
      </c>
    </row>
    <row r="327" spans="1:3" x14ac:dyDescent="0.25">
      <c r="A327" s="12">
        <v>374</v>
      </c>
      <c r="B327" s="9" t="str">
        <f>VLOOKUP(A327,'Sets (lua data)'!$A$3:$C$9838,3,FALSE)</f>
        <v>Precise Regeneration</v>
      </c>
      <c r="C327" s="9" t="str">
        <f>VLOOKUP(A327,'Sets (lua data)'!$A$3:$C$9838,2,FALSE)</f>
        <v>Präzise Regeneration</v>
      </c>
    </row>
    <row r="328" spans="1:3" x14ac:dyDescent="0.25">
      <c r="A328" s="12">
        <v>380</v>
      </c>
      <c r="B328" s="9" t="str">
        <f>VLOOKUP(A328,'Sets (lua data)'!$A$3:$C$9838,3,FALSE)</f>
        <v>Prophet\'s</v>
      </c>
      <c r="C328" s="9" t="str">
        <f>VLOOKUP(A328,'Sets (lua data)'!$A$3:$C$9838,2,FALSE)</f>
        <v>Prophet</v>
      </c>
    </row>
    <row r="329" spans="1:3" x14ac:dyDescent="0.25">
      <c r="A329" s="12">
        <v>381</v>
      </c>
      <c r="B329" s="9" t="str">
        <f>VLOOKUP(A329,'Sets (lua data)'!$A$3:$C$9838,3,FALSE)</f>
        <v>Broken Soul</v>
      </c>
      <c r="C329" s="9" t="str">
        <f>VLOOKUP(A329,'Sets (lua data)'!$A$3:$C$9838,2,FALSE)</f>
        <v>Zerbrochene Seele</v>
      </c>
    </row>
    <row r="330" spans="1:3" x14ac:dyDescent="0.25">
      <c r="A330" s="12">
        <v>382</v>
      </c>
      <c r="B330" s="9" t="str">
        <f>VLOOKUP(A330,'Sets (lua data)'!$A$3:$C$9838,3,FALSE)</f>
        <v>Grace of Gloom</v>
      </c>
      <c r="C330" s="9" t="str">
        <f>VLOOKUP(A330,'Sets (lua data)'!$A$3:$C$9838,2,FALSE)</f>
        <v>Anmut der Gräue</v>
      </c>
    </row>
    <row r="331" spans="1:3" x14ac:dyDescent="0.25">
      <c r="A331" s="12">
        <v>383</v>
      </c>
      <c r="B331" s="9" t="str">
        <f>VLOOKUP(A331,'Sets (lua data)'!$A$3:$C$9838,3,FALSE)</f>
        <v>Gryphon\'s Ferocity</v>
      </c>
      <c r="C331" s="9" t="str">
        <f>VLOOKUP(A331,'Sets (lua data)'!$A$3:$C$9838,2,FALSE)</f>
        <v>Wildheit des Greifen</v>
      </c>
    </row>
    <row r="332" spans="1:3" x14ac:dyDescent="0.25">
      <c r="A332" s="12">
        <v>384</v>
      </c>
      <c r="B332" s="9" t="str">
        <f>VLOOKUP(A332,'Sets (lua data)'!$A$3:$C$9838,3,FALSE)</f>
        <v>Wisdom of Vanus</v>
      </c>
      <c r="C332" s="9" t="str">
        <f>VLOOKUP(A332,'Sets (lua data)'!$A$3:$C$9838,2,FALSE)</f>
        <v>Weisheit von Vanus</v>
      </c>
    </row>
    <row r="333" spans="1:3" x14ac:dyDescent="0.25">
      <c r="A333" s="12">
        <v>385</v>
      </c>
      <c r="B333" s="9" t="str">
        <f>VLOOKUP(A333,'Sets (lua data)'!$A$3:$C$9838,3,FALSE)</f>
        <v>Adept Rider</v>
      </c>
      <c r="C333" s="9" t="str">
        <f>VLOOKUP(A333,'Sets (lua data)'!$A$3:$C$9838,2,FALSE)</f>
        <v>Versierter Reiter</v>
      </c>
    </row>
    <row r="334" spans="1:3" x14ac:dyDescent="0.25">
      <c r="A334" s="12">
        <v>386</v>
      </c>
      <c r="B334" s="9" t="str">
        <f>VLOOKUP(A334,'Sets (lua data)'!$A$3:$C$9838,3,FALSE)</f>
        <v>Sload\'s Semblance</v>
      </c>
      <c r="C334" s="9" t="str">
        <f>VLOOKUP(A334,'Sets (lua data)'!$A$3:$C$9838,2,FALSE)</f>
        <v>Kreckenantlitz</v>
      </c>
    </row>
    <row r="335" spans="1:3" x14ac:dyDescent="0.25">
      <c r="A335" s="12">
        <v>387</v>
      </c>
      <c r="B335" s="9" t="str">
        <f>VLOOKUP(A335,'Sets (lua data)'!$A$3:$C$9838,3,FALSE)</f>
        <v>Nocturnal\'s Favor</v>
      </c>
      <c r="C335" s="9" t="str">
        <f>VLOOKUP(A335,'Sets (lua data)'!$A$3:$C$9838,2,FALSE)</f>
        <v>Nocturnals Gunst</v>
      </c>
    </row>
    <row r="336" spans="1:3" x14ac:dyDescent="0.25">
      <c r="A336" s="12">
        <v>388</v>
      </c>
      <c r="B336" s="9" t="str">
        <f>VLOOKUP(A336,'Sets (lua data)'!$A$3:$C$9838,3,FALSE)</f>
        <v>Aegis of Galenwe</v>
      </c>
      <c r="C336" s="9" t="str">
        <f>VLOOKUP(A336,'Sets (lua data)'!$A$3:$C$9838,2,FALSE)</f>
        <v>Ägis von Galenwe</v>
      </c>
    </row>
    <row r="337" spans="1:3" x14ac:dyDescent="0.25">
      <c r="A337" s="12">
        <v>389</v>
      </c>
      <c r="B337" s="9" t="str">
        <f>VLOOKUP(A337,'Sets (lua data)'!$A$3:$C$9838,3,FALSE)</f>
        <v>Arms of Relequen</v>
      </c>
      <c r="C337" s="9" t="str">
        <f>VLOOKUP(A337,'Sets (lua data)'!$A$3:$C$9838,2,FALSE)</f>
        <v>Waffen von Relequen</v>
      </c>
    </row>
    <row r="338" spans="1:3" x14ac:dyDescent="0.25">
      <c r="A338" s="12">
        <v>390</v>
      </c>
      <c r="B338" s="9" t="str">
        <f>VLOOKUP(A338,'Sets (lua data)'!$A$3:$C$9838,3,FALSE)</f>
        <v>Mantle of Siroria</v>
      </c>
      <c r="C338" s="9" t="str">
        <f>VLOOKUP(A338,'Sets (lua data)'!$A$3:$C$9838,2,FALSE)</f>
        <v>Mantel von Siroria</v>
      </c>
    </row>
    <row r="339" spans="1:3" x14ac:dyDescent="0.25">
      <c r="A339" s="12">
        <v>391</v>
      </c>
      <c r="B339" s="9" t="str">
        <f>VLOOKUP(A339,'Sets (lua data)'!$A$3:$C$9838,3,FALSE)</f>
        <v>Vestment of Olorime</v>
      </c>
      <c r="C339" s="9" t="str">
        <f>VLOOKUP(A339,'Sets (lua data)'!$A$3:$C$9838,2,FALSE)</f>
        <v>Gewandung von Olorime</v>
      </c>
    </row>
    <row r="340" spans="1:3" x14ac:dyDescent="0.25">
      <c r="A340" s="12">
        <v>392</v>
      </c>
      <c r="B340" s="9" t="str">
        <f>VLOOKUP(A340,'Sets (lua data)'!$A$3:$C$9838,3,FALSE)</f>
        <v>Perfect Aegis of Galenwe</v>
      </c>
      <c r="C340" s="9" t="str">
        <f>VLOOKUP(A340,'Sets (lua data)'!$A$3:$C$9838,2,FALSE)</f>
        <v>Perfekte Ägis von Galenwe</v>
      </c>
    </row>
    <row r="341" spans="1:3" x14ac:dyDescent="0.25">
      <c r="A341" s="12">
        <v>393</v>
      </c>
      <c r="B341" s="9" t="str">
        <f>VLOOKUP(A341,'Sets (lua data)'!$A$3:$C$9838,3,FALSE)</f>
        <v>Perfect Arms of Relequen</v>
      </c>
      <c r="C341" s="9" t="str">
        <f>VLOOKUP(A341,'Sets (lua data)'!$A$3:$C$9838,2,FALSE)</f>
        <v>Perfekte Waffen von Relequen</v>
      </c>
    </row>
    <row r="342" spans="1:3" x14ac:dyDescent="0.25">
      <c r="A342" s="12">
        <v>394</v>
      </c>
      <c r="B342" s="9" t="str">
        <f>VLOOKUP(A342,'Sets (lua data)'!$A$3:$C$9838,3,FALSE)</f>
        <v>Perfect Mantle of Siroria</v>
      </c>
      <c r="C342" s="9" t="str">
        <f>VLOOKUP(A342,'Sets (lua data)'!$A$3:$C$9838,2,FALSE)</f>
        <v>Perfekter Mantel von Siroria</v>
      </c>
    </row>
    <row r="343" spans="1:3" x14ac:dyDescent="0.25">
      <c r="A343" s="12">
        <v>395</v>
      </c>
      <c r="B343" s="9" t="str">
        <f>VLOOKUP(A343,'Sets (lua data)'!$A$3:$C$9838,3,FALSE)</f>
        <v>Perfect Vestment of Olorime</v>
      </c>
      <c r="C343" s="9" t="str">
        <f>VLOOKUP(A343,'Sets (lua data)'!$A$3:$C$9838,2,FALSE)</f>
        <v>Perfekte Gewandung von Olorime</v>
      </c>
    </row>
    <row r="344" spans="1:3" x14ac:dyDescent="0.25">
      <c r="A344" s="12">
        <v>397</v>
      </c>
      <c r="B344" s="9" t="str">
        <f>VLOOKUP(A344,'Sets (lua data)'!$A$3:$C$9838,3,FALSE)</f>
        <v>Balorgh</v>
      </c>
      <c r="C344" s="9" t="str">
        <f>VLOOKUP(A344,'Sets (lua data)'!$A$3:$C$9838,2,FALSE)</f>
        <v>Balorgh</v>
      </c>
    </row>
    <row r="345" spans="1:3" x14ac:dyDescent="0.25">
      <c r="A345" s="12">
        <v>398</v>
      </c>
      <c r="B345" s="9" t="str">
        <f>VLOOKUP(A345,'Sets (lua data)'!$A$3:$C$9838,3,FALSE)</f>
        <v>Vykosa</v>
      </c>
      <c r="C345" s="9" t="str">
        <f>VLOOKUP(A345,'Sets (lua data)'!$A$3:$C$9838,2,FALSE)</f>
        <v>Vykosa</v>
      </c>
    </row>
    <row r="346" spans="1:3" x14ac:dyDescent="0.25">
      <c r="A346" s="12">
        <v>399</v>
      </c>
      <c r="B346" s="9" t="str">
        <f>VLOOKUP(A346,'Sets (lua data)'!$A$3:$C$9838,3,FALSE)</f>
        <v>Hanu\'s Compassion</v>
      </c>
      <c r="C346" s="9" t="str">
        <f>VLOOKUP(A346,'Sets (lua data)'!$A$3:$C$9838,2,FALSE)</f>
        <v>Hanus Mitgefühl</v>
      </c>
    </row>
    <row r="347" spans="1:3" x14ac:dyDescent="0.25">
      <c r="A347" s="12">
        <v>400</v>
      </c>
      <c r="B347" s="9" t="str">
        <f>VLOOKUP(A347,'Sets (lua data)'!$A$3:$C$9838,3,FALSE)</f>
        <v>Blood Moon</v>
      </c>
      <c r="C347" s="9" t="str">
        <f>VLOOKUP(A347,'Sets (lua data)'!$A$3:$C$9838,2,FALSE)</f>
        <v>Blutmond</v>
      </c>
    </row>
    <row r="348" spans="1:3" x14ac:dyDescent="0.25">
      <c r="A348" s="12">
        <v>401</v>
      </c>
      <c r="B348" s="9" t="str">
        <f>VLOOKUP(A348,'Sets (lua data)'!$A$3:$C$9838,3,FALSE)</f>
        <v>Haven of Ursus</v>
      </c>
      <c r="C348" s="9" t="str">
        <f>VLOOKUP(A348,'Sets (lua data)'!$A$3:$C$9838,2,FALSE)</f>
        <v>Zuflucht von Ursus</v>
      </c>
    </row>
    <row r="349" spans="1:3" x14ac:dyDescent="0.25">
      <c r="A349" s="12">
        <v>402</v>
      </c>
      <c r="B349" s="9" t="str">
        <f>VLOOKUP(A349,'Sets (lua data)'!$A$3:$C$9838,3,FALSE)</f>
        <v>Moon Hunter</v>
      </c>
      <c r="C349" s="9" t="str">
        <f>VLOOKUP(A349,'Sets (lua data)'!$A$3:$C$9838,2,FALSE)</f>
        <v>Mondjäger</v>
      </c>
    </row>
    <row r="350" spans="1:3" x14ac:dyDescent="0.25">
      <c r="A350" s="12">
        <v>403</v>
      </c>
      <c r="B350" s="9" t="str">
        <f>VLOOKUP(A350,'Sets (lua data)'!$A$3:$C$9838,3,FALSE)</f>
        <v>Savage Werewolf</v>
      </c>
      <c r="C350" s="9" t="str">
        <f>VLOOKUP(A350,'Sets (lua data)'!$A$3:$C$9838,2,FALSE)</f>
        <v>Wilder Werwolf</v>
      </c>
    </row>
    <row r="351" spans="1:3" x14ac:dyDescent="0.25">
      <c r="A351" s="12">
        <v>404</v>
      </c>
      <c r="B351" s="9" t="str">
        <f>VLOOKUP(A351,'Sets (lua data)'!$A$3:$C$9838,3,FALSE)</f>
        <v>Jailer\'s Tenacity</v>
      </c>
      <c r="C351" s="9" t="str">
        <f>VLOOKUP(A351,'Sets (lua data)'!$A$3:$C$9838,2,FALSE)</f>
        <v>Tenazität des Kerkermeisters</v>
      </c>
    </row>
    <row r="352" spans="1:3" x14ac:dyDescent="0.25">
      <c r="A352" s="12">
        <v>405</v>
      </c>
      <c r="B352" s="9" t="str">
        <f>VLOOKUP(A352,'Sets (lua data)'!$A$3:$C$9838,3,FALSE)</f>
        <v>Bright-Throat\'s Boast</v>
      </c>
      <c r="C352" s="9" t="str">
        <f>VLOOKUP(A352,'Sets (lua data)'!$A$3:$C$9838,2,FALSE)</f>
        <v>Hellhalsstolz</v>
      </c>
    </row>
    <row r="353" spans="1:3" x14ac:dyDescent="0.25">
      <c r="A353" s="12">
        <v>406</v>
      </c>
      <c r="B353" s="9" t="str">
        <f>VLOOKUP(A353,'Sets (lua data)'!$A$3:$C$9838,3,FALSE)</f>
        <v>Dead-Water\'s Guile</v>
      </c>
      <c r="C353" s="9" t="str">
        <f>VLOOKUP(A353,'Sets (lua data)'!$A$3:$C$9838,2,FALSE)</f>
        <v>Totwassertücke</v>
      </c>
    </row>
    <row r="354" spans="1:3" x14ac:dyDescent="0.25">
      <c r="A354" s="12">
        <v>407</v>
      </c>
      <c r="B354" s="9" t="str">
        <f>VLOOKUP(A354,'Sets (lua data)'!$A$3:$C$9838,3,FALSE)</f>
        <v>Champion of the Hist</v>
      </c>
      <c r="C354" s="9" t="str">
        <f>VLOOKUP(A354,'Sets (lua data)'!$A$3:$C$9838,2,FALSE)</f>
        <v>Histchampion</v>
      </c>
    </row>
    <row r="355" spans="1:3" x14ac:dyDescent="0.25">
      <c r="A355" s="12">
        <v>408</v>
      </c>
      <c r="B355" s="9" t="str">
        <f>VLOOKUP(A355,'Sets (lua data)'!$A$3:$C$9838,3,FALSE)</f>
        <v>Grave-Stake Collector</v>
      </c>
      <c r="C355" s="9" t="str">
        <f>VLOOKUP(A355,'Sets (lua data)'!$A$3:$C$9838,2,FALSE)</f>
        <v>Grabpflocksammler</v>
      </c>
    </row>
    <row r="356" spans="1:3" x14ac:dyDescent="0.25">
      <c r="A356" s="12">
        <v>409</v>
      </c>
      <c r="B356" s="9" t="str">
        <f>VLOOKUP(A356,'Sets (lua data)'!$A$3:$C$9838,3,FALSE)</f>
        <v>Naga Shaman</v>
      </c>
      <c r="C356" s="9" t="str">
        <f>VLOOKUP(A356,'Sets (lua data)'!$A$3:$C$9838,2,FALSE)</f>
        <v>Nagaschamane</v>
      </c>
    </row>
    <row r="357" spans="1:3" x14ac:dyDescent="0.25">
      <c r="A357" s="12">
        <v>410</v>
      </c>
      <c r="B357" s="9" t="str">
        <f>VLOOKUP(A357,'Sets (lua data)'!$A$3:$C$9838,3,FALSE)</f>
        <v>Might of the Lost Legion</v>
      </c>
      <c r="C357" s="9" t="str">
        <f>VLOOKUP(A357,'Sets (lua data)'!$A$3:$C$9838,2,FALSE)</f>
        <v>Macht der Verlorenen Legion</v>
      </c>
    </row>
    <row r="358" spans="1:3" x14ac:dyDescent="0.25">
      <c r="A358" s="12">
        <v>411</v>
      </c>
      <c r="B358" s="9" t="str">
        <f>VLOOKUP(A358,'Sets (lua data)'!$A$3:$C$9838,3,FALSE)</f>
        <v>Gallant Charge</v>
      </c>
      <c r="C358" s="9" t="str">
        <f>VLOOKUP(A358,'Sets (lua data)'!$A$3:$C$9838,2,FALSE)</f>
        <v>Galanter Ansturm</v>
      </c>
    </row>
    <row r="359" spans="1:3" x14ac:dyDescent="0.25">
      <c r="A359" s="12">
        <v>412</v>
      </c>
      <c r="B359" s="9" t="str">
        <f>VLOOKUP(A359,'Sets (lua data)'!$A$3:$C$9838,3,FALSE)</f>
        <v>Radial Uppercut</v>
      </c>
      <c r="C359" s="9" t="str">
        <f>VLOOKUP(A359,'Sets (lua data)'!$A$3:$C$9838,2,FALSE)</f>
        <v>Rundum-Aufwärtsschnitt</v>
      </c>
    </row>
    <row r="360" spans="1:3" x14ac:dyDescent="0.25">
      <c r="A360" s="12">
        <v>413</v>
      </c>
      <c r="B360" s="9" t="str">
        <f>VLOOKUP(A360,'Sets (lua data)'!$A$3:$C$9838,3,FALSE)</f>
        <v>Spectral Cloak</v>
      </c>
      <c r="C360" s="9" t="str">
        <f>VLOOKUP(A360,'Sets (lua data)'!$A$3:$C$9838,2,FALSE)</f>
        <v>Spektraler Mantel</v>
      </c>
    </row>
    <row r="361" spans="1:3" x14ac:dyDescent="0.25">
      <c r="A361" s="12">
        <v>414</v>
      </c>
      <c r="B361" s="9" t="str">
        <f>VLOOKUP(A361,'Sets (lua data)'!$A$3:$C$9838,3,FALSE)</f>
        <v>Virulent Shot</v>
      </c>
      <c r="C361" s="9" t="str">
        <f>VLOOKUP(A361,'Sets (lua data)'!$A$3:$C$9838,2,FALSE)</f>
        <v>Virulenter Schuss</v>
      </c>
    </row>
    <row r="362" spans="1:3" x14ac:dyDescent="0.25">
      <c r="A362" s="12">
        <v>415</v>
      </c>
      <c r="B362" s="9" t="str">
        <f>VLOOKUP(A362,'Sets (lua data)'!$A$3:$C$9838,3,FALSE)</f>
        <v>Wild Impulse</v>
      </c>
      <c r="C362" s="9" t="str">
        <f>VLOOKUP(A362,'Sets (lua data)'!$A$3:$C$9838,2,FALSE)</f>
        <v>Wilder Impuls</v>
      </c>
    </row>
    <row r="363" spans="1:3" x14ac:dyDescent="0.25">
      <c r="A363" s="12">
        <v>416</v>
      </c>
      <c r="B363" s="9" t="str">
        <f>VLOOKUP(A363,'Sets (lua data)'!$A$3:$C$9838,3,FALSE)</f>
        <v>Mender\'s Ward</v>
      </c>
      <c r="C363" s="9" t="str">
        <f>VLOOKUP(A363,'Sets (lua data)'!$A$3:$C$9838,2,FALSE)</f>
        <v>Schutz des Pflegers</v>
      </c>
    </row>
    <row r="364" spans="1:3" x14ac:dyDescent="0.25">
      <c r="A364" s="12">
        <v>417</v>
      </c>
      <c r="B364" s="9" t="str">
        <f>VLOOKUP(A364,'Sets (lua data)'!$A$3:$C$9838,3,FALSE)</f>
        <v>Indomitable Fury</v>
      </c>
      <c r="C364" s="9" t="str">
        <f>VLOOKUP(A364,'Sets (lua data)'!$A$3:$C$9838,2,FALSE)</f>
        <v>Unbeugsamer Zorn</v>
      </c>
    </row>
    <row r="365" spans="1:3" x14ac:dyDescent="0.25">
      <c r="A365" s="12">
        <v>418</v>
      </c>
      <c r="B365" s="9" t="str">
        <f>VLOOKUP(A365,'Sets (lua data)'!$A$3:$C$9838,3,FALSE)</f>
        <v>Spell Strategist</v>
      </c>
      <c r="C365" s="9" t="str">
        <f>VLOOKUP(A365,'Sets (lua data)'!$A$3:$C$9838,2,FALSE)</f>
        <v>Zauberstratege</v>
      </c>
    </row>
    <row r="366" spans="1:3" x14ac:dyDescent="0.25">
      <c r="A366" s="12">
        <v>419</v>
      </c>
      <c r="B366" s="9" t="str">
        <f>VLOOKUP(A366,'Sets (lua data)'!$A$3:$C$9838,3,FALSE)</f>
        <v>Battlefield Acrobat</v>
      </c>
      <c r="C366" s="9" t="str">
        <f>VLOOKUP(A366,'Sets (lua data)'!$A$3:$C$9838,2,FALSE)</f>
        <v>Schlachtfeldakrobat</v>
      </c>
    </row>
    <row r="367" spans="1:3" x14ac:dyDescent="0.25">
      <c r="A367" s="12">
        <v>420</v>
      </c>
      <c r="B367" s="9" t="str">
        <f>VLOOKUP(A367,'Sets (lua data)'!$A$3:$C$9838,3,FALSE)</f>
        <v>Soldier of Anguish</v>
      </c>
      <c r="C367" s="9" t="str">
        <f>VLOOKUP(A367,'Sets (lua data)'!$A$3:$C$9838,2,FALSE)</f>
        <v>Soldat der Pein</v>
      </c>
    </row>
    <row r="368" spans="1:3" x14ac:dyDescent="0.25">
      <c r="A368" s="12">
        <v>421</v>
      </c>
      <c r="B368" s="9" t="str">
        <f>VLOOKUP(A368,'Sets (lua data)'!$A$3:$C$9838,3,FALSE)</f>
        <v>Steadfast Hero</v>
      </c>
      <c r="C368" s="9" t="str">
        <f>VLOOKUP(A368,'Sets (lua data)'!$A$3:$C$9838,2,FALSE)</f>
        <v>Standhafter Held</v>
      </c>
    </row>
    <row r="369" spans="1:3" x14ac:dyDescent="0.25">
      <c r="A369" s="12">
        <v>422</v>
      </c>
      <c r="B369" s="9" t="str">
        <f>VLOOKUP(A369,'Sets (lua data)'!$A$3:$C$9838,3,FALSE)</f>
        <v>Battalion Defender</v>
      </c>
      <c r="C369" s="9" t="str">
        <f>VLOOKUP(A369,'Sets (lua data)'!$A$3:$C$9838,2,FALSE)</f>
        <v>Bataillonsverteidiger</v>
      </c>
    </row>
    <row r="370" spans="1:3" x14ac:dyDescent="0.25">
      <c r="A370" s="12">
        <v>423</v>
      </c>
      <c r="B370" s="9" t="str">
        <f>VLOOKUP(A370,'Sets (lua data)'!$A$3:$C$9838,3,FALSE)</f>
        <v>Perfect Gallant Charge</v>
      </c>
      <c r="C370" s="9" t="str">
        <f>VLOOKUP(A370,'Sets (lua data)'!$A$3:$C$9838,2,FALSE)</f>
        <v>Perfekter galanter Ansturm</v>
      </c>
    </row>
    <row r="371" spans="1:3" x14ac:dyDescent="0.25">
      <c r="A371" s="12">
        <v>424</v>
      </c>
      <c r="B371" s="9" t="str">
        <f>VLOOKUP(A371,'Sets (lua data)'!$A$3:$C$9838,3,FALSE)</f>
        <v>Perfect Radial Uppercut</v>
      </c>
      <c r="C371" s="9" t="str">
        <f>VLOOKUP(A371,'Sets (lua data)'!$A$3:$C$9838,2,FALSE)</f>
        <v>Perfekter Rundum-Aufwärtsschnitt</v>
      </c>
    </row>
    <row r="372" spans="1:3" x14ac:dyDescent="0.25">
      <c r="A372" s="12">
        <v>425</v>
      </c>
      <c r="B372" s="9" t="str">
        <f>VLOOKUP(A372,'Sets (lua data)'!$A$3:$C$9838,3,FALSE)</f>
        <v>Perfect Spectral Cloak</v>
      </c>
      <c r="C372" s="9" t="str">
        <f>VLOOKUP(A372,'Sets (lua data)'!$A$3:$C$9838,2,FALSE)</f>
        <v>Perfekter spektraler Mantel</v>
      </c>
    </row>
    <row r="373" spans="1:3" x14ac:dyDescent="0.25">
      <c r="A373" s="12">
        <v>426</v>
      </c>
      <c r="B373" s="9" t="str">
        <f>VLOOKUP(A373,'Sets (lua data)'!$A$3:$C$9838,3,FALSE)</f>
        <v>Perfect Virulent Shot</v>
      </c>
      <c r="C373" s="9" t="str">
        <f>VLOOKUP(A373,'Sets (lua data)'!$A$3:$C$9838,2,FALSE)</f>
        <v>Perfekter virulenter Schuss</v>
      </c>
    </row>
    <row r="374" spans="1:3" x14ac:dyDescent="0.25">
      <c r="A374" s="12">
        <v>427</v>
      </c>
      <c r="B374" s="9" t="str">
        <f>VLOOKUP(A374,'Sets (lua data)'!$A$3:$C$9838,3,FALSE)</f>
        <v>Perfect Wild Impulse</v>
      </c>
      <c r="C374" s="9" t="str">
        <f>VLOOKUP(A374,'Sets (lua data)'!$A$3:$C$9838,2,FALSE)</f>
        <v>Perfekter wilder Impuls</v>
      </c>
    </row>
    <row r="375" spans="1:3" x14ac:dyDescent="0.25">
      <c r="A375" s="12">
        <v>428</v>
      </c>
      <c r="B375" s="9" t="str">
        <f>VLOOKUP(A375,'Sets (lua data)'!$A$3:$C$9838,3,FALSE)</f>
        <v>Perfect Mender\'s Ward</v>
      </c>
      <c r="C375" s="9" t="str">
        <f>VLOOKUP(A375,'Sets (lua data)'!$A$3:$C$9838,2,FALSE)</f>
        <v>Perfekter Schutz des Pflegers</v>
      </c>
    </row>
    <row r="376" spans="1:3" x14ac:dyDescent="0.25">
      <c r="A376" s="12">
        <v>429</v>
      </c>
      <c r="B376" s="9" t="str">
        <f>VLOOKUP(A376,'Sets (lua data)'!$A$3:$C$9838,3,FALSE)</f>
        <v>Mighty Glacier</v>
      </c>
      <c r="C376" s="9" t="str">
        <f>VLOOKUP(A376,'Sets (lua data)'!$A$3:$C$9838,2,FALSE)</f>
        <v>Mächtiger Gletscher</v>
      </c>
    </row>
    <row r="377" spans="1:3" x14ac:dyDescent="0.25">
      <c r="A377" s="12">
        <v>430</v>
      </c>
      <c r="B377" s="9" t="str">
        <f>VLOOKUP(A377,'Sets (lua data)'!$A$3:$C$9838,3,FALSE)</f>
        <v>Tzogvin\'s Warband</v>
      </c>
      <c r="C377" s="9" t="str">
        <f>VLOOKUP(A377,'Sets (lua data)'!$A$3:$C$9838,2,FALSE)</f>
        <v>Tzogvins Kriegstrupp</v>
      </c>
    </row>
    <row r="378" spans="1:3" x14ac:dyDescent="0.25">
      <c r="A378" s="12">
        <v>431</v>
      </c>
      <c r="B378" s="9" t="str">
        <f>VLOOKUP(A378,'Sets (lua data)'!$A$3:$C$9838,3,FALSE)</f>
        <v>Icy Conjuror</v>
      </c>
      <c r="C378" s="9" t="str">
        <f>VLOOKUP(A378,'Sets (lua data)'!$A$3:$C$9838,2,FALSE)</f>
        <v>Eisiger Anrufer</v>
      </c>
    </row>
    <row r="379" spans="1:3" x14ac:dyDescent="0.25">
      <c r="A379" s="12">
        <v>432</v>
      </c>
      <c r="B379" s="9" t="str">
        <f>VLOOKUP(A379,'Sets (lua data)'!$A$3:$C$9838,3,FALSE)</f>
        <v>Stonekeeper</v>
      </c>
      <c r="C379" s="9" t="str">
        <f>VLOOKUP(A379,'Sets (lua data)'!$A$3:$C$9838,2,FALSE)</f>
        <v>Steinwahrer</v>
      </c>
    </row>
    <row r="380" spans="1:3" x14ac:dyDescent="0.25">
      <c r="A380" s="12">
        <v>433</v>
      </c>
      <c r="B380" s="9" t="str">
        <f>VLOOKUP(A380,'Sets (lua data)'!$A$3:$C$9838,3,FALSE)</f>
        <v>Frozen Watcher</v>
      </c>
      <c r="C380" s="9" t="str">
        <f>VLOOKUP(A380,'Sets (lua data)'!$A$3:$C$9838,2,FALSE)</f>
        <v>Gefrorener Beobachter</v>
      </c>
    </row>
    <row r="381" spans="1:3" x14ac:dyDescent="0.25">
      <c r="A381" s="12">
        <v>434</v>
      </c>
      <c r="B381" s="9" t="str">
        <f>VLOOKUP(A381,'Sets (lua data)'!$A$3:$C$9838,3,FALSE)</f>
        <v>Scavenging Demise</v>
      </c>
      <c r="C381" s="9" t="str">
        <f>VLOOKUP(A381,'Sets (lua data)'!$A$3:$C$9838,2,FALSE)</f>
        <v>Ausbeutender Niedergang</v>
      </c>
    </row>
    <row r="382" spans="1:3" x14ac:dyDescent="0.25">
      <c r="A382" s="12">
        <v>435</v>
      </c>
      <c r="B382" s="9" t="str">
        <f>VLOOKUP(A382,'Sets (lua data)'!$A$3:$C$9838,3,FALSE)</f>
        <v>Auroran\'s Thunder</v>
      </c>
      <c r="C382" s="9" t="str">
        <f>VLOOKUP(A382,'Sets (lua data)'!$A$3:$C$9838,2,FALSE)</f>
        <v>Donner des Auroraners</v>
      </c>
    </row>
    <row r="383" spans="1:3" x14ac:dyDescent="0.25">
      <c r="A383" s="12">
        <v>436</v>
      </c>
      <c r="B383" s="9" t="str">
        <f>VLOOKUP(A383,'Sets (lua data)'!$A$3:$C$9838,3,FALSE)</f>
        <v>Symphony of Blades</v>
      </c>
      <c r="C383" s="9" t="str">
        <f>VLOOKUP(A383,'Sets (lua data)'!$A$3:$C$9838,2,FALSE)</f>
        <v>Sinfonie der Klingen</v>
      </c>
    </row>
    <row r="384" spans="1:3" x14ac:dyDescent="0.25">
      <c r="A384" s="12">
        <v>437</v>
      </c>
      <c r="B384" s="9" t="str">
        <f>VLOOKUP(A384,'Sets (lua data)'!$A$3:$C$9838,3,FALSE)</f>
        <v>Coldharbour\'s Favorite</v>
      </c>
      <c r="C384" s="9" t="str">
        <f>VLOOKUP(A384,'Sets (lua data)'!$A$3:$C$9838,2,FALSE)</f>
        <v>Kalthafens Günstling</v>
      </c>
    </row>
    <row r="385" spans="1:3" x14ac:dyDescent="0.25">
      <c r="A385" s="12">
        <v>438</v>
      </c>
      <c r="B385" s="9" t="str">
        <f>VLOOKUP(A385,'Sets (lua data)'!$A$3:$C$9838,3,FALSE)</f>
        <v>Senche-raht\'s Grit</v>
      </c>
      <c r="C385" s="9" t="str">
        <f>VLOOKUP(A385,'Sets (lua data)'!$A$3:$C$9838,2,FALSE)</f>
        <v>Mut des Senche-raht</v>
      </c>
    </row>
    <row r="386" spans="1:3" x14ac:dyDescent="0.25">
      <c r="A386" s="12">
        <v>439</v>
      </c>
      <c r="B386" s="9" t="str">
        <f>VLOOKUP(A386,'Sets (lua data)'!$A$3:$C$9838,3,FALSE)</f>
        <v>Vastarie\'s Tutelage</v>
      </c>
      <c r="C386" s="9" t="str">
        <f>VLOOKUP(A386,'Sets (lua data)'!$A$3:$C$9838,2,FALSE)</f>
        <v>Vastaries Vormundschaft</v>
      </c>
    </row>
    <row r="387" spans="1:3" x14ac:dyDescent="0.25">
      <c r="A387" s="12">
        <v>440</v>
      </c>
      <c r="B387" s="9" t="str">
        <f>VLOOKUP(A387,'Sets (lua data)'!$A$3:$C$9838,3,FALSE)</f>
        <v>Crafty Alfiq</v>
      </c>
      <c r="C387" s="9" t="str">
        <f>VLOOKUP(A387,'Sets (lua data)'!$A$3:$C$9838,2,FALSE)</f>
        <v>Listiger Alfiq</v>
      </c>
    </row>
    <row r="388" spans="1:3" x14ac:dyDescent="0.25">
      <c r="A388" s="12">
        <v>441</v>
      </c>
      <c r="B388" s="9" t="str">
        <f>VLOOKUP(A388,'Sets (lua data)'!$A$3:$C$9838,3,FALSE)</f>
        <v>Vesture of Darloc Brae</v>
      </c>
      <c r="C388" s="9" t="str">
        <f>VLOOKUP(A388,'Sets (lua data)'!$A$3:$C$9838,2,FALSE)</f>
        <v>Gewandung von Darloc Brae</v>
      </c>
    </row>
    <row r="389" spans="1:3" x14ac:dyDescent="0.25">
      <c r="A389" s="12">
        <v>442</v>
      </c>
      <c r="B389" s="9" t="str">
        <f>VLOOKUP(A389,'Sets (lua data)'!$A$3:$C$9838,3,FALSE)</f>
        <v>Call of the Undertaker</v>
      </c>
      <c r="C389" s="9" t="str">
        <f>VLOOKUP(A389,'Sets (lua data)'!$A$3:$C$9838,2,FALSE)</f>
        <v>Ruf des Totengräbers</v>
      </c>
    </row>
    <row r="390" spans="1:3" x14ac:dyDescent="0.25">
      <c r="A390" s="12">
        <v>443</v>
      </c>
      <c r="B390" s="9" t="str">
        <f>VLOOKUP(A390,'Sets (lua data)'!$A$3:$C$9838,3,FALSE)</f>
        <v>Eye of Nahviintaas</v>
      </c>
      <c r="C390" s="9" t="str">
        <f>VLOOKUP(A390,'Sets (lua data)'!$A$3:$C$9838,2,FALSE)</f>
        <v>Auge von Nahviintaas</v>
      </c>
    </row>
    <row r="391" spans="1:3" x14ac:dyDescent="0.25">
      <c r="A391" s="12">
        <v>444</v>
      </c>
      <c r="B391" s="9" t="str">
        <f>VLOOKUP(A391,'Sets (lua data)'!$A$3:$C$9838,3,FALSE)</f>
        <v>False God\'s Devotion</v>
      </c>
      <c r="C391" s="9" t="str">
        <f>VLOOKUP(A391,'Sets (lua data)'!$A$3:$C$9838,2,FALSE)</f>
        <v>Ergebenheit des falschen Gottes</v>
      </c>
    </row>
    <row r="392" spans="1:3" x14ac:dyDescent="0.25">
      <c r="A392" s="12">
        <v>445</v>
      </c>
      <c r="B392" s="9" t="str">
        <f>VLOOKUP(A392,'Sets (lua data)'!$A$3:$C$9838,3,FALSE)</f>
        <v>Tooth of Lokkestiiz</v>
      </c>
      <c r="C392" s="9" t="str">
        <f>VLOOKUP(A392,'Sets (lua data)'!$A$3:$C$9838,2,FALSE)</f>
        <v>Zahn von Lokkestiiz</v>
      </c>
    </row>
    <row r="393" spans="1:3" x14ac:dyDescent="0.25">
      <c r="A393" s="12">
        <v>446</v>
      </c>
      <c r="B393" s="9" t="str">
        <f>VLOOKUP(A393,'Sets (lua data)'!$A$3:$C$9838,3,FALSE)</f>
        <v>Claw of Yolnakhriin</v>
      </c>
      <c r="C393" s="9" t="str">
        <f>VLOOKUP(A393,'Sets (lua data)'!$A$3:$C$9838,2,FALSE)</f>
        <v>Kralle von Yolnahkriin</v>
      </c>
    </row>
    <row r="394" spans="1:3" x14ac:dyDescent="0.25">
      <c r="A394" s="12">
        <v>448</v>
      </c>
      <c r="B394" s="9" t="str">
        <f>VLOOKUP(A394,'Sets (lua data)'!$A$3:$C$9838,3,FALSE)</f>
        <v>Perfected Eye of Nahviintaas</v>
      </c>
      <c r="C394" s="9" t="str">
        <f>VLOOKUP(A394,'Sets (lua data)'!$A$3:$C$9838,2,FALSE)</f>
        <v>Perfektioniertes Auge von Nahviintaas</v>
      </c>
    </row>
    <row r="395" spans="1:3" x14ac:dyDescent="0.25">
      <c r="A395" s="12">
        <v>449</v>
      </c>
      <c r="B395" s="9" t="str">
        <f>VLOOKUP(A395,'Sets (lua data)'!$A$3:$C$9838,3,FALSE)</f>
        <v>Perfected False God\'s Devotion</v>
      </c>
      <c r="C395" s="9" t="str">
        <f>VLOOKUP(A395,'Sets (lua data)'!$A$3:$C$9838,2,FALSE)</f>
        <v>Perfektionierte Ergebenheit zum falschen Gott</v>
      </c>
    </row>
    <row r="396" spans="1:3" x14ac:dyDescent="0.25">
      <c r="A396" s="12">
        <v>450</v>
      </c>
      <c r="B396" s="9" t="str">
        <f>VLOOKUP(A396,'Sets (lua data)'!$A$3:$C$9838,3,FALSE)</f>
        <v>Perfected Tooth of Lokkestiiz</v>
      </c>
      <c r="C396" s="9" t="str">
        <f>VLOOKUP(A396,'Sets (lua data)'!$A$3:$C$9838,2,FALSE)</f>
        <v>Perfektionierter Zahn von Lokkestiiz</v>
      </c>
    </row>
    <row r="397" spans="1:3" x14ac:dyDescent="0.25">
      <c r="A397" s="12">
        <v>451</v>
      </c>
      <c r="B397" s="9" t="str">
        <f>VLOOKUP(A397,'Sets (lua data)'!$A$3:$C$9838,3,FALSE)</f>
        <v>Perfected Claw of Yolnakhriin</v>
      </c>
      <c r="C397" s="9" t="str">
        <f>VLOOKUP(A397,'Sets (lua data)'!$A$3:$C$9838,2,FALSE)</f>
        <v>Perfektionierte Kralle von Yolnahkriin</v>
      </c>
    </row>
    <row r="398" spans="1:3" x14ac:dyDescent="0.25">
      <c r="A398" s="12">
        <v>452</v>
      </c>
      <c r="B398" s="9" t="str">
        <f>VLOOKUP(A398,'Sets (lua data)'!$A$3:$C$9838,3,FALSE)</f>
        <v>Hollowfang Thirst</v>
      </c>
      <c r="C398" s="9" t="str">
        <f>VLOOKUP(A398,'Sets (lua data)'!$A$3:$C$9838,2,FALSE)</f>
        <v>Hohlzahndurst</v>
      </c>
    </row>
    <row r="399" spans="1:3" x14ac:dyDescent="0.25">
      <c r="A399" s="12">
        <v>453</v>
      </c>
      <c r="B399" s="9" t="str">
        <f>VLOOKUP(A399,'Sets (lua data)'!$A$3:$C$9838,3,FALSE)</f>
        <v>Dro\'Zakar\'s Claws</v>
      </c>
      <c r="C399" s="9" t="str">
        <f>VLOOKUP(A399,'Sets (lua data)'!$A$3:$C$9838,2,FALSE)</f>
        <v>Dro'Zakars Krallen</v>
      </c>
    </row>
    <row r="400" spans="1:3" x14ac:dyDescent="0.25">
      <c r="A400" s="12">
        <v>454</v>
      </c>
      <c r="B400" s="9" t="str">
        <f>VLOOKUP(A400,'Sets (lua data)'!$A$3:$C$9838,3,FALSE)</f>
        <v>Renald\'s Resolve</v>
      </c>
      <c r="C400" s="9" t="str">
        <f>VLOOKUP(A400,'Sets (lua data)'!$A$3:$C$9838,2,FALSE)</f>
        <v>Renalds Entschlossenheit</v>
      </c>
    </row>
    <row r="401" spans="1:3" x14ac:dyDescent="0.25">
      <c r="A401" s="12">
        <v>455</v>
      </c>
      <c r="B401" s="9" t="str">
        <f>VLOOKUP(A401,'Sets (lua data)'!$A$3:$C$9838,3,FALSE)</f>
        <v>Z\'en\'s Redress</v>
      </c>
      <c r="C401" s="9" t="str">
        <f>VLOOKUP(A401,'Sets (lua data)'!$A$3:$C$9838,2,FALSE)</f>
        <v>Z'ens Wiedergutmachung</v>
      </c>
    </row>
    <row r="402" spans="1:3" x14ac:dyDescent="0.25">
      <c r="A402" s="12">
        <v>456</v>
      </c>
      <c r="B402" s="9" t="str">
        <f>VLOOKUP(A402,'Sets (lua data)'!$A$3:$C$9838,3,FALSE)</f>
        <v>Azureblight Reaper</v>
      </c>
      <c r="C402" s="9" t="str">
        <f>VLOOKUP(A402,'Sets (lua data)'!$A$3:$C$9838,2,FALSE)</f>
        <v>Azurfäuleschnitter</v>
      </c>
    </row>
    <row r="403" spans="1:3" x14ac:dyDescent="0.25">
      <c r="A403" s="12">
        <v>457</v>
      </c>
      <c r="B403" s="9" t="str">
        <f>VLOOKUP(A403,'Sets (lua data)'!$A$3:$C$9838,3,FALSE)</f>
        <v>Dragon\'s Defilement</v>
      </c>
      <c r="C403" s="9" t="str">
        <f>VLOOKUP(A403,'Sets (lua data)'!$A$3:$C$9838,2,FALSE)</f>
        <v>Drachenschändung</v>
      </c>
    </row>
    <row r="404" spans="1:3" x14ac:dyDescent="0.25">
      <c r="A404" s="12">
        <v>458</v>
      </c>
      <c r="B404" s="9" t="str">
        <f>VLOOKUP(A404,'Sets (lua data)'!$A$3:$C$9838,3,FALSE)</f>
        <v>Grundwulf</v>
      </c>
      <c r="C404" s="9" t="str">
        <f>VLOOKUP(A404,'Sets (lua data)'!$A$3:$C$9838,2,FALSE)</f>
        <v>Grundwulf</v>
      </c>
    </row>
    <row r="405" spans="1:3" x14ac:dyDescent="0.25">
      <c r="A405" s="12">
        <v>459</v>
      </c>
      <c r="B405" s="9" t="str">
        <f>VLOOKUP(A405,'Sets (lua data)'!$A$3:$C$9838,3,FALSE)</f>
        <v>Maarselok</v>
      </c>
      <c r="C405" s="9" t="str">
        <f>VLOOKUP(A405,'Sets (lua data)'!$A$3:$C$9838,2,FALSE)</f>
        <v>Maarselok</v>
      </c>
    </row>
    <row r="406" spans="1:3" x14ac:dyDescent="0.25">
      <c r="A406" s="12">
        <v>465</v>
      </c>
      <c r="B406" s="9" t="str">
        <f>VLOOKUP(A406,'Sets (lua data)'!$A$3:$C$9838,3,FALSE)</f>
        <v>Senchal Defender</v>
      </c>
      <c r="C406" s="9" t="str">
        <f>VLOOKUP(A406,'Sets (lua data)'!$A$3:$C$9838,2,FALSE)</f>
        <v>Verteidiger von Senchal</v>
      </c>
    </row>
    <row r="407" spans="1:3" x14ac:dyDescent="0.25">
      <c r="A407" s="12">
        <v>466</v>
      </c>
      <c r="B407" s="9" t="str">
        <f>VLOOKUP(A407,'Sets (lua data)'!$A$3:$C$9838,3,FALSE)</f>
        <v>Marauder\'s Haste</v>
      </c>
      <c r="C407" s="9" t="str">
        <f>VLOOKUP(A407,'Sets (lua data)'!$A$3:$C$9838,2,FALSE)</f>
        <v>Marodeurshast</v>
      </c>
    </row>
    <row r="408" spans="1:3" x14ac:dyDescent="0.25">
      <c r="A408" s="12">
        <v>467</v>
      </c>
      <c r="B408" s="9" t="str">
        <f>VLOOKUP(A408,'Sets (lua data)'!$A$3:$C$9838,3,FALSE)</f>
        <v>Dragonguard Elite</v>
      </c>
      <c r="C408" s="9" t="str">
        <f>VLOOKUP(A408,'Sets (lua data)'!$A$3:$C$9838,2,FALSE)</f>
        <v>Drachengardeelite</v>
      </c>
    </row>
    <row r="409" spans="1:3" x14ac:dyDescent="0.25">
      <c r="A409" s="12">
        <v>468</v>
      </c>
      <c r="B409" s="9" t="str">
        <f>VLOOKUP(A409,'Sets (lua data)'!$A$3:$C$9838,3,FALSE)</f>
        <v>Daring Corsair</v>
      </c>
      <c r="C409" s="9" t="str">
        <f>VLOOKUP(A409,'Sets (lua data)'!$A$3:$C$9838,2,FALSE)</f>
        <v>Kühner Korsar</v>
      </c>
    </row>
    <row r="410" spans="1:3" x14ac:dyDescent="0.25">
      <c r="A410" s="12">
        <v>469</v>
      </c>
      <c r="B410" s="9" t="str">
        <f>VLOOKUP(A410,'Sets (lua data)'!$A$3:$C$9838,3,FALSE)</f>
        <v>Ancient Dragonguard</v>
      </c>
      <c r="C410" s="9" t="str">
        <f>VLOOKUP(A410,'Sets (lua data)'!$A$3:$C$9838,2,FALSE)</f>
        <v>Alte Drachengarde</v>
      </c>
    </row>
    <row r="411" spans="1:3" x14ac:dyDescent="0.25">
      <c r="A411" s="12">
        <v>470</v>
      </c>
      <c r="B411" s="9" t="str">
        <f>VLOOKUP(A411,'Sets (lua data)'!$A$3:$C$9838,3,FALSE)</f>
        <v>New Moon Acolyte</v>
      </c>
      <c r="C411" s="9" t="str">
        <f>VLOOKUP(A411,'Sets (lua data)'!$A$3:$C$9838,2,FALSE)</f>
        <v>Akolythin des Neuen Mondes</v>
      </c>
    </row>
    <row r="412" spans="1:3" x14ac:dyDescent="0.25">
      <c r="A412" s="12">
        <v>471</v>
      </c>
      <c r="B412" s="9" t="str">
        <f>VLOOKUP(A412,'Sets (lua data)'!$A$3:$C$9838,3,FALSE)</f>
        <v>Hiti\'s Hearth</v>
      </c>
      <c r="C412" s="9" t="str">
        <f>VLOOKUP(A412,'Sets (lua data)'!$A$3:$C$9838,2,FALSE)</f>
        <v>Hitis Feuerstelle</v>
      </c>
    </row>
    <row r="413" spans="1:3" x14ac:dyDescent="0.25">
      <c r="A413" s="12">
        <v>472</v>
      </c>
      <c r="B413" s="9" t="str">
        <f>VLOOKUP(A413,'Sets (lua data)'!$A$3:$C$9838,3,FALSE)</f>
        <v>Titanborn Strength</v>
      </c>
      <c r="C413" s="9" t="str">
        <f>VLOOKUP(A413,'Sets (lua data)'!$A$3:$C$9838,2,FALSE)</f>
        <v>Titanenkinds Stärke</v>
      </c>
    </row>
    <row r="414" spans="1:3" x14ac:dyDescent="0.25">
      <c r="A414" s="12">
        <v>473</v>
      </c>
      <c r="B414" s="9" t="str">
        <f>VLOOKUP(A414,'Sets (lua data)'!$A$3:$C$9838,3,FALSE)</f>
        <v>Bani\'s Torment</v>
      </c>
      <c r="C414" s="9" t="str">
        <f>VLOOKUP(A414,'Sets (lua data)'!$A$3:$C$9838,2,FALSE)</f>
        <v>Banis Qual</v>
      </c>
    </row>
    <row r="415" spans="1:3" x14ac:dyDescent="0.25">
      <c r="A415" s="12">
        <v>474</v>
      </c>
      <c r="B415" s="9" t="str">
        <f>VLOOKUP(A415,'Sets (lua data)'!$A$3:$C$9838,3,FALSE)</f>
        <v>Draugrkin\'s Grip</v>
      </c>
      <c r="C415" s="9" t="str">
        <f>VLOOKUP(A415,'Sets (lua data)'!$A$3:$C$9838,2,FALSE)</f>
        <v>Griff der Draugrbrut</v>
      </c>
    </row>
    <row r="416" spans="1:3" x14ac:dyDescent="0.25">
      <c r="A416" s="12">
        <v>475</v>
      </c>
      <c r="B416" s="9" t="str">
        <f>VLOOKUP(A416,'Sets (lua data)'!$A$3:$C$9838,3,FALSE)</f>
        <v>Aegis Caller</v>
      </c>
      <c r="C416" s="9" t="str">
        <f>VLOOKUP(A416,'Sets (lua data)'!$A$3:$C$9838,2,FALSE)</f>
        <v>Ägisrufer</v>
      </c>
    </row>
    <row r="417" spans="1:3" x14ac:dyDescent="0.25">
      <c r="A417" s="12">
        <v>476</v>
      </c>
      <c r="B417" s="9" t="str">
        <f>VLOOKUP(A417,'Sets (lua data)'!$A$3:$C$9838,3,FALSE)</f>
        <v>Grave Guardian </v>
      </c>
      <c r="C417" s="9" t="str">
        <f>VLOOKUP(A417,'Sets (lua data)'!$A$3:$C$9838,2,FALSE)</f>
        <v>Grabwächter</v>
      </c>
    </row>
    <row r="418" spans="1:3" x14ac:dyDescent="0.25">
      <c r="A418" s="12">
        <v>478</v>
      </c>
      <c r="B418" s="9" t="str">
        <f>VLOOKUP(A418,'Sets (lua data)'!$A$3:$C$9838,3,FALSE)</f>
        <v>Mother Ciannait</v>
      </c>
      <c r="C418" s="9" t="str">
        <f>VLOOKUP(A418,'Sets (lua data)'!$A$3:$C$9838,2,FALSE)</f>
        <v>Mutter Ciannait</v>
      </c>
    </row>
    <row r="419" spans="1:3" x14ac:dyDescent="0.25">
      <c r="A419" s="12">
        <v>479</v>
      </c>
      <c r="B419" s="9" t="str">
        <f>VLOOKUP(A419,'Sets (lua data)'!$A$3:$C$9838,3,FALSE)</f>
        <v>Kjalnar\'s Nightmare</v>
      </c>
      <c r="C419" s="9" t="str">
        <f>VLOOKUP(A419,'Sets (lua data)'!$A$3:$C$9838,2,FALSE)</f>
        <v>Kjalnar\'s Albtraum</v>
      </c>
    </row>
    <row r="420" spans="1:3" x14ac:dyDescent="0.25">
      <c r="A420" s="12">
        <v>480</v>
      </c>
      <c r="B420" s="9" t="str">
        <f>VLOOKUP(A420,'Sets (lua data)'!$A$3:$C$9838,3,FALSE)</f>
        <v>Critical Riposte</v>
      </c>
      <c r="C420" s="9" t="str">
        <f>VLOOKUP(A420,'Sets (lua data)'!$A$3:$C$9838,2,FALSE)</f>
        <v>Kritischer Konter</v>
      </c>
    </row>
    <row r="421" spans="1:3" x14ac:dyDescent="0.25">
      <c r="A421" s="12">
        <v>481</v>
      </c>
      <c r="B421" s="9" t="str">
        <f>VLOOKUP(A421,'Sets (lua data)'!$A$3:$C$9838,3,FALSE)</f>
        <v>Unchained Aggressor</v>
      </c>
      <c r="C421" s="9" t="str">
        <f>VLOOKUP(A421,'Sets (lua data)'!$A$3:$C$9838,2,FALSE)</f>
        <v>Entfesselter Aggressor</v>
      </c>
    </row>
    <row r="422" spans="1:3" x14ac:dyDescent="0.25">
      <c r="A422" s="12">
        <v>482</v>
      </c>
      <c r="B422" s="9" t="str">
        <f>VLOOKUP(A422,'Sets (lua data)'!$A$3:$C$9838,3,FALSE)</f>
        <v>Dauntless Combatant</v>
      </c>
      <c r="C422" s="9" t="str">
        <f>VLOOKUP(A422,'Sets (lua data)'!$A$3:$C$9838,2,FALSE)</f>
        <v>Furchtloser Kombattant</v>
      </c>
    </row>
    <row r="423" spans="1:3" x14ac:dyDescent="0.25">
      <c r="A423" s="12">
        <v>483</v>
      </c>
      <c r="B423" s="9" t="str">
        <f>VLOOKUP(A423,'Sets (lua data)'!$A$3:$C$9838,3,FALSE)</f>
        <v>Template_Drop_Magi</v>
      </c>
      <c r="C423" s="9" t="str">
        <f>VLOOKUP(A423,'Sets (lua data)'!$A$3:$C$9838,2,FALSE)</f>
        <v>Template_Drop_Magi</v>
      </c>
    </row>
    <row r="424" spans="1:3" x14ac:dyDescent="0.25">
      <c r="A424" s="12">
        <v>484</v>
      </c>
      <c r="B424" s="9" t="str">
        <f>VLOOKUP(A424,'Sets (lua data)'!$A$3:$C$9838,3,FALSE)</f>
        <v>Template_Drop_Stamina</v>
      </c>
      <c r="C424" s="9" t="str">
        <f>VLOOKUP(A424,'Sets (lua data)'!$A$3:$C$9838,2,FALSE)</f>
        <v>Template_Drop_Stamina</v>
      </c>
    </row>
    <row r="425" spans="1:3" x14ac:dyDescent="0.25">
      <c r="A425" s="12">
        <v>485</v>
      </c>
      <c r="B425" s="9" t="str">
        <f>VLOOKUP(A425,'Sets (lua data)'!$A$3:$C$9838,3,FALSE)</f>
        <v>Template_Drop_Tank</v>
      </c>
      <c r="C425" s="9" t="str">
        <f>VLOOKUP(A425,'Sets (lua data)'!$A$3:$C$9838,2,FALSE)</f>
        <v>Template_Drop_Tank</v>
      </c>
    </row>
    <row r="426" spans="1:3" x14ac:dyDescent="0.25">
      <c r="A426" s="12">
        <v>486</v>
      </c>
      <c r="B426" s="9" t="str">
        <f>VLOOKUP(A426,'Sets (lua data)'!$A$3:$C$9838,3,FALSE)</f>
        <v>Template_Drop_Healer</v>
      </c>
      <c r="C426" s="9" t="str">
        <f>VLOOKUP(A426,'Sets (lua data)'!$A$3:$C$9838,2,FALSE)</f>
        <v>Template_Drop_Healer</v>
      </c>
    </row>
    <row r="427" spans="1:3" x14ac:dyDescent="0.25">
      <c r="A427" s="12">
        <v>487</v>
      </c>
      <c r="B427" s="9" t="str">
        <f>VLOOKUP(A427,'Sets (lua data)'!$A$3:$C$9838,3,FALSE)</f>
        <v>Winter\'s Respite</v>
      </c>
      <c r="C427" s="9" t="str">
        <f>VLOOKUP(A427,'Sets (lua data)'!$A$3:$C$9838,2,FALSE)</f>
        <v>Winterruhe</v>
      </c>
    </row>
    <row r="428" spans="1:3" x14ac:dyDescent="0.25">
      <c r="A428" s="12">
        <v>488</v>
      </c>
      <c r="B428" s="9" t="str">
        <f>VLOOKUP(A428,'Sets (lua data)'!$A$3:$C$9838,3,FALSE)</f>
        <v>Venomous Smite</v>
      </c>
      <c r="C428" s="9" t="str">
        <f>VLOOKUP(A428,'Sets (lua data)'!$A$3:$C$9838,2,FALSE)</f>
        <v>Giftschlag</v>
      </c>
    </row>
    <row r="429" spans="1:3" x14ac:dyDescent="0.25">
      <c r="A429" s="12">
        <v>489</v>
      </c>
      <c r="B429" s="9" t="str">
        <f>VLOOKUP(A429,'Sets (lua data)'!$A$3:$C$9838,3,FALSE)</f>
        <v>Eternal Vigor</v>
      </c>
      <c r="C429" s="9" t="str">
        <f>VLOOKUP(A429,'Sets (lua data)'!$A$3:$C$9838,2,FALSE)</f>
        <v>Ewiger Elan</v>
      </c>
    </row>
    <row r="430" spans="1:3" x14ac:dyDescent="0.25">
      <c r="A430" s="12">
        <v>490</v>
      </c>
      <c r="B430" s="9" t="str">
        <f>VLOOKUP(A430,'Sets (lua data)'!$A$3:$C$9838,3,FALSE)</f>
        <v>Stuhn\'s Favor</v>
      </c>
      <c r="C430" s="9" t="str">
        <f>VLOOKUP(A430,'Sets (lua data)'!$A$3:$C$9838,2,FALSE)</f>
        <v>Stuhns Gunst</v>
      </c>
    </row>
    <row r="431" spans="1:3" x14ac:dyDescent="0.25">
      <c r="A431" s="12">
        <v>491</v>
      </c>
      <c r="B431" s="9" t="str">
        <f>VLOOKUP(A431,'Sets (lua data)'!$A$3:$C$9838,3,FALSE)</f>
        <v>Dragon\'s Appetite</v>
      </c>
      <c r="C431" s="9" t="str">
        <f>VLOOKUP(A431,'Sets (lua data)'!$A$3:$C$9838,2,FALSE)</f>
        <v>Appetit des Drachen</v>
      </c>
    </row>
    <row r="432" spans="1:3" x14ac:dyDescent="0.25">
      <c r="A432" s="12">
        <v>492</v>
      </c>
      <c r="B432" s="9" t="str">
        <f>VLOOKUP(A432,'Sets (lua data)'!$A$3:$C$9838,3,FALSE)</f>
        <v>Kyne\'s Wind</v>
      </c>
      <c r="C432" s="9" t="str">
        <f>VLOOKUP(A432,'Sets (lua data)'!$A$3:$C$9838,2,FALSE)</f>
        <v>Kynes Wind</v>
      </c>
    </row>
    <row r="433" spans="1:3" x14ac:dyDescent="0.25">
      <c r="A433" s="12">
        <v>493</v>
      </c>
      <c r="B433" s="9" t="str">
        <f>VLOOKUP(A433,'Sets (lua data)'!$A$3:$C$9838,3,FALSE)</f>
        <v>Perfected Kyne\'s Wind</v>
      </c>
      <c r="C433" s="9" t="str">
        <f>VLOOKUP(A433,'Sets (lua data)'!$A$3:$C$9838,2,FALSE)</f>
        <v>Kynes perfektionierter Wind</v>
      </c>
    </row>
    <row r="434" spans="1:3" x14ac:dyDescent="0.25">
      <c r="A434" s="12">
        <v>494</v>
      </c>
      <c r="B434" s="9" t="str">
        <f>VLOOKUP(A434,'Sets (lua data)'!$A$3:$C$9838,3,FALSE)</f>
        <v>Vrol\'s Command</v>
      </c>
      <c r="C434" s="9" t="str">
        <f>VLOOKUP(A434,'Sets (lua data)'!$A$3:$C$9838,2,FALSE)</f>
        <v>Vrols Befehl</v>
      </c>
    </row>
    <row r="435" spans="1:3" x14ac:dyDescent="0.25">
      <c r="A435" s="12">
        <v>495</v>
      </c>
      <c r="B435" s="9" t="str">
        <f>VLOOKUP(A435,'Sets (lua data)'!$A$3:$C$9838,3,FALSE)</f>
        <v>Perfected Vrol\'s Command</v>
      </c>
      <c r="C435" s="9" t="str">
        <f>VLOOKUP(A435,'Sets (lua data)'!$A$3:$C$9838,2,FALSE)</f>
        <v>Vrols perfektionierter Befehl</v>
      </c>
    </row>
    <row r="436" spans="1:3" x14ac:dyDescent="0.25">
      <c r="A436" s="12">
        <v>496</v>
      </c>
      <c r="B436" s="9" t="str">
        <f>VLOOKUP(A436,'Sets (lua data)'!$A$3:$C$9838,3,FALSE)</f>
        <v>Roaring Opportunist</v>
      </c>
      <c r="C436" s="9" t="str">
        <f>VLOOKUP(A436,'Sets (lua data)'!$A$3:$C$9838,2,FALSE)</f>
        <v>Brüllender Opportunist</v>
      </c>
    </row>
    <row r="437" spans="1:3" x14ac:dyDescent="0.25">
      <c r="A437" s="12">
        <v>497</v>
      </c>
      <c r="B437" s="9" t="str">
        <f>VLOOKUP(A437,'Sets (lua data)'!$A$3:$C$9838,3,FALSE)</f>
        <v>Perfected Roaring Opportunist</v>
      </c>
      <c r="C437" s="9" t="str">
        <f>VLOOKUP(A437,'Sets (lua data)'!$A$3:$C$9838,2,FALSE)</f>
        <v>Perfektionierter brüllender Opportunist</v>
      </c>
    </row>
    <row r="438" spans="1:3" x14ac:dyDescent="0.25">
      <c r="A438" s="12">
        <v>498</v>
      </c>
      <c r="B438" s="9" t="str">
        <f>VLOOKUP(A438,'Sets (lua data)'!$A$3:$C$9838,3,FALSE)</f>
        <v>Yandir\'s Might</v>
      </c>
      <c r="C438" s="9" t="str">
        <f>VLOOKUP(A438,'Sets (lua data)'!$A$3:$C$9838,2,FALSE)</f>
        <v>Yandirs Macht</v>
      </c>
    </row>
    <row r="439" spans="1:3" x14ac:dyDescent="0.25">
      <c r="A439" s="12">
        <v>499</v>
      </c>
      <c r="B439" s="9" t="str">
        <f>VLOOKUP(A439,'Sets (lua data)'!$A$3:$C$9838,3,FALSE)</f>
        <v>Perfected Yandir\'s Might</v>
      </c>
      <c r="C439" s="9" t="str">
        <f>VLOOKUP(A439,'Sets (lua data)'!$A$3:$C$9838,2,FALSE)</f>
        <v>Yandirs perfektionierte Macht</v>
      </c>
    </row>
    <row r="440" spans="1:3" x14ac:dyDescent="0.25">
      <c r="A440" s="12">
        <v>500</v>
      </c>
      <c r="B440" s="9" t="str">
        <f>VLOOKUP(A440,'Sets (lua data)'!$A$3:$C$9838,3,FALSE)</f>
        <v>Bloodlord\'s Embrace (OLD)</v>
      </c>
      <c r="C440" s="9" t="str">
        <f>VLOOKUP(A440,'Sets (lua data)'!$A$3:$C$9838,2,FALSE)</f>
        <v>Bloodlord's Embrace (OLD)</v>
      </c>
    </row>
    <row r="441" spans="1:3" x14ac:dyDescent="0.25">
      <c r="A441" s="12">
        <v>501</v>
      </c>
      <c r="B441" s="9" t="str">
        <f>VLOOKUP(A441,'Sets (lua data)'!$A$3:$C$9838,3,FALSE)</f>
        <v>Thrassian Stranglers</v>
      </c>
      <c r="C441" s="9" t="str">
        <f>VLOOKUP(A441,'Sets (lua data)'!$A$3:$C$9838,2,FALSE)</f>
        <v>Thrassische Würger</v>
      </c>
    </row>
    <row r="442" spans="1:3" x14ac:dyDescent="0.25">
      <c r="A442" s="12">
        <v>502</v>
      </c>
      <c r="B442" s="9" t="str">
        <f>VLOOKUP(A442,'Sets (lua data)'!$A$3:$C$9838,3,FALSE)</f>
        <v>Snow Treaders (OLD)</v>
      </c>
      <c r="C442" s="9" t="str">
        <f>VLOOKUP(A442,'Sets (lua data)'!$A$3:$C$9838,2,FALSE)</f>
        <v>Snow Treaders (OLD)</v>
      </c>
    </row>
    <row r="443" spans="1:3" x14ac:dyDescent="0.25">
      <c r="A443" s="12">
        <v>503</v>
      </c>
      <c r="B443" s="9" t="str">
        <f>VLOOKUP(A443,'Sets (lua data)'!$A$3:$C$9838,3,FALSE)</f>
        <v>Ring of the Wild Hunt</v>
      </c>
      <c r="C443" s="9" t="str">
        <f>VLOOKUP(A443,'Sets (lua data)'!$A$3:$C$9838,2,FALSE)</f>
        <v>Ring der Wilden Jagd</v>
      </c>
    </row>
    <row r="444" spans="1:3" x14ac:dyDescent="0.25">
      <c r="A444" s="12">
        <v>504</v>
      </c>
      <c r="B444" s="9" t="str">
        <f>VLOOKUP(A444,'Sets (lua data)'!$A$3:$C$9838,3,FALSE)</f>
        <v>Malacath\'s Band of Brutality X</v>
      </c>
      <c r="C444" s="9" t="str">
        <f>VLOOKUP(A444,'Sets (lua data)'!$A$3:$C$9838,2,FALSE)</f>
        <v>Malacath's Band der Brutalität X</v>
      </c>
    </row>
    <row r="445" spans="1:3" x14ac:dyDescent="0.25">
      <c r="A445" s="12">
        <v>505</v>
      </c>
      <c r="B445" s="9" t="str">
        <f>VLOOKUP(A445,'Sets (lua data)'!$A$3:$C$9838,3,FALSE)</f>
        <v>Torc of Tonal Constancy</v>
      </c>
      <c r="C445" s="9" t="str">
        <f>VLOOKUP(A445,'Sets (lua data)'!$A$3:$C$9838,2,FALSE)</f>
        <v>Torques der Klangkonstanz</v>
      </c>
    </row>
    <row r="446" spans="1:3" x14ac:dyDescent="0.25">
      <c r="A446" s="12">
        <v>506</v>
      </c>
      <c r="B446" s="9" t="str">
        <f>VLOOKUP(A446,'Sets (lua data)'!$A$3:$C$9838,3,FALSE)</f>
        <v>Spell Parasite</v>
      </c>
      <c r="C446" s="9" t="str">
        <f>VLOOKUP(A446,'Sets (lua data)'!$A$3:$C$9838,2,FALSE)</f>
        <v>Magieparasit</v>
      </c>
    </row>
    <row r="447" spans="1:3" x14ac:dyDescent="0.25">
      <c r="A447" s="12">
        <v>507</v>
      </c>
      <c r="B447" s="9" t="e">
        <f>VLOOKUP(A447,'Sets (lua data)'!$A$3:$C$9838,3,FALSE)</f>
        <v>#N/A</v>
      </c>
      <c r="C447" s="9" t="e">
        <f>VLOOKUP(A447,'Sets (lua data)'!$A$3:$C$9838,2,FALSE)</f>
        <v>#N/A</v>
      </c>
    </row>
    <row r="448" spans="1:3" x14ac:dyDescent="0.25">
      <c r="A448" s="12">
        <v>508</v>
      </c>
      <c r="B448" s="9" t="e">
        <f>VLOOKUP(A448,'Sets (lua data)'!$A$3:$C$9838,3,FALSE)</f>
        <v>#N/A</v>
      </c>
      <c r="C448" s="9" t="e">
        <f>VLOOKUP(A448,'Sets (lua data)'!$A$3:$C$9838,2,FALSE)</f>
        <v>#N/A</v>
      </c>
    </row>
    <row r="449" spans="1:3" x14ac:dyDescent="0.25">
      <c r="A449" s="12">
        <v>509</v>
      </c>
      <c r="B449" s="9" t="str">
        <f>VLOOKUP(A449,'Sets (lua data)'!$A$3:$C$9838,3,FALSE)</f>
        <v>Template_Drop_Healer P</v>
      </c>
      <c r="C449" s="9" t="str">
        <f>VLOOKUP(A449,'Sets (lua data)'!$A$3:$C$9838,2,FALSE)</f>
        <v>Template_Drop_Healer P</v>
      </c>
    </row>
    <row r="450" spans="1:3" x14ac:dyDescent="0.25">
      <c r="A450" s="12">
        <v>510</v>
      </c>
      <c r="B450" s="9" t="str">
        <f>VLOOKUP(A450,'Sets (lua data)'!$A$3:$C$9838,3,FALSE)</f>
        <v>Template_Drop_Tank P</v>
      </c>
      <c r="C450" s="9" t="str">
        <f>VLOOKUP(A450,'Sets (lua data)'!$A$3:$C$9838,2,FALSE)</f>
        <v>Template_Drop_Tank P</v>
      </c>
    </row>
    <row r="451" spans="1:3" x14ac:dyDescent="0.25">
      <c r="A451" s="12">
        <v>511</v>
      </c>
      <c r="B451" s="9" t="str">
        <f>VLOOKUP(A451,'Sets (lua data)'!$A$3:$C$9838,3,FALSE)</f>
        <v>Template_Drop_Stamina P</v>
      </c>
      <c r="C451" s="9" t="str">
        <f>VLOOKUP(A451,'Sets (lua data)'!$A$3:$C$9838,2,FALSE)</f>
        <v>Template_Drop_Stamina P</v>
      </c>
    </row>
    <row r="452" spans="1:3" x14ac:dyDescent="0.25">
      <c r="A452" s="12">
        <v>512</v>
      </c>
      <c r="B452" s="9" t="str">
        <f>VLOOKUP(A452,'Sets (lua data)'!$A$3:$C$9838,3,FALSE)</f>
        <v>Template_Drop_Magi P</v>
      </c>
      <c r="C452" s="9" t="str">
        <f>VLOOKUP(A452,'Sets (lua data)'!$A$3:$C$9838,2,FALSE)</f>
        <v>Template_Drop_Magi P</v>
      </c>
    </row>
    <row r="453" spans="1:3" x14ac:dyDescent="0.25">
      <c r="A453" s="12">
        <v>513</v>
      </c>
      <c r="B453" s="9" t="str">
        <f>VLOOKUP(A453,'Sets (lua data)'!$A$3:$C$9838,3,FALSE)</f>
        <v>Talfyg\'s Treachery</v>
      </c>
      <c r="C453" s="9" t="str">
        <f>VLOOKUP(A453,'Sets (lua data)'!$A$3:$C$9838,2,FALSE)</f>
        <v>Talfygs Verrat</v>
      </c>
    </row>
    <row r="454" spans="1:3" x14ac:dyDescent="0.25">
      <c r="A454" s="12">
        <v>513</v>
      </c>
      <c r="B454" s="9" t="str">
        <f>VLOOKUP(A454,'Sets (lua data)'!$A$3:$C$9838,3,FALSE)</f>
        <v>Talfyg\'s Treachery</v>
      </c>
      <c r="C454" s="9" t="str">
        <f>VLOOKUP(A454,'Sets (lua data)'!$A$3:$C$9838,2,FALSE)</f>
        <v>Talfygs Verrat</v>
      </c>
    </row>
    <row r="455" spans="1:3" x14ac:dyDescent="0.25">
      <c r="A455" s="12">
        <v>514</v>
      </c>
      <c r="B455" s="9" t="str">
        <f>VLOOKUP(A455,'Sets (lua data)'!$A$3:$C$9838,3,FALSE)</f>
        <v>Unleashed Terror</v>
      </c>
      <c r="C455" s="9" t="str">
        <f>VLOOKUP(A455,'Sets (lua data)'!$A$3:$C$9838,2,FALSE)</f>
        <v>Entfesselter Schrecken</v>
      </c>
    </row>
    <row r="456" spans="1:3" x14ac:dyDescent="0.25">
      <c r="A456" s="12">
        <v>514</v>
      </c>
      <c r="B456" s="9" t="str">
        <f>VLOOKUP(A456,'Sets (lua data)'!$A$3:$C$9838,3,FALSE)</f>
        <v>Unleashed Terror</v>
      </c>
      <c r="C456" s="9" t="str">
        <f>VLOOKUP(A456,'Sets (lua data)'!$A$3:$C$9838,2,FALSE)</f>
        <v>Entfesselter Schrecken</v>
      </c>
    </row>
    <row r="457" spans="1:3" x14ac:dyDescent="0.25">
      <c r="A457" s="12">
        <v>515</v>
      </c>
      <c r="B457" s="9" t="str">
        <f>VLOOKUP(A457,'Sets (lua data)'!$A$3:$C$9838,3,FALSE)</f>
        <v>Crimson Twilight</v>
      </c>
      <c r="C457" s="9" t="str">
        <f>VLOOKUP(A457,'Sets (lua data)'!$A$3:$C$9838,2,FALSE)</f>
        <v>Scharlachrotes Zwielicht</v>
      </c>
    </row>
    <row r="458" spans="1:3" x14ac:dyDescent="0.25">
      <c r="A458" s="12">
        <v>515</v>
      </c>
      <c r="B458" s="9" t="str">
        <f>VLOOKUP(A458,'Sets (lua data)'!$A$3:$C$9838,3,FALSE)</f>
        <v>Crimson Twilight</v>
      </c>
      <c r="C458" s="9" t="str">
        <f>VLOOKUP(A458,'Sets (lua data)'!$A$3:$C$9838,2,FALSE)</f>
        <v>Scharlachrotes Zwielicht</v>
      </c>
    </row>
    <row r="459" spans="1:3" x14ac:dyDescent="0.25">
      <c r="A459" s="12">
        <v>516</v>
      </c>
      <c r="B459" s="9" t="str">
        <f>VLOOKUP(A459,'Sets (lua data)'!$A$3:$C$9838,3,FALSE)</f>
        <v>Elemental Catalyst</v>
      </c>
      <c r="C459" s="9" t="str">
        <f>VLOOKUP(A459,'Sets (lua data)'!$A$3:$C$9838,2,FALSE)</f>
        <v>Elementarer Katalysator</v>
      </c>
    </row>
    <row r="460" spans="1:3" x14ac:dyDescent="0.25">
      <c r="A460" s="12">
        <v>516</v>
      </c>
      <c r="B460" s="9" t="str">
        <f>VLOOKUP(A460,'Sets (lua data)'!$A$3:$C$9838,3,FALSE)</f>
        <v>Elemental Catalyst</v>
      </c>
      <c r="C460" s="9" t="str">
        <f>VLOOKUP(A460,'Sets (lua data)'!$A$3:$C$9838,2,FALSE)</f>
        <v>Elementarer Katalysator</v>
      </c>
    </row>
    <row r="461" spans="1:3" x14ac:dyDescent="0.25">
      <c r="A461" s="12">
        <v>517</v>
      </c>
      <c r="B461" s="9" t="str">
        <f>VLOOKUP(A461,'Sets (lua data)'!$A$3:$C$9838,3,FALSE)</f>
        <v>Kraglen\'s Howl</v>
      </c>
      <c r="C461" s="9" t="str">
        <f>VLOOKUP(A461,'Sets (lua data)'!$A$3:$C$9838,2,FALSE)</f>
        <v>Kraglens Heulen</v>
      </c>
    </row>
    <row r="462" spans="1:3" x14ac:dyDescent="0.25">
      <c r="A462" s="12">
        <v>517</v>
      </c>
      <c r="B462" s="9" t="str">
        <f>VLOOKUP(A462,'Sets (lua data)'!$A$3:$C$9838,3,FALSE)</f>
        <v>Kraglen\'s Howl</v>
      </c>
      <c r="C462" s="9" t="str">
        <f>VLOOKUP(A462,'Sets (lua data)'!$A$3:$C$9838,2,FALSE)</f>
        <v>Kraglens Heulen</v>
      </c>
    </row>
    <row r="463" spans="1:3" x14ac:dyDescent="0.25">
      <c r="A463" s="12">
        <v>518</v>
      </c>
      <c r="B463" s="9" t="str">
        <f>VLOOKUP(A463,'Sets (lua data)'!$A$3:$C$9838,3,FALSE)</f>
        <v>Arkasis\'s Genius</v>
      </c>
      <c r="C463" s="9" t="str">
        <f>VLOOKUP(A463,'Sets (lua data)'!$A$3:$C$9838,2,FALSE)</f>
        <v>Arkasis' Genie</v>
      </c>
    </row>
    <row r="464" spans="1:3" x14ac:dyDescent="0.25">
      <c r="A464" s="12">
        <v>518</v>
      </c>
      <c r="B464" s="9" t="str">
        <f>VLOOKUP(A464,'Sets (lua data)'!$A$3:$C$9838,3,FALSE)</f>
        <v>Arkasis\'s Genius</v>
      </c>
      <c r="C464" s="9" t="str">
        <f>VLOOKUP(A464,'Sets (lua data)'!$A$3:$C$9838,2,FALSE)</f>
        <v>Arkasis' Genie</v>
      </c>
    </row>
    <row r="465" spans="1:3" x14ac:dyDescent="0.25">
      <c r="A465" s="12">
        <v>519</v>
      </c>
      <c r="B465" s="9" t="str">
        <f>VLOOKUP(A465,'Sets (lua data)'!$A$3:$C$9838,3,FALSE)</f>
        <v>Snow Treaders</v>
      </c>
      <c r="C465" s="9" t="str">
        <f>VLOOKUP(A465,'Sets (lua data)'!$A$3:$C$9838,2,FALSE)</f>
        <v>Schneetreter</v>
      </c>
    </row>
    <row r="466" spans="1:3" x14ac:dyDescent="0.25">
      <c r="A466" s="12">
        <v>520</v>
      </c>
      <c r="B466" s="9" t="str">
        <f>VLOOKUP(A466,'Sets (lua data)'!$A$3:$C$9838,3,FALSE)</f>
        <v>Malacath\'s Band of Brutality</v>
      </c>
      <c r="C466" s="9" t="str">
        <f>VLOOKUP(A466,'Sets (lua data)'!$A$3:$C$9838,2,FALSE)</f>
        <v>Malacaths Band der Brutalität</v>
      </c>
    </row>
    <row r="467" spans="1:3" x14ac:dyDescent="0.25">
      <c r="A467" s="12">
        <v>521</v>
      </c>
      <c r="B467" s="9" t="str">
        <f>VLOOKUP(A467,'Sets (lua data)'!$A$3:$C$9838,3,FALSE)</f>
        <v>Bloodlord\'s Embrace</v>
      </c>
      <c r="C467" s="9" t="str">
        <f>VLOOKUP(A467,'Sets (lua data)'!$A$3:$C$9838,2,FALSE)</f>
        <v>Umarmung des Blutfürsten</v>
      </c>
    </row>
    <row r="468" spans="1:3" x14ac:dyDescent="0.25">
      <c r="A468" s="12">
        <v>522</v>
      </c>
      <c r="B468" s="9" t="str">
        <f>VLOOKUP(A468,'Sets (lua data)'!$A$3:$C$9838,3,FALSE)</f>
        <v>Perfected Merciless Charge</v>
      </c>
      <c r="C468" s="9" t="str">
        <f>VLOOKUP(A468,'Sets (lua data)'!$A$3:$C$9838,2,FALSE)</f>
        <v>Perfektionierter gnadenloser Ansturm</v>
      </c>
    </row>
    <row r="469" spans="1:3" x14ac:dyDescent="0.25">
      <c r="A469" s="12">
        <v>523</v>
      </c>
      <c r="B469" s="9" t="str">
        <f>VLOOKUP(A469,'Sets (lua data)'!$A$3:$C$9838,3,FALSE)</f>
        <v>Perfected Rampaging Slash</v>
      </c>
      <c r="C469" s="9" t="str">
        <f>VLOOKUP(A469,'Sets (lua data)'!$A$3:$C$9838,2,FALSE)</f>
        <v>Perfektionierter tobender Schnitt</v>
      </c>
    </row>
    <row r="470" spans="1:3" x14ac:dyDescent="0.25">
      <c r="A470" s="12">
        <v>524</v>
      </c>
      <c r="B470" s="9" t="str">
        <f>VLOOKUP(A470,'Sets (lua data)'!$A$3:$C$9838,3,FALSE)</f>
        <v>Perfected Cruel Flurry</v>
      </c>
      <c r="C470" s="9" t="str">
        <f>VLOOKUP(A470,'Sets (lua data)'!$A$3:$C$9838,2,FALSE)</f>
        <v>Perfektionierter grausamer Schlaghagel</v>
      </c>
    </row>
    <row r="471" spans="1:3" x14ac:dyDescent="0.25">
      <c r="A471" s="12">
        <v>525</v>
      </c>
      <c r="B471" s="9" t="str">
        <f>VLOOKUP(A471,'Sets (lua data)'!$A$3:$C$9838,3,FALSE)</f>
        <v>Perfected Thunderous Volley</v>
      </c>
      <c r="C471" s="9" t="str">
        <f>VLOOKUP(A471,'Sets (lua data)'!$A$3:$C$9838,2,FALSE)</f>
        <v>Perfektionierte donnernde Salve</v>
      </c>
    </row>
    <row r="472" spans="1:3" x14ac:dyDescent="0.25">
      <c r="A472" s="12">
        <v>526</v>
      </c>
      <c r="B472" s="9" t="str">
        <f>VLOOKUP(A472,'Sets (lua data)'!$A$3:$C$9838,3,FALSE)</f>
        <v>Perfected Crushing Wall</v>
      </c>
      <c r="C472" s="9" t="str">
        <f>VLOOKUP(A472,'Sets (lua data)'!$A$3:$C$9838,2,FALSE)</f>
        <v>Perfektionierte zermalmende Mauer</v>
      </c>
    </row>
    <row r="473" spans="1:3" x14ac:dyDescent="0.25">
      <c r="A473" s="12">
        <v>527</v>
      </c>
      <c r="B473" s="9" t="str">
        <f>VLOOKUP(A473,'Sets (lua data)'!$A$3:$C$9838,3,FALSE)</f>
        <v>Perfected Precise Regeneration</v>
      </c>
      <c r="C473" s="9" t="str">
        <f>VLOOKUP(A473,'Sets (lua data)'!$A$3:$C$9838,2,FALSE)</f>
        <v>Perfektionierte präzise Regeneration</v>
      </c>
    </row>
    <row r="474" spans="1:3" x14ac:dyDescent="0.25">
      <c r="A474" s="12">
        <v>528</v>
      </c>
      <c r="B474" s="9" t="str">
        <f>VLOOKUP(A474,'Sets (lua data)'!$A$3:$C$9838,3,FALSE)</f>
        <v>Perfected Titanic Cleave</v>
      </c>
      <c r="C474" s="9" t="str">
        <f>VLOOKUP(A474,'Sets (lua data)'!$A$3:$C$9838,2,FALSE)</f>
        <v>Perfektioniertes titanisches Trennen</v>
      </c>
    </row>
    <row r="475" spans="1:3" x14ac:dyDescent="0.25">
      <c r="A475" s="12">
        <v>529</v>
      </c>
      <c r="B475" s="9" t="str">
        <f>VLOOKUP(A475,'Sets (lua data)'!$A$3:$C$9838,3,FALSE)</f>
        <v>Perfected Puncturing Remedy</v>
      </c>
      <c r="C475" s="9" t="str">
        <f>VLOOKUP(A475,'Sets (lua data)'!$A$3:$C$9838,2,FALSE)</f>
        <v>Perfektionierte durchschlagende Genesung</v>
      </c>
    </row>
    <row r="476" spans="1:3" x14ac:dyDescent="0.25">
      <c r="A476" s="12">
        <v>530</v>
      </c>
      <c r="B476" s="9" t="str">
        <f>VLOOKUP(A476,'Sets (lua data)'!$A$3:$C$9838,3,FALSE)</f>
        <v>Perfected Stinging Slashes</v>
      </c>
      <c r="C476" s="9" t="str">
        <f>VLOOKUP(A476,'Sets (lua data)'!$A$3:$C$9838,2,FALSE)</f>
        <v>Perfektionierte stechende Schnitte</v>
      </c>
    </row>
    <row r="477" spans="1:3" x14ac:dyDescent="0.25">
      <c r="A477" s="12">
        <v>531</v>
      </c>
      <c r="B477" s="9" t="str">
        <f>VLOOKUP(A477,'Sets (lua data)'!$A$3:$C$9838,3,FALSE)</f>
        <v>Perfected Caustic Arrow</v>
      </c>
      <c r="C477" s="9" t="str">
        <f>VLOOKUP(A477,'Sets (lua data)'!$A$3:$C$9838,2,FALSE)</f>
        <v>Perfektionierter beißender Pfeil</v>
      </c>
    </row>
    <row r="478" spans="1:3" x14ac:dyDescent="0.25">
      <c r="A478" s="12">
        <v>532</v>
      </c>
      <c r="B478" s="9" t="str">
        <f>VLOOKUP(A478,'Sets (lua data)'!$A$3:$C$9838,3,FALSE)</f>
        <v>Perfected Destructive Impact</v>
      </c>
      <c r="C478" s="9" t="str">
        <f>VLOOKUP(A478,'Sets (lua data)'!$A$3:$C$9838,2,FALSE)</f>
        <v>Perfektionierter zerstörerischer Einschlag</v>
      </c>
    </row>
    <row r="479" spans="1:3" x14ac:dyDescent="0.25">
      <c r="A479" s="12">
        <v>534</v>
      </c>
      <c r="B479" s="9" t="str">
        <f>VLOOKUP(A479,'Sets (lua data)'!$A$3:$C$9838,3,FALSE)</f>
        <v>Stone Husk</v>
      </c>
      <c r="C479" s="9" t="str">
        <f>VLOOKUP(A479,'Sets (lua data)'!$A$3:$C$9838,2,FALSE)</f>
        <v>Steinhülle</v>
      </c>
    </row>
    <row r="480" spans="1:3" x14ac:dyDescent="0.25">
      <c r="A480" s="12">
        <v>535</v>
      </c>
      <c r="B480" s="9" t="str">
        <f>VLOOKUP(A480,'Sets (lua data)'!$A$3:$C$9838,3,FALSE)</f>
        <v>Lady Thorn</v>
      </c>
      <c r="C480" s="9" t="str">
        <f>VLOOKUP(A480,'Sets (lua data)'!$A$3:$C$9838,2,FALSE)</f>
        <v>Fürstin Dorn</v>
      </c>
    </row>
    <row r="481" spans="1:3" x14ac:dyDescent="0.25">
      <c r="A481" s="12">
        <v>536</v>
      </c>
      <c r="B481" s="9" t="str">
        <f>VLOOKUP(A481,'Sets (lua data)'!$A$3:$C$9838,3,FALSE)</f>
        <v>Radiant Bastion</v>
      </c>
      <c r="C481" s="9" t="str">
        <f>VLOOKUP(A481,'Sets (lua data)'!$A$3:$C$9838,2,FALSE)</f>
        <v>Strahlende Bastion</v>
      </c>
    </row>
    <row r="482" spans="1:3" x14ac:dyDescent="0.25">
      <c r="A482" s="12">
        <v>537</v>
      </c>
      <c r="B482" s="9" t="str">
        <f>VLOOKUP(A482,'Sets (lua data)'!$A$3:$C$9838,3,FALSE)</f>
        <v>Voidcaller</v>
      </c>
      <c r="C482" s="9" t="str">
        <f>VLOOKUP(A482,'Sets (lua data)'!$A$3:$C$9838,2,FALSE)</f>
        <v>Leerenrufer</v>
      </c>
    </row>
    <row r="483" spans="1:3" x14ac:dyDescent="0.25">
      <c r="A483" s="12">
        <v>538</v>
      </c>
      <c r="B483" s="9" t="str">
        <f>VLOOKUP(A483,'Sets (lua data)'!$A$3:$C$9838,3,FALSE)</f>
        <v>Witch-Knight\'s Defiance</v>
      </c>
      <c r="C483" s="9" t="str">
        <f>VLOOKUP(A483,'Sets (lua data)'!$A$3:$C$9838,2,FALSE)</f>
        <v>Trotz des Hexenritters</v>
      </c>
    </row>
    <row r="484" spans="1:3" x14ac:dyDescent="0.25">
      <c r="A484" s="12">
        <v>539</v>
      </c>
      <c r="B484" s="9" t="str">
        <f>VLOOKUP(A484,'Sets (lua data)'!$A$3:$C$9838,3,FALSE)</f>
        <v>Red Eagle\'s Fury</v>
      </c>
      <c r="C484" s="9" t="str">
        <f>VLOOKUP(A484,'Sets (lua data)'!$A$3:$C$9838,2,FALSE)</f>
        <v>Zorn des Roten Adlers</v>
      </c>
    </row>
    <row r="485" spans="1:3" x14ac:dyDescent="0.25">
      <c r="A485" s="12">
        <v>540</v>
      </c>
      <c r="B485" s="9" t="str">
        <f>VLOOKUP(A485,'Sets (lua data)'!$A$3:$C$9838,3,FALSE)</f>
        <v>Legacy of Karth</v>
      </c>
      <c r="C485" s="9" t="str">
        <f>VLOOKUP(A485,'Sets (lua data)'!$A$3:$C$9838,2,FALSE)</f>
        <v>Erbe des Karth</v>
      </c>
    </row>
    <row r="486" spans="1:3" x14ac:dyDescent="0.25">
      <c r="A486" s="12">
        <v>541</v>
      </c>
      <c r="B486" s="9" t="str">
        <f>VLOOKUP(A486,'Sets (lua data)'!$A$3:$C$9838,3,FALSE)</f>
        <v>Aetherial Ascension</v>
      </c>
      <c r="C486" s="9" t="str">
        <f>VLOOKUP(A486,'Sets (lua data)'!$A$3:$C$9838,2,FALSE)</f>
        <v>Ätherischer Aufstieg</v>
      </c>
    </row>
    <row r="487" spans="1:3" x14ac:dyDescent="0.25">
      <c r="A487" s="12">
        <v>542</v>
      </c>
      <c r="B487" s="9" t="str">
        <f>VLOOKUP(A487,'Sets (lua data)'!$A$3:$C$9838,3,FALSE)</f>
        <v>Hex Siphon</v>
      </c>
      <c r="C487" s="9" t="str">
        <f>VLOOKUP(A487,'Sets (lua data)'!$A$3:$C$9838,2,FALSE)</f>
        <v>Fluchsiphon</v>
      </c>
    </row>
    <row r="488" spans="1:3" x14ac:dyDescent="0.25">
      <c r="A488" s="12">
        <v>543</v>
      </c>
      <c r="B488" s="9" t="str">
        <f>VLOOKUP(A488,'Sets (lua data)'!$A$3:$C$9838,3,FALSE)</f>
        <v>Pestilent Host</v>
      </c>
      <c r="C488" s="9" t="str">
        <f>VLOOKUP(A488,'Sets (lua data)'!$A$3:$C$9838,2,FALSE)</f>
        <v>Pestilenter Wirt</v>
      </c>
    </row>
    <row r="489" spans="1:3" x14ac:dyDescent="0.25">
      <c r="A489" s="12">
        <v>544</v>
      </c>
      <c r="B489" s="9" t="str">
        <f>VLOOKUP(A489,'Sets (lua data)'!$A$3:$C$9838,3,FALSE)</f>
        <v>Explosive Rebuke</v>
      </c>
      <c r="C489" s="9" t="str">
        <f>VLOOKUP(A489,'Sets (lua data)'!$A$3:$C$9838,2,FALSE)</f>
        <v>Explosiver Tadel</v>
      </c>
    </row>
    <row r="490" spans="1:3" x14ac:dyDescent="0.25">
      <c r="A490" s="12">
        <v>557</v>
      </c>
      <c r="B490" s="9" t="str">
        <f>VLOOKUP(A490,'Sets (lua data)'!$A$3:$C$9838,3,FALSE)</f>
        <v>Executioner\'s Blade</v>
      </c>
      <c r="C490" s="9" t="str">
        <f>VLOOKUP(A490,'Sets (lua data)'!$A$3:$C$9838,2,FALSE)</f>
        <v>Henkersklinge</v>
      </c>
    </row>
    <row r="491" spans="1:3" x14ac:dyDescent="0.25">
      <c r="A491" s="12">
        <v>558</v>
      </c>
      <c r="B491" s="9" t="str">
        <f>VLOOKUP(A491,'Sets (lua data)'!$A$3:$C$9838,3,FALSE)</f>
        <v>Void Bash</v>
      </c>
      <c r="C491" s="9" t="str">
        <f>VLOOKUP(A491,'Sets (lua data)'!$A$3:$C$9838,2,FALSE)</f>
        <v>LeerenWucht</v>
      </c>
    </row>
    <row r="492" spans="1:3" x14ac:dyDescent="0.25">
      <c r="A492" s="12">
        <v>559</v>
      </c>
      <c r="B492" s="9" t="str">
        <f>VLOOKUP(A492,'Sets (lua data)'!$A$3:$C$9838,3,FALSE)</f>
        <v>Frenzied Momentum</v>
      </c>
      <c r="C492" s="9" t="str">
        <f>VLOOKUP(A492,'Sets (lua data)'!$A$3:$C$9838,2,FALSE)</f>
        <v>Tobendes Momentum</v>
      </c>
    </row>
    <row r="493" spans="1:3" x14ac:dyDescent="0.25">
      <c r="A493" s="12">
        <v>560</v>
      </c>
      <c r="B493" s="9" t="str">
        <f>VLOOKUP(A493,'Sets (lua data)'!$A$3:$C$9838,3,FALSE)</f>
        <v>Point-Blank Snipe</v>
      </c>
      <c r="C493" s="9" t="str">
        <f>VLOOKUP(A493,'Sets (lua data)'!$A$3:$C$9838,2,FALSE)</f>
        <v>Volltreffer</v>
      </c>
    </row>
    <row r="494" spans="1:3" x14ac:dyDescent="0.25">
      <c r="A494" s="12">
        <v>561</v>
      </c>
      <c r="B494" s="9" t="str">
        <f>VLOOKUP(A494,'Sets (lua data)'!$A$3:$C$9838,3,FALSE)</f>
        <v>Wrath of Elements</v>
      </c>
      <c r="C494" s="9" t="str">
        <f>VLOOKUP(A494,'Sets (lua data)'!$A$3:$C$9838,2,FALSE)</f>
        <v>Zorn der Elemente</v>
      </c>
    </row>
    <row r="495" spans="1:3" x14ac:dyDescent="0.25">
      <c r="A495" s="12">
        <v>562</v>
      </c>
      <c r="B495" s="9" t="str">
        <f>VLOOKUP(A495,'Sets (lua data)'!$A$3:$C$9838,3,FALSE)</f>
        <v>Force Overflow</v>
      </c>
      <c r="C495" s="9" t="str">
        <f>VLOOKUP(A495,'Sets (lua data)'!$A$3:$C$9838,2,FALSE)</f>
        <v>Machtüberschuss</v>
      </c>
    </row>
    <row r="496" spans="1:3" x14ac:dyDescent="0.25">
      <c r="A496" s="12">
        <v>563</v>
      </c>
      <c r="B496" s="9" t="str">
        <f>VLOOKUP(A496,'Sets (lua data)'!$A$3:$C$9838,3,FALSE)</f>
        <v>Perfected Executioner\'s Blade</v>
      </c>
      <c r="C496" s="9" t="str">
        <f>VLOOKUP(A496,'Sets (lua data)'!$A$3:$C$9838,2,FALSE)</f>
        <v>Perfektionierte Klinge des Henkers</v>
      </c>
    </row>
    <row r="497" spans="1:3" x14ac:dyDescent="0.25">
      <c r="A497" s="12">
        <v>564</v>
      </c>
      <c r="B497" s="9" t="str">
        <f>VLOOKUP(A497,'Sets (lua data)'!$A$3:$C$9838,3,FALSE)</f>
        <v>Perfected Void Bash</v>
      </c>
      <c r="C497" s="9" t="str">
        <f>VLOOKUP(A497,'Sets (lua data)'!$A$3:$C$9838,2,FALSE)</f>
        <v>Perfektionierte Leerenwucht</v>
      </c>
    </row>
    <row r="498" spans="1:3" x14ac:dyDescent="0.25">
      <c r="A498" s="12">
        <v>565</v>
      </c>
      <c r="B498" s="9" t="str">
        <f>VLOOKUP(A498,'Sets (lua data)'!$A$3:$C$9838,3,FALSE)</f>
        <v>Perfected Frenzied Momentum</v>
      </c>
      <c r="C498" s="9" t="str">
        <f>VLOOKUP(A498,'Sets (lua data)'!$A$3:$C$9838,2,FALSE)</f>
        <v>Perfektioniertes tobendes Momentum</v>
      </c>
    </row>
    <row r="499" spans="1:3" x14ac:dyDescent="0.25">
      <c r="A499" s="12">
        <v>566</v>
      </c>
      <c r="B499" s="9" t="str">
        <f>VLOOKUP(A499,'Sets (lua data)'!$A$3:$C$9838,3,FALSE)</f>
        <v>Perfected Point-Blank Snipe</v>
      </c>
      <c r="C499" s="9" t="str">
        <f>VLOOKUP(A499,'Sets (lua data)'!$A$3:$C$9838,2,FALSE)</f>
        <v>Perfektionierter Volltreffer</v>
      </c>
    </row>
    <row r="500" spans="1:3" x14ac:dyDescent="0.25">
      <c r="A500" s="12">
        <v>567</v>
      </c>
      <c r="B500" s="9" t="str">
        <f>VLOOKUP(A500,'Sets (lua data)'!$A$3:$C$9838,3,FALSE)</f>
        <v>Perfected Wrath of Elements</v>
      </c>
      <c r="C500" s="9" t="str">
        <f>VLOOKUP(A500,'Sets (lua data)'!$A$3:$C$9838,2,FALSE)</f>
        <v>Perfektionierter Zorn der Elemente</v>
      </c>
    </row>
    <row r="501" spans="1:3" x14ac:dyDescent="0.25">
      <c r="A501" s="12">
        <v>568</v>
      </c>
      <c r="B501" s="9" t="str">
        <f>VLOOKUP(A501,'Sets (lua data)'!$A$3:$C$9838,3,FALSE)</f>
        <v>Perfected Force Overflow</v>
      </c>
      <c r="C501" s="9" t="str">
        <f>VLOOKUP(A501,'Sets (lua data)'!$A$3:$C$9838,2,FALSE)</f>
        <v>Perfektionierter Machtüberschuss</v>
      </c>
    </row>
    <row r="502" spans="1:3" x14ac:dyDescent="0.25">
      <c r="A502" s="12">
        <v>569</v>
      </c>
      <c r="B502" s="9" t="str">
        <f>VLOOKUP(A502,'Sets (lua data)'!$A$3:$C$9838,3,FALSE)</f>
        <v>True-Sworn Fury </v>
      </c>
      <c r="C502" s="9" t="str">
        <f>VLOOKUP(A502,'Sets (lua data)'!$A$3:$C$9838,2,FALSE)</f>
        <v>Wahrgeschworenen-Raserei</v>
      </c>
    </row>
    <row r="503" spans="1:3" x14ac:dyDescent="0.25">
      <c r="A503" s="12">
        <v>570</v>
      </c>
      <c r="B503" s="9" t="str">
        <f>VLOOKUP(A503,'Sets (lua data)'!$A$3:$C$9838,3,FALSE)</f>
        <v>Kinras\'s Wrath</v>
      </c>
      <c r="C503" s="9" t="str">
        <f>VLOOKUP(A503,'Sets (lua data)'!$A$3:$C$9838,2,FALSE)</f>
        <v>Kinra's Zorn</v>
      </c>
    </row>
    <row r="504" spans="1:3" x14ac:dyDescent="0.25">
      <c r="A504" s="12">
        <v>571</v>
      </c>
      <c r="B504" s="9" t="str">
        <f>VLOOKUP(A504,'Sets (lua data)'!$A$3:$C$9838,3,FALSE)</f>
        <v>Drake\'s Rush</v>
      </c>
      <c r="C504" s="9" t="str">
        <f>VLOOKUP(A504,'Sets (lua data)'!$A$3:$C$9838,2,FALSE)</f>
        <v>Dracheneile</v>
      </c>
    </row>
    <row r="505" spans="1:3" x14ac:dyDescent="0.25">
      <c r="A505" s="12">
        <v>572</v>
      </c>
      <c r="B505" s="9" t="str">
        <f>VLOOKUP(A505,'Sets (lua data)'!$A$3:$C$9838,3,FALSE)</f>
        <v>Unleashed Ritualist</v>
      </c>
      <c r="C505" s="9" t="str">
        <f>VLOOKUP(A505,'Sets (lua data)'!$A$3:$C$9838,2,FALSE)</f>
        <v>Entfesselter Ritualist</v>
      </c>
    </row>
    <row r="506" spans="1:3" x14ac:dyDescent="0.25">
      <c r="A506" s="12">
        <v>573</v>
      </c>
      <c r="B506" s="9" t="str">
        <f>VLOOKUP(A506,'Sets (lua data)'!$A$3:$C$9838,3,FALSE)</f>
        <v>Dagon\'s Dominion</v>
      </c>
      <c r="C506" s="9" t="str">
        <f>VLOOKUP(A506,'Sets (lua data)'!$A$3:$C$9838,2,FALSE)</f>
        <v>Dagons Herrschaft</v>
      </c>
    </row>
    <row r="507" spans="1:3" x14ac:dyDescent="0.25">
      <c r="A507" s="12">
        <v>574</v>
      </c>
      <c r="B507" s="9" t="str">
        <f>VLOOKUP(A507,'Sets (lua data)'!$A$3:$C$9838,3,FALSE)</f>
        <v>Foolkiller\'s Ward</v>
      </c>
      <c r="C507" s="9" t="str">
        <f>VLOOKUP(A507,'Sets (lua data)'!$A$3:$C$9838,2,FALSE)</f>
        <v>Schutz des Narrentöters</v>
      </c>
    </row>
    <row r="508" spans="1:3" x14ac:dyDescent="0.25">
      <c r="A508" s="12">
        <v>575</v>
      </c>
      <c r="B508" s="9" t="str">
        <f>VLOOKUP(A508,'Sets (lua data)'!$A$3:$C$9838,3,FALSE)</f>
        <v>Ring of the Pale Order</v>
      </c>
      <c r="C508" s="9" t="str">
        <f>VLOOKUP(A508,'Sets (lua data)'!$A$3:$C$9838,2,FALSE)</f>
        <v>Ring des Fahlen Ordens</v>
      </c>
    </row>
    <row r="509" spans="1:3" x14ac:dyDescent="0.25">
      <c r="A509" s="12">
        <v>576</v>
      </c>
      <c r="B509" s="9" t="str">
        <f>VLOOKUP(A509,'Sets (lua data)'!$A$3:$C$9838,3,FALSE)</f>
        <v>Pearls of Ehlnofey</v>
      </c>
      <c r="C509" s="9" t="str">
        <f>VLOOKUP(A509,'Sets (lua data)'!$A$3:$C$9838,2,FALSE)</f>
        <v>Perlen der Ehlnofey</v>
      </c>
    </row>
    <row r="510" spans="1:3" x14ac:dyDescent="0.25">
      <c r="A510" s="12">
        <v>577</v>
      </c>
      <c r="B510" s="9" t="str">
        <f>VLOOKUP(A510,'Sets (lua data)'!$A$3:$C$9838,3,FALSE)</f>
        <v>Encrati\'s Behemoth</v>
      </c>
      <c r="C510" s="9" t="str">
        <f>VLOOKUP(A510,'Sets (lua data)'!$A$3:$C$9838,2,FALSE)</f>
        <v>Encrati\'s Behemoth</v>
      </c>
    </row>
    <row r="511" spans="1:3" x14ac:dyDescent="0.25">
      <c r="A511" s="12">
        <v>578</v>
      </c>
      <c r="B511" s="9" t="str">
        <f>VLOOKUP(A511,'Sets (lua data)'!$A$3:$C$9838,3,FALSE)</f>
        <v>Baron Zaudrus</v>
      </c>
      <c r="C511" s="9" t="str">
        <f>VLOOKUP(A511,'Sets (lua data)'!$A$3:$C$9838,2,FALSE)</f>
        <v>Baron Zaudrus</v>
      </c>
    </row>
    <row r="512" spans="1:3" x14ac:dyDescent="0.25">
      <c r="A512" s="12">
        <v>579</v>
      </c>
      <c r="B512" s="9" t="str">
        <f>VLOOKUP(A512,'Sets (lua data)'!$A$3:$C$9838,3,FALSE)</f>
        <v>Frostbite</v>
      </c>
      <c r="C512" s="9" t="str">
        <f>VLOOKUP(A512,'Sets (lua data)'!$A$3:$C$9838,2,FALSE)</f>
        <v>Frostbiss</v>
      </c>
    </row>
    <row r="513" spans="1:3" x14ac:dyDescent="0.25">
      <c r="A513" s="12">
        <v>580</v>
      </c>
      <c r="B513" s="9" t="str">
        <f>VLOOKUP(A513,'Sets (lua data)'!$A$3:$C$9838,3,FALSE)</f>
        <v>Deadlands Assassin</v>
      </c>
      <c r="C513" s="9" t="str">
        <f>VLOOKUP(A513,'Sets (lua data)'!$A$3:$C$9838,2,FALSE)</f>
        <v>Totenländer-Assassine</v>
      </c>
    </row>
    <row r="514" spans="1:3" x14ac:dyDescent="0.25">
      <c r="A514" s="12">
        <v>581</v>
      </c>
      <c r="B514" s="9" t="str">
        <f>VLOOKUP(A514,'Sets (lua data)'!$A$3:$C$9838,3,FALSE)</f>
        <v>Bog Raider</v>
      </c>
      <c r="C514" s="9" t="str">
        <f>VLOOKUP(A514,'Sets (lua data)'!$A$3:$C$9838,2,FALSE)</f>
        <v>Moorräuber</v>
      </c>
    </row>
    <row r="515" spans="1:3" x14ac:dyDescent="0.25">
      <c r="A515" s="12">
        <v>582</v>
      </c>
      <c r="B515" s="9" t="str">
        <f>VLOOKUP(A515,'Sets (lua data)'!$A$3:$C$9838,3,FALSE)</f>
        <v>Hist Whisperer</v>
      </c>
      <c r="C515" s="9" t="str">
        <f>VLOOKUP(A515,'Sets (lua data)'!$A$3:$C$9838,2,FALSE)</f>
        <v>Histflüsterer</v>
      </c>
    </row>
    <row r="516" spans="1:3" x14ac:dyDescent="0.25">
      <c r="A516" s="12">
        <v>583</v>
      </c>
      <c r="B516" s="9" t="str">
        <f>VLOOKUP(A516,'Sets (lua data)'!$A$3:$C$9838,3,FALSE)</f>
        <v>Heartland Conqueror</v>
      </c>
      <c r="C516" s="9" t="str">
        <f>VLOOKUP(A516,'Sets (lua data)'!$A$3:$C$9838,2,FALSE)</f>
        <v>Herzlanderoberer</v>
      </c>
    </row>
    <row r="517" spans="1:3" x14ac:dyDescent="0.25">
      <c r="A517" s="12">
        <v>584</v>
      </c>
      <c r="B517" s="9" t="str">
        <f>VLOOKUP(A517,'Sets (lua data)'!$A$3:$C$9838,3,FALSE)</f>
        <v>Diamond\'s Victory</v>
      </c>
      <c r="C517" s="9" t="str">
        <f>VLOOKUP(A517,'Sets (lua data)'!$A$3:$C$9838,2,FALSE)</f>
        <v>Sieg des Diamanten</v>
      </c>
    </row>
    <row r="518" spans="1:3" x14ac:dyDescent="0.25">
      <c r="A518" s="12">
        <v>585</v>
      </c>
      <c r="B518" s="9" t="str">
        <f>VLOOKUP(A518,'Sets (lua data)'!$A$3:$C$9838,3,FALSE)</f>
        <v>Saxhleel Champion</v>
      </c>
      <c r="C518" s="9" t="str">
        <f>VLOOKUP(A518,'Sets (lua data)'!$A$3:$C$9838,2,FALSE)</f>
        <v>Saxhleel-Champion</v>
      </c>
    </row>
    <row r="519" spans="1:3" x14ac:dyDescent="0.25">
      <c r="A519" s="12">
        <v>586</v>
      </c>
      <c r="B519" s="9" t="str">
        <f>VLOOKUP(A519,'Sets (lua data)'!$A$3:$C$9838,3,FALSE)</f>
        <v>Sul-Xan\'s Torment</v>
      </c>
      <c r="C519" s="9" t="str">
        <f>VLOOKUP(A519,'Sets (lua data)'!$A$3:$C$9838,2,FALSE)</f>
        <v>Sul-Xans Folter</v>
      </c>
    </row>
    <row r="520" spans="1:3" x14ac:dyDescent="0.25">
      <c r="A520" s="12">
        <v>587</v>
      </c>
      <c r="B520" s="9" t="str">
        <f>VLOOKUP(A520,'Sets (lua data)'!$A$3:$C$9838,3,FALSE)</f>
        <v>Bahsei\'s Mania</v>
      </c>
      <c r="C520" s="9" t="str">
        <f>VLOOKUP(A520,'Sets (lua data)'!$A$3:$C$9838,2,FALSE)</f>
        <v>Bahseis Manie</v>
      </c>
    </row>
    <row r="521" spans="1:3" x14ac:dyDescent="0.25">
      <c r="A521" s="12">
        <v>588</v>
      </c>
      <c r="B521" s="9" t="str">
        <f>VLOOKUP(A521,'Sets (lua data)'!$A$3:$C$9838,3,FALSE)</f>
        <v>Stone-Talker\'s Oath</v>
      </c>
      <c r="C521" s="9" t="str">
        <f>VLOOKUP(A521,'Sets (lua data)'!$A$3:$C$9838,2,FALSE)</f>
        <v>Eid des Steinsprechers</v>
      </c>
    </row>
    <row r="522" spans="1:3" x14ac:dyDescent="0.25">
      <c r="A522" s="12">
        <v>589</v>
      </c>
      <c r="B522" s="9" t="str">
        <f>VLOOKUP(A522,'Sets (lua data)'!$A$3:$C$9838,3,FALSE)</f>
        <v>Perfected Saxhleel Champion</v>
      </c>
      <c r="C522" s="9" t="str">
        <f>VLOOKUP(A522,'Sets (lua data)'!$A$3:$C$9838,2,FALSE)</f>
        <v>Perfektionierter Saxhleel-Champion</v>
      </c>
    </row>
    <row r="523" spans="1:3" x14ac:dyDescent="0.25">
      <c r="A523" s="12">
        <v>590</v>
      </c>
      <c r="B523" s="9" t="str">
        <f>VLOOKUP(A523,'Sets (lua data)'!$A$3:$C$9838,3,FALSE)</f>
        <v>Perfected Sul-Xan\'s Torment</v>
      </c>
      <c r="C523" s="9" t="str">
        <f>VLOOKUP(A523,'Sets (lua data)'!$A$3:$C$9838,2,FALSE)</f>
        <v>Perfected Sul-Xan\'s Torment</v>
      </c>
    </row>
    <row r="524" spans="1:3" x14ac:dyDescent="0.25">
      <c r="A524" s="12">
        <v>591</v>
      </c>
      <c r="B524" s="9" t="str">
        <f>VLOOKUP(A524,'Sets (lua data)'!$A$3:$C$9838,3,FALSE)</f>
        <v>Perfected Bahsei\'s Mania</v>
      </c>
      <c r="C524" s="9" t="str">
        <f>VLOOKUP(A524,'Sets (lua data)'!$A$3:$C$9838,2,FALSE)</f>
        <v>Bahseis perfektionierte Manie</v>
      </c>
    </row>
    <row r="525" spans="1:3" x14ac:dyDescent="0.25">
      <c r="A525" s="12">
        <v>592</v>
      </c>
      <c r="B525" s="9" t="str">
        <f>VLOOKUP(A525,'Sets (lua data)'!$A$3:$C$9838,3,FALSE)</f>
        <v>Perfected Stone-Talker\'s Oath</v>
      </c>
      <c r="C525" s="9" t="str">
        <f>VLOOKUP(A525,'Sets (lua data)'!$A$3:$C$9838,2,FALSE)</f>
        <v>Perfektionierter Eid des Steinsprechers</v>
      </c>
    </row>
    <row r="526" spans="1:3" x14ac:dyDescent="0.25">
      <c r="A526" s="12">
        <v>593</v>
      </c>
      <c r="B526" s="9" t="str">
        <f>VLOOKUP(A526,'Sets (lua data)'!$A$3:$C$9838,3,FALSE)</f>
        <v>Gaze of Sithis</v>
      </c>
      <c r="C526" s="9" t="str">
        <f>VLOOKUP(A526,'Sets (lua data)'!$A$3:$C$9838,2,FALSE)</f>
        <v>Gaze of Sithis</v>
      </c>
    </row>
    <row r="527" spans="1:3" x14ac:dyDescent="0.25">
      <c r="A527" s="12">
        <v>594</v>
      </c>
      <c r="B527" s="9" t="str">
        <f>VLOOKUP(A527,'Sets (lua data)'!$A$3:$C$9838,3,FALSE)</f>
        <v>Harpooner\'s Wading Kilt</v>
      </c>
      <c r="C527" s="9" t="str">
        <f>VLOOKUP(A527,'Sets (lua data)'!$A$3:$C$9838,2,FALSE)</f>
        <v>Harpooner\'s Wading Kilt</v>
      </c>
    </row>
    <row r="528" spans="1:3" x14ac:dyDescent="0.25">
      <c r="A528" s="12">
        <v>595</v>
      </c>
      <c r="B528" s="9" t="e">
        <f>VLOOKUP(A528,'Sets (lua data)'!$A$3:$C$9838,3,FALSE)</f>
        <v>#N/A</v>
      </c>
      <c r="C528" s="9" t="e">
        <f>VLOOKUP(A528,'Sets (lua data)'!$A$3:$C$9838,2,FALSE)</f>
        <v>#N/A</v>
      </c>
    </row>
    <row r="529" spans="1:3" x14ac:dyDescent="0.25">
      <c r="A529" s="12">
        <v>596</v>
      </c>
      <c r="B529" s="9" t="str">
        <f>VLOOKUP(A529,'Sets (lua data)'!$A$3:$C$9838,3,FALSE)</f>
        <v>Death Dealer\'s Fete</v>
      </c>
      <c r="C529" s="9" t="str">
        <f>VLOOKUP(A529,'Sets (lua data)'!$A$3:$C$9838,2,FALSE)</f>
        <v>Death Dealer\'s Fete</v>
      </c>
    </row>
    <row r="530" spans="1:3" x14ac:dyDescent="0.25">
      <c r="A530" s="12">
        <v>597</v>
      </c>
      <c r="B530" s="9" t="str">
        <f>VLOOKUP(A530,'Sets (lua data)'!$A$3:$C$9838,3,FALSE)</f>
        <v>Shapeshifter\'s Chain</v>
      </c>
      <c r="C530" s="9" t="str">
        <f>VLOOKUP(A530,'Sets (lua data)'!$A$3:$C$9838,2,FALSE)</f>
        <v>Shapeshifter\'s Chain</v>
      </c>
    </row>
    <row r="531" spans="1:3" x14ac:dyDescent="0.25">
      <c r="A531" s="12">
        <v>598</v>
      </c>
      <c r="B531" s="9" t="str">
        <f>VLOOKUP(A531,'Sets (lua data)'!$A$3:$C$9838,3,FALSE)</f>
        <v>Zoal the Ever-Wakeful</v>
      </c>
      <c r="C531" s="9" t="str">
        <f>VLOOKUP(A531,'Sets (lua data)'!$A$3:$C$9838,2,FALSE)</f>
        <v>Zoal der Immerwache</v>
      </c>
    </row>
    <row r="532" spans="1:3" x14ac:dyDescent="0.25">
      <c r="A532" s="12">
        <v>599</v>
      </c>
      <c r="B532" s="9" t="str">
        <f>VLOOKUP(A532,'Sets (lua data)'!$A$3:$C$9838,3,FALSE)</f>
        <v>Immolator Charr</v>
      </c>
      <c r="C532" s="9" t="str">
        <f>VLOOKUP(A532,'Sets (lua data)'!$A$3:$C$9838,2,FALSE)</f>
        <v>Entflammer Charr</v>
      </c>
    </row>
    <row r="533" spans="1:3" x14ac:dyDescent="0.25">
      <c r="A533" s="12">
        <v>600</v>
      </c>
      <c r="B533" s="9" t="str">
        <f>VLOOKUP(A533,'Sets (lua data)'!$A$3:$C$9838,3,FALSE)</f>
        <v>Glorgoloch the Destroyer</v>
      </c>
      <c r="C533" s="9" t="str">
        <f>VLOOKUP(A533,'Sets (lua data)'!$A$3:$C$9838,2,FALSE)</f>
        <v>Glorgoloch der Zerstörer</v>
      </c>
    </row>
    <row r="534" spans="1:3" x14ac:dyDescent="0.25">
      <c r="A534" s="12">
        <v>602</v>
      </c>
      <c r="B534" s="9" t="str">
        <f>VLOOKUP(A534,'Sets (lua data)'!$A$3:$C$9838,3,FALSE)</f>
        <v>Crimson Oath\'s Rive</v>
      </c>
      <c r="C534" s="9" t="str">
        <f>VLOOKUP(A534,'Sets (lua data)'!$A$3:$C$9838,2,FALSE)</f>
        <v>Spalt des Karmesinschwurs</v>
      </c>
    </row>
    <row r="535" spans="1:3" x14ac:dyDescent="0.25">
      <c r="A535" s="12">
        <v>603</v>
      </c>
      <c r="B535" s="9" t="str">
        <f>VLOOKUP(A535,'Sets (lua data)'!$A$3:$C$9838,3,FALSE)</f>
        <v>Scorion\'s Feast </v>
      </c>
      <c r="C535" s="9" t="str">
        <f>VLOOKUP(A535,'Sets (lua data)'!$A$3:$C$9838,2,FALSE)</f>
        <v>Festmahl des Skorions</v>
      </c>
    </row>
    <row r="536" spans="1:3" x14ac:dyDescent="0.25">
      <c r="A536" s="12">
        <v>604</v>
      </c>
      <c r="B536" s="9" t="str">
        <f>VLOOKUP(A536,'Sets (lua data)'!$A$3:$C$9838,3,FALSE)</f>
        <v>Rush of Agony</v>
      </c>
      <c r="C536" s="9" t="str">
        <f>VLOOKUP(A536,'Sets (lua data)'!$A$3:$C$9838,2,FALSE)</f>
        <v>Auftreibende Agonie</v>
      </c>
    </row>
    <row r="537" spans="1:3" x14ac:dyDescent="0.25">
      <c r="A537" s="12">
        <v>605</v>
      </c>
      <c r="B537" s="9" t="str">
        <f>VLOOKUP(A537,'Sets (lua data)'!$A$3:$C$9838,3,FALSE)</f>
        <v>Silver Rose Vigil</v>
      </c>
      <c r="C537" s="9" t="str">
        <f>VLOOKUP(A537,'Sets (lua data)'!$A$3:$C$9838,2,FALSE)</f>
        <v>Silberrosen-Wacht</v>
      </c>
    </row>
    <row r="538" spans="1:3" x14ac:dyDescent="0.25">
      <c r="A538" s="12">
        <v>606</v>
      </c>
      <c r="B538" s="9" t="str">
        <f>VLOOKUP(A538,'Sets (lua data)'!$A$3:$C$9838,3,FALSE)</f>
        <v>Thunder Caller</v>
      </c>
      <c r="C538" s="9" t="str">
        <f>VLOOKUP(A538,'Sets (lua data)'!$A$3:$C$9838,2,FALSE)</f>
        <v>Donnerrufer</v>
      </c>
    </row>
    <row r="539" spans="1:3" x14ac:dyDescent="0.25">
      <c r="A539" s="12">
        <v>607</v>
      </c>
      <c r="B539" s="9" t="str">
        <f>VLOOKUP(A539,'Sets (lua data)'!$A$3:$C$9838,3,FALSE)</f>
        <v>Grisly Gourmet</v>
      </c>
      <c r="C539" s="9" t="str">
        <f>VLOOKUP(A539,'Sets (lua data)'!$A$3:$C$9838,2,FALSE)</f>
        <v>Grausiger Gourmet</v>
      </c>
    </row>
    <row r="540" spans="1:3" x14ac:dyDescent="0.25">
      <c r="A540" s="12">
        <v>608</v>
      </c>
      <c r="B540" s="9" t="str">
        <f>VLOOKUP(A540,'Sets (lua data)'!$A$3:$C$9838,3,FALSE)</f>
        <v>Prior Thierric</v>
      </c>
      <c r="C540" s="9" t="str">
        <f>VLOOKUP(A540,'Sets (lua data)'!$A$3:$C$9838,2,FALSE)</f>
        <v>Prior Thierric</v>
      </c>
    </row>
    <row r="541" spans="1:3" x14ac:dyDescent="0.25">
      <c r="A541" s="12">
        <v>609</v>
      </c>
      <c r="B541" s="9" t="str">
        <f>VLOOKUP(A541,'Sets (lua data)'!$A$3:$C$9838,3,FALSE)</f>
        <v>Magma Incarnate</v>
      </c>
      <c r="C541" s="9" t="str">
        <f>VLOOKUP(A541,'Sets (lua data)'!$A$3:$C$9838,2,FALSE)</f>
        <v>Magmaverkörperung</v>
      </c>
    </row>
    <row r="542" spans="1:3" x14ac:dyDescent="0.25">
      <c r="A542" s="12">
        <v>610</v>
      </c>
      <c r="B542" s="9" t="str">
        <f>VLOOKUP(A542,'Sets (lua data)'!$A$3:$C$9838,3,FALSE)</f>
        <v>Wretched Vitality</v>
      </c>
      <c r="C542" s="9" t="str">
        <f>VLOOKUP(A542,'Sets (lua data)'!$A$3:$C$9838,2,FALSE)</f>
        <v>Elendsvitalität</v>
      </c>
    </row>
    <row r="543" spans="1:3" x14ac:dyDescent="0.25">
      <c r="A543" s="12">
        <v>611</v>
      </c>
      <c r="B543" s="9" t="str">
        <f>VLOOKUP(A543,'Sets (lua data)'!$A$3:$C$9838,3,FALSE)</f>
        <v>Deadlands Demolisher</v>
      </c>
      <c r="C543" s="9" t="str">
        <f>VLOOKUP(A543,'Sets (lua data)'!$A$3:$C$9838,2,FALSE)</f>
        <v>Totenländer-Demolierer</v>
      </c>
    </row>
    <row r="544" spans="1:3" x14ac:dyDescent="0.25">
      <c r="A544" s="12">
        <v>612</v>
      </c>
      <c r="B544" s="9" t="str">
        <f>VLOOKUP(A544,'Sets (lua data)'!$A$3:$C$9838,3,FALSE)</f>
        <v>Iron Flask</v>
      </c>
      <c r="C544" s="9" t="str">
        <f>VLOOKUP(A544,'Sets (lua data)'!$A$3:$C$9838,2,FALSE)</f>
        <v>Eisenfläschchen</v>
      </c>
    </row>
    <row r="545" spans="1:3" x14ac:dyDescent="0.25">
      <c r="A545" s="12">
        <v>613</v>
      </c>
      <c r="B545" s="9" t="str">
        <f>VLOOKUP(A545,'Sets (lua data)'!$A$3:$C$9838,3,FALSE)</f>
        <v>Eye of the Grasp</v>
      </c>
      <c r="C545" s="9" t="str">
        <f>VLOOKUP(A545,'Sets (lua data)'!$A$3:$C$9838,2,FALSE)</f>
        <v>Griffblick</v>
      </c>
    </row>
    <row r="546" spans="1:3" x14ac:dyDescent="0.25">
      <c r="A546" s="12">
        <v>614</v>
      </c>
      <c r="B546" s="9" t="str">
        <f>VLOOKUP(A546,'Sets (lua data)'!$A$3:$C$9838,3,FALSE)</f>
        <v>Hexos' Ward</v>
      </c>
      <c r="C546" s="9" t="str">
        <f>VLOOKUP(A546,'Sets (lua data)'!$A$3:$C$9838,2,FALSE)</f>
        <v>Hexos-Abschirmung</v>
      </c>
    </row>
    <row r="547" spans="1:3" x14ac:dyDescent="0.25">
      <c r="A547" s="12">
        <v>615</v>
      </c>
      <c r="B547" s="9" t="str">
        <f>VLOOKUP(A547,'Sets (lua data)'!$A$3:$C$9838,3,FALSE)</f>
        <v>Kynmarcher's Cruelty</v>
      </c>
      <c r="C547" s="9" t="str">
        <f>VLOOKUP(A547,'Sets (lua data)'!$A$3:$C$9838,2,FALSE)</f>
        <v>Grausamkeit der Kynandantin</v>
      </c>
    </row>
    <row r="548" spans="1:3" x14ac:dyDescent="0.25">
      <c r="A548" s="12">
        <v>616</v>
      </c>
      <c r="B548" s="9" t="str">
        <f>VLOOKUP(A548,'Sets (lua data)'!$A$3:$C$9838,3,FALSE)</f>
        <v>Dark Convergence</v>
      </c>
      <c r="C548" s="9" t="str">
        <f>VLOOKUP(A548,'Sets (lua data)'!$A$3:$C$9838,2,FALSE)</f>
        <v>Dunkle Konvergenz</v>
      </c>
    </row>
    <row r="549" spans="1:3" x14ac:dyDescent="0.25">
      <c r="A549" s="12">
        <v>617</v>
      </c>
      <c r="B549" s="9" t="str">
        <f>VLOOKUP(A549,'Sets (lua data)'!$A$3:$C$9838,3,FALSE)</f>
        <v>Plaguebreak</v>
      </c>
      <c r="C549" s="9" t="str">
        <f>VLOOKUP(A549,'Sets (lua data)'!$A$3:$C$9838,2,FALSE)</f>
        <v>Seuchenbruch</v>
      </c>
    </row>
    <row r="550" spans="1:3" x14ac:dyDescent="0.25">
      <c r="A550" s="12">
        <v>618</v>
      </c>
      <c r="B550" s="9" t="str">
        <f>VLOOKUP(A550,'Sets (lua data)'!$A$3:$C$9838,3,FALSE)</f>
        <v>Hrothgar\'s Chill</v>
      </c>
      <c r="C550" s="9" t="str">
        <f>VLOOKUP(A550,'Sets (lua data)'!$A$3:$C$9838,2,FALSE)</f>
        <v>Hrothgars Kühle</v>
      </c>
    </row>
    <row r="551" spans="1:3" x14ac:dyDescent="0.25">
      <c r="A551" s="12">
        <v>619</v>
      </c>
      <c r="B551" s="9" t="str">
        <f>VLOOKUP(A551,'Sets (lua data)'!$A$3:$C$9838,3,FALSE)</f>
        <v>Maligalig\'s Maelstrom</v>
      </c>
      <c r="C551" s="9" t="str">
        <f>VLOOKUP(A551,'Sets (lua data)'!$A$3:$C$9838,2,FALSE)</f>
        <v>Maligaligs Mahlstrom</v>
      </c>
    </row>
    <row r="552" spans="1:3" x14ac:dyDescent="0.25">
      <c r="A552" s="12">
        <v>620</v>
      </c>
      <c r="B552" s="9" t="str">
        <f>VLOOKUP(A552,'Sets (lua data)'!$A$3:$C$9838,3,FALSE)</f>
        <v>Gryphon\'s Reprisal</v>
      </c>
      <c r="C552" s="9" t="str">
        <f>VLOOKUP(A552,'Sets (lua data)'!$A$3:$C$9838,2,FALSE)</f>
        <v>Vergeltung des Greifen</v>
      </c>
    </row>
    <row r="553" spans="1:3" x14ac:dyDescent="0.25">
      <c r="A553" s="12">
        <v>621</v>
      </c>
      <c r="B553" s="9" t="str">
        <f>VLOOKUP(A553,'Sets (lua data)'!$A$3:$C$9838,3,FALSE)</f>
        <v>Glacial Guardian</v>
      </c>
      <c r="C553" s="9" t="str">
        <f>VLOOKUP(A553,'Sets (lua data)'!$A$3:$C$9838,2,FALSE)</f>
        <v>Gletscherwächter</v>
      </c>
    </row>
    <row r="554" spans="1:3" x14ac:dyDescent="0.25">
      <c r="A554" s="12">
        <v>622</v>
      </c>
      <c r="B554" s="9" t="str">
        <f>VLOOKUP(A554,'Sets (lua data)'!$A$3:$C$9838,3,FALSE)</f>
        <v>Turning Tide</v>
      </c>
      <c r="C554" s="9" t="str">
        <f>VLOOKUP(A554,'Sets (lua data)'!$A$3:$C$9838,2,FALSE)</f>
        <v>Gezeitenwechsel</v>
      </c>
    </row>
    <row r="555" spans="1:3" x14ac:dyDescent="0.25">
      <c r="A555" s="12">
        <v>623</v>
      </c>
      <c r="B555" s="9" t="str">
        <f>VLOOKUP(A555,'Sets (lua data)'!$A$3:$C$9838,3,FALSE)</f>
        <v>Storm-Cursed\'s Revenge</v>
      </c>
      <c r="C555" s="9" t="str">
        <f>VLOOKUP(A555,'Sets (lua data)'!$A$3:$C$9838,2,FALSE)</f>
        <v>Rache des Sturmverfluchten</v>
      </c>
    </row>
    <row r="556" spans="1:3" x14ac:dyDescent="0.25">
      <c r="A556" s="12">
        <v>624</v>
      </c>
      <c r="B556" s="9" t="str">
        <f>VLOOKUP(A556,'Sets (lua data)'!$A$3:$C$9838,3,FALSE)</f>
        <v>Spriggan\’s Vigor</v>
      </c>
      <c r="C556" s="9" t="str">
        <f>VLOOKUP(A556,'Sets (lua data)'!$A$3:$C$9838,2,FALSE)</f>
        <v>Elan des Zweiglings</v>
      </c>
    </row>
    <row r="557" spans="1:3" x14ac:dyDescent="0.25">
      <c r="A557" s="12">
        <v>625</v>
      </c>
      <c r="B557" s="9" t="str">
        <f>VLOOKUP(A557,'Sets (lua data)'!$A$3:$C$9838,3,FALSE)</f>
        <v>Markyn Ring of Majesty</v>
      </c>
      <c r="C557" s="9" t="str">
        <f>VLOOKUP(A557,'Sets (lua data)'!$A$3:$C$9838,2,FALSE)</f>
        <v>Markyn-Ring der Erhabenheit</v>
      </c>
    </row>
    <row r="558" spans="1:3" x14ac:dyDescent="0.25">
      <c r="A558" s="12">
        <v>626</v>
      </c>
      <c r="B558" s="9" t="str">
        <f>VLOOKUP(A558,'Sets (lua data)'!$A$3:$C$9838,3,FALSE)</f>
        <v>Belharza's Band</v>
      </c>
      <c r="C558" s="9" t="str">
        <f>VLOOKUP(A558,'Sets (lua data)'!$A$3:$C$9838,2,FALSE)</f>
        <v>Belharzas Band</v>
      </c>
    </row>
    <row r="559" spans="1:3" x14ac:dyDescent="0.25">
      <c r="A559" s="12">
        <v>627</v>
      </c>
      <c r="B559" s="9" t="str">
        <f>VLOOKUP(A559,'Sets (lua data)'!$A$3:$C$9838,3,FALSE)</f>
        <v>Spaulder of Ruin</v>
      </c>
      <c r="C559" s="9" t="str">
        <f>VLOOKUP(A559,'Sets (lua data)'!$A$3:$C$9838,2,FALSE)</f>
        <v>Schulterbänder des Untergangs</v>
      </c>
    </row>
    <row r="560" spans="1:3" x14ac:dyDescent="0.25">
      <c r="A560" s="12">
        <v>629</v>
      </c>
      <c r="B560" s="9" t="str">
        <f>VLOOKUP(A560,'Sets (lua data)'!$A$3:$C$9838,3,FALSE)</f>
        <v>Rallying Cry</v>
      </c>
      <c r="C560" s="9" t="str">
        <f>VLOOKUP(A560,'Sets (lua data)'!$A$3:$C$9838,2,FALSE)</f>
        <v>Schlachtruf</v>
      </c>
    </row>
    <row r="561" spans="1:3" x14ac:dyDescent="0.25">
      <c r="A561" s="12">
        <v>630</v>
      </c>
      <c r="B561" s="9" t="str">
        <f>VLOOKUP(A561,'Sets (lua data)'!$A$3:$C$9838,3,FALSE)</f>
        <v>Hew and Sunder </v>
      </c>
      <c r="C561" s="9" t="str">
        <f>VLOOKUP(A561,'Sets (lua data)'!$A$3:$C$9838,2,FALSE)</f>
        <v>Kappspalter</v>
      </c>
    </row>
    <row r="562" spans="1:3" x14ac:dyDescent="0.25">
      <c r="A562" s="12">
        <v>631</v>
      </c>
      <c r="B562" s="9" t="str">
        <f>VLOOKUP(A562,'Sets (lua data)'!$A$3:$C$9838,3,FALSE)</f>
        <v>Enervating Aura </v>
      </c>
      <c r="C562" s="9" t="str">
        <f>VLOOKUP(A562,'Sets (lua data)'!$A$3:$C$9838,2,FALSE)</f>
        <v>Enervierende Aura</v>
      </c>
    </row>
    <row r="563" spans="1:3" x14ac:dyDescent="0.25">
      <c r="A563" s="12">
        <v>632</v>
      </c>
      <c r="B563" s="9" t="str">
        <f>VLOOKUP(A563,'Sets (lua data)'!$A$3:$C$9838,3,FALSE)</f>
        <v>Kargaeda</v>
      </c>
      <c r="C563" s="9" t="str">
        <f>VLOOKUP(A563,'Sets (lua data)'!$A$3:$C$9838,2,FALSE)</f>
        <v>Kargaeda</v>
      </c>
    </row>
    <row r="564" spans="1:3" x14ac:dyDescent="0.25">
      <c r="A564" s="12">
        <v>633</v>
      </c>
      <c r="B564" s="9" t="str">
        <f>VLOOKUP(A564,'Sets (lua data)'!$A$3:$C$9838,3,FALSE)</f>
        <v>Nazaray </v>
      </c>
      <c r="C564" s="9" t="str">
        <f>VLOOKUP(A564,'Sets (lua data)'!$A$3:$C$9838,2,FALSE)</f>
        <v>Nazaray </v>
      </c>
    </row>
    <row r="565" spans="1:3" x14ac:dyDescent="0.25">
      <c r="A565" s="12">
        <v>634</v>
      </c>
      <c r="B565" s="9" t="str">
        <f>VLOOKUP(A565,'Sets (lua data)'!$A$3:$C$9838,3,FALSE)</f>
        <v>Nunatak</v>
      </c>
      <c r="C565" s="9" t="str">
        <f>VLOOKUP(A565,'Sets (lua data)'!$A$3:$C$9838,2,FALSE)</f>
        <v>Nunatak</v>
      </c>
    </row>
    <row r="566" spans="1:3" x14ac:dyDescent="0.25">
      <c r="A566" s="12">
        <v>635</v>
      </c>
      <c r="B566" s="9" t="str">
        <f>VLOOKUP(A566,'Sets (lua data)'!$A$3:$C$9838,3,FALSE)</f>
        <v>Lady Malydga</v>
      </c>
      <c r="C566" s="9" t="str">
        <f>VLOOKUP(A566,'Sets (lua data)'!$A$3:$C$9838,2,FALSE)</f>
        <v>Fürstin Malygda</v>
      </c>
    </row>
    <row r="567" spans="1:3" x14ac:dyDescent="0.25">
      <c r="A567" s="12">
        <v>636</v>
      </c>
      <c r="B567" s="9" t="str">
        <f>VLOOKUP(A567,'Sets (lua data)'!$A$3:$C$9838,3,FALSE)</f>
        <v>Baron Thirsk</v>
      </c>
      <c r="C567" s="9" t="str">
        <f>VLOOKUP(A567,'Sets (lua data)'!$A$3:$C$9838,2,FALSE)</f>
        <v>Baron Thirsk</v>
      </c>
    </row>
    <row r="568" spans="1:3" x14ac:dyDescent="0.25">
      <c r="A568" s="12">
        <v>640</v>
      </c>
      <c r="B568" s="9" t="str">
        <f>VLOOKUP(A568,'Sets (lua data)'!$A$3:$C$9838,3,FALSE)</f>
        <v>Order\'s Wrath</v>
      </c>
      <c r="C568" s="9" t="str">
        <f>VLOOKUP(A568,'Sets (lua data)'!$A$3:$C$9838,2,FALSE)</f>
        <v>Zorn des Ordens</v>
      </c>
    </row>
    <row r="569" spans="1:3" x14ac:dyDescent="0.25">
      <c r="A569" s="12">
        <v>641</v>
      </c>
      <c r="B569" s="9" t="str">
        <f>VLOOKUP(A569,'Sets (lua data)'!$A$3:$C$9838,3,FALSE)</f>
        <v>Serpent\'s Disdain</v>
      </c>
      <c r="C569" s="9" t="str">
        <f>VLOOKUP(A569,'Sets (lua data)'!$A$3:$C$9838,2,FALSE)</f>
        <v>Verachtung der Schlange</v>
      </c>
    </row>
    <row r="570" spans="1:3" x14ac:dyDescent="0.25">
      <c r="A570" s="12">
        <v>642</v>
      </c>
      <c r="B570" s="9" t="str">
        <f>VLOOKUP(A570,'Sets (lua data)'!$A$3:$C$9838,3,FALSE)</f>
        <v>Druid\'s Braid</v>
      </c>
      <c r="C570" s="9" t="str">
        <f>VLOOKUP(A570,'Sets (lua data)'!$A$3:$C$9838,2,FALSE)</f>
        <v>Druidenflechte</v>
      </c>
    </row>
    <row r="571" spans="1:3" x14ac:dyDescent="0.25">
      <c r="A571" s="12">
        <v>643</v>
      </c>
      <c r="B571" s="9" t="str">
        <f>VLOOKUP(A571,'Sets (lua data)'!$A$3:$C$9838,3,FALSE)</f>
        <v>Blessing of High Isle</v>
      </c>
      <c r="C571" s="9" t="str">
        <f>VLOOKUP(A571,'Sets (lua data)'!$A$3:$C$9838,2,FALSE)</f>
        <v>Segen von Hochinsel</v>
      </c>
    </row>
    <row r="572" spans="1:3" x14ac:dyDescent="0.25">
      <c r="A572" s="12">
        <v>644</v>
      </c>
      <c r="B572" s="9" t="str">
        <f>VLOOKUP(A572,'Sets (lua data)'!$A$3:$C$9838,3,FALSE)</f>
        <v>Steadfast\'s Mettle</v>
      </c>
      <c r="C572" s="9" t="str">
        <f>VLOOKUP(A572,'Sets (lua data)'!$A$3:$C$9838,2,FALSE)</f>
        <v>Mut der Standhaften</v>
      </c>
    </row>
    <row r="573" spans="1:3" x14ac:dyDescent="0.25">
      <c r="A573" s="12">
        <v>645</v>
      </c>
      <c r="B573" s="9" t="str">
        <f>VLOOKUP(A573,'Sets (lua data)'!$A$3:$C$9838,3,FALSE)</f>
        <v>Systres\' Scowl</v>
      </c>
      <c r="C573" s="9" t="str">
        <f>VLOOKUP(A573,'Sets (lua data)'!$A$3:$C$9838,2,FALSE)</f>
        <v>Blick der Systren</v>
      </c>
    </row>
    <row r="574" spans="1:3" x14ac:dyDescent="0.25">
      <c r="A574" s="12">
        <v>646</v>
      </c>
      <c r="B574" s="9" t="str">
        <f>VLOOKUP(A574,'Sets (lua data)'!$A$3:$C$9838,3,FALSE)</f>
        <v>Whorl of the Depths</v>
      </c>
      <c r="C574" s="9" t="str">
        <f>VLOOKUP(A574,'Sets (lua data)'!$A$3:$C$9838,2,FALSE)</f>
        <v>Wirbel der Tiefen</v>
      </c>
    </row>
    <row r="575" spans="1:3" x14ac:dyDescent="0.25">
      <c r="A575" s="12">
        <v>647</v>
      </c>
      <c r="B575" s="9" t="str">
        <f>VLOOKUP(A575,'Sets (lua data)'!$A$3:$C$9838,3,FALSE)</f>
        <v>Coral Riptide</v>
      </c>
      <c r="C575" s="9" t="str">
        <f>VLOOKUP(A575,'Sets (lua data)'!$A$3:$C$9838,2,FALSE)</f>
        <v>Korallenbrandung</v>
      </c>
    </row>
    <row r="576" spans="1:3" x14ac:dyDescent="0.25">
      <c r="A576" s="12">
        <v>648</v>
      </c>
      <c r="B576" s="9" t="str">
        <f>VLOOKUP(A576,'Sets (lua data)'!$A$3:$C$9838,3,FALSE)</f>
        <v>Pearlescent Ward</v>
      </c>
      <c r="C576" s="9" t="str">
        <f>VLOOKUP(A576,'Sets (lua data)'!$A$3:$C$9838,2,FALSE)</f>
        <v>Perlenglanz-Schutz</v>
      </c>
    </row>
    <row r="577" spans="1:3" x14ac:dyDescent="0.25">
      <c r="A577" s="12">
        <v>649</v>
      </c>
      <c r="B577" s="9" t="str">
        <f>VLOOKUP(A577,'Sets (lua data)'!$A$3:$C$9838,3,FALSE)</f>
        <v>Pillager\'s Profit</v>
      </c>
      <c r="C577" s="9" t="str">
        <f>VLOOKUP(A577,'Sets (lua data)'!$A$3:$C$9838,2,FALSE)</f>
        <v>Profit des Brandschatzers</v>
      </c>
    </row>
    <row r="578" spans="1:3" x14ac:dyDescent="0.25">
      <c r="A578" s="12">
        <v>650</v>
      </c>
      <c r="B578" s="9" t="str">
        <f>VLOOKUP(A578,'Sets (lua data)'!$A$3:$C$9838,3,FALSE)</f>
        <v>Perfected Pillager\'s Profit</v>
      </c>
      <c r="C578" s="9" t="str">
        <f>VLOOKUP(A578,'Sets (lua data)'!$A$3:$C$9838,2,FALSE)</f>
        <v>Perfektionierter Profit des Brandschatzers</v>
      </c>
    </row>
    <row r="579" spans="1:3" x14ac:dyDescent="0.25">
      <c r="A579" s="12">
        <v>651</v>
      </c>
      <c r="B579" s="9" t="str">
        <f>VLOOKUP(A579,'Sets (lua data)'!$A$3:$C$9838,3,FALSE)</f>
        <v>Perfected Pearlescent Ward</v>
      </c>
      <c r="C579" s="9" t="str">
        <f>VLOOKUP(A579,'Sets (lua data)'!$A$3:$C$9838,2,FALSE)</f>
        <v>Perfektionierter Perlenglanz-Schutz</v>
      </c>
    </row>
    <row r="580" spans="1:3" x14ac:dyDescent="0.25">
      <c r="A580" s="12">
        <v>652</v>
      </c>
      <c r="B580" s="9" t="str">
        <f>VLOOKUP(A580,'Sets (lua data)'!$A$3:$C$9838,3,FALSE)</f>
        <v>Perfected Coral Riptide</v>
      </c>
      <c r="C580" s="9" t="str">
        <f>VLOOKUP(A580,'Sets (lua data)'!$A$3:$C$9838,2,FALSE)</f>
        <v>Perfektionierte Korallenbrandung</v>
      </c>
    </row>
    <row r="581" spans="1:3" x14ac:dyDescent="0.25">
      <c r="A581" s="12">
        <v>653</v>
      </c>
      <c r="B581" s="9" t="str">
        <f>VLOOKUP(A581,'Sets (lua data)'!$A$3:$C$9838,3,FALSE)</f>
        <v>Perfected Whorl of the Depths</v>
      </c>
      <c r="C581" s="9" t="str">
        <f>VLOOKUP(A581,'Sets (lua data)'!$A$3:$C$9838,2,FALSE)</f>
        <v>Perfektionierter Wirbel der Tiefen</v>
      </c>
    </row>
    <row r="582" spans="1:3" x14ac:dyDescent="0.25">
      <c r="A582" s="12">
        <v>654</v>
      </c>
      <c r="B582" s="9" t="str">
        <f>VLOOKUP(A582,'Sets (lua data)'!$A$3:$C$9838,3,FALSE)</f>
        <v>Mora\'s Whispers</v>
      </c>
      <c r="C582" s="9" t="str">
        <f>VLOOKUP(A582,'Sets (lua data)'!$A$3:$C$9838,2,FALSE)</f>
        <v>Moras Flüstern</v>
      </c>
    </row>
    <row r="583" spans="1:3" x14ac:dyDescent="0.25">
      <c r="A583" s="12">
        <v>655</v>
      </c>
      <c r="B583" s="9" t="str">
        <f>VLOOKUP(A583,'Sets (lua data)'!$A$3:$C$9838,3,FALSE)</f>
        <v>Dov-rha Sabatons</v>
      </c>
      <c r="C583" s="9" t="str">
        <f>VLOOKUP(A583,'Sets (lua data)'!$A$3:$C$9838,2,FALSE)</f>
        <v>Dov-rha-Panzerschuhe</v>
      </c>
    </row>
    <row r="584" spans="1:3" x14ac:dyDescent="0.25">
      <c r="A584" s="12">
        <v>656</v>
      </c>
      <c r="B584" s="9" t="str">
        <f>VLOOKUP(A584,'Sets (lua data)'!$A$3:$C$9838,3,FALSE)</f>
        <v>Lefthander\'s Aegis Belt</v>
      </c>
      <c r="C584" s="9" t="str">
        <f>VLOOKUP(A584,'Sets (lua data)'!$A$3:$C$9838,2,FALSE)</f>
        <v>Ägisriemen der Linkshänder</v>
      </c>
    </row>
    <row r="585" spans="1:3" x14ac:dyDescent="0.25">
      <c r="A585" s="12">
        <v>657</v>
      </c>
      <c r="B585" s="9" t="str">
        <f>VLOOKUP(A585,'Sets (lua data)'!$A$3:$C$9838,3,FALSE)</f>
        <v>Sea-Serpent\'s Coil</v>
      </c>
      <c r="C585" s="9" t="str">
        <f>VLOOKUP(A585,'Sets (lua data)'!$A$3:$C$9838,2,FALSE)</f>
        <v>Wicklung der Seeschlange</v>
      </c>
    </row>
    <row r="586" spans="1:3" x14ac:dyDescent="0.25">
      <c r="A586" s="12">
        <v>658</v>
      </c>
      <c r="B586" s="9" t="str">
        <f>VLOOKUP(A586,'Sets (lua data)'!$A$3:$C$9838,3,FALSE)</f>
        <v>Oakensoul Ring</v>
      </c>
      <c r="C586" s="9" t="str">
        <f>VLOOKUP(A586,'Sets (lua data)'!$A$3:$C$9838,2,FALSE)</f>
        <v>Eichenseelenring</v>
      </c>
    </row>
    <row r="587" spans="1:3" x14ac:dyDescent="0.25">
      <c r="A587" s="12">
        <v>660</v>
      </c>
      <c r="B587" s="9" t="str">
        <f>VLOOKUP(A587,'Sets (lua data)'!$A$3:$C$9838,3,FALSE)</f>
        <v>Deeproot Zeal</v>
      </c>
      <c r="C587" s="9" t="str">
        <f>VLOOKUP(A587,'Sets (lua data)'!$A$3:$C$9838,2,FALSE)</f>
        <v>Tiefwurz-Eifer</v>
      </c>
    </row>
    <row r="588" spans="1:3" x14ac:dyDescent="0.25">
      <c r="A588" s="12">
        <v>661</v>
      </c>
      <c r="B588" s="9" t="str">
        <f>VLOOKUP(A588,'Sets (lua data)'!$A$3:$C$9838,3,FALSE)</f>
        <v>Stone\'s Accord</v>
      </c>
      <c r="C588" s="9" t="str">
        <f>VLOOKUP(A588,'Sets (lua data)'!$A$3:$C$9838,2,FALSE)</f>
        <v>Steinabkommen</v>
      </c>
    </row>
    <row r="589" spans="1:3" x14ac:dyDescent="0.25">
      <c r="A589" s="12">
        <v>662</v>
      </c>
      <c r="B589" s="9" t="str">
        <f>VLOOKUP(A589,'Sets (lua data)'!$A$3:$C$9838,3,FALSE)</f>
        <v>Rage of the Ursauk </v>
      </c>
      <c r="C589" s="9" t="str">
        <f>VLOOKUP(A589,'Sets (lua data)'!$A$3:$C$9838,2,FALSE)</f>
        <v>Zorns des Ursauk</v>
      </c>
    </row>
    <row r="590" spans="1:3" x14ac:dyDescent="0.25">
      <c r="A590" s="12">
        <v>663</v>
      </c>
      <c r="B590" s="9" t="str">
        <f>VLOOKUP(A590,'Sets (lua data)'!$A$3:$C$9838,3,FALSE)</f>
        <v>Pangrit Denmother</v>
      </c>
      <c r="C590" s="9" t="str">
        <f>VLOOKUP(A590,'Sets (lua data)'!$A$3:$C$9838,2,FALSE)</f>
        <v>Pangrit-Baumutter</v>
      </c>
    </row>
    <row r="591" spans="1:3" x14ac:dyDescent="0.25">
      <c r="A591" s="12">
        <v>664</v>
      </c>
      <c r="B591" s="9" t="str">
        <f>VLOOKUP(A591,'Sets (lua data)'!$A$3:$C$9838,3,FALSE)</f>
        <v>Grave Inevitability</v>
      </c>
      <c r="C591" s="9" t="str">
        <f>VLOOKUP(A591,'Sets (lua data)'!$A$3:$C$9838,2,FALSE)</f>
        <v>Unvermeidlichkeit des Grabs</v>
      </c>
    </row>
    <row r="592" spans="1:3" x14ac:dyDescent="0.25">
      <c r="A592" s="12">
        <v>665</v>
      </c>
      <c r="B592" s="9" t="str">
        <f>VLOOKUP(A592,'Sets (lua data)'!$A$3:$C$9838,3,FALSE)</f>
        <v>Phylactery\'s Grasp</v>
      </c>
      <c r="C592" s="9" t="str">
        <f>VLOOKUP(A592,'Sets (lua data)'!$A$3:$C$9838,2,FALSE)</f>
        <v>Phylakteriumsgriff</v>
      </c>
    </row>
    <row r="593" spans="1:3" x14ac:dyDescent="0.25">
      <c r="A593" s="12">
        <v>666</v>
      </c>
      <c r="B593" s="9" t="str">
        <f>VLOOKUP(A593,'Sets (lua data)'!$A$3:$C$9838,3,FALSE)</f>
        <v>Archdruid Devyric</v>
      </c>
      <c r="C593" s="9" t="str">
        <f>VLOOKUP(A593,'Sets (lua data)'!$A$3:$C$9838,2,FALSE)</f>
        <v>Erzdruide Devyric</v>
      </c>
    </row>
    <row r="594" spans="1:3" x14ac:dyDescent="0.25">
      <c r="A594" s="12">
        <v>667</v>
      </c>
      <c r="B594" s="9" t="str">
        <f>VLOOKUP(A594,'Sets (lua data)'!$A$3:$C$9838,3,FALSE)</f>
        <v>Euphotic Gatekeeper</v>
      </c>
      <c r="C594" s="9" t="str">
        <f>VLOOKUP(A594,'Sets (lua data)'!$A$3:$C$9838,2,FALSE)</f>
        <v>Euphotischer Torhüter</v>
      </c>
    </row>
    <row r="595" spans="1:3" x14ac:dyDescent="0.25">
      <c r="A595" s="12">
        <v>668</v>
      </c>
      <c r="B595" s="9" t="str">
        <f>VLOOKUP(A595,'Sets (lua data)'!$A$3:$C$9838,3,FALSE)</f>
        <v>Langour of Peryite</v>
      </c>
      <c r="C595" s="9" t="str">
        <f>VLOOKUP(A595,'Sets (lua data)'!$A$3:$C$9838,2,FALSE)</f>
        <v>Peryites Entkräftung</v>
      </c>
    </row>
    <row r="596" spans="1:3" x14ac:dyDescent="0.25">
      <c r="A596" s="12">
        <v>669</v>
      </c>
      <c r="B596" s="9" t="str">
        <f>VLOOKUP(A596,'Sets (lua data)'!$A$3:$C$9838,3,FALSE)</f>
        <v>Nocturnal\'s Ploy </v>
      </c>
      <c r="C596" s="9" t="str">
        <f>VLOOKUP(A596,'Sets (lua data)'!$A$3:$C$9838,2,FALSE)</f>
        <v>Nocturnals List</v>
      </c>
    </row>
    <row r="597" spans="1:3" x14ac:dyDescent="0.25">
      <c r="A597" s="12">
        <v>670</v>
      </c>
      <c r="B597" s="9" t="str">
        <f>VLOOKUP(A597,'Sets (lua data)'!$A$3:$C$9838,3,FALSE)</f>
        <v>Mara\’s Balm</v>
      </c>
      <c r="C597" s="9" t="str">
        <f>VLOOKUP(A597,'Sets (lua data)'!$A$3:$C$9838,2,FALSE)</f>
        <v>Maras Trost</v>
      </c>
    </row>
    <row r="598" spans="1:3" x14ac:dyDescent="0.25">
      <c r="A598" s="12">
        <v>671</v>
      </c>
      <c r="B598" s="9" t="str">
        <f>VLOOKUP(A598,'Sets (lua data)'!$A$3:$C$9838,3,FALSE)</f>
        <v>Back-Alley Gourmand</v>
      </c>
      <c r="C598" s="9" t="str">
        <f>VLOOKUP(A598,'Sets (lua data)'!$A$3:$C$9838,2,FALSE)</f>
        <v>Hinterhof-Gourmet</v>
      </c>
    </row>
    <row r="599" spans="1:3" x14ac:dyDescent="0.25">
      <c r="A599" s="12">
        <v>672</v>
      </c>
      <c r="B599" s="9" t="str">
        <f>VLOOKUP(A599,'Sets (lua data)'!$A$3:$C$9838,3,FALSE)</f>
        <v>Phoenix Moth Theurge</v>
      </c>
      <c r="C599" s="9" t="str">
        <f>VLOOKUP(A599,'Sets (lua data)'!$A$3:$C$9838,2,FALSE)</f>
        <v>Phönixmotten-Theurg</v>
      </c>
    </row>
    <row r="600" spans="1:3" x14ac:dyDescent="0.25">
      <c r="A600" s="12">
        <v>673</v>
      </c>
      <c r="B600" s="9" t="str">
        <f>VLOOKUP(A600,'Sets (lua data)'!$A$3:$C$9838,3,FALSE)</f>
        <v>Bastion of Draoife</v>
      </c>
      <c r="C600" s="9" t="str">
        <f>VLOOKUP(A600,'Sets (lua data)'!$A$3:$C$9838,2,FALSE)</f>
        <v>Bastion des Draoife</v>
      </c>
    </row>
    <row r="601" spans="1:3" x14ac:dyDescent="0.25">
      <c r="A601" s="12">
        <v>674</v>
      </c>
      <c r="B601" s="9" t="str">
        <f>VLOOKUP(A601,'Sets (lua data)'!$A$3:$C$9838,3,FALSE)</f>
        <v>Faun\'s Lark Cladding</v>
      </c>
      <c r="C601" s="9" t="str">
        <f>VLOOKUP(A601,'Sets (lua data)'!$A$3:$C$9838,2,FALSE)</f>
        <v>Faunstreich</v>
      </c>
    </row>
    <row r="602" spans="1:3" x14ac:dyDescent="0.25">
      <c r="A602" s="12">
        <v>675</v>
      </c>
      <c r="B602" s="9" t="str">
        <f>VLOOKUP(A602,'Sets (lua data)'!$A$3:$C$9838,3,FALSE)</f>
        <v>Stormweaver\'s Cavort</v>
      </c>
      <c r="C602" s="9" t="str">
        <f>VLOOKUP(A602,'Sets (lua data)'!$A$3:$C$9838,2,FALSE)</f>
        <v>Sturmwebertollen</v>
      </c>
    </row>
    <row r="603" spans="1:3" x14ac:dyDescent="0.25">
      <c r="A603" s="12">
        <v>676</v>
      </c>
      <c r="B603" s="9" t="str">
        <f>VLOOKUP(A603,'Sets (lua data)'!$A$3:$C$9838,3,FALSE)</f>
        <v>Syrabane\'s Ward</v>
      </c>
      <c r="C603" s="9" t="str">
        <f>VLOOKUP(A603,'Sets (lua data)'!$A$3:$C$9838,2,FALSE)</f>
        <v>Syrabanns Schutz</v>
      </c>
    </row>
    <row r="604" spans="1:3" x14ac:dyDescent="0.25">
      <c r="A604" s="12">
        <v>677</v>
      </c>
      <c r="B604" s="9" t="str">
        <f>VLOOKUP(A604,'Sets (lua data)'!$A$3:$C$9838,3,FALSE)</f>
        <v>Chimera\'s Rebuke</v>
      </c>
      <c r="C604" s="9" t="str">
        <f>VLOOKUP(A604,'Sets (lua data)'!$A$3:$C$9838,2,FALSE)</f>
        <v>Zurechtweisung der Schimäre</v>
      </c>
    </row>
    <row r="605" spans="1:3" x14ac:dyDescent="0.25">
      <c r="A605" s="12">
        <v>678</v>
      </c>
      <c r="B605" s="9" t="str">
        <f>VLOOKUP(A605,'Sets (lua data)'!$A$3:$C$9838,3,FALSE)</f>
        <v>Old Growth Brewer</v>
      </c>
      <c r="C605" s="9" t="str">
        <f>VLOOKUP(A605,'Sets (lua data)'!$A$3:$C$9838,2,FALSE)</f>
        <v>Altwuchs-Brauer</v>
      </c>
    </row>
    <row r="606" spans="1:3" x14ac:dyDescent="0.25">
      <c r="A606" s="12">
        <v>679</v>
      </c>
      <c r="B606" s="9" t="str">
        <f>VLOOKUP(A606,'Sets (lua data)'!$A$3:$C$9838,3,FALSE)</f>
        <v>Claw of the Forest Wraith</v>
      </c>
      <c r="C606" s="9" t="str">
        <f>VLOOKUP(A606,'Sets (lua data)'!$A$3:$C$9838,2,FALSE)</f>
        <v>Kralle des Waldgespensts</v>
      </c>
    </row>
    <row r="607" spans="1:3" x14ac:dyDescent="0.25">
      <c r="A607" s="12">
        <v>680</v>
      </c>
      <c r="B607" s="9" t="str">
        <f>VLOOKUP(A607,'Sets (lua data)'!$A$3:$C$9838,3,FALSE)</f>
        <v>Ritemaster\'s Bond</v>
      </c>
      <c r="C607" s="9" t="str">
        <f>VLOOKUP(A607,'Sets (lua data)'!$A$3:$C$9838,2,FALSE)</f>
        <v>Bindung des Ritenmeisters</v>
      </c>
    </row>
    <row r="608" spans="1:3" x14ac:dyDescent="0.25">
      <c r="A608" s="12">
        <v>681</v>
      </c>
      <c r="B608" s="9" t="str">
        <f>VLOOKUP(A608,'Sets (lua data)'!$A$3:$C$9838,3,FALSE)</f>
        <v>Nix-Hound\'s Howl</v>
      </c>
      <c r="C608" s="9" t="str">
        <f>VLOOKUP(A608,'Sets (lua data)'!$A$3:$C$9838,2,FALSE)</f>
        <v>Nixhund-Heulen</v>
      </c>
    </row>
    <row r="609" spans="1:3" x14ac:dyDescent="0.25">
      <c r="A609" s="12">
        <v>682</v>
      </c>
      <c r="B609" s="9" t="str">
        <f>VLOOKUP(A609,'Sets (lua data)'!$A$3:$C$9838,3,FALSE)</f>
        <v>Telvanni Enforcer</v>
      </c>
      <c r="C609" s="9" t="str">
        <f>VLOOKUP(A609,'Sets (lua data)'!$A$3:$C$9838,2,FALSE)</f>
        <v>Telvanni-Vollstrecker</v>
      </c>
    </row>
    <row r="610" spans="1:3" x14ac:dyDescent="0.25">
      <c r="A610" s="12">
        <v>683</v>
      </c>
      <c r="B610" s="9" t="str">
        <f>VLOOKUP(A610,'Sets (lua data)'!$A$3:$C$9838,3,FALSE)</f>
        <v>Roksa the Warped</v>
      </c>
      <c r="C610" s="9" t="str">
        <f>VLOOKUP(A610,'Sets (lua data)'!$A$3:$C$9838,2,FALSE)</f>
        <v>Roksa die Verkrümmte</v>
      </c>
    </row>
    <row r="611" spans="1:3" x14ac:dyDescent="0.25">
      <c r="A611" s="12">
        <v>684</v>
      </c>
      <c r="B611" s="9" t="str">
        <f>VLOOKUP(A611,'Sets (lua data)'!$A$3:$C$9838,3,FALSE)</f>
        <v>Runecarver\’s Blaze</v>
      </c>
      <c r="C611" s="9" t="str">
        <f>VLOOKUP(A611,'Sets (lua data)'!$A$3:$C$9838,2,FALSE)</f>
        <v>Lodern des Runenschnitzers</v>
      </c>
    </row>
    <row r="612" spans="1:3" x14ac:dyDescent="0.25">
      <c r="A612" s="12">
        <v>685</v>
      </c>
      <c r="B612" s="9" t="str">
        <f>VLOOKUP(A612,'Sets (lua data)'!$A$3:$C$9838,3,FALSE)</f>
        <v>Apocryphal Inspiration</v>
      </c>
      <c r="C612" s="9" t="str">
        <f>VLOOKUP(A612,'Sets (lua data)'!$A$3:$C$9838,2,FALSE)</f>
        <v>Apocryphische Inspiration</v>
      </c>
    </row>
    <row r="613" spans="1:3" x14ac:dyDescent="0.25">
      <c r="A613" s="12">
        <v>686</v>
      </c>
      <c r="B613" s="9" t="str">
        <f>VLOOKUP(A613,'Sets (lua data)'!$A$3:$C$9838,3,FALSE)</f>
        <v>Abyssal Brace</v>
      </c>
      <c r="C613" s="9" t="str">
        <f>VLOOKUP(A613,'Sets (lua data)'!$A$3:$C$9838,2,FALSE)</f>
        <v>Abgründiges Wappnen</v>
      </c>
    </row>
    <row r="614" spans="1:3" x14ac:dyDescent="0.25">
      <c r="A614" s="12">
        <v>687</v>
      </c>
      <c r="B614" s="9" t="str">
        <f>VLOOKUP(A614,'Sets (lua data)'!$A$3:$C$9838,3,FALSE)</f>
        <v>Ozezan the Inferno</v>
      </c>
      <c r="C614" s="9" t="str">
        <f>VLOOKUP(A614,'Sets (lua data)'!$A$3:$C$9838,2,FALSE)</f>
        <v>Ozezan das Inferno</v>
      </c>
    </row>
    <row r="615" spans="1:3" x14ac:dyDescent="0.25">
      <c r="A615" s="1">
        <v>688</v>
      </c>
      <c r="B615" s="9" t="str">
        <f>VLOOKUP(A615,'Sets (lua data)'!$A$3:$C$9838,3,FALSE)</f>
        <v>Snake in the Stars</v>
      </c>
      <c r="C615" s="9" t="str">
        <f>VLOOKUP(A615,'Sets (lua data)'!$A$3:$C$9838,2,FALSE)</f>
        <v>Schlange inmitten der Sterne</v>
      </c>
    </row>
    <row r="616" spans="1:3" x14ac:dyDescent="0.25">
      <c r="A616" s="1">
        <v>689</v>
      </c>
      <c r="B616" s="9" t="str">
        <f>VLOOKUP(A616,'Sets (lua data)'!$A$3:$C$9838,3,FALSE)</f>
        <v>Shell Splitter</v>
      </c>
      <c r="C616" s="9" t="str">
        <f>VLOOKUP(A616,'Sets (lua data)'!$A$3:$C$9838,2,FALSE)</f>
        <v>Panzerspalten</v>
      </c>
    </row>
    <row r="617" spans="1:3" x14ac:dyDescent="0.25">
      <c r="A617" s="1">
        <v>690</v>
      </c>
      <c r="B617" s="9" t="str">
        <f>VLOOKUP(A617,'Sets (lua data)'!$A$3:$C$9838,3,FALSE)</f>
        <v>Judgement of Akatosh </v>
      </c>
      <c r="C617" s="9" t="str">
        <f>VLOOKUP(A617,'Sets (lua data)'!$A$3:$C$9838,2,FALSE)</f>
        <v>Urteil von Akatosh</v>
      </c>
    </row>
    <row r="618" spans="1:3" x14ac:dyDescent="0.25">
      <c r="A618" s="1">
        <v>691</v>
      </c>
      <c r="B618" s="9" t="str">
        <f>VLOOKUP(A618,'Sets (lua data)'!$A$3:$C$9838,3,FALSE)</f>
        <v>Cryptcanon Vestments</v>
      </c>
      <c r="C618" s="9" t="str">
        <f>VLOOKUP(A618,'Sets (lua data)'!$A$3:$C$9838,2,FALSE)</f>
        <v>Gewandung des Kryptenvogts</v>
      </c>
    </row>
    <row r="619" spans="1:3" x14ac:dyDescent="0.25">
      <c r="A619" s="1">
        <v>692</v>
      </c>
      <c r="B619" s="9" t="str">
        <f>VLOOKUP(A619,'Sets (lua data)'!$A$3:$C$9838,3,FALSE)</f>
        <v>Esoteric Environment Greaves</v>
      </c>
      <c r="C619" s="9" t="str">
        <f>VLOOKUP(A619,'Sets (lua data)'!$A$3:$C$9838,2,FALSE)</f>
        <v>Beinschienen der esoterischen Umgebung</v>
      </c>
    </row>
    <row r="620" spans="1:3" x14ac:dyDescent="0.25">
      <c r="A620" s="1">
        <v>693</v>
      </c>
      <c r="B620" s="9" t="str">
        <f>VLOOKUP(A620,'Sets (lua data)'!$A$3:$C$9838,3,FALSE)</f>
        <v>Torc of the Last Ayleid King</v>
      </c>
      <c r="C620" s="9" t="str">
        <f>VLOOKUP(A620,'Sets (lua data)'!$A$3:$C$9838,2,FALSE)</f>
        <v>Torc of the Last Ayleid King</v>
      </c>
    </row>
    <row r="621" spans="1:3" x14ac:dyDescent="0.25">
      <c r="A621" s="1">
        <v>694</v>
      </c>
      <c r="B621" s="9" t="str">
        <f>VLOOKUP(A621,'Sets (lua data)'!$A$3:$C$9838,3,FALSE)</f>
        <v>Velothi Ur-Mage\'s Amulet</v>
      </c>
      <c r="C621" s="9" t="str">
        <f>VLOOKUP(A621,'Sets (lua data)'!$A$3:$C$9838,2,FALSE)</f>
        <v>Velothi Ur-Mage\'s Amulet</v>
      </c>
    </row>
    <row r="622" spans="1:3" x14ac:dyDescent="0.25">
      <c r="A622" s="1">
        <v>695</v>
      </c>
      <c r="B622" s="9" t="str">
        <f>VLOOKUP(A622,'Sets (lua data)'!$A$3:$C$9838,3,FALSE)</f>
        <v>Shattered Fate</v>
      </c>
      <c r="C622" s="9" t="str">
        <f>VLOOKUP(A622,'Sets (lua data)'!$A$3:$C$9838,2,FALSE)</f>
        <v>Shattered Fate</v>
      </c>
    </row>
    <row r="623" spans="1:3" x14ac:dyDescent="0.25">
      <c r="A623" s="1">
        <v>696</v>
      </c>
      <c r="B623" s="9" t="str">
        <f>VLOOKUP(A623,'Sets (lua data)'!$A$3:$C$9838,3,FALSE)</f>
        <v>Telvanni Efficiency</v>
      </c>
      <c r="C623" s="9" t="str">
        <f>VLOOKUP(A623,'Sets (lua data)'!$A$3:$C$9838,2,FALSE)</f>
        <v>Telvanni Efficiency</v>
      </c>
    </row>
    <row r="624" spans="1:3" x14ac:dyDescent="0.25">
      <c r="A624" s="1">
        <v>697</v>
      </c>
      <c r="B624" s="9" t="str">
        <f>VLOOKUP(A624,'Sets (lua data)'!$A$3:$C$9838,3,FALSE)</f>
        <v>Seeker Synthesis</v>
      </c>
      <c r="C624" s="9" t="str">
        <f>VLOOKUP(A624,'Sets (lua data)'!$A$3:$C$9838,2,FALSE)</f>
        <v>Seeker Synthesis</v>
      </c>
    </row>
    <row r="625" spans="1:3" x14ac:dyDescent="0.25">
      <c r="A625" s="1">
        <v>698</v>
      </c>
      <c r="B625" s="9" t="str">
        <f>VLOOKUP(A625,'Sets (lua data)'!$A$3:$C$9838,3,FALSE)</f>
        <v>Vivec\'s Duality</v>
      </c>
      <c r="C625" s="9" t="str">
        <f>VLOOKUP(A625,'Sets (lua data)'!$A$3:$C$9838,2,FALSE)</f>
        <v>Vivec\'s Duality</v>
      </c>
    </row>
    <row r="626" spans="1:3" x14ac:dyDescent="0.25">
      <c r="A626" s="1">
        <v>699</v>
      </c>
      <c r="B626" s="9" t="str">
        <f>VLOOKUP(A626,'Sets (lua data)'!$A$3:$C$9838,3,FALSE)</f>
        <v>Camonna Tong</v>
      </c>
      <c r="C626" s="9" t="str">
        <f>VLOOKUP(A626,'Sets (lua data)'!$A$3:$C$9838,2,FALSE)</f>
        <v>Camonna Tong</v>
      </c>
    </row>
    <row r="627" spans="1:3" x14ac:dyDescent="0.25">
      <c r="A627" s="1">
        <v>700</v>
      </c>
      <c r="B627" s="9" t="str">
        <f>VLOOKUP(A627,'Sets (lua data)'!$A$3:$C$9838,3,FALSE)</f>
        <v>Adamant Lurker</v>
      </c>
      <c r="C627" s="9" t="str">
        <f>VLOOKUP(A627,'Sets (lua data)'!$A$3:$C$9838,2,FALSE)</f>
        <v>Adamant Lurker</v>
      </c>
    </row>
    <row r="628" spans="1:3" x14ac:dyDescent="0.25">
      <c r="A628" s="1">
        <v>701</v>
      </c>
      <c r="B628" s="9" t="str">
        <f>VLOOKUP(A628,'Sets (lua data)'!$A$3:$C$9838,3,FALSE)</f>
        <v>Peace and Serenity</v>
      </c>
      <c r="C628" s="9" t="str">
        <f>VLOOKUP(A628,'Sets (lua data)'!$A$3:$C$9838,2,FALSE)</f>
        <v>Peace and Serenity</v>
      </c>
    </row>
    <row r="629" spans="1:3" x14ac:dyDescent="0.25">
      <c r="A629" s="1">
        <v>702</v>
      </c>
      <c r="B629" s="9" t="str">
        <f>VLOOKUP(A629,'Sets (lua data)'!$A$3:$C$9838,3,FALSE)</f>
        <v>Ansuul\'s Torment</v>
      </c>
      <c r="C629" s="9" t="str">
        <f>VLOOKUP(A629,'Sets (lua data)'!$A$3:$C$9838,2,FALSE)</f>
        <v>Ansuul\'s Torment</v>
      </c>
    </row>
    <row r="630" spans="1:3" x14ac:dyDescent="0.25">
      <c r="A630" s="1">
        <v>703</v>
      </c>
      <c r="B630" s="9" t="str">
        <f>VLOOKUP(A630,'Sets (lua data)'!$A$3:$C$9838,3,FALSE)</f>
        <v>Test of Resolve</v>
      </c>
      <c r="C630" s="9" t="str">
        <f>VLOOKUP(A630,'Sets (lua data)'!$A$3:$C$9838,2,FALSE)</f>
        <v>Test of Resolve</v>
      </c>
    </row>
    <row r="631" spans="1:3" x14ac:dyDescent="0.25">
      <c r="A631" s="1">
        <v>704</v>
      </c>
      <c r="B631" s="9" t="str">
        <f>VLOOKUP(A631,'Sets (lua data)'!$A$3:$C$9838,3,FALSE)</f>
        <v>Transformative Hope</v>
      </c>
      <c r="C631" s="9" t="str">
        <f>VLOOKUP(A631,'Sets (lua data)'!$A$3:$C$9838,2,FALSE)</f>
        <v>Transformative Hope</v>
      </c>
    </row>
    <row r="632" spans="1:3" x14ac:dyDescent="0.25">
      <c r="A632" s="1">
        <v>705</v>
      </c>
      <c r="B632" s="9" t="str">
        <f>VLOOKUP(A632,'Sets (lua data)'!$A$3:$C$9838,3,FALSE)</f>
        <v>Perfected Transformative Hope</v>
      </c>
      <c r="C632" s="9" t="str">
        <f>VLOOKUP(A632,'Sets (lua data)'!$A$3:$C$9838,2,FALSE)</f>
        <v xml:space="preserve"> Perfected Transformative Hope</v>
      </c>
    </row>
    <row r="633" spans="1:3" x14ac:dyDescent="0.25">
      <c r="A633" s="1">
        <v>706</v>
      </c>
      <c r="B633" s="9" t="str">
        <f>VLOOKUP(A633,'Sets (lua data)'!$A$3:$C$9838,3,FALSE)</f>
        <v>Perfected Test of Resolve</v>
      </c>
      <c r="C633" s="9" t="str">
        <f>VLOOKUP(A633,'Sets (lua data)'!$A$3:$C$9838,2,FALSE)</f>
        <v>Perfected Test of Resolve</v>
      </c>
    </row>
    <row r="634" spans="1:3" x14ac:dyDescent="0.25">
      <c r="A634" s="1">
        <v>707</v>
      </c>
      <c r="B634" s="9" t="str">
        <f>VLOOKUP(A634,'Sets (lua data)'!$A$3:$C$9838,3,FALSE)</f>
        <v>Perfected Ansuul\'s Torment</v>
      </c>
      <c r="C634" s="9" t="str">
        <f>VLOOKUP(A634,'Sets (lua data)'!$A$3:$C$9838,2,FALSE)</f>
        <v>Perfected Ansuul\'s Torment</v>
      </c>
    </row>
    <row r="635" spans="1:3" x14ac:dyDescent="0.25">
      <c r="A635" s="1">
        <v>708</v>
      </c>
      <c r="B635" s="9" t="str">
        <f>VLOOKUP(A635,'Sets (lua data)'!$A$3:$C$9838,3,FALSE)</f>
        <v>Perfected Peace and Serenity</v>
      </c>
      <c r="C635" s="9" t="str">
        <f>VLOOKUP(A635,'Sets (lua data)'!$A$3:$C$9838,2,FALSE)</f>
        <v>Perfected Peace and Serenity</v>
      </c>
    </row>
    <row r="636" spans="1:3" x14ac:dyDescent="0.25">
      <c r="A636" s="1">
        <v>711</v>
      </c>
      <c r="B636" s="9" t="str">
        <f>VLOOKUP(A636,'Sets (lua data)'!$A$3:$C$9838,3,FALSE)</f>
        <v>Jerall Mountains Warchief</v>
      </c>
      <c r="C636" s="9" t="str">
        <f>VLOOKUP(A636,'Sets (lua data)'!$A$3:$C$9838,2,FALSE)</f>
        <v>Jerall Mountains Warchief</v>
      </c>
    </row>
    <row r="637" spans="1:3" x14ac:dyDescent="0.25">
      <c r="A637" s="1">
        <v>712</v>
      </c>
      <c r="B637" s="9" t="str">
        <f>VLOOKUP(A637,'Sets (lua data)'!$A$3:$C$9838,3,FALSE)</f>
        <v>Nibenay Bay Battlereeve</v>
      </c>
      <c r="C637" s="9" t="str">
        <f>VLOOKUP(A637,'Sets (lua data)'!$A$3:$C$9838,2,FALSE)</f>
        <v>Nibenay Bay Battlereeve</v>
      </c>
    </row>
    <row r="638" spans="1:3" x14ac:dyDescent="0.25">
      <c r="A638" s="1">
        <v>713</v>
      </c>
      <c r="B638" s="9" t="str">
        <f>VLOOKUP(A638,'Sets (lua data)'!$A$3:$C$9838,3,FALSE)</f>
        <v>Colovian Highlands General</v>
      </c>
      <c r="C638" s="9" t="str">
        <f>VLOOKUP(A638,'Sets (lua data)'!$A$3:$C$9838,2,FALSE)</f>
        <v>Colovian Highlands General</v>
      </c>
    </row>
    <row r="639" spans="1:3" x14ac:dyDescent="0.25">
      <c r="A639" s="1">
        <v>722</v>
      </c>
      <c r="B639" s="9" t="str">
        <f>VLOOKUP(A639,'Sets (lua data)'!$A$3:$C$9838,3,FALSE)</f>
        <v>Reawakened Hierophant</v>
      </c>
      <c r="C639" s="9" t="str">
        <f>VLOOKUP(A639,'Sets (lua data)'!$A$3:$C$9838,2,FALSE)</f>
        <v>Reawakened Hierophant</v>
      </c>
    </row>
    <row r="640" spans="1:3" x14ac:dyDescent="0.25">
      <c r="A640" s="1">
        <v>723</v>
      </c>
      <c r="B640" s="9" t="str">
        <f>VLOOKUP(A640,'Sets (lua data)'!$A$3:$C$9838,3,FALSE)</f>
        <v>Basalt-Blooded Warrior</v>
      </c>
      <c r="C640" s="9" t="str">
        <f>VLOOKUP(A640,'Sets (lua data)'!$A$3:$C$9838,2,FALSE)</f>
        <v>Basalt-Blooded Warrior</v>
      </c>
    </row>
    <row r="641" spans="1:3" x14ac:dyDescent="0.25">
      <c r="A641" s="1">
        <v>724</v>
      </c>
      <c r="B641" s="9" t="str">
        <f>VLOOKUP(A641,'Sets (lua data)'!$A$3:$C$9838,3,FALSE)</f>
        <v>Nobility in Decay</v>
      </c>
      <c r="C641" s="9" t="str">
        <f>VLOOKUP(A641,'Sets (lua data)'!$A$3:$C$9838,2,FALSE)</f>
        <v>Adel im Verfall</v>
      </c>
    </row>
    <row r="642" spans="1:3" x14ac:dyDescent="0.25">
      <c r="A642" s="1">
        <v>726</v>
      </c>
      <c r="B642" s="9" t="str">
        <f>VLOOKUP(A642,'Sets (lua data)'!$A$3:$C$9838,3,FALSE)</f>
        <v>Soulcleaver</v>
      </c>
      <c r="C642" s="9" t="str">
        <f>VLOOKUP(A642,'Sets (lua data)'!$A$3:$C$9838,2,FALSE)</f>
        <v>Seelenspalter</v>
      </c>
    </row>
    <row r="643" spans="1:3" x14ac:dyDescent="0.25">
      <c r="A643" s="1">
        <v>727</v>
      </c>
      <c r="B643" s="9" t="str">
        <f>VLOOKUP(A643,'Sets (lua data)'!$A$3:$C$9838,3,FALSE)</f>
        <v>Monolith of Storms</v>
      </c>
      <c r="C643" s="9" t="str">
        <f>VLOOKUP(A643,'Sets (lua data)'!$A$3:$C$9838,2,FALSE)</f>
        <v>Monolith der Stürme</v>
      </c>
    </row>
    <row r="644" spans="1:3" x14ac:dyDescent="0.25">
      <c r="A644" s="1">
        <v>728</v>
      </c>
      <c r="B644" s="9" t="str">
        <f>VLOOKUP(A644,'Sets (lua data)'!$A$3:$C$9838,3,FALSE)</f>
        <v>Wrathsun</v>
      </c>
      <c r="C644" s="9" t="str">
        <f>VLOOKUP(A644,'Sets (lua data)'!$A$3:$C$9838,2,FALSE)</f>
        <v>Wutsonne</v>
      </c>
    </row>
    <row r="645" spans="1:3" x14ac:dyDescent="0.25">
      <c r="A645" s="1">
        <v>729</v>
      </c>
      <c r="B645" s="9" t="str">
        <f>VLOOKUP(A645,'Sets (lua data)'!$A$3:$C$9838,3,FALSE)</f>
        <v>Gardener of Seasons</v>
      </c>
      <c r="C645" s="9" t="str">
        <f>VLOOKUP(A645,'Sets (lua data)'!$A$3:$C$9838,2,FALSE)</f>
        <v>Gärtner der Jahreszeiten</v>
      </c>
    </row>
    <row r="646" spans="1:3" x14ac:dyDescent="0.25">
      <c r="A646" s="1">
        <v>730</v>
      </c>
      <c r="B646" s="9" t="str">
        <f>VLOOKUP(A646,'Sets (lua data)'!$A$3:$C$9838,3,FALSE)</f>
        <v>Cinders of Anthelmir</v>
      </c>
      <c r="C646" s="9" t="str">
        <f>VLOOKUP(A646,'Sets (lua data)'!$A$3:$C$9838,2,FALSE)</f>
        <v>Cinders of Anthelmir</v>
      </c>
    </row>
    <row r="647" spans="1:3" x14ac:dyDescent="0.25">
      <c r="A647" s="1">
        <v>731</v>
      </c>
      <c r="B647" s="9" t="str">
        <f>VLOOKUP(A647,'Sets (lua data)'!$A$3:$C$9838,3,FALSE)</f>
        <v>Sluthrug\'s Hunger</v>
      </c>
      <c r="C647" s="9" t="str">
        <f>VLOOKUP(A647,'Sets (lua data)'!$A$3:$C$9838,2,FALSE)</f>
        <v>Sluthrug\'s Hunger</v>
      </c>
    </row>
    <row r="648" spans="1:3" x14ac:dyDescent="0.25">
      <c r="A648" s="1">
        <v>732</v>
      </c>
      <c r="B648" s="9" t="str">
        <f>VLOOKUP(A648,'Sets (lua data)'!$A$3:$C$9838,3,FALSE)</f>
        <v>Black-Grove Grounding</v>
      </c>
      <c r="C648" s="9" t="str">
        <f>VLOOKUP(A648,'Sets (lua data)'!$A$3:$C$9838,2,FALSE)</f>
        <v>Black-Grove Grounding</v>
      </c>
    </row>
    <row r="649" spans="1:3" x14ac:dyDescent="0.25">
      <c r="A649" s="1">
        <v>734</v>
      </c>
      <c r="B649" s="9" t="str">
        <f>VLOOKUP(A649,'Sets (lua data)'!$A$3:$C$9838,3,FALSE)</f>
        <v>Anthelmir\'s Construct</v>
      </c>
      <c r="C649" s="9" t="str">
        <f>VLOOKUP(A649,'Sets (lua data)'!$A$3:$C$9838,2,FALSE)</f>
        <v>Anthelmirs Konstrukt</v>
      </c>
    </row>
    <row r="650" spans="1:3" x14ac:dyDescent="0.25">
      <c r="A650" s="1">
        <v>735</v>
      </c>
      <c r="B650" s="9" t="str">
        <f>VLOOKUP(A650,'Sets (lua data)'!$A$3:$C$9838,3,FALSE)</f>
        <v>Blind Path Induction</v>
      </c>
      <c r="C650" s="9" t="str">
        <f>VLOOKUP(A650,'Sets (lua data)'!$A$3:$C$9838,2,FALSE)</f>
        <v>Blind Path Induction</v>
      </c>
    </row>
    <row r="651" spans="1:3" x14ac:dyDescent="0.25">
      <c r="A651" s="1">
        <v>736</v>
      </c>
      <c r="B651" s="9" t="str">
        <f>VLOOKUP(A651,'Sets (lua data)'!$A$3:$C$9838,3,FALSE)</f>
        <v>Tarnished Nightmare</v>
      </c>
      <c r="C651" s="9" t="str">
        <f>VLOOKUP(A651,'Sets (lua data)'!$A$3:$C$9838,2,FALSE)</f>
        <v>Tarnished Nightmare</v>
      </c>
    </row>
    <row r="652" spans="1:3" x14ac:dyDescent="0.25">
      <c r="A652" s="1">
        <v>737</v>
      </c>
      <c r="B652" s="9" t="str">
        <f>VLOOKUP(A652,'Sets (lua data)'!$A$3:$C$9838,3,FALSE)</f>
        <v>Reflected Fury</v>
      </c>
      <c r="C652" s="9" t="str">
        <f>VLOOKUP(A652,'Sets (lua data)'!$A$3:$C$9838,2,FALSE)</f>
        <v>Reflected Fury</v>
      </c>
    </row>
    <row r="653" spans="1:3" x14ac:dyDescent="0.25">
      <c r="A653" s="1">
        <v>738</v>
      </c>
      <c r="B653" s="9" t="str">
        <f>VLOOKUP(A653,'Sets (lua data)'!$A$3:$C$9838,3,FALSE)</f>
        <v>The Blind</v>
      </c>
      <c r="C653" s="9" t="str">
        <f>VLOOKUP(A653,'Sets (lua data)'!$A$3:$C$9838,2,FALSE)</f>
        <v>Der Blinde</v>
      </c>
    </row>
    <row r="654" spans="1:3" x14ac:dyDescent="0.25">
      <c r="A654" s="1">
        <v>754</v>
      </c>
      <c r="B654" s="9" t="str">
        <f>VLOOKUP(A654,'Sets (lua data)'!$A$3:$C$9838,3,FALSE)</f>
        <v>Oakfather\'s Retribution</v>
      </c>
      <c r="C654" s="9" t="str">
        <f>VLOOKUP(A654,'Sets (lua data)'!$A$3:$C$9838,2,FALSE)</f>
        <v>Oakfather\'s Retribution</v>
      </c>
    </row>
    <row r="655" spans="1:3" x14ac:dyDescent="0.25">
      <c r="A655" s="1">
        <v>755</v>
      </c>
      <c r="B655" s="9" t="str">
        <f>VLOOKUP(A655,'Sets (lua data)'!$A$3:$C$9838,3,FALSE)</f>
        <v>Blunted Blades</v>
      </c>
      <c r="C655" s="9" t="str">
        <f>VLOOKUP(A655,'Sets (lua data)'!$A$3:$C$9838,2,FALSE)</f>
        <v>Blunted Blades</v>
      </c>
    </row>
    <row r="656" spans="1:3" x14ac:dyDescent="0.25">
      <c r="A656" s="1">
        <v>756</v>
      </c>
      <c r="B656" s="9" t="str">
        <f>VLOOKUP(A656,'Sets (lua data)'!$A$3:$C$9838,3,FALSE)</f>
        <v>Baan Dar\'s Blessing</v>
      </c>
      <c r="C656" s="9" t="str">
        <f>VLOOKUP(A656,'Sets (lua data)'!$A$3:$C$9838,2,FALSE)</f>
        <v>Baan Dar\'s Blessing</v>
      </c>
    </row>
    <row r="657" spans="1:3" x14ac:dyDescent="0.25">
      <c r="A657" s="1">
        <v>757</v>
      </c>
      <c r="B657" s="9" t="str">
        <f>VLOOKUP(A657,'Sets (lua data)'!$A$3:$C$9838,3,FALSE)</f>
        <v>Symmetry of the Weald</v>
      </c>
      <c r="C657" s="9" t="str">
        <f>VLOOKUP(A657,'Sets (lua data)'!$A$3:$C$9838,2,FALSE)</f>
        <v>Symmetry of the Weald</v>
      </c>
    </row>
    <row r="658" spans="1:3" x14ac:dyDescent="0.25">
      <c r="A658" s="1">
        <v>758</v>
      </c>
      <c r="B658" s="9" t="str">
        <f>VLOOKUP(A658,'Sets (lua data)'!$A$3:$C$9838,3,FALSE)</f>
        <v>Macabre Vintage</v>
      </c>
      <c r="C658" s="9" t="str">
        <f>VLOOKUP(A658,'Sets (lua data)'!$A$3:$C$9838,2,FALSE)</f>
        <v>Macabre Vintage</v>
      </c>
    </row>
    <row r="659" spans="1:3" x14ac:dyDescent="0.25">
      <c r="A659" s="1">
        <v>759</v>
      </c>
      <c r="B659" s="9" t="str">
        <f>VLOOKUP(A659,'Sets (lua data)'!$A$3:$C$9838,3,FALSE)</f>
        <v>Ayleid Rufuge</v>
      </c>
      <c r="C659" s="9" t="str">
        <f>VLOOKUP(A659,'Sets (lua data)'!$A$3:$C$9838,2,FALSE)</f>
        <v>Ayleid Rufuge</v>
      </c>
    </row>
    <row r="660" spans="1:3" x14ac:dyDescent="0.25">
      <c r="A660" s="1">
        <v>760</v>
      </c>
      <c r="B660" s="9" t="str">
        <f>VLOOKUP(A660,'Sets (lua data)'!$A$3:$C$9838,3,FALSE)</f>
        <v>Rourken Steamguards</v>
      </c>
      <c r="C660" s="9" t="str">
        <f>VLOOKUP(A660,'Sets (lua data)'!$A$3:$C$9838,2,FALSE)</f>
        <v>Rourken Steamguards</v>
      </c>
    </row>
    <row r="661" spans="1:3" x14ac:dyDescent="0.25">
      <c r="A661" s="1">
        <v>761</v>
      </c>
      <c r="B661" s="9" t="str">
        <f>VLOOKUP(A661,'Sets (lua data)'!$A$3:$C$9838,3,FALSE)</f>
        <v>The Shadow Queen\'s Cowl</v>
      </c>
      <c r="C661" s="9" t="str">
        <f>VLOOKUP(A661,'Sets (lua data)'!$A$3:$C$9838,2,FALSE)</f>
        <v>The Shadow Queen\'s Cowl</v>
      </c>
    </row>
    <row r="662" spans="1:3" x14ac:dyDescent="0.25">
      <c r="A662" s="1">
        <v>762</v>
      </c>
      <c r="B662" s="9" t="str">
        <f>VLOOKUP(A662,'Sets (lua data)'!$A$3:$C$9838,3,FALSE)</f>
        <v>The Saint and the Seducer</v>
      </c>
      <c r="C662" s="9" t="str">
        <f>VLOOKUP(A662,'Sets (lua data)'!$A$3:$C$9838,2,FALSE)</f>
        <v>The Saint and the Seducer</v>
      </c>
    </row>
    <row r="663" spans="1:3" x14ac:dyDescent="0.25">
      <c r="A663" s="1">
        <v>763</v>
      </c>
      <c r="B663" s="9" t="str">
        <f>VLOOKUP(A663,'Sets (lua data)'!$A$3:$C$9838,3,FALSE)</f>
        <v>Tharriker\'s Strike</v>
      </c>
      <c r="C663" s="9" t="str">
        <f>VLOOKUP(A663,'Sets (lua data)'!$A$3:$C$9838,2,FALSE)</f>
        <v>Tharriker\'s Strike</v>
      </c>
    </row>
    <row r="664" spans="1:3" x14ac:dyDescent="0.25">
      <c r="A664" s="1">
        <v>763</v>
      </c>
      <c r="B664" s="9" t="str">
        <f>VLOOKUP(A664,'Sets (lua data)'!$A$3:$C$9838,3,FALSE)</f>
        <v>Tharriker\'s Strike</v>
      </c>
      <c r="C664" s="9" t="str">
        <f>VLOOKUP(A664,'Sets (lua data)'!$A$3:$C$9838,2,FALSE)</f>
        <v>Tharriker\'s Strike</v>
      </c>
    </row>
    <row r="665" spans="1:3" x14ac:dyDescent="0.25">
      <c r="A665" s="1">
        <v>764</v>
      </c>
      <c r="B665" s="9" t="str">
        <f>VLOOKUP(A665,'Sets (lua data)'!$A$3:$C$9838,3,FALSE)</f>
        <v>Highland Sentinel</v>
      </c>
      <c r="C665" s="9" t="str">
        <f>VLOOKUP(A665,'Sets (lua data)'!$A$3:$C$9838,2,FALSE)</f>
        <v>Highland Sentinel</v>
      </c>
    </row>
    <row r="666" spans="1:3" x14ac:dyDescent="0.25">
      <c r="A666" s="1">
        <v>764</v>
      </c>
      <c r="B666" s="9" t="str">
        <f>VLOOKUP(A666,'Sets (lua data)'!$A$3:$C$9838,3,FALSE)</f>
        <v>Highland Sentinel</v>
      </c>
      <c r="C666" s="9" t="str">
        <f>VLOOKUP(A666,'Sets (lua data)'!$A$3:$C$9838,2,FALSE)</f>
        <v>Highland Sentinel</v>
      </c>
    </row>
    <row r="667" spans="1:3" x14ac:dyDescent="0.25">
      <c r="A667" s="1">
        <v>765</v>
      </c>
      <c r="B667" s="9" t="str">
        <f>VLOOKUP(A667,'Sets (lua data)'!$A$3:$C$9838,3,FALSE)</f>
        <v>Threads of War</v>
      </c>
      <c r="C667" s="9" t="str">
        <f>VLOOKUP(A667,'Sets (lua data)'!$A$3:$C$9838,2,FALSE)</f>
        <v>Threads of War</v>
      </c>
    </row>
    <row r="668" spans="1:3" x14ac:dyDescent="0.25">
      <c r="A668" s="1">
        <v>765</v>
      </c>
      <c r="B668" s="9" t="str">
        <f>VLOOKUP(A668,'Sets (lua data)'!$A$3:$C$9838,3,FALSE)</f>
        <v>Threads of War</v>
      </c>
      <c r="C668" s="9" t="str">
        <f>VLOOKUP(A668,'Sets (lua data)'!$A$3:$C$9838,2,FALSE)</f>
        <v>Threads of War</v>
      </c>
    </row>
    <row r="669" spans="1:3" x14ac:dyDescent="0.25">
      <c r="A669" s="1">
        <v>766</v>
      </c>
      <c r="B669" s="9" t="str">
        <f>VLOOKUP(A669,'Sets (lua data)'!$A$3:$C$9838,3,FALSE)</f>
        <v>Mora Scribe\'s Thesis</v>
      </c>
      <c r="C669" s="9" t="str">
        <f>VLOOKUP(A669,'Sets (lua data)'!$A$3:$C$9838,2,FALSE)</f>
        <v>Mora Scribe\'s Thesis</v>
      </c>
    </row>
    <row r="670" spans="1:3" x14ac:dyDescent="0.25">
      <c r="A670" s="1">
        <v>766</v>
      </c>
      <c r="B670" s="9" t="str">
        <f>VLOOKUP(A670,'Sets (lua data)'!$A$3:$C$9838,3,FALSE)</f>
        <v>Mora Scribe\'s Thesis</v>
      </c>
      <c r="C670" s="9" t="str">
        <f>VLOOKUP(A670,'Sets (lua data)'!$A$3:$C$9838,2,FALSE)</f>
        <v>Mora Scribe\'s Thesis</v>
      </c>
    </row>
    <row r="671" spans="1:3" x14ac:dyDescent="0.25">
      <c r="A671" s="1">
        <v>767</v>
      </c>
      <c r="B671" s="9" t="str">
        <f>VLOOKUP(A671,'Sets (lua data)'!$A$3:$C$9838,3,FALSE)</f>
        <v>Slivers of the Null Arca</v>
      </c>
      <c r="C671" s="9" t="str">
        <f>VLOOKUP(A671,'Sets (lua data)'!$A$3:$C$9838,2,FALSE)</f>
        <v>Slivers of the Null Arca</v>
      </c>
    </row>
    <row r="672" spans="1:3" x14ac:dyDescent="0.25">
      <c r="A672" s="1">
        <v>767</v>
      </c>
      <c r="B672" s="9" t="str">
        <f>VLOOKUP(A672,'Sets (lua data)'!$A$3:$C$9838,3,FALSE)</f>
        <v>Slivers of the Null Arca</v>
      </c>
      <c r="C672" s="9" t="str">
        <f>VLOOKUP(A672,'Sets (lua data)'!$A$3:$C$9838,2,FALSE)</f>
        <v>Slivers of the Null Arca</v>
      </c>
    </row>
    <row r="673" spans="1:3" x14ac:dyDescent="0.25">
      <c r="A673" s="1">
        <v>768</v>
      </c>
      <c r="B673" s="9" t="str">
        <f>VLOOKUP(A673,'Sets (lua data)'!$A$3:$C$9838,3,FALSE)</f>
        <v>Lucent Echoes</v>
      </c>
      <c r="C673" s="9" t="str">
        <f>VLOOKUP(A673,'Sets (lua data)'!$A$3:$C$9838,2,FALSE)</f>
        <v>Lucent Echoes</v>
      </c>
    </row>
    <row r="674" spans="1:3" x14ac:dyDescent="0.25">
      <c r="A674" s="1">
        <v>768</v>
      </c>
      <c r="B674" s="9" t="str">
        <f>VLOOKUP(A674,'Sets (lua data)'!$A$3:$C$9838,3,FALSE)</f>
        <v>Lucent Echoes</v>
      </c>
      <c r="C674" s="9" t="str">
        <f>VLOOKUP(A674,'Sets (lua data)'!$A$3:$C$9838,2,FALSE)</f>
        <v>Lucent Echoes</v>
      </c>
    </row>
    <row r="675" spans="1:3" x14ac:dyDescent="0.25">
      <c r="A675" s="1">
        <v>769</v>
      </c>
      <c r="B675" s="9" t="str">
        <f>VLOOKUP(A675,'Sets (lua data)'!$A$3:$C$9838,3,FALSE)</f>
        <v>Xoryn\'s Masterpiece</v>
      </c>
      <c r="C675" s="9" t="str">
        <f>VLOOKUP(A675,'Sets (lua data)'!$A$3:$C$9838,2,FALSE)</f>
        <v>Xoryn\'s Masterpiece</v>
      </c>
    </row>
    <row r="676" spans="1:3" x14ac:dyDescent="0.25">
      <c r="A676" s="1">
        <v>769</v>
      </c>
      <c r="B676" s="9" t="str">
        <f>VLOOKUP(A676,'Sets (lua data)'!$A$3:$C$9838,3,FALSE)</f>
        <v>Xoryn\'s Masterpiece</v>
      </c>
      <c r="C676" s="9" t="str">
        <f>VLOOKUP(A676,'Sets (lua data)'!$A$3:$C$9838,2,FALSE)</f>
        <v>Xoryn\'s Masterpiece</v>
      </c>
    </row>
    <row r="677" spans="1:3" x14ac:dyDescent="0.25">
      <c r="A677" s="1">
        <v>770</v>
      </c>
      <c r="B677" s="9" t="str">
        <f>VLOOKUP(A677,'Sets (lua data)'!$A$3:$C$9838,3,FALSE)</f>
        <v>Perfected Xoryn\'s Masterpiece</v>
      </c>
      <c r="C677" s="9" t="str">
        <f>VLOOKUP(A677,'Sets (lua data)'!$A$3:$C$9838,2,FALSE)</f>
        <v>Perfected Xoryn\'s Masterpiece</v>
      </c>
    </row>
    <row r="678" spans="1:3" x14ac:dyDescent="0.25">
      <c r="A678" s="1">
        <v>770</v>
      </c>
      <c r="B678" s="9" t="str">
        <f>VLOOKUP(A678,'Sets (lua data)'!$A$3:$C$9838,3,FALSE)</f>
        <v>Perfected Xoryn\'s Masterpiece</v>
      </c>
      <c r="C678" s="9" t="str">
        <f>VLOOKUP(A678,'Sets (lua data)'!$A$3:$C$9838,2,FALSE)</f>
        <v>Perfected Xoryn\'s Masterpiece</v>
      </c>
    </row>
    <row r="679" spans="1:3" x14ac:dyDescent="0.25">
      <c r="A679" s="1">
        <v>771</v>
      </c>
      <c r="B679" s="9" t="str">
        <f>VLOOKUP(A679,'Sets (lua data)'!$A$3:$C$9838,3,FALSE)</f>
        <v>Perfected Lucent Echoes</v>
      </c>
      <c r="C679" s="9" t="str">
        <f>VLOOKUP(A679,'Sets (lua data)'!$A$3:$C$9838,2,FALSE)</f>
        <v>Perfected Lucent Echoes</v>
      </c>
    </row>
    <row r="680" spans="1:3" x14ac:dyDescent="0.25">
      <c r="A680" s="1">
        <v>772</v>
      </c>
      <c r="B680" s="9" t="str">
        <f>VLOOKUP(A680,'Sets (lua data)'!$A$3:$C$9838,3,FALSE)</f>
        <v>Perfected Slivers of the Null Arca</v>
      </c>
      <c r="C680" s="9" t="str">
        <f>VLOOKUP(A680,'Sets (lua data)'!$A$3:$C$9838,2,FALSE)</f>
        <v>Perfected Slivers of the Null Arca</v>
      </c>
    </row>
    <row r="681" spans="1:3" x14ac:dyDescent="0.25">
      <c r="A681" s="1">
        <v>773</v>
      </c>
      <c r="B681" s="9" t="str">
        <f>VLOOKUP(A681,'Sets (lua data)'!$A$3:$C$9838,3,FALSE)</f>
        <v>Perfected Mora Scribe\'s Thesis</v>
      </c>
      <c r="C681" s="9" t="str">
        <f>VLOOKUP(A681,'Sets (lua data)'!$A$3:$C$9838,2,FALSE)</f>
        <v>Perfected Mora Scribe\'s Thesis</v>
      </c>
    </row>
    <row r="682" spans="1:3" x14ac:dyDescent="0.25">
      <c r="A682" s="1">
        <v>774</v>
      </c>
      <c r="B682" s="9" t="e">
        <f>VLOOKUP(A682,'Sets (lua data)'!$A$3:$C$9838,3,FALSE)</f>
        <v>#N/A</v>
      </c>
      <c r="C682" s="9" t="e">
        <f>VLOOKUP(A682,'Sets (lua data)'!$A$3:$C$9838,2,FALSE)</f>
        <v>#N/A</v>
      </c>
    </row>
    <row r="683" spans="1:3" x14ac:dyDescent="0.25">
      <c r="A683" s="1">
        <v>775</v>
      </c>
      <c r="B683" s="9" t="str">
        <f>VLOOKUP(A683,'Sets (lua data)'!$A$3:$C$9838,3,FALSE)</f>
        <v>Spattering Disjunction</v>
      </c>
      <c r="C683" s="9" t="str">
        <f>VLOOKUP(A683,'Sets (lua data)'!$A$3:$C$9838,2,FALSE)</f>
        <v>Spattering Disjunction</v>
      </c>
    </row>
    <row r="684" spans="1:3" x14ac:dyDescent="0.25">
      <c r="A684" s="1">
        <v>776</v>
      </c>
      <c r="B684" s="9" t="str">
        <f>VLOOKUP(A684,'Sets (lua data)'!$A$3:$C$9838,3,FALSE)</f>
        <v>Pyrebrand</v>
      </c>
      <c r="C684" s="9" t="str">
        <f>VLOOKUP(A684,'Sets (lua data)'!$A$3:$C$9838,2,FALSE)</f>
        <v>Pyrebrand</v>
      </c>
    </row>
    <row r="685" spans="1:3" x14ac:dyDescent="0.25">
      <c r="A685" s="1">
        <v>777</v>
      </c>
      <c r="B685" s="9" t="str">
        <f>VLOOKUP(A685,'Sets (lua data)'!$A$3:$C$9838,3,FALSE)</f>
        <v>Corpseburster</v>
      </c>
      <c r="C685" s="9" t="str">
        <f>VLOOKUP(A685,'Sets (lua data)'!$A$3:$C$9838,2,FALSE)</f>
        <v>Corpseburster</v>
      </c>
    </row>
    <row r="686" spans="1:3" x14ac:dyDescent="0.25">
      <c r="A686" s="1">
        <v>778</v>
      </c>
      <c r="B686" s="9" t="str">
        <f>VLOOKUP(A686,'Sets (lua data)'!$A$3:$C$9838,3,FALSE)</f>
        <v>Umbral Edge</v>
      </c>
      <c r="C686" s="9" t="str">
        <f>VLOOKUP(A686,'Sets (lua data)'!$A$3:$C$9838,2,FALSE)</f>
        <v>Umbral Edge</v>
      </c>
    </row>
    <row r="687" spans="1:3" x14ac:dyDescent="0.25">
      <c r="A687" s="1">
        <v>779</v>
      </c>
      <c r="B687" s="9" t="str">
        <f>VLOOKUP(A687,'Sets (lua data)'!$A$3:$C$9838,3,FALSE)</f>
        <v>Beacon of Oblivion</v>
      </c>
      <c r="C687" s="9" t="str">
        <f>VLOOKUP(A687,'Sets (lua data)'!$A$3:$C$9838,2,FALSE)</f>
        <v>Beacon of Oblivion</v>
      </c>
    </row>
    <row r="688" spans="1:3" x14ac:dyDescent="0.25">
      <c r="A688" s="1">
        <v>780</v>
      </c>
      <c r="B688" s="9" t="str">
        <f>VLOOKUP(A688,'Sets (lua data)'!$A$3:$C$9838,3,FALSE)</f>
        <v>Aetheric Lance</v>
      </c>
      <c r="C688" s="9" t="str">
        <f>VLOOKUP(A688,'Sets (lua data)'!$A$3:$C$9838,2,FALSE)</f>
        <v>Aetheric Lance</v>
      </c>
    </row>
    <row r="689" spans="1:3" x14ac:dyDescent="0.25">
      <c r="A689" s="1">
        <v>781</v>
      </c>
      <c r="B689" s="9" t="str">
        <f>VLOOKUP(A689,'Sets (lua data)'!$A$3:$C$9838,3,FALSE)</f>
        <v>Aerie\'s Cry</v>
      </c>
      <c r="C689" s="9" t="str">
        <f>VLOOKUP(A689,'Sets (lua data)'!$A$3:$C$9838,2,FALSE)</f>
        <v>Aerie\'s Cry</v>
      </c>
    </row>
    <row r="690" spans="1:3" x14ac:dyDescent="0.25">
      <c r="A690" s="1">
        <v>782</v>
      </c>
      <c r="B690" s="9" t="str">
        <f>VLOOKUP(A690,'Sets (lua data)'!$A$3:$C$9838,3,FALSE)</f>
        <v>Tracker\'s Lash</v>
      </c>
      <c r="C690" s="9" t="str">
        <f>VLOOKUP(A690,'Sets (lua data)'!$A$3:$C$9838,2,FALSE)</f>
        <v>Tracker\'s Lash</v>
      </c>
    </row>
    <row r="691" spans="1:3" x14ac:dyDescent="0.25">
      <c r="A691" s="1">
        <v>783</v>
      </c>
      <c r="B691" s="9" t="str">
        <f>VLOOKUP(A691,'Sets (lua data)'!$A$3:$C$9838,3,FALSE)</f>
        <v>Shared Pain</v>
      </c>
      <c r="C691" s="9" t="str">
        <f>VLOOKUP(A691,'Sets (lua data)'!$A$3:$C$9838,2,FALSE)</f>
        <v>Shared Pain</v>
      </c>
    </row>
    <row r="692" spans="1:3" x14ac:dyDescent="0.25">
      <c r="A692" s="1">
        <v>784</v>
      </c>
      <c r="B692" s="9" t="str">
        <f>VLOOKUP(A692,'Sets (lua data)'!$A$3:$C$9838,3,FALSE)</f>
        <v>Siegemaster'\s Focus</v>
      </c>
      <c r="C692" s="9" t="str">
        <f>VLOOKUP(A692,'Sets (lua data)'!$A$3:$C$9838,2,FALSE)</f>
        <v>Siegemaster'\s Focus</v>
      </c>
    </row>
    <row r="693" spans="1:3" x14ac:dyDescent="0.25">
      <c r="A693" s="1">
        <v>791</v>
      </c>
      <c r="B693" s="9" t="str">
        <f>VLOOKUP(A693,'Sets (lua data)'!$A$3:$C$9838,3,FALSE)</f>
        <v>Bulwark Ruination</v>
      </c>
      <c r="C693" s="9" t="str">
        <f>VLOOKUP(A693,'Sets (lua data)'!$A$3:$C$9838,2,FALSE)</f>
        <v>Bulwark Ruination</v>
      </c>
    </row>
    <row r="694" spans="1:3" x14ac:dyDescent="0.25">
      <c r="A694" s="1">
        <v>792</v>
      </c>
      <c r="B694" s="9" t="str">
        <f>VLOOKUP(A694,'Sets (lua data)'!$A$3:$C$9838,3,FALSE)</f>
        <v>Farstrider</v>
      </c>
      <c r="C694" s="9" t="str">
        <f>VLOOKUP(A694,'Sets (lua data)'!$A$3:$C$9838,2,FALSE)</f>
        <v>Farstrider</v>
      </c>
    </row>
    <row r="695" spans="1:3" x14ac:dyDescent="0.25">
      <c r="A695" s="1">
        <v>793</v>
      </c>
      <c r="B695" s="9" t="str">
        <f>VLOOKUP(A695,'Sets (lua data)'!$A$3:$C$9838,3,FALSE)</f>
        <v>Netch Oil</v>
      </c>
      <c r="C695" s="9" t="str">
        <f>VLOOKUP(A695,'Sets (lua data)'!$A$3:$C$9838,2,FALSE)</f>
        <v>Netch Oil</v>
      </c>
    </row>
    <row r="696" spans="1:3" x14ac:dyDescent="0.25">
      <c r="A696" s="1">
        <v>794</v>
      </c>
      <c r="B696" s="9" t="str">
        <f>VLOOKUP(A696,'Sets (lua data)'!$A$3:$C$9838,3,FALSE)</f>
        <v>Vandorallen\'s Resonance</v>
      </c>
      <c r="C696" s="9" t="str">
        <f>VLOOKUP(A696,'Sets (lua data)'!$A$3:$C$9838,2,FALSE)</f>
        <v>Vandorallen\'s Resonance</v>
      </c>
    </row>
    <row r="697" spans="1:3" x14ac:dyDescent="0.25">
      <c r="A697" s="1">
        <v>795</v>
      </c>
      <c r="B697" s="9" t="str">
        <f>VLOOKUP(A697,'Sets (lua data)'!$A$3:$C$9838,3,FALSE)</f>
        <v>Jerensi\'s Bladestorm</v>
      </c>
      <c r="C697" s="9" t="str">
        <f>VLOOKUP(A697,'Sets (lua data)'!$A$3:$C$9838,2,FALSE)</f>
        <v>Jerensi\'s Bladestorm</v>
      </c>
    </row>
    <row r="698" spans="1:3" x14ac:dyDescent="0.25">
      <c r="A698" s="1">
        <v>796</v>
      </c>
      <c r="B698" s="9" t="str">
        <f>VLOOKUP(A698,'Sets (lua data)'!$A$3:$C$9838,3,FALSE)</f>
        <v>Lucilla\'s Windshield</v>
      </c>
      <c r="C698" s="9" t="str">
        <f>VLOOKUP(A698,'Sets (lua data)'!$A$3:$C$9838,2,FALSE)</f>
        <v>Lucilla\'s Windshield</v>
      </c>
    </row>
    <row r="699" spans="1:3" x14ac:dyDescent="0.25">
      <c r="A699" s="1">
        <v>797</v>
      </c>
      <c r="B699" s="9" t="str">
        <f>VLOOKUP(A699,'Sets (lua data)'!$A$3:$C$9838,3,FALSE)</f>
        <v>Squall of Retribution</v>
      </c>
      <c r="C699" s="9" t="str">
        <f>VLOOKUP(A699,'Sets (lua data)'!$A$3:$C$9838,2,FALSE)</f>
        <v>Squall of Retribution</v>
      </c>
    </row>
    <row r="700" spans="1:3" x14ac:dyDescent="0.25">
      <c r="A700" s="1">
        <v>798</v>
      </c>
      <c r="B700" s="9" t="str">
        <f>VLOOKUP(A700,'Sets (lua data)'!$A$3:$C$9838,3,FALSE)</f>
        <v>Heroic Unity</v>
      </c>
      <c r="C700" s="9" t="str">
        <f>VLOOKUP(A700,'Sets (lua data)'!$A$3:$C$9838,2,FALSE)</f>
        <v>Heroic Unity</v>
      </c>
    </row>
    <row r="701" spans="1:3" x14ac:dyDescent="0.25">
      <c r="A701" s="1">
        <v>799</v>
      </c>
      <c r="B701" s="9" t="str">
        <f>VLOOKUP(A701,'Sets (lua data)'!$A$3:$C$9838,3,FALSE)</f>
        <v>Fledgling\'s Nest</v>
      </c>
      <c r="C701" s="9" t="str">
        <f>VLOOKUP(A701,'Sets (lua data)'!$A$3:$C$9838,2,FALSE)</f>
        <v>Fledgling\'s Nest</v>
      </c>
    </row>
    <row r="702" spans="1:3" x14ac:dyDescent="0.25">
      <c r="A702" s="1">
        <v>800</v>
      </c>
      <c r="B702" s="9" t="str">
        <f>VLOOKUP(A702,'Sets (lua data)'!$A$3:$C$9838,3,FALSE)</f>
        <v>Noxious Boulder</v>
      </c>
      <c r="C702" s="9" t="str">
        <f>VLOOKUP(A702,'Sets (lua data)'!$A$3:$C$9838,2,FALSE)</f>
        <v>Noxious Boulder</v>
      </c>
    </row>
    <row r="703" spans="1:3" x14ac:dyDescent="0.25">
      <c r="A703" s="1">
        <v>801</v>
      </c>
      <c r="B703" s="9" t="str">
        <f>VLOOKUP(A703,'Sets (lua data)'!$A$3:$C$9838,3,FALSE)</f>
        <v>Orpheon the Tactician</v>
      </c>
      <c r="C703" s="9" t="str">
        <f>VLOOKUP(A703,'Sets (lua data)'!$A$3:$C$9838,2,FALSE)</f>
        <v>Orpheon the Tactician</v>
      </c>
    </row>
    <row r="704" spans="1:3" x14ac:dyDescent="0.25">
      <c r="A704" s="1">
        <v>802</v>
      </c>
      <c r="B704" s="9" t="str">
        <f>VLOOKUP(A704,'Sets (lua data)'!$A$3:$C$9838,3,FALSE)</f>
        <v>Arkay\'s Charity</v>
      </c>
      <c r="C704" s="9" t="str">
        <f>VLOOKUP(A704,'Sets (lua data)'!$A$3:$C$9838,2,FALSE)</f>
        <v>Arkay\'s Charity</v>
      </c>
    </row>
    <row r="705" spans="1:3" x14ac:dyDescent="0.25">
      <c r="A705" s="1">
        <v>803</v>
      </c>
      <c r="B705" s="9" t="str">
        <f>VLOOKUP(A705,'Sets (lua data)'!$A$3:$C$9838,3,FALSE)</f>
        <v xml:space="preserve">Lamp Knight\'s Art </v>
      </c>
      <c r="C705" s="9" t="str">
        <f>VLOOKUP(A705,'Sets (lua data)'!$A$3:$C$9838,2,FALSE)</f>
        <v xml:space="preserve">Lamp Knight\'s Art </v>
      </c>
    </row>
    <row r="706" spans="1:3" x14ac:dyDescent="0.25">
      <c r="A706" s="1">
        <v>804</v>
      </c>
      <c r="B706" s="9" t="str">
        <f>VLOOKUP(A706,'Sets (lua data)'!$A$3:$C$9838,3,FALSE)</f>
        <v>Blackfeather Flight</v>
      </c>
      <c r="C706" s="9" t="str">
        <f>VLOOKUP(A706,'Sets (lua data)'!$A$3:$C$9838,2,FALSE)</f>
        <v>Blackfeather Flight</v>
      </c>
    </row>
    <row r="707" spans="1:3" x14ac:dyDescent="0.25">
      <c r="A707" s="1">
        <v>805</v>
      </c>
      <c r="B707" s="9" t="str">
        <f>VLOOKUP(A707,'Sets (lua data)'!$A$3:$C$9838,3,FALSE)</f>
        <v>Three Queens Wellspring</v>
      </c>
      <c r="C707" s="9" t="str">
        <f>VLOOKUP(A707,'Sets (lua data)'!$A$3:$C$9838,2,FALSE)</f>
        <v>Three Queens Wellspring</v>
      </c>
    </row>
    <row r="708" spans="1:3" x14ac:dyDescent="0.25">
      <c r="A708" s="1">
        <v>806</v>
      </c>
      <c r="B708" s="9" t="str">
        <f>VLOOKUP(A708,'Sets (lua data)'!$A$3:$C$9838,3,FALSE)</f>
        <v>Death-Dancer</v>
      </c>
      <c r="C708" s="9" t="str">
        <f>VLOOKUP(A708,'Sets (lua data)'!$A$3:$C$9838,2,FALSE)</f>
        <v>Death-Dancer</v>
      </c>
    </row>
    <row r="709" spans="1:3" x14ac:dyDescent="0.25">
      <c r="A709" s="1">
        <v>807</v>
      </c>
      <c r="B709" s="9" t="str">
        <f>VLOOKUP(A709,'Sets (lua data)'!$A$3:$C$9838,3,FALSE)</f>
        <v>Full Belly Barricade</v>
      </c>
      <c r="C709" s="9" t="str">
        <f>VLOOKUP(A709,'Sets (lua data)'!$A$3:$C$9838,2,FALSE)</f>
        <v>Full Belly Barricade</v>
      </c>
    </row>
    <row r="710" spans="1:3" x14ac:dyDescent="0.25">
      <c r="A710" s="1">
        <v>808</v>
      </c>
      <c r="B710" s="9" t="str">
        <f>VLOOKUP(A710,'Sets (lua data)'!$A$3:$C$9838,3,FALSE)</f>
        <v>Shared Burden</v>
      </c>
      <c r="C710" s="9" t="str">
        <f>VLOOKUP(A710,'Sets (lua data)'!$A$3:$C$9838,2,FALSE)</f>
        <v>Shared Burden</v>
      </c>
    </row>
    <row r="711" spans="1:3" x14ac:dyDescent="0.25">
      <c r="A711" s="1">
        <v>809</v>
      </c>
      <c r="B711" s="9" t="str">
        <f>VLOOKUP(A711,'Sets (lua data)'!$A$3:$C$9838,3,FALSE)</f>
        <v>Tide-Born Wildstalker</v>
      </c>
      <c r="C711" s="9" t="str">
        <f>VLOOKUP(A711,'Sets (lua data)'!$A$3:$C$9838,2,FALSE)</f>
        <v>Tide-Born Wildstalker</v>
      </c>
    </row>
    <row r="712" spans="1:3" x14ac:dyDescent="0.25">
      <c r="A712" s="1">
        <v>810</v>
      </c>
      <c r="B712" s="9" t="str">
        <f>VLOOKUP(A712,'Sets (lua data)'!$A$3:$C$9838,3,FALSE)</f>
        <v>Fellowship's Fortitude</v>
      </c>
      <c r="C712" s="9" t="str">
        <f>VLOOKUP(A712,'Sets (lua data)'!$A$3:$C$9838,2,FALSE)</f>
        <v>Fellowship's Fortitude</v>
      </c>
    </row>
    <row r="713" spans="1:3" x14ac:dyDescent="0.25">
      <c r="A713" s="1">
        <v>811</v>
      </c>
      <c r="B713" s="9" t="str">
        <f>VLOOKUP(A713,'Sets (lua data)'!$A$3:$C$9838,3,FALSE)</f>
        <v>Mad God\'s Dancing Shoes</v>
      </c>
      <c r="C713" s="9" t="str">
        <f>VLOOKUP(A713,'Sets (lua data)'!$A$3:$C$9838,2,FALSE)</f>
        <v>Mad God\'s Dancing Shoes</v>
      </c>
    </row>
    <row r="714" spans="1:3" x14ac:dyDescent="0.25">
      <c r="A714" s="1">
        <v>812</v>
      </c>
      <c r="B714" s="9" t="str">
        <f>VLOOKUP(A714,'Sets (lua data)'!$A$3:$C$9838,3,FALSE)</f>
        <v>Rakkhat\'s Voidmantle</v>
      </c>
      <c r="C714" s="9" t="str">
        <f>VLOOKUP(A714,'Sets (lua data)'!$A$3:$C$9838,2,FALSE)</f>
        <v>Rakkhat\'s Voidmantle</v>
      </c>
    </row>
    <row r="715" spans="1:3" x14ac:dyDescent="0.25">
      <c r="A715" s="1">
        <v>813</v>
      </c>
      <c r="B715" s="9" t="str">
        <f>VLOOKUP(A715,'Sets (lua data)'!$A$3:$C$9838,3,FALSE)</f>
        <v>Monomyth Reforged</v>
      </c>
      <c r="C715" s="9" t="str">
        <f>VLOOKUP(A715,'Sets (lua data)'!$A$3:$C$9838,2,FALSE)</f>
        <v>Monomyth Reforged</v>
      </c>
    </row>
    <row r="716" spans="1:3" x14ac:dyDescent="0.25">
      <c r="A716" s="1">
        <v>814</v>
      </c>
      <c r="B716" s="9" t="str">
        <f>VLOOKUP(A716,'Sets (lua data)'!$A$3:$C$9838,3,FALSE)</f>
        <v>Harmony in Chaos</v>
      </c>
      <c r="C716" s="9" t="str">
        <f>VLOOKUP(A716,'Sets (lua data)'!$A$3:$C$9838,2,FALSE)</f>
        <v>Harmony in Chaos</v>
      </c>
    </row>
    <row r="717" spans="1:3" x14ac:dyDescent="0.25">
      <c r="A717" s="1">
        <v>815</v>
      </c>
      <c r="B717" s="9" t="str">
        <f>VLOOKUP(A717,'Sets (lua data)'!$A$3:$C$9838,3,FALSE)</f>
        <v>Kazpian\'s Cruel Signet</v>
      </c>
      <c r="C717" s="9" t="str">
        <f>VLOOKUP(A717,'Sets (lua data)'!$A$3:$C$9838,2,FALSE)</f>
        <v>Kazpian\'s Cruel Signet</v>
      </c>
    </row>
    <row r="718" spans="1:3" x14ac:dyDescent="0.25">
      <c r="A718" s="1">
        <v>816</v>
      </c>
      <c r="B718" s="9" t="str">
        <f>VLOOKUP(A718,'Sets (lua data)'!$A$3:$C$9838,3,FALSE)</f>
        <v>Dolorous Arena</v>
      </c>
      <c r="C718" s="9" t="str">
        <f>VLOOKUP(A718,'Sets (lua data)'!$A$3:$C$9838,2,FALSE)</f>
        <v>Dolorous Arena</v>
      </c>
    </row>
    <row r="719" spans="1:3" x14ac:dyDescent="0.25">
      <c r="A719" s="1">
        <v>817</v>
      </c>
      <c r="B719" s="9" t="str">
        <f>VLOOKUP(A719,'Sets (lua data)'!$A$3:$C$9838,3,FALSE)</f>
        <v>Recovery Convergence</v>
      </c>
      <c r="C719" s="9" t="str">
        <f>VLOOKUP(A719,'Sets (lua data)'!$A$3:$C$9838,2,FALSE)</f>
        <v>Recovery Convergence</v>
      </c>
    </row>
    <row r="720" spans="1:3" x14ac:dyDescent="0.25">
      <c r="A720" s="1">
        <v>818</v>
      </c>
      <c r="B720" s="9" t="str">
        <f>VLOOKUP(A720,'Sets (lua data)'!$A$3:$C$9838,3,FALSE)</f>
        <v>Perfected Recovery Convergence</v>
      </c>
      <c r="C720" s="9" t="str">
        <f>VLOOKUP(A720,'Sets (lua data)'!$A$3:$C$9838,2,FALSE)</f>
        <v>Perfected Recovery Convergence</v>
      </c>
    </row>
    <row r="721" spans="1:3" x14ac:dyDescent="0.25">
      <c r="A721" s="1">
        <v>819</v>
      </c>
      <c r="B721" s="9" t="str">
        <f>VLOOKUP(A721,'Sets (lua data)'!$A$3:$C$9838,3,FALSE)</f>
        <v>Perfected Dolorous Arena</v>
      </c>
      <c r="C721" s="9" t="str">
        <f>VLOOKUP(A721,'Sets (lua data)'!$A$3:$C$9838,2,FALSE)</f>
        <v>Perfected Dolorous Arena</v>
      </c>
    </row>
    <row r="722" spans="1:3" x14ac:dyDescent="0.25">
      <c r="A722" s="1">
        <v>820</v>
      </c>
      <c r="B722" s="9" t="str">
        <f>VLOOKUP(A722,'Sets (lua data)'!$A$3:$C$9838,3,FALSE)</f>
        <v>Perfected Kazpian\'s Cruel Signet</v>
      </c>
      <c r="C722" s="9" t="str">
        <f>VLOOKUP(A722,'Sets (lua data)'!$A$3:$C$9838,2,FALSE)</f>
        <v>Perfected Kazpian\'s Cruel Signet</v>
      </c>
    </row>
    <row r="723" spans="1:3" x14ac:dyDescent="0.25">
      <c r="A723" s="1">
        <v>821</v>
      </c>
      <c r="B723" s="9" t="str">
        <f>VLOOKUP(A723,'Sets (lua data)'!$A$3:$C$9838,3,FALSE)</f>
        <v>Perfected Harmony in Chaos</v>
      </c>
      <c r="C723" s="9" t="str">
        <f>VLOOKUP(A723,'Sets (lua data)'!$A$3:$C$9838,2,FALSE)</f>
        <v>Perfected Harmony in Chaos</v>
      </c>
    </row>
    <row r="724" spans="1:3" x14ac:dyDescent="0.25">
      <c r="A724" s="1">
        <v>822</v>
      </c>
      <c r="B724" s="9" t="str">
        <f>VLOOKUP(A724,'Sets (lua data)'!$A$3:$C$9838,3,FALSE)</f>
        <v>Lustrous Soulwell</v>
      </c>
      <c r="C724" s="9" t="str">
        <f>VLOOKUP(A724,'Sets (lua data)'!$A$3:$C$9838,2,FALSE)</f>
        <v>Lustrous Soulwell</v>
      </c>
    </row>
    <row r="725" spans="1:3" x14ac:dyDescent="0.25">
      <c r="A725" s="1">
        <v>823</v>
      </c>
      <c r="B725" s="9" t="str">
        <f>VLOOKUP(A725,'Sets (lua data)'!$A$3:$C$9838,3,FALSE)</f>
        <v>Vykand\'s Soulfury</v>
      </c>
      <c r="C725" s="9" t="str">
        <f>VLOOKUP(A725,'Sets (lua data)'!$A$3:$C$9838,2,FALSE)</f>
        <v>Vykand\'s Soulfury</v>
      </c>
    </row>
    <row r="726" spans="1:3" x14ac:dyDescent="0.25">
      <c r="A726" s="1">
        <v>824</v>
      </c>
      <c r="B726" s="9" t="str">
        <f>VLOOKUP(A726,'Sets (lua data)'!$A$3:$C$9838,3,FALSE)</f>
        <v>Black Foundry Steel</v>
      </c>
      <c r="C726" s="9" t="str">
        <f>VLOOKUP(A726,'Sets (lua data)'!$A$3:$C$9838,2,FALSE)</f>
        <v>Black Foundry Steel</v>
      </c>
    </row>
    <row r="727" spans="1:3" x14ac:dyDescent="0.25">
      <c r="A727" s="1">
        <v>825</v>
      </c>
      <c r="B727" s="9" t="str">
        <f>VLOOKUP(A727,'Sets (lua data)'!$A$3:$C$9838,3,FALSE)</f>
        <v>Xanmeer Spellweaver</v>
      </c>
      <c r="C727" s="9" t="str">
        <f>VLOOKUP(A727,'Sets (lua data)'!$A$3:$C$9838,2,FALSE)</f>
        <v>Xanmeer Spellweaver</v>
      </c>
    </row>
    <row r="728" spans="1:3" x14ac:dyDescent="0.25">
      <c r="A728" s="1">
        <v>826</v>
      </c>
      <c r="B728" s="9" t="str">
        <f>VLOOKUP(A728,'Sets (lua data)'!$A$3:$C$9838,3,FALSE)</f>
        <v>Tools of the Trapmaster</v>
      </c>
      <c r="C728" s="9" t="str">
        <f>VLOOKUP(A728,'Sets (lua data)'!$A$3:$C$9838,2,FALSE)</f>
        <v>Tools of the Trapmaster</v>
      </c>
    </row>
    <row r="729" spans="1:3" x14ac:dyDescent="0.25">
      <c r="A729" s="1">
        <v>827</v>
      </c>
      <c r="B729" s="9" t="str">
        <f>VLOOKUP(A729,'Sets (lua data)'!$A$3:$C$9838,3,FALSE)</f>
        <v>Stonehulk Domination</v>
      </c>
      <c r="C729" s="9" t="str">
        <f>VLOOKUP(A729,'Sets (lua data)'!$A$3:$C$9838,2,FALSE)</f>
        <v>Stonehulk Domination</v>
      </c>
    </row>
    <row r="730" spans="1:3" x14ac:dyDescent="0.25">
      <c r="A730" s="1">
        <v>828</v>
      </c>
      <c r="B730" s="9" t="str">
        <f>VLOOKUP(A730,'Sets (lua data)'!$A$3:$C$9838,3,FALSE)</f>
        <v>Black Gem Monstrosity</v>
      </c>
      <c r="C730" s="9" t="str">
        <f>VLOOKUP(A730,'Sets (lua data)'!$A$3:$C$9838,2,FALSE)</f>
        <v>Black Gem Monstrosity</v>
      </c>
    </row>
    <row r="731" spans="1:3" x14ac:dyDescent="0.25">
      <c r="A731" s="1">
        <v>829</v>
      </c>
      <c r="B731" s="9" t="str">
        <f>VLOOKUP(A731,'Sets (lua data)'!$A$3:$C$9838,3,FALSE)</f>
        <v>Bar-Sakka</v>
      </c>
      <c r="C731" s="9" t="str">
        <f>VLOOKUP(A731,'Sets (lua data)'!$A$3:$C$9838,2,FALSE)</f>
        <v>Bar-Sakka</v>
      </c>
    </row>
    <row r="732" spans="1:3" x14ac:dyDescent="0.25">
      <c r="A732" s="1">
        <v>830</v>
      </c>
      <c r="B732" s="9" t="str">
        <f>VLOOKUP(A732,'Sets (lua data)'!$A$3:$C$9838,3,FALSE)</f>
        <v>Spellshredder</v>
      </c>
      <c r="C732" s="9" t="str">
        <f>VLOOKUP(A732,'Sets (lua data)'!$A$3:$C$9838,2,FALSE)</f>
        <v>Spellshredder</v>
      </c>
    </row>
    <row r="733" spans="1:3" x14ac:dyDescent="0.25">
      <c r="A733" s="1">
        <v>831</v>
      </c>
      <c r="B733" s="9" t="str">
        <f>VLOOKUP(A733,'Sets (lua data)'!$A$3:$C$9838,3,FALSE)</f>
        <v>Coup De Grâce</v>
      </c>
      <c r="C733" s="9" t="str">
        <f>VLOOKUP(A733,'Sets (lua data)'!$A$3:$C$9838,2,FALSE)</f>
        <v>Coup De Grâce</v>
      </c>
    </row>
    <row r="734" spans="1:3" x14ac:dyDescent="0.25">
      <c r="A734" s="1">
        <v>832</v>
      </c>
      <c r="B734" s="9" t="str">
        <f>VLOOKUP(A734,'Sets (lua data)'!$A$3:$C$9838,3,FALSE)</f>
        <v>Unflinching Ultimate</v>
      </c>
      <c r="C734" s="9" t="str">
        <f>VLOOKUP(A734,'Sets (lua data)'!$A$3:$C$9838,2,FALSE)</f>
        <v>Unflinching Ultimate</v>
      </c>
    </row>
    <row r="735" spans="1:3" x14ac:dyDescent="0.25">
      <c r="A735" s="1">
        <v>845</v>
      </c>
      <c r="B735" s="9" t="str">
        <f>VLOOKUP(A735,'Sets (lua data)'!$A$3:$C$9838,3,FALSE)</f>
        <v>Huntsman's Warmask</v>
      </c>
      <c r="C735" s="9" t="str">
        <f>VLOOKUP(A735,'Sets (lua data)'!$A$3:$C$9838,2,FALSE)</f>
        <v>Huntsman's Warmask</v>
      </c>
    </row>
    <row r="736" spans="1:3" x14ac:dyDescent="0.25">
      <c r="A736" s="1">
        <v>846</v>
      </c>
      <c r="B736" s="9" t="str">
        <f>VLOOKUP(A736,'Sets (lua data)'!$A$3:$C$9838,3,FALSE)</f>
        <v>Xanmeer Genesis</v>
      </c>
      <c r="C736" s="9" t="str">
        <f>VLOOKUP(A736,'Sets (lua data)'!$A$3:$C$9838,2,FALSE)</f>
        <v>Xanmeer Genesis</v>
      </c>
    </row>
    <row r="737" spans="1:3" x14ac:dyDescent="0.25">
      <c r="A737" s="1">
        <v>848</v>
      </c>
      <c r="B737" s="9" t="str">
        <f>VLOOKUP(A737,'Sets (lua data)'!$A$3:$C$9838,3,FALSE)</f>
        <v>Shattered Paths Signet</v>
      </c>
      <c r="C737" s="9" t="str">
        <f>VLOOKUP(A737,'Sets (lua data)'!$A$3:$C$9838,2,FALSE)</f>
        <v>Siegelring der zerschlagenen Pfade</v>
      </c>
    </row>
    <row r="738" spans="1:3" x14ac:dyDescent="0.25">
      <c r="A738" s="1">
        <v>849</v>
      </c>
      <c r="B738" s="9" t="str">
        <f>VLOOKUP(A738,'Sets (lua data)'!$A$3:$C$9838,3,FALSE)</f>
        <v>Glittering Goad</v>
      </c>
      <c r="C738" s="9" t="str">
        <f>VLOOKUP(A738,'Sets (lua data)'!$A$3:$C$9838,2,FALSE)</f>
        <v>Glanzvoller Ansporn</v>
      </c>
    </row>
    <row r="739" spans="1:3" x14ac:dyDescent="0.25">
      <c r="A739" s="1">
        <v>850</v>
      </c>
      <c r="B739" s="9" t="str">
        <f>VLOOKUP(A739,'Sets (lua data)'!$A$3:$C$9838,3,FALSE)</f>
        <v>Thousand Eyes</v>
      </c>
      <c r="C739" s="9" t="str">
        <f>VLOOKUP(A739,'Sets (lua data)'!$A$3:$C$9838,2,FALSE)</f>
        <v>Tausend Augen</v>
      </c>
    </row>
    <row r="740" spans="1:3" x14ac:dyDescent="0.25">
      <c r="A740" s="1">
        <v>851</v>
      </c>
      <c r="B740" s="9" t="str">
        <f>VLOOKUP(A740,'Sets (lua data)'!$A$3:$C$9838,3,FALSE)</f>
        <v>The Ruckus</v>
      </c>
      <c r="C740" s="9" t="str">
        <f>VLOOKUP(A740,'Sets (lua data)'!$A$3:$C$9838,2,FALSE)</f>
        <v>Der Krawall</v>
      </c>
    </row>
    <row r="741" spans="1:3" x14ac:dyDescent="0.25">
      <c r="A741" s="92">
        <v>854</v>
      </c>
      <c r="B741" s="9" t="str">
        <f>VLOOKUP(A741,'Sets (lua data)'!$A$3:$C$9838,3,FALSE)</f>
        <v>The Prowler\'s Talisman</v>
      </c>
      <c r="C741" s="9" t="str">
        <f>VLOOKUP(A741,'Sets (lua data)'!$A$3:$C$9838,2,FALSE)</f>
        <v>Vagabundentalisman</v>
      </c>
    </row>
    <row r="742" spans="1:3" x14ac:dyDescent="0.25">
      <c r="A742" s="92">
        <v>855</v>
      </c>
      <c r="B742" s="9" t="str">
        <f>VLOOKUP(A742,'Sets (lua data)'!$A$3:$C$9838,3,FALSE)</f>
        <v>Gorethief</v>
      </c>
      <c r="C742" s="9" t="str">
        <f>VLOOKUP(A742,'Sets (lua data)'!$A$3:$C$9838,2,FALSE)</f>
        <v>Blutdieb</v>
      </c>
    </row>
  </sheetData>
  <autoFilter ref="A2:D742" xr:uid="{00000000-0009-0000-0000-000007000000}">
    <sortState xmlns:xlrd2="http://schemas.microsoft.com/office/spreadsheetml/2017/richdata2" ref="A3:A742">
      <sortCondition ref="A2:A742"/>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Generic009">
    <tabColor rgb="FFFFC000"/>
  </sheetPr>
  <dimension ref="A1:F727"/>
  <sheetViews>
    <sheetView workbookViewId="0">
      <pane xSplit="3" ySplit="2" topLeftCell="D703" activePane="bottomRight" state="frozen"/>
      <selection pane="topRight"/>
      <selection pane="bottomLeft"/>
      <selection pane="bottomRight" activeCell="D726" sqref="D726"/>
    </sheetView>
  </sheetViews>
  <sheetFormatPr defaultColWidth="10.7109375" defaultRowHeight="15" x14ac:dyDescent="0.25"/>
  <cols>
    <col min="2" max="2" width="30.85546875" customWidth="1"/>
    <col min="3" max="3" width="43.28515625" customWidth="1"/>
    <col min="4" max="4" width="47.42578125" customWidth="1"/>
    <col min="5" max="5" width="38.28515625" style="3" customWidth="1"/>
    <col min="6" max="6" width="42.28515625" customWidth="1"/>
  </cols>
  <sheetData>
    <row r="1" spans="1:6" x14ac:dyDescent="0.25">
      <c r="A1" s="105" t="s">
        <v>2119</v>
      </c>
      <c r="B1" s="105"/>
      <c r="C1" s="105"/>
      <c r="E1"/>
    </row>
    <row r="2" spans="1:6" x14ac:dyDescent="0.25">
      <c r="A2" s="6" t="s">
        <v>2120</v>
      </c>
      <c r="B2" s="6" t="s">
        <v>2121</v>
      </c>
      <c r="C2" s="6" t="s">
        <v>2122</v>
      </c>
      <c r="D2" s="6" t="s">
        <v>2123</v>
      </c>
      <c r="E2" s="3" t="s">
        <v>3</v>
      </c>
      <c r="F2" s="6" t="s">
        <v>343</v>
      </c>
    </row>
    <row r="3" spans="1:6" x14ac:dyDescent="0.25">
      <c r="A3" s="12">
        <v>19</v>
      </c>
      <c r="B3" s="9" t="str">
        <f>VLOOKUP(A3,'Sets (lua data)'!$A$3:$C$9838,3,FALSE)</f>
        <v>Vestments of the Warlock</v>
      </c>
      <c r="C3" s="9" t="str">
        <f>VLOOKUP(A3,'Sets (lua data)'!$A$3:$C$9838,2,FALSE)</f>
        <v>Gewänder des Hexers</v>
      </c>
      <c r="D3" t="s">
        <v>7</v>
      </c>
      <c r="E3" s="3" t="str">
        <f>IF(ISNA(VLOOKUP(D3,ConstDLCIds!$B$4:$C$1001,2,FALSE)),"",VLOOKUP(D3,ConstDLCIds!$B$4:$C$1001,2,FALSE))</f>
        <v>Included in base game</v>
      </c>
    </row>
    <row r="4" spans="1:6" x14ac:dyDescent="0.25">
      <c r="A4" s="12">
        <v>20</v>
      </c>
      <c r="B4" s="9" t="str">
        <f>VLOOKUP(A4,'Sets (lua data)'!$A$3:$C$9838,3,FALSE)</f>
        <v>Witchman Armor</v>
      </c>
      <c r="C4" s="9" t="str">
        <f>VLOOKUP(A4,'Sets (lua data)'!$A$3:$C$9838,2,FALSE)</f>
        <v>Hexenwerk</v>
      </c>
      <c r="D4" t="s">
        <v>7</v>
      </c>
      <c r="E4" s="3" t="str">
        <f>IF(ISNA(VLOOKUP(D4,ConstDLCIds!$B$4:$C$1001,2,FALSE)),"",VLOOKUP(D4,ConstDLCIds!$B$4:$C$1001,2,FALSE))</f>
        <v>Included in base game</v>
      </c>
    </row>
    <row r="5" spans="1:6" x14ac:dyDescent="0.25">
      <c r="A5" s="12">
        <v>21</v>
      </c>
      <c r="B5" s="9" t="str">
        <f>VLOOKUP(A5,'Sets (lua data)'!$A$3:$C$9838,3,FALSE)</f>
        <v>Akaviri Dragonguard</v>
      </c>
      <c r="C5" s="9" t="str">
        <f>VLOOKUP(A5,'Sets (lua data)'!$A$3:$C$9838,2,FALSE)</f>
        <v>Akavirische Drachengarde</v>
      </c>
      <c r="D5" t="s">
        <v>7</v>
      </c>
      <c r="E5" s="3" t="str">
        <f>IF(ISNA(VLOOKUP(D5,ConstDLCIds!$B$4:$C$1001,2,FALSE)),"",VLOOKUP(D5,ConstDLCIds!$B$4:$C$1001,2,FALSE))</f>
        <v>Included in base game</v>
      </c>
    </row>
    <row r="6" spans="1:6" x14ac:dyDescent="0.25">
      <c r="A6" s="12">
        <v>22</v>
      </c>
      <c r="B6" s="9" t="str">
        <f>VLOOKUP(A6,'Sets (lua data)'!$A$3:$C$9838,3,FALSE)</f>
        <v>Dreamer\'s Mantle</v>
      </c>
      <c r="C6" s="9" t="str">
        <f>VLOOKUP(A6,'Sets (lua data)'!$A$3:$C$9838,2,FALSE)</f>
        <v>Mantel des Träumers</v>
      </c>
      <c r="D6" t="s">
        <v>7</v>
      </c>
      <c r="E6" s="3" t="str">
        <f>IF(ISNA(VLOOKUP(D6,ConstDLCIds!$B$4:$C$1001,2,FALSE)),"",VLOOKUP(D6,ConstDLCIds!$B$4:$C$1001,2,FALSE))</f>
        <v>Included in base game</v>
      </c>
    </row>
    <row r="7" spans="1:6" x14ac:dyDescent="0.25">
      <c r="A7" s="12">
        <v>23</v>
      </c>
      <c r="B7" s="9" t="str">
        <f>VLOOKUP(A7,'Sets (lua data)'!$A$3:$C$9838,3,FALSE)</f>
        <v>Archer\'s Mind</v>
      </c>
      <c r="C7" s="9" t="str">
        <f>VLOOKUP(A7,'Sets (lua data)'!$A$3:$C$9838,2,FALSE)</f>
        <v>Schützensinn</v>
      </c>
      <c r="D7" t="s">
        <v>7</v>
      </c>
      <c r="E7" s="3" t="str">
        <f>IF(ISNA(VLOOKUP(D7,ConstDLCIds!$B$4:$C$1001,2,FALSE)),"",VLOOKUP(D7,ConstDLCIds!$B$4:$C$1001,2,FALSE))</f>
        <v>Included in base game</v>
      </c>
    </row>
    <row r="8" spans="1:6" x14ac:dyDescent="0.25">
      <c r="A8" s="12">
        <v>24</v>
      </c>
      <c r="B8" s="9" t="str">
        <f>VLOOKUP(A8,'Sets (lua data)'!$A$3:$C$9838,3,FALSE)</f>
        <v>Footman\'s Fortune</v>
      </c>
      <c r="C8" s="9" t="str">
        <f>VLOOKUP(A8,'Sets (lua data)'!$A$3:$C$9838,2,FALSE)</f>
        <v>Geschick des Fußsoldaten</v>
      </c>
      <c r="D8" t="s">
        <v>7</v>
      </c>
      <c r="E8" s="3" t="str">
        <f>IF(ISNA(VLOOKUP(D8,ConstDLCIds!$B$4:$C$1001,2,FALSE)),"",VLOOKUP(D8,ConstDLCIds!$B$4:$C$1001,2,FALSE))</f>
        <v>Included in base game</v>
      </c>
    </row>
    <row r="9" spans="1:6" x14ac:dyDescent="0.25">
      <c r="A9" s="12">
        <v>25</v>
      </c>
      <c r="B9" s="9" t="str">
        <f>VLOOKUP(A9,'Sets (lua data)'!$A$3:$C$9838,3,FALSE)</f>
        <v>Desert Rose</v>
      </c>
      <c r="C9" s="9" t="str">
        <f>VLOOKUP(A9,'Sets (lua data)'!$A$3:$C$9838,2,FALSE)</f>
        <v>Wüstenrose</v>
      </c>
      <c r="D9" t="s">
        <v>7</v>
      </c>
      <c r="E9" s="3" t="str">
        <f>IF(ISNA(VLOOKUP(D9,ConstDLCIds!$B$4:$C$1001,2,FALSE)),"",VLOOKUP(D9,ConstDLCIds!$B$4:$C$1001,2,FALSE))</f>
        <v>Included in base game</v>
      </c>
    </row>
    <row r="10" spans="1:6" x14ac:dyDescent="0.25">
      <c r="A10" s="12">
        <v>26</v>
      </c>
      <c r="B10" s="9" t="str">
        <f>VLOOKUP(A10,'Sets (lua data)'!$A$3:$C$9838,3,FALSE)</f>
        <v>Prisoner\'s Rags</v>
      </c>
      <c r="C10" s="9" t="str">
        <f>VLOOKUP(A10,'Sets (lua data)'!$A$3:$C$9838,2,FALSE)</f>
        <v>Lumpen des Gefangenen</v>
      </c>
      <c r="D10" t="s">
        <v>7</v>
      </c>
      <c r="E10" s="3" t="str">
        <f>IF(ISNA(VLOOKUP(D10,ConstDLCIds!$B$4:$C$1001,2,FALSE)),"",VLOOKUP(D10,ConstDLCIds!$B$4:$C$1001,2,FALSE))</f>
        <v>Included in base game</v>
      </c>
    </row>
    <row r="11" spans="1:6" x14ac:dyDescent="0.25">
      <c r="A11" s="12">
        <v>27</v>
      </c>
      <c r="B11" s="9" t="str">
        <f>VLOOKUP(A11,'Sets (lua data)'!$A$3:$C$9838,3,FALSE)</f>
        <v>Fiord\'s Legacy</v>
      </c>
      <c r="C11" s="9" t="str">
        <f>VLOOKUP(A11,'Sets (lua data)'!$A$3:$C$9838,2,FALSE)</f>
        <v>Fiords Erbe</v>
      </c>
      <c r="D11" t="s">
        <v>7</v>
      </c>
      <c r="E11" s="3" t="str">
        <f>IF(ISNA(VLOOKUP(D11,ConstDLCIds!$B$4:$C$1001,2,FALSE)),"",VLOOKUP(D11,ConstDLCIds!$B$4:$C$1001,2,FALSE))</f>
        <v>Included in base game</v>
      </c>
    </row>
    <row r="12" spans="1:6" x14ac:dyDescent="0.25">
      <c r="A12" s="12">
        <v>28</v>
      </c>
      <c r="B12" s="9" t="str">
        <f>VLOOKUP(A12,'Sets (lua data)'!$A$3:$C$9838,3,FALSE)</f>
        <v>Barkskin</v>
      </c>
      <c r="C12" s="9" t="str">
        <f>VLOOKUP(A12,'Sets (lua data)'!$A$3:$C$9838,2,FALSE)</f>
        <v>Borkenhaut</v>
      </c>
      <c r="D12" t="s">
        <v>7</v>
      </c>
      <c r="E12" s="3" t="str">
        <f>IF(ISNA(VLOOKUP(D12,ConstDLCIds!$B$4:$C$1001,2,FALSE)),"",VLOOKUP(D12,ConstDLCIds!$B$4:$C$1001,2,FALSE))</f>
        <v>Included in base game</v>
      </c>
    </row>
    <row r="13" spans="1:6" x14ac:dyDescent="0.25">
      <c r="A13" s="12">
        <v>29</v>
      </c>
      <c r="B13" s="9" t="str">
        <f>VLOOKUP(A13,'Sets (lua data)'!$A$3:$C$9838,3,FALSE)</f>
        <v>Sergeant\'s Mail</v>
      </c>
      <c r="C13" s="9" t="str">
        <f>VLOOKUP(A13,'Sets (lua data)'!$A$3:$C$9838,2,FALSE)</f>
        <v>Rüstung des Feldwebels</v>
      </c>
      <c r="D13" t="s">
        <v>7</v>
      </c>
      <c r="E13" s="3" t="str">
        <f>IF(ISNA(VLOOKUP(D13,ConstDLCIds!$B$4:$C$1001,2,FALSE)),"",VLOOKUP(D13,ConstDLCIds!$B$4:$C$1001,2,FALSE))</f>
        <v>Included in base game</v>
      </c>
    </row>
    <row r="14" spans="1:6" x14ac:dyDescent="0.25">
      <c r="A14" s="12">
        <v>30</v>
      </c>
      <c r="B14" s="9" t="str">
        <f>VLOOKUP(A14,'Sets (lua data)'!$A$3:$C$9838,3,FALSE)</f>
        <v>Thunderbug\'s Carapace</v>
      </c>
      <c r="C14" s="9" t="str">
        <f>VLOOKUP(A14,'Sets (lua data)'!$A$3:$C$9838,2,FALSE)</f>
        <v>Donnerkäferpanzer</v>
      </c>
      <c r="D14" t="s">
        <v>7</v>
      </c>
      <c r="E14" s="3" t="str">
        <f>IF(ISNA(VLOOKUP(D14,ConstDLCIds!$B$4:$C$1001,2,FALSE)),"",VLOOKUP(D14,ConstDLCIds!$B$4:$C$1001,2,FALSE))</f>
        <v>Included in base game</v>
      </c>
    </row>
    <row r="15" spans="1:6" x14ac:dyDescent="0.25">
      <c r="A15" s="12">
        <v>31</v>
      </c>
      <c r="B15" s="9" t="str">
        <f>VLOOKUP(A15,'Sets (lua data)'!$A$3:$C$9838,3,FALSE)</f>
        <v>Silks of the Sun</v>
      </c>
      <c r="C15" s="9" t="str">
        <f>VLOOKUP(A15,'Sets (lua data)'!$A$3:$C$9838,2,FALSE)</f>
        <v>Sonnenseide</v>
      </c>
      <c r="D15" t="s">
        <v>7</v>
      </c>
      <c r="E15" s="3" t="str">
        <f>IF(ISNA(VLOOKUP(D15,ConstDLCIds!$B$4:$C$1001,2,FALSE)),"",VLOOKUP(D15,ConstDLCIds!$B$4:$C$1001,2,FALSE))</f>
        <v>Included in base game</v>
      </c>
    </row>
    <row r="16" spans="1:6" x14ac:dyDescent="0.25">
      <c r="A16" s="12">
        <v>32</v>
      </c>
      <c r="B16" s="9" t="str">
        <f>VLOOKUP(A16,'Sets (lua data)'!$A$3:$C$9838,3,FALSE)</f>
        <v>Healer\'s Habit</v>
      </c>
      <c r="C16" s="9" t="str">
        <f>VLOOKUP(A16,'Sets (lua data)'!$A$3:$C$9838,2,FALSE)</f>
        <v>Bräuche des Heilers</v>
      </c>
      <c r="D16" t="s">
        <v>7</v>
      </c>
      <c r="E16" s="3" t="str">
        <f>IF(ISNA(VLOOKUP(D16,ConstDLCIds!$B$4:$C$1001,2,FALSE)),"",VLOOKUP(D16,ConstDLCIds!$B$4:$C$1001,2,FALSE))</f>
        <v>Included in base game</v>
      </c>
    </row>
    <row r="17" spans="1:5" x14ac:dyDescent="0.25">
      <c r="A17" s="12">
        <v>33</v>
      </c>
      <c r="B17" s="9" t="str">
        <f>VLOOKUP(A17,'Sets (lua data)'!$A$3:$C$9838,3,FALSE)</f>
        <v>Viper\'s Sting</v>
      </c>
      <c r="C17" s="9" t="str">
        <f>VLOOKUP(A17,'Sets (lua data)'!$A$3:$C$9838,2,FALSE)</f>
        <v>Vipernbiss</v>
      </c>
      <c r="D17" t="s">
        <v>7</v>
      </c>
      <c r="E17" s="3" t="str">
        <f>IF(ISNA(VLOOKUP(D17,ConstDLCIds!$B$4:$C$1001,2,FALSE)),"",VLOOKUP(D17,ConstDLCIds!$B$4:$C$1001,2,FALSE))</f>
        <v>Included in base game</v>
      </c>
    </row>
    <row r="18" spans="1:5" x14ac:dyDescent="0.25">
      <c r="A18" s="12">
        <v>34</v>
      </c>
      <c r="B18" s="9" t="str">
        <f>VLOOKUP(A18,'Sets (lua data)'!$A$3:$C$9838,3,FALSE)</f>
        <v>Night Mother\'s Embrace</v>
      </c>
      <c r="C18" s="9" t="str">
        <f>VLOOKUP(A18,'Sets (lua data)'!$A$3:$C$9838,2,FALSE)</f>
        <v>Umarmung der Mutter der Nacht</v>
      </c>
      <c r="D18" t="s">
        <v>7</v>
      </c>
      <c r="E18" s="3" t="str">
        <f>IF(ISNA(VLOOKUP(D18,ConstDLCIds!$B$4:$C$1001,2,FALSE)),"",VLOOKUP(D18,ConstDLCIds!$B$4:$C$1001,2,FALSE))</f>
        <v>Included in base game</v>
      </c>
    </row>
    <row r="19" spans="1:5" x14ac:dyDescent="0.25">
      <c r="A19" s="12">
        <v>35</v>
      </c>
      <c r="B19" s="9" t="str">
        <f>VLOOKUP(A19,'Sets (lua data)'!$A$3:$C$9838,3,FALSE)</f>
        <v>Knightmare</v>
      </c>
      <c r="C19" s="9" t="str">
        <f>VLOOKUP(A19,'Sets (lua data)'!$A$3:$C$9838,2,FALSE)</f>
        <v>Albtraumritter</v>
      </c>
      <c r="D19" t="s">
        <v>7</v>
      </c>
      <c r="E19" s="3" t="str">
        <f>IF(ISNA(VLOOKUP(D19,ConstDLCIds!$B$4:$C$1001,2,FALSE)),"",VLOOKUP(D19,ConstDLCIds!$B$4:$C$1001,2,FALSE))</f>
        <v>Included in base game</v>
      </c>
    </row>
    <row r="20" spans="1:5" x14ac:dyDescent="0.25">
      <c r="A20" s="12">
        <v>36</v>
      </c>
      <c r="B20" s="9" t="str">
        <f>VLOOKUP(A20,'Sets (lua data)'!$A$3:$C$9838,3,FALSE)</f>
        <v>Armor of the Veiled Heritance</v>
      </c>
      <c r="C20" s="9" t="str">
        <f>VLOOKUP(A20,'Sets (lua data)'!$A$3:$C$9838,2,FALSE)</f>
        <v>Rüstung des Schleiererbes</v>
      </c>
      <c r="D20" t="s">
        <v>7</v>
      </c>
      <c r="E20" s="3" t="str">
        <f>IF(ISNA(VLOOKUP(D20,ConstDLCIds!$B$4:$C$1001,2,FALSE)),"",VLOOKUP(D20,ConstDLCIds!$B$4:$C$1001,2,FALSE))</f>
        <v>Included in base game</v>
      </c>
    </row>
    <row r="21" spans="1:5" x14ac:dyDescent="0.25">
      <c r="A21" s="1">
        <v>37</v>
      </c>
      <c r="B21" s="9" t="str">
        <f>VLOOKUP(A21,'Sets (lua data)'!$A$3:$C$9838,3,FALSE)</f>
        <v>Death\'s Wind</v>
      </c>
      <c r="C21" s="9" t="str">
        <f>VLOOKUP(A21,'Sets (lua data)'!$A$3:$C$9838,2,FALSE)</f>
        <v>Todeswind</v>
      </c>
      <c r="D21" t="s">
        <v>7</v>
      </c>
      <c r="E21" s="3" t="str">
        <f>IF(ISNA(VLOOKUP(D21,ConstDLCIds!$B$4:$C$1001,2,FALSE)),"",VLOOKUP(D21,ConstDLCIds!$B$4:$C$1001,2,FALSE))</f>
        <v>Included in base game</v>
      </c>
    </row>
    <row r="22" spans="1:5" x14ac:dyDescent="0.25">
      <c r="A22" s="1">
        <v>38</v>
      </c>
      <c r="B22" s="9" t="str">
        <f>VLOOKUP(A22,'Sets (lua data)'!$A$3:$C$9838,3,FALSE)</f>
        <v>Twilight\'s Embrace</v>
      </c>
      <c r="C22" s="9" t="str">
        <f>VLOOKUP(A22,'Sets (lua data)'!$A$3:$C$9838,2,FALSE)</f>
        <v>Zwielichtkuss</v>
      </c>
      <c r="D22" t="s">
        <v>7</v>
      </c>
      <c r="E22" s="3" t="str">
        <f>IF(ISNA(VLOOKUP(D22,ConstDLCIds!$B$4:$C$1001,2,FALSE)),"",VLOOKUP(D22,ConstDLCIds!$B$4:$C$1001,2,FALSE))</f>
        <v>Included in base game</v>
      </c>
    </row>
    <row r="23" spans="1:5" x14ac:dyDescent="0.25">
      <c r="A23" s="12">
        <v>39</v>
      </c>
      <c r="B23" s="9" t="str">
        <f>VLOOKUP(A23,'Sets (lua data)'!$A$3:$C$9838,3,FALSE)</f>
        <v>Alessian Order</v>
      </c>
      <c r="C23" s="9" t="str">
        <f>VLOOKUP(A23,'Sets (lua data)'!$A$3:$C$9838,2,FALSE)</f>
        <v>Alessianischer Orden</v>
      </c>
      <c r="D23" t="s">
        <v>7</v>
      </c>
      <c r="E23" s="3" t="str">
        <f>IF(ISNA(VLOOKUP(D23,ConstDLCIds!$B$4:$C$1001,2,FALSE)),"",VLOOKUP(D23,ConstDLCIds!$B$4:$C$1001,2,FALSE))</f>
        <v>Included in base game</v>
      </c>
    </row>
    <row r="24" spans="1:5" x14ac:dyDescent="0.25">
      <c r="A24" s="1">
        <v>40</v>
      </c>
      <c r="B24" s="9" t="str">
        <f>VLOOKUP(A24,'Sets (lua data)'!$A$3:$C$9838,3,FALSE)</f>
        <v>Night\'s Silence</v>
      </c>
      <c r="C24" s="9" t="str">
        <f>VLOOKUP(A24,'Sets (lua data)'!$A$3:$C$9838,2,FALSE)</f>
        <v>Stille der Nacht</v>
      </c>
      <c r="D24" t="s">
        <v>7</v>
      </c>
      <c r="E24" s="3" t="str">
        <f>IF(ISNA(VLOOKUP(D24,ConstDLCIds!$B$4:$C$1001,2,FALSE)),"",VLOOKUP(D24,ConstDLCIds!$B$4:$C$1001,2,FALSE))</f>
        <v>Included in base game</v>
      </c>
    </row>
    <row r="25" spans="1:5" x14ac:dyDescent="0.25">
      <c r="A25" s="1">
        <v>41</v>
      </c>
      <c r="B25" s="9" t="str">
        <f>VLOOKUP(A25,'Sets (lua data)'!$A$3:$C$9838,3,FALSE)</f>
        <v>Whitestrake\'s Retribution</v>
      </c>
      <c r="C25" s="9" t="str">
        <f>VLOOKUP(A25,'Sets (lua data)'!$A$3:$C$9838,2,FALSE)</f>
        <v>Weißplankes Vergeltung</v>
      </c>
      <c r="D25" t="s">
        <v>7</v>
      </c>
      <c r="E25" s="3" t="str">
        <f>IF(ISNA(VLOOKUP(D25,ConstDLCIds!$B$4:$C$1001,2,FALSE)),"",VLOOKUP(D25,ConstDLCIds!$B$4:$C$1001,2,FALSE))</f>
        <v>Included in base game</v>
      </c>
    </row>
    <row r="26" spans="1:5" x14ac:dyDescent="0.25">
      <c r="A26" s="1">
        <v>43</v>
      </c>
      <c r="B26" s="9" t="str">
        <f>VLOOKUP(A26,'Sets (lua data)'!$A$3:$C$9838,3,FALSE)</f>
        <v>Armor of the Seducer</v>
      </c>
      <c r="C26" s="9" t="str">
        <f>VLOOKUP(A26,'Sets (lua data)'!$A$3:$C$9838,2,FALSE)</f>
        <v>Rüstung der Verführung</v>
      </c>
      <c r="D26" t="s">
        <v>7</v>
      </c>
      <c r="E26" s="3" t="str">
        <f>IF(ISNA(VLOOKUP(D26,ConstDLCIds!$B$4:$C$1001,2,FALSE)),"",VLOOKUP(D26,ConstDLCIds!$B$4:$C$1001,2,FALSE))</f>
        <v>Included in base game</v>
      </c>
    </row>
    <row r="27" spans="1:5" x14ac:dyDescent="0.25">
      <c r="A27" s="1">
        <v>44</v>
      </c>
      <c r="B27" s="9" t="str">
        <f>VLOOKUP(A27,'Sets (lua data)'!$A$3:$C$9838,3,FALSE)</f>
        <v>Vampire\'s Kiss</v>
      </c>
      <c r="C27" s="9" t="str">
        <f>VLOOKUP(A27,'Sets (lua data)'!$A$3:$C$9838,2,FALSE)</f>
        <v>Kuss des Vampirs</v>
      </c>
      <c r="D27" t="s">
        <v>7</v>
      </c>
      <c r="E27" s="3" t="str">
        <f>IF(ISNA(VLOOKUP(D27,ConstDLCIds!$B$4:$C$1001,2,FALSE)),"",VLOOKUP(D27,ConstDLCIds!$B$4:$C$1001,2,FALSE))</f>
        <v>Included in base game</v>
      </c>
    </row>
    <row r="28" spans="1:5" x14ac:dyDescent="0.25">
      <c r="A28" s="12">
        <v>46</v>
      </c>
      <c r="B28" s="9" t="str">
        <f>VLOOKUP(A28,'Sets (lua data)'!$A$3:$C$9838,3,FALSE)</f>
        <v>Noble Duelist\'s Silks</v>
      </c>
      <c r="C28" s="9" t="str">
        <f>VLOOKUP(A28,'Sets (lua data)'!$A$3:$C$9838,2,FALSE)</f>
        <v>Seide des edlen Duellanten</v>
      </c>
      <c r="D28" t="s">
        <v>7</v>
      </c>
      <c r="E28" s="3" t="str">
        <f>IF(ISNA(VLOOKUP(D28,ConstDLCIds!$B$4:$C$1001,2,FALSE)),"",VLOOKUP(D28,ConstDLCIds!$B$4:$C$1001,2,FALSE))</f>
        <v>Included in base game</v>
      </c>
    </row>
    <row r="29" spans="1:5" x14ac:dyDescent="0.25">
      <c r="A29" s="12">
        <v>47</v>
      </c>
      <c r="B29" s="9" t="str">
        <f>VLOOKUP(A29,'Sets (lua data)'!$A$3:$C$9838,3,FALSE)</f>
        <v>Robes of the Withered Hand</v>
      </c>
      <c r="C29" s="9" t="str">
        <f>VLOOKUP(A29,'Sets (lua data)'!$A$3:$C$9838,2,FALSE)</f>
        <v>Roben der Verdorrten Hand</v>
      </c>
      <c r="D29" t="s">
        <v>7</v>
      </c>
      <c r="E29" s="3" t="str">
        <f>IF(ISNA(VLOOKUP(D29,ConstDLCIds!$B$4:$C$1001,2,FALSE)),"",VLOOKUP(D29,ConstDLCIds!$B$4:$C$1001,2,FALSE))</f>
        <v>Included in base game</v>
      </c>
    </row>
    <row r="30" spans="1:5" x14ac:dyDescent="0.25">
      <c r="A30" s="1">
        <v>48</v>
      </c>
      <c r="B30" s="9" t="str">
        <f>VLOOKUP(A30,'Sets (lua data)'!$A$3:$C$9838,3,FALSE)</f>
        <v>Magnus\' Gift</v>
      </c>
      <c r="C30" s="9" t="str">
        <f>VLOOKUP(A30,'Sets (lua data)'!$A$3:$C$9838,2,FALSE)</f>
        <v>Magnus' Gabe</v>
      </c>
      <c r="D30" t="s">
        <v>7</v>
      </c>
      <c r="E30" s="3" t="str">
        <f>IF(ISNA(VLOOKUP(D30,ConstDLCIds!$B$4:$C$1001,2,FALSE)),"",VLOOKUP(D30,ConstDLCIds!$B$4:$C$1001,2,FALSE))</f>
        <v>Included in base game</v>
      </c>
    </row>
    <row r="31" spans="1:5" x14ac:dyDescent="0.25">
      <c r="A31" s="12">
        <v>49</v>
      </c>
      <c r="B31" s="9" t="str">
        <f>VLOOKUP(A31,'Sets (lua data)'!$A$3:$C$9838,3,FALSE)</f>
        <v>Shadow of the Red Mountain</v>
      </c>
      <c r="C31" s="9" t="str">
        <f>VLOOKUP(A31,'Sets (lua data)'!$A$3:$C$9838,2,FALSE)</f>
        <v>Schatten des Roten Berges</v>
      </c>
      <c r="D31" t="s">
        <v>7</v>
      </c>
      <c r="E31" s="3" t="str">
        <f>IF(ISNA(VLOOKUP(D31,ConstDLCIds!$B$4:$C$1001,2,FALSE)),"",VLOOKUP(D31,ConstDLCIds!$B$4:$C$1001,2,FALSE))</f>
        <v>Included in base game</v>
      </c>
    </row>
    <row r="32" spans="1:5" x14ac:dyDescent="0.25">
      <c r="A32" s="12">
        <v>50</v>
      </c>
      <c r="B32" s="9" t="str">
        <f>VLOOKUP(A32,'Sets (lua data)'!$A$3:$C$9838,3,FALSE)</f>
        <v>The Morag Tong</v>
      </c>
      <c r="C32" s="9" t="str">
        <f>VLOOKUP(A32,'Sets (lua data)'!$A$3:$C$9838,2,FALSE)</f>
        <v>Morag Tong</v>
      </c>
      <c r="D32" t="s">
        <v>7</v>
      </c>
      <c r="E32" s="3" t="str">
        <f>IF(ISNA(VLOOKUP(D32,ConstDLCIds!$B$4:$C$1001,2,FALSE)),"",VLOOKUP(D32,ConstDLCIds!$B$4:$C$1001,2,FALSE))</f>
        <v>Included in base game</v>
      </c>
    </row>
    <row r="33" spans="1:5" x14ac:dyDescent="0.25">
      <c r="A33" s="1">
        <v>51</v>
      </c>
      <c r="B33" s="9" t="str">
        <f>VLOOKUP(A33,'Sets (lua data)'!$A$3:$C$9838,3,FALSE)</f>
        <v>Night Mother\'s Gaze</v>
      </c>
      <c r="C33" s="9" t="str">
        <f>VLOOKUP(A33,'Sets (lua data)'!$A$3:$C$9838,2,FALSE)</f>
        <v>Blick der Mutter der Nacht</v>
      </c>
      <c r="D33" t="s">
        <v>7</v>
      </c>
      <c r="E33" s="3" t="str">
        <f>IF(ISNA(VLOOKUP(D33,ConstDLCIds!$B$4:$C$1001,2,FALSE)),"",VLOOKUP(D33,ConstDLCIds!$B$4:$C$1001,2,FALSE))</f>
        <v>Included in base game</v>
      </c>
    </row>
    <row r="34" spans="1:5" x14ac:dyDescent="0.25">
      <c r="A34" s="12">
        <v>52</v>
      </c>
      <c r="B34" s="9" t="str">
        <f>VLOOKUP(A34,'Sets (lua data)'!$A$3:$C$9838,3,FALSE)</f>
        <v>Beckoning Steel</v>
      </c>
      <c r="C34" s="9" t="str">
        <f>VLOOKUP(A34,'Sets (lua data)'!$A$3:$C$9838,2,FALSE)</f>
        <v>Klingender Stahl</v>
      </c>
      <c r="D34" t="s">
        <v>7</v>
      </c>
      <c r="E34" s="3" t="str">
        <f>IF(ISNA(VLOOKUP(D34,ConstDLCIds!$B$4:$C$1001,2,FALSE)),"",VLOOKUP(D34,ConstDLCIds!$B$4:$C$1001,2,FALSE))</f>
        <v>Included in base game</v>
      </c>
    </row>
    <row r="35" spans="1:5" x14ac:dyDescent="0.25">
      <c r="A35" s="12">
        <v>53</v>
      </c>
      <c r="B35" s="9" t="str">
        <f>VLOOKUP(A35,'Sets (lua data)'!$A$3:$C$9838,3,FALSE)</f>
        <v>The Ice Furnace</v>
      </c>
      <c r="C35" s="9" t="str">
        <f>VLOOKUP(A35,'Sets (lua data)'!$A$3:$C$9838,2,FALSE)</f>
        <v>Eisschmiede</v>
      </c>
      <c r="D35" t="s">
        <v>7</v>
      </c>
      <c r="E35" s="3" t="str">
        <f>IF(ISNA(VLOOKUP(D35,ConstDLCIds!$B$4:$C$1001,2,FALSE)),"",VLOOKUP(D35,ConstDLCIds!$B$4:$C$1001,2,FALSE))</f>
        <v>Included in base game</v>
      </c>
    </row>
    <row r="36" spans="1:5" x14ac:dyDescent="0.25">
      <c r="A36" s="1">
        <v>54</v>
      </c>
      <c r="B36" s="9" t="str">
        <f>VLOOKUP(A36,'Sets (lua data)'!$A$3:$C$9838,3,FALSE)</f>
        <v>Ashen Grip</v>
      </c>
      <c r="C36" s="9" t="str">
        <f>VLOOKUP(A36,'Sets (lua data)'!$A$3:$C$9838,2,FALSE)</f>
        <v>Aschengriff</v>
      </c>
      <c r="D36" t="s">
        <v>7</v>
      </c>
      <c r="E36" s="3" t="str">
        <f>IF(ISNA(VLOOKUP(D36,ConstDLCIds!$B$4:$C$1001,2,FALSE)),"",VLOOKUP(D36,ConstDLCIds!$B$4:$C$1001,2,FALSE))</f>
        <v>Included in base game</v>
      </c>
    </row>
    <row r="37" spans="1:5" x14ac:dyDescent="0.25">
      <c r="A37" s="12">
        <v>55</v>
      </c>
      <c r="B37" s="9" t="str">
        <f>VLOOKUP(A37,'Sets (lua data)'!$A$3:$C$9838,3,FALSE)</f>
        <v>Prayer Shawl</v>
      </c>
      <c r="C37" s="9" t="str">
        <f>VLOOKUP(A37,'Sets (lua data)'!$A$3:$C$9838,2,FALSE)</f>
        <v>Gebetstuch</v>
      </c>
      <c r="D37" t="s">
        <v>7</v>
      </c>
      <c r="E37" s="3" t="str">
        <f>IF(ISNA(VLOOKUP(D37,ConstDLCIds!$B$4:$C$1001,2,FALSE)),"",VLOOKUP(D37,ConstDLCIds!$B$4:$C$1001,2,FALSE))</f>
        <v>Included in base game</v>
      </c>
    </row>
    <row r="38" spans="1:5" x14ac:dyDescent="0.25">
      <c r="A38" s="12">
        <v>56</v>
      </c>
      <c r="B38" s="9" t="str">
        <f>VLOOKUP(A38,'Sets (lua data)'!$A$3:$C$9838,3,FALSE)</f>
        <v>Stendarr\'s Embrace</v>
      </c>
      <c r="C38" s="9" t="str">
        <f>VLOOKUP(A38,'Sets (lua data)'!$A$3:$C$9838,2,FALSE)</f>
        <v>Stendarrs Umarmung</v>
      </c>
      <c r="D38" t="s">
        <v>7</v>
      </c>
      <c r="E38" s="3" t="str">
        <f>IF(ISNA(VLOOKUP(D38,ConstDLCIds!$B$4:$C$1001,2,FALSE)),"",VLOOKUP(D38,ConstDLCIds!$B$4:$C$1001,2,FALSE))</f>
        <v>Included in base game</v>
      </c>
    </row>
    <row r="39" spans="1:5" x14ac:dyDescent="0.25">
      <c r="A39" s="12">
        <v>57</v>
      </c>
      <c r="B39" s="9" t="str">
        <f>VLOOKUP(A39,'Sets (lua data)'!$A$3:$C$9838,3,FALSE)</f>
        <v>Syrabane\'s Grip</v>
      </c>
      <c r="C39" s="9" t="str">
        <f>VLOOKUP(A39,'Sets (lua data)'!$A$3:$C$9838,2,FALSE)</f>
        <v>Syrabanns Griff</v>
      </c>
      <c r="D39" t="s">
        <v>7</v>
      </c>
      <c r="E39" s="3" t="str">
        <f>IF(ISNA(VLOOKUP(D39,ConstDLCIds!$B$4:$C$1001,2,FALSE)),"",VLOOKUP(D39,ConstDLCIds!$B$4:$C$1001,2,FALSE))</f>
        <v>Included in base game</v>
      </c>
    </row>
    <row r="40" spans="1:5" x14ac:dyDescent="0.25">
      <c r="A40" s="12">
        <v>58</v>
      </c>
      <c r="B40" s="9" t="str">
        <f>VLOOKUP(A40,'Sets (lua data)'!$A$3:$C$9838,3,FALSE)</f>
        <v>Hide of the Werewolf</v>
      </c>
      <c r="C40" s="9" t="str">
        <f>VLOOKUP(A40,'Sets (lua data)'!$A$3:$C$9838,2,FALSE)</f>
        <v>Fell des Werwolfs</v>
      </c>
      <c r="D40" t="s">
        <v>7</v>
      </c>
      <c r="E40" s="3" t="str">
        <f>IF(ISNA(VLOOKUP(D40,ConstDLCIds!$B$4:$C$1001,2,FALSE)),"",VLOOKUP(D40,ConstDLCIds!$B$4:$C$1001,2,FALSE))</f>
        <v>Included in base game</v>
      </c>
    </row>
    <row r="41" spans="1:5" x14ac:dyDescent="0.25">
      <c r="A41" s="12">
        <v>59</v>
      </c>
      <c r="B41" s="9" t="str">
        <f>VLOOKUP(A41,'Sets (lua data)'!$A$3:$C$9838,3,FALSE)</f>
        <v>Kyne\'s Kiss</v>
      </c>
      <c r="C41" s="9" t="str">
        <f>VLOOKUP(A41,'Sets (lua data)'!$A$3:$C$9838,2,FALSE)</f>
        <v>Kynes Kuss</v>
      </c>
      <c r="D41" t="s">
        <v>7</v>
      </c>
      <c r="E41" s="3" t="str">
        <f>IF(ISNA(VLOOKUP(D41,ConstDLCIds!$B$4:$C$1001,2,FALSE)),"",VLOOKUP(D41,ConstDLCIds!$B$4:$C$1001,2,FALSE))</f>
        <v>Included in base game</v>
      </c>
    </row>
    <row r="42" spans="1:5" x14ac:dyDescent="0.25">
      <c r="A42" s="12">
        <v>60</v>
      </c>
      <c r="B42" s="9" t="str">
        <f>VLOOKUP(A42,'Sets (lua data)'!$A$3:$C$9838,3,FALSE)</f>
        <v>Darkstride</v>
      </c>
      <c r="C42" s="9" t="str">
        <f>VLOOKUP(A42,'Sets (lua data)'!$A$3:$C$9838,2,FALSE)</f>
        <v>Dunkelschritt</v>
      </c>
      <c r="D42" t="s">
        <v>7</v>
      </c>
      <c r="E42" s="3" t="str">
        <f>IF(ISNA(VLOOKUP(D42,ConstDLCIds!$B$4:$C$1001,2,FALSE)),"",VLOOKUP(D42,ConstDLCIds!$B$4:$C$1001,2,FALSE))</f>
        <v>Included in base game</v>
      </c>
    </row>
    <row r="43" spans="1:5" x14ac:dyDescent="0.25">
      <c r="A43" s="12">
        <v>61</v>
      </c>
      <c r="B43" s="9" t="str">
        <f>VLOOKUP(A43,'Sets (lua data)'!$A$3:$C$9838,3,FALSE)</f>
        <v>Dreugh King Slayer</v>
      </c>
      <c r="C43" s="9" t="str">
        <f>VLOOKUP(A43,'Sets (lua data)'!$A$3:$C$9838,2,FALSE)</f>
        <v>Dreughkönigsschlächter</v>
      </c>
      <c r="D43" t="s">
        <v>7</v>
      </c>
      <c r="E43" s="3" t="str">
        <f>IF(ISNA(VLOOKUP(D43,ConstDLCIds!$B$4:$C$1001,2,FALSE)),"",VLOOKUP(D43,ConstDLCIds!$B$4:$C$1001,2,FALSE))</f>
        <v>Included in base game</v>
      </c>
    </row>
    <row r="44" spans="1:5" x14ac:dyDescent="0.25">
      <c r="A44" s="12">
        <v>62</v>
      </c>
      <c r="B44" s="9" t="str">
        <f>VLOOKUP(A44,'Sets (lua data)'!$A$3:$C$9838,3,FALSE)</f>
        <v>Hatchling\'s Shell</v>
      </c>
      <c r="C44" s="9" t="str">
        <f>VLOOKUP(A44,'Sets (lua data)'!$A$3:$C$9838,2,FALSE)</f>
        <v>Schlüpflingspanzer</v>
      </c>
      <c r="D44" t="s">
        <v>7</v>
      </c>
      <c r="E44" s="3" t="str">
        <f>IF(ISNA(VLOOKUP(D44,ConstDLCIds!$B$4:$C$1001,2,FALSE)),"",VLOOKUP(D44,ConstDLCIds!$B$4:$C$1001,2,FALSE))</f>
        <v>Included in base game</v>
      </c>
    </row>
    <row r="45" spans="1:5" x14ac:dyDescent="0.25">
      <c r="A45" s="12">
        <v>63</v>
      </c>
      <c r="B45" s="9" t="str">
        <f>VLOOKUP(A45,'Sets (lua data)'!$A$3:$C$9838,3,FALSE)</f>
        <v>The Juggernaut</v>
      </c>
      <c r="C45" s="9" t="str">
        <f>VLOOKUP(A45,'Sets (lua data)'!$A$3:$C$9838,2,FALSE)</f>
        <v>Koloss</v>
      </c>
      <c r="D45" t="s">
        <v>7</v>
      </c>
      <c r="E45" s="3" t="str">
        <f>IF(ISNA(VLOOKUP(D45,ConstDLCIds!$B$4:$C$1001,2,FALSE)),"",VLOOKUP(D45,ConstDLCIds!$B$4:$C$1001,2,FALSE))</f>
        <v>Included in base game</v>
      </c>
    </row>
    <row r="46" spans="1:5" x14ac:dyDescent="0.25">
      <c r="A46" s="12">
        <v>64</v>
      </c>
      <c r="B46" s="9" t="str">
        <f>VLOOKUP(A46,'Sets (lua data)'!$A$3:$C$9838,3,FALSE)</f>
        <v>Shadow Dancer\'s Raiment</v>
      </c>
      <c r="C46" s="9" t="str">
        <f>VLOOKUP(A46,'Sets (lua data)'!$A$3:$C$9838,2,FALSE)</f>
        <v>Kleidung des Schattentänzers</v>
      </c>
      <c r="D46" t="s">
        <v>7</v>
      </c>
      <c r="E46" s="3" t="str">
        <f>IF(ISNA(VLOOKUP(D46,ConstDLCIds!$B$4:$C$1001,2,FALSE)),"",VLOOKUP(D46,ConstDLCIds!$B$4:$C$1001,2,FALSE))</f>
        <v>Included in base game</v>
      </c>
    </row>
    <row r="47" spans="1:5" x14ac:dyDescent="0.25">
      <c r="A47" s="12">
        <v>65</v>
      </c>
      <c r="B47" s="9" t="str">
        <f>VLOOKUP(A47,'Sets (lua data)'!$A$3:$C$9838,3,FALSE)</f>
        <v>Bloodthorn\'s Touch</v>
      </c>
      <c r="C47" s="9" t="str">
        <f>VLOOKUP(A47,'Sets (lua data)'!$A$3:$C$9838,2,FALSE)</f>
        <v>Spur eines Blutdorns</v>
      </c>
      <c r="D47" t="s">
        <v>7</v>
      </c>
      <c r="E47" s="3" t="str">
        <f>IF(ISNA(VLOOKUP(D47,ConstDLCIds!$B$4:$C$1001,2,FALSE)),"",VLOOKUP(D47,ConstDLCIds!$B$4:$C$1001,2,FALSE))</f>
        <v>Included in base game</v>
      </c>
    </row>
    <row r="48" spans="1:5" x14ac:dyDescent="0.25">
      <c r="A48" s="12">
        <v>66</v>
      </c>
      <c r="B48" s="9" t="str">
        <f>VLOOKUP(A48,'Sets (lua data)'!$A$3:$C$9838,3,FALSE)</f>
        <v>Robes of the Hist</v>
      </c>
      <c r="C48" s="9" t="str">
        <f>VLOOKUP(A48,'Sets (lua data)'!$A$3:$C$9838,2,FALSE)</f>
        <v>Roben des Hist</v>
      </c>
      <c r="D48" t="s">
        <v>7</v>
      </c>
      <c r="E48" s="3" t="str">
        <f>IF(ISNA(VLOOKUP(D48,ConstDLCIds!$B$4:$C$1001,2,FALSE)),"",VLOOKUP(D48,ConstDLCIds!$B$4:$C$1001,2,FALSE))</f>
        <v>Included in base game</v>
      </c>
    </row>
    <row r="49" spans="1:5" x14ac:dyDescent="0.25">
      <c r="A49" s="12">
        <v>67</v>
      </c>
      <c r="B49" s="9" t="str">
        <f>VLOOKUP(A49,'Sets (lua data)'!$A$3:$C$9838,3,FALSE)</f>
        <v>Shadow Walker</v>
      </c>
      <c r="C49" s="9" t="str">
        <f>VLOOKUP(A49,'Sets (lua data)'!$A$3:$C$9838,2,FALSE)</f>
        <v>Schattengänger</v>
      </c>
      <c r="D49" t="s">
        <v>7</v>
      </c>
      <c r="E49" s="3" t="str">
        <f>IF(ISNA(VLOOKUP(D49,ConstDLCIds!$B$4:$C$1001,2,FALSE)),"",VLOOKUP(D49,ConstDLCIds!$B$4:$C$1001,2,FALSE))</f>
        <v>Included in base game</v>
      </c>
    </row>
    <row r="50" spans="1:5" x14ac:dyDescent="0.25">
      <c r="A50" s="12">
        <v>68</v>
      </c>
      <c r="B50" s="9" t="str">
        <f>VLOOKUP(A50,'Sets (lua data)'!$A$3:$C$9838,3,FALSE)</f>
        <v>Stygian</v>
      </c>
      <c r="C50" s="9" t="str">
        <f>VLOOKUP(A50,'Sets (lua data)'!$A$3:$C$9838,2,FALSE)</f>
        <v>Stygier</v>
      </c>
      <c r="D50" t="s">
        <v>7</v>
      </c>
      <c r="E50" s="3" t="str">
        <f>IF(ISNA(VLOOKUP(D50,ConstDLCIds!$B$4:$C$1001,2,FALSE)),"",VLOOKUP(D50,ConstDLCIds!$B$4:$C$1001,2,FALSE))</f>
        <v>Included in base game</v>
      </c>
    </row>
    <row r="51" spans="1:5" x14ac:dyDescent="0.25">
      <c r="A51" s="12">
        <v>69</v>
      </c>
      <c r="B51" s="9" t="str">
        <f>VLOOKUP(A51,'Sets (lua data)'!$A$3:$C$9838,3,FALSE)</f>
        <v>Ranger\'s Gait</v>
      </c>
      <c r="C51" s="9" t="str">
        <f>VLOOKUP(A51,'Sets (lua data)'!$A$3:$C$9838,2,FALSE)</f>
        <v>Laufstil des Waldläufers</v>
      </c>
      <c r="D51" t="s">
        <v>7</v>
      </c>
      <c r="E51" s="3" t="str">
        <f>IF(ISNA(VLOOKUP(D51,ConstDLCIds!$B$4:$C$1001,2,FALSE)),"",VLOOKUP(D51,ConstDLCIds!$B$4:$C$1001,2,FALSE))</f>
        <v>Included in base game</v>
      </c>
    </row>
    <row r="52" spans="1:5" x14ac:dyDescent="0.25">
      <c r="A52" s="12">
        <v>70</v>
      </c>
      <c r="B52" s="9" t="str">
        <f>VLOOKUP(A52,'Sets (lua data)'!$A$3:$C$9838,3,FALSE)</f>
        <v>Seventh Legion Brute</v>
      </c>
      <c r="C52" s="9" t="str">
        <f>VLOOKUP(A52,'Sets (lua data)'!$A$3:$C$9838,2,FALSE)</f>
        <v>Rohling der siebten Legion</v>
      </c>
      <c r="D52" t="s">
        <v>7</v>
      </c>
      <c r="E52" s="3" t="str">
        <f>IF(ISNA(VLOOKUP(D52,ConstDLCIds!$B$4:$C$1001,2,FALSE)),"",VLOOKUP(D52,ConstDLCIds!$B$4:$C$1001,2,FALSE))</f>
        <v>Included in base game</v>
      </c>
    </row>
    <row r="53" spans="1:5" x14ac:dyDescent="0.25">
      <c r="A53" s="12">
        <v>71</v>
      </c>
      <c r="B53" s="9" t="str">
        <f>VLOOKUP(A53,'Sets (lua data)'!$A$3:$C$9838,3,FALSE)</f>
        <v>Durok\'s Bane</v>
      </c>
      <c r="C53" s="9" t="str">
        <f>VLOOKUP(A53,'Sets (lua data)'!$A$3:$C$9838,2,FALSE)</f>
        <v>Duroks Fluch</v>
      </c>
      <c r="D53" t="s">
        <v>7</v>
      </c>
      <c r="E53" s="3" t="str">
        <f>IF(ISNA(VLOOKUP(D53,ConstDLCIds!$B$4:$C$1001,2,FALSE)),"",VLOOKUP(D53,ConstDLCIds!$B$4:$C$1001,2,FALSE))</f>
        <v>Included in base game</v>
      </c>
    </row>
    <row r="54" spans="1:5" x14ac:dyDescent="0.25">
      <c r="A54" s="12">
        <v>72</v>
      </c>
      <c r="B54" s="9" t="str">
        <f>VLOOKUP(A54,'Sets (lua data)'!$A$3:$C$9838,3,FALSE)</f>
        <v>Nikulas\' Heavy Armor</v>
      </c>
      <c r="C54" s="9" t="str">
        <f>VLOOKUP(A54,'Sets (lua data)'!$A$3:$C$9838,2,FALSE)</f>
        <v>Nikulas' schwere Rüstung</v>
      </c>
      <c r="D54" t="s">
        <v>7</v>
      </c>
      <c r="E54" s="3" t="str">
        <f>IF(ISNA(VLOOKUP(D54,ConstDLCIds!$B$4:$C$1001,2,FALSE)),"",VLOOKUP(D54,ConstDLCIds!$B$4:$C$1001,2,FALSE))</f>
        <v>Included in base game</v>
      </c>
    </row>
    <row r="55" spans="1:5" x14ac:dyDescent="0.25">
      <c r="A55" s="1">
        <v>73</v>
      </c>
      <c r="B55" s="9" t="str">
        <f>VLOOKUP(A55,'Sets (lua data)'!$A$3:$C$9838,3,FALSE)</f>
        <v>Oblivion\'s Foe</v>
      </c>
      <c r="C55" s="9" t="str">
        <f>VLOOKUP(A55,'Sets (lua data)'!$A$3:$C$9838,2,FALSE)</f>
        <v>Erinnerung</v>
      </c>
      <c r="D55" t="s">
        <v>7</v>
      </c>
      <c r="E55" s="3" t="str">
        <f>IF(ISNA(VLOOKUP(D55,ConstDLCIds!$B$4:$C$1001,2,FALSE)),"",VLOOKUP(D55,ConstDLCIds!$B$4:$C$1001,2,FALSE))</f>
        <v>Included in base game</v>
      </c>
    </row>
    <row r="56" spans="1:5" x14ac:dyDescent="0.25">
      <c r="A56" s="1">
        <v>74</v>
      </c>
      <c r="B56" s="9" t="str">
        <f>VLOOKUP(A56,'Sets (lua data)'!$A$3:$C$9838,3,FALSE)</f>
        <v>Spectre\'s Eye</v>
      </c>
      <c r="C56" s="9" t="str">
        <f>VLOOKUP(A56,'Sets (lua data)'!$A$3:$C$9838,2,FALSE)</f>
        <v>Schemenauge</v>
      </c>
      <c r="D56" t="s">
        <v>7</v>
      </c>
      <c r="E56" s="3" t="str">
        <f>IF(ISNA(VLOOKUP(D56,ConstDLCIds!$B$4:$C$1001,2,FALSE)),"",VLOOKUP(D56,ConstDLCIds!$B$4:$C$1001,2,FALSE))</f>
        <v>Included in base game</v>
      </c>
    </row>
    <row r="57" spans="1:5" x14ac:dyDescent="0.25">
      <c r="A57" s="1">
        <v>75</v>
      </c>
      <c r="B57" s="9" t="str">
        <f>VLOOKUP(A57,'Sets (lua data)'!$A$3:$C$9838,3,FALSE)</f>
        <v>Torug\'s Pact</v>
      </c>
      <c r="C57" s="9" t="str">
        <f>VLOOKUP(A57,'Sets (lua data)'!$A$3:$C$9838,2,FALSE)</f>
        <v>Torugs Pakt</v>
      </c>
      <c r="D57" t="s">
        <v>7</v>
      </c>
      <c r="E57" s="3" t="str">
        <f>IF(ISNA(VLOOKUP(D57,ConstDLCIds!$B$4:$C$1001,2,FALSE)),"",VLOOKUP(D57,ConstDLCIds!$B$4:$C$1001,2,FALSE))</f>
        <v>Included in base game</v>
      </c>
    </row>
    <row r="58" spans="1:5" x14ac:dyDescent="0.25">
      <c r="A58" s="12">
        <v>76</v>
      </c>
      <c r="B58" s="9" t="str">
        <f>VLOOKUP(A58,'Sets (lua data)'!$A$3:$C$9838,3,FALSE)</f>
        <v>Robes of Alteration Mastery</v>
      </c>
      <c r="C58" s="9" t="str">
        <f>VLOOKUP(A58,'Sets (lua data)'!$A$3:$C$9838,2,FALSE)</f>
        <v>Roben der Veränderungsbeherrschung</v>
      </c>
      <c r="D58" t="s">
        <v>7</v>
      </c>
      <c r="E58" s="3" t="str">
        <f>IF(ISNA(VLOOKUP(D58,ConstDLCIds!$B$4:$C$1001,2,FALSE)),"",VLOOKUP(D58,ConstDLCIds!$B$4:$C$1001,2,FALSE))</f>
        <v>Included in base game</v>
      </c>
    </row>
    <row r="59" spans="1:5" x14ac:dyDescent="0.25">
      <c r="A59" s="12">
        <v>77</v>
      </c>
      <c r="B59" s="9" t="str">
        <f>VLOOKUP(A59,'Sets (lua data)'!$A$3:$C$9838,3,FALSE)</f>
        <v>Crusader</v>
      </c>
      <c r="C59" s="9" t="str">
        <f>VLOOKUP(A59,'Sets (lua data)'!$A$3:$C$9838,2,FALSE)</f>
        <v>Glaubenskrieger</v>
      </c>
      <c r="D59" t="s">
        <v>7</v>
      </c>
      <c r="E59" s="3" t="str">
        <f>IF(ISNA(VLOOKUP(D59,ConstDLCIds!$B$4:$C$1001,2,FALSE)),"",VLOOKUP(D59,ConstDLCIds!$B$4:$C$1001,2,FALSE))</f>
        <v>Included in base game</v>
      </c>
    </row>
    <row r="60" spans="1:5" x14ac:dyDescent="0.25">
      <c r="A60" s="1">
        <v>78</v>
      </c>
      <c r="B60" s="9" t="str">
        <f>VLOOKUP(A60,'Sets (lua data)'!$A$3:$C$9838,3,FALSE)</f>
        <v>Hist Bark</v>
      </c>
      <c r="C60" s="9" t="str">
        <f>VLOOKUP(A60,'Sets (lua data)'!$A$3:$C$9838,2,FALSE)</f>
        <v>Histrinde</v>
      </c>
      <c r="D60" t="s">
        <v>7</v>
      </c>
      <c r="E60" s="3" t="str">
        <f>IF(ISNA(VLOOKUP(D60,ConstDLCIds!$B$4:$C$1001,2,FALSE)),"",VLOOKUP(D60,ConstDLCIds!$B$4:$C$1001,2,FALSE))</f>
        <v>Included in base game</v>
      </c>
    </row>
    <row r="61" spans="1:5" x14ac:dyDescent="0.25">
      <c r="A61" s="1">
        <v>79</v>
      </c>
      <c r="B61" s="9" t="str">
        <f>VLOOKUP(A61,'Sets (lua data)'!$A$3:$C$9838,3,FALSE)</f>
        <v>Willow\'s Path</v>
      </c>
      <c r="C61" s="9" t="str">
        <f>VLOOKUP(A61,'Sets (lua data)'!$A$3:$C$9838,2,FALSE)</f>
        <v>Weidenpfad</v>
      </c>
      <c r="D61" t="s">
        <v>7</v>
      </c>
      <c r="E61" s="3" t="str">
        <f>IF(ISNA(VLOOKUP(D61,ConstDLCIds!$B$4:$C$1001,2,FALSE)),"",VLOOKUP(D61,ConstDLCIds!$B$4:$C$1001,2,FALSE))</f>
        <v>Included in base game</v>
      </c>
    </row>
    <row r="62" spans="1:5" x14ac:dyDescent="0.25">
      <c r="A62" s="1">
        <v>80</v>
      </c>
      <c r="B62" s="9" t="str">
        <f>VLOOKUP(A62,'Sets (lua data)'!$A$3:$C$9838,3,FALSE)</f>
        <v>Hunding\'s Rage</v>
      </c>
      <c r="C62" s="9" t="str">
        <f>VLOOKUP(A62,'Sets (lua data)'!$A$3:$C$9838,2,FALSE)</f>
        <v>Hundings Zorn</v>
      </c>
      <c r="D62" t="s">
        <v>7</v>
      </c>
      <c r="E62" s="3" t="str">
        <f>IF(ISNA(VLOOKUP(D62,ConstDLCIds!$B$4:$C$1001,2,FALSE)),"",VLOOKUP(D62,ConstDLCIds!$B$4:$C$1001,2,FALSE))</f>
        <v>Included in base game</v>
      </c>
    </row>
    <row r="63" spans="1:5" x14ac:dyDescent="0.25">
      <c r="A63" s="1">
        <v>81</v>
      </c>
      <c r="B63" s="9" t="str">
        <f>VLOOKUP(A63,'Sets (lua data)'!$A$3:$C$9838,3,FALSE)</f>
        <v>Song of Lamae</v>
      </c>
      <c r="C63" s="9" t="str">
        <f>VLOOKUP(A63,'Sets (lua data)'!$A$3:$C$9838,2,FALSE)</f>
        <v>Lied der Lamien</v>
      </c>
      <c r="D63" t="s">
        <v>7</v>
      </c>
      <c r="E63" s="3" t="str">
        <f>IF(ISNA(VLOOKUP(D63,ConstDLCIds!$B$4:$C$1001,2,FALSE)),"",VLOOKUP(D63,ConstDLCIds!$B$4:$C$1001,2,FALSE))</f>
        <v>Included in base game</v>
      </c>
    </row>
    <row r="64" spans="1:5" x14ac:dyDescent="0.25">
      <c r="A64" s="1">
        <v>82</v>
      </c>
      <c r="B64" s="9" t="str">
        <f>VLOOKUP(A64,'Sets (lua data)'!$A$3:$C$9838,3,FALSE)</f>
        <v>Alessia\'s Bulwark</v>
      </c>
      <c r="C64" s="9" t="str">
        <f>VLOOKUP(A64,'Sets (lua data)'!$A$3:$C$9838,2,FALSE)</f>
        <v>Alessias Bollwerk</v>
      </c>
      <c r="D64" t="s">
        <v>7</v>
      </c>
      <c r="E64" s="3" t="str">
        <f>IF(ISNA(VLOOKUP(D64,ConstDLCIds!$B$4:$C$1001,2,FALSE)),"",VLOOKUP(D64,ConstDLCIds!$B$4:$C$1001,2,FALSE))</f>
        <v>Included in base game</v>
      </c>
    </row>
    <row r="65" spans="1:5" x14ac:dyDescent="0.25">
      <c r="A65" s="12">
        <v>83</v>
      </c>
      <c r="B65" s="9" t="str">
        <f>VLOOKUP(A65,'Sets (lua data)'!$A$3:$C$9838,3,FALSE)</f>
        <v>Elf Bane</v>
      </c>
      <c r="C65" s="9" t="str">
        <f>VLOOKUP(A65,'Sets (lua data)'!$A$3:$C$9838,2,FALSE)</f>
        <v>Elfenfluch</v>
      </c>
      <c r="D65" t="s">
        <v>7</v>
      </c>
      <c r="E65" s="3" t="str">
        <f>IF(ISNA(VLOOKUP(D65,ConstDLCIds!$B$4:$C$1001,2,FALSE)),"",VLOOKUP(D65,ConstDLCIds!$B$4:$C$1001,2,FALSE))</f>
        <v>Included in base game</v>
      </c>
    </row>
    <row r="66" spans="1:5" x14ac:dyDescent="0.25">
      <c r="A66" s="1">
        <v>84</v>
      </c>
      <c r="B66" s="9" t="str">
        <f>VLOOKUP(A66,'Sets (lua data)'!$A$3:$C$9838,3,FALSE)</f>
        <v>Orgnum\'s Scales</v>
      </c>
      <c r="C66" s="9" t="str">
        <f>VLOOKUP(A66,'Sets (lua data)'!$A$3:$C$9838,2,FALSE)</f>
        <v>Orgnums Schuppen</v>
      </c>
      <c r="D66" t="s">
        <v>7</v>
      </c>
      <c r="E66" s="3" t="str">
        <f>IF(ISNA(VLOOKUP(D66,ConstDLCIds!$B$4:$C$1001,2,FALSE)),"",VLOOKUP(D66,ConstDLCIds!$B$4:$C$1001,2,FALSE))</f>
        <v>Included in base game</v>
      </c>
    </row>
    <row r="67" spans="1:5" x14ac:dyDescent="0.25">
      <c r="A67" s="12">
        <v>85</v>
      </c>
      <c r="B67" s="9" t="str">
        <f>VLOOKUP(A67,'Sets (lua data)'!$A$3:$C$9838,3,FALSE)</f>
        <v>Almalexia\'s Mercy</v>
      </c>
      <c r="C67" s="9" t="str">
        <f>VLOOKUP(A67,'Sets (lua data)'!$A$3:$C$9838,2,FALSE)</f>
        <v>Almalexias Gnade</v>
      </c>
      <c r="D67" t="s">
        <v>7</v>
      </c>
      <c r="E67" s="3" t="str">
        <f>IF(ISNA(VLOOKUP(D67,ConstDLCIds!$B$4:$C$1001,2,FALSE)),"",VLOOKUP(D67,ConstDLCIds!$B$4:$C$1001,2,FALSE))</f>
        <v>Included in base game</v>
      </c>
    </row>
    <row r="68" spans="1:5" x14ac:dyDescent="0.25">
      <c r="A68" s="12">
        <v>86</v>
      </c>
      <c r="B68" s="9" t="str">
        <f>VLOOKUP(A68,'Sets (lua data)'!$A$3:$C$9838,3,FALSE)</f>
        <v>Queen\'s Elegance</v>
      </c>
      <c r="C68" s="9" t="str">
        <f>VLOOKUP(A68,'Sets (lua data)'!$A$3:$C$9838,2,FALSE)</f>
        <v>Eleganz der Königin</v>
      </c>
      <c r="D68" t="s">
        <v>7</v>
      </c>
      <c r="E68" s="3" t="str">
        <f>IF(ISNA(VLOOKUP(D68,ConstDLCIds!$B$4:$C$1001,2,FALSE)),"",VLOOKUP(D68,ConstDLCIds!$B$4:$C$1001,2,FALSE))</f>
        <v>Included in base game</v>
      </c>
    </row>
    <row r="69" spans="1:5" x14ac:dyDescent="0.25">
      <c r="A69" s="1">
        <v>87</v>
      </c>
      <c r="B69" s="9" t="str">
        <f>VLOOKUP(A69,'Sets (lua data)'!$A$3:$C$9838,3,FALSE)</f>
        <v>Eyes of Mara</v>
      </c>
      <c r="C69" s="9" t="str">
        <f>VLOOKUP(A69,'Sets (lua data)'!$A$3:$C$9838,2,FALSE)</f>
        <v>Augen von Mara</v>
      </c>
      <c r="D69" t="s">
        <v>7</v>
      </c>
      <c r="E69" s="3" t="str">
        <f>IF(ISNA(VLOOKUP(D69,ConstDLCIds!$B$4:$C$1001,2,FALSE)),"",VLOOKUP(D69,ConstDLCIds!$B$4:$C$1001,2,FALSE))</f>
        <v>Included in base game</v>
      </c>
    </row>
    <row r="70" spans="1:5" x14ac:dyDescent="0.25">
      <c r="A70" s="12">
        <v>88</v>
      </c>
      <c r="B70" s="9" t="str">
        <f>VLOOKUP(A70,'Sets (lua data)'!$A$3:$C$9838,3,FALSE)</f>
        <v>Robes of Destruction Mastery</v>
      </c>
      <c r="C70" s="9" t="str">
        <f>VLOOKUP(A70,'Sets (lua data)'!$A$3:$C$9838,2,FALSE)</f>
        <v>Roben der Zerstörungsbeherrschung</v>
      </c>
      <c r="D70" t="s">
        <v>7</v>
      </c>
      <c r="E70" s="3" t="str">
        <f>IF(ISNA(VLOOKUP(D70,ConstDLCIds!$B$4:$C$1001,2,FALSE)),"",VLOOKUP(D70,ConstDLCIds!$B$4:$C$1001,2,FALSE))</f>
        <v>Included in base game</v>
      </c>
    </row>
    <row r="71" spans="1:5" x14ac:dyDescent="0.25">
      <c r="A71" s="12">
        <v>89</v>
      </c>
      <c r="B71" s="9" t="str">
        <f>VLOOKUP(A71,'Sets (lua data)'!$A$3:$C$9838,3,FALSE)</f>
        <v>Sentry</v>
      </c>
      <c r="C71" s="9" t="str">
        <f>VLOOKUP(A71,'Sets (lua data)'!$A$3:$C$9838,2,FALSE)</f>
        <v>Wachposten</v>
      </c>
      <c r="D71" t="s">
        <v>7</v>
      </c>
      <c r="E71" s="3" t="str">
        <f>IF(ISNA(VLOOKUP(D71,ConstDLCIds!$B$4:$C$1001,2,FALSE)),"",VLOOKUP(D71,ConstDLCIds!$B$4:$C$1001,2,FALSE))</f>
        <v>Included in base game</v>
      </c>
    </row>
    <row r="72" spans="1:5" x14ac:dyDescent="0.25">
      <c r="A72" s="12">
        <v>90</v>
      </c>
      <c r="B72" s="9" t="str">
        <f>VLOOKUP(A72,'Sets (lua data)'!$A$3:$C$9838,3,FALSE)</f>
        <v>Senche\'s Bite</v>
      </c>
      <c r="C72" s="9" t="str">
        <f>VLOOKUP(A72,'Sets (lua data)'!$A$3:$C$9838,2,FALSE)</f>
        <v>Biss des Senche</v>
      </c>
      <c r="D72" t="s">
        <v>7</v>
      </c>
      <c r="E72" s="3" t="str">
        <f>IF(ISNA(VLOOKUP(D72,ConstDLCIds!$B$4:$C$1001,2,FALSE)),"",VLOOKUP(D72,ConstDLCIds!$B$4:$C$1001,2,FALSE))</f>
        <v>Included in base game</v>
      </c>
    </row>
    <row r="73" spans="1:5" x14ac:dyDescent="0.25">
      <c r="A73" s="12">
        <v>91</v>
      </c>
      <c r="B73" s="9" t="str">
        <f>VLOOKUP(A73,'Sets (lua data)'!$A$3:$C$9838,3,FALSE)</f>
        <v>Oblivion\'s Edge</v>
      </c>
      <c r="C73" s="9" t="str">
        <f>VLOOKUP(A73,'Sets (lua data)'!$A$3:$C$9838,2,FALSE)</f>
        <v>Vorteil des Vergessens</v>
      </c>
      <c r="D73" t="s">
        <v>7</v>
      </c>
      <c r="E73" s="3" t="str">
        <f>IF(ISNA(VLOOKUP(D73,ConstDLCIds!$B$4:$C$1001,2,FALSE)),"",VLOOKUP(D73,ConstDLCIds!$B$4:$C$1001,2,FALSE))</f>
        <v>Included in base game</v>
      </c>
    </row>
    <row r="74" spans="1:5" x14ac:dyDescent="0.25">
      <c r="A74" s="1">
        <v>92</v>
      </c>
      <c r="B74" s="9" t="str">
        <f>VLOOKUP(A74,'Sets (lua data)'!$A$3:$C$9838,3,FALSE)</f>
        <v>Kagrenac\'s Hope</v>
      </c>
      <c r="C74" s="9" t="str">
        <f>VLOOKUP(A74,'Sets (lua data)'!$A$3:$C$9838,2,FALSE)</f>
        <v>Kagrenacs Hoffnung</v>
      </c>
      <c r="D74" t="s">
        <v>7</v>
      </c>
      <c r="E74" s="3" t="str">
        <f>IF(ISNA(VLOOKUP(D74,ConstDLCIds!$B$4:$C$1001,2,FALSE)),"",VLOOKUP(D74,ConstDLCIds!$B$4:$C$1001,2,FALSE))</f>
        <v>Included in base game</v>
      </c>
    </row>
    <row r="75" spans="1:5" x14ac:dyDescent="0.25">
      <c r="A75" s="12">
        <v>93</v>
      </c>
      <c r="B75" s="9" t="str">
        <f>VLOOKUP(A75,'Sets (lua data)'!$A$3:$C$9838,3,FALSE)</f>
        <v>Storm Knight\'s Plate</v>
      </c>
      <c r="C75" s="9" t="str">
        <f>VLOOKUP(A75,'Sets (lua data)'!$A$3:$C$9838,2,FALSE)</f>
        <v>Wut des Sturmritters</v>
      </c>
      <c r="D75" t="s">
        <v>7</v>
      </c>
      <c r="E75" s="3" t="str">
        <f>IF(ISNA(VLOOKUP(D75,ConstDLCIds!$B$4:$C$1001,2,FALSE)),"",VLOOKUP(D75,ConstDLCIds!$B$4:$C$1001,2,FALSE))</f>
        <v>Included in base game</v>
      </c>
    </row>
    <row r="76" spans="1:5" x14ac:dyDescent="0.25">
      <c r="A76" s="12">
        <v>94</v>
      </c>
      <c r="B76" s="9" t="str">
        <f>VLOOKUP(A76,'Sets (lua data)'!$A$3:$C$9838,3,FALSE)</f>
        <v>Meridia\'s Blessed Armor</v>
      </c>
      <c r="C76" s="9" t="str">
        <f>VLOOKUP(A76,'Sets (lua data)'!$A$3:$C$9838,2,FALSE)</f>
        <v>Meridias gesegnete Rüstung</v>
      </c>
      <c r="D76" t="s">
        <v>7</v>
      </c>
      <c r="E76" s="3" t="str">
        <f>IF(ISNA(VLOOKUP(D76,ConstDLCIds!$B$4:$C$1001,2,FALSE)),"",VLOOKUP(D76,ConstDLCIds!$B$4:$C$1001,2,FALSE))</f>
        <v>Included in base game</v>
      </c>
    </row>
    <row r="77" spans="1:5" x14ac:dyDescent="0.25">
      <c r="A77" s="1">
        <v>95</v>
      </c>
      <c r="B77" s="9" t="str">
        <f>VLOOKUP(A77,'Sets (lua data)'!$A$3:$C$9838,3,FALSE)</f>
        <v>Shalidor\'s Curse</v>
      </c>
      <c r="C77" s="9" t="str">
        <f>VLOOKUP(A77,'Sets (lua data)'!$A$3:$C$9838,2,FALSE)</f>
        <v>Shalidors Fluch</v>
      </c>
      <c r="D77" t="s">
        <v>7</v>
      </c>
      <c r="E77" s="3" t="str">
        <f>IF(ISNA(VLOOKUP(D77,ConstDLCIds!$B$4:$C$1001,2,FALSE)),"",VLOOKUP(D77,ConstDLCIds!$B$4:$C$1001,2,FALSE))</f>
        <v>Included in base game</v>
      </c>
    </row>
    <row r="78" spans="1:5" x14ac:dyDescent="0.25">
      <c r="A78" s="12">
        <v>96</v>
      </c>
      <c r="B78" s="9" t="str">
        <f>VLOOKUP(A78,'Sets (lua data)'!$A$3:$C$9838,3,FALSE)</f>
        <v>Armor of Truth</v>
      </c>
      <c r="C78" s="9" t="str">
        <f>VLOOKUP(A78,'Sets (lua data)'!$A$3:$C$9838,2,FALSE)</f>
        <v>Rüstung der Wahrheit</v>
      </c>
      <c r="D78" t="s">
        <v>7</v>
      </c>
      <c r="E78" s="3" t="str">
        <f>IF(ISNA(VLOOKUP(D78,ConstDLCIds!$B$4:$C$1001,2,FALSE)),"",VLOOKUP(D78,ConstDLCIds!$B$4:$C$1001,2,FALSE))</f>
        <v>Included in base game</v>
      </c>
    </row>
    <row r="79" spans="1:5" x14ac:dyDescent="0.25">
      <c r="A79" s="12">
        <v>97</v>
      </c>
      <c r="B79" s="9" t="str">
        <f>VLOOKUP(A79,'Sets (lua data)'!$A$3:$C$9838,3,FALSE)</f>
        <v>The Arch-Mage</v>
      </c>
      <c r="C79" s="9" t="str">
        <f>VLOOKUP(A79,'Sets (lua data)'!$A$3:$C$9838,2,FALSE)</f>
        <v>Erzmagier</v>
      </c>
      <c r="D79" t="s">
        <v>7</v>
      </c>
      <c r="E79" s="3" t="str">
        <f>IF(ISNA(VLOOKUP(D79,ConstDLCIds!$B$4:$C$1001,2,FALSE)),"",VLOOKUP(D79,ConstDLCIds!$B$4:$C$1001,2,FALSE))</f>
        <v>Included in base game</v>
      </c>
    </row>
    <row r="80" spans="1:5" x14ac:dyDescent="0.25">
      <c r="A80" s="12">
        <v>98</v>
      </c>
      <c r="B80" s="9" t="str">
        <f>VLOOKUP(A80,'Sets (lua data)'!$A$3:$C$9838,3,FALSE)</f>
        <v>Necropotence</v>
      </c>
      <c r="C80" s="9" t="str">
        <f>VLOOKUP(A80,'Sets (lua data)'!$A$3:$C$9838,2,FALSE)</f>
        <v>Nekropotenz</v>
      </c>
      <c r="D80" t="s">
        <v>7</v>
      </c>
      <c r="E80" s="3" t="str">
        <f>IF(ISNA(VLOOKUP(D80,ConstDLCIds!$B$4:$C$1001,2,FALSE)),"",VLOOKUP(D80,ConstDLCIds!$B$4:$C$1001,2,FALSE))</f>
        <v>Included in base game</v>
      </c>
    </row>
    <row r="81" spans="1:5" x14ac:dyDescent="0.25">
      <c r="A81" s="12">
        <v>99</v>
      </c>
      <c r="B81" s="9" t="str">
        <f>VLOOKUP(A81,'Sets (lua data)'!$A$3:$C$9838,3,FALSE)</f>
        <v>Salvation</v>
      </c>
      <c r="C81" s="9" t="str">
        <f>VLOOKUP(A81,'Sets (lua data)'!$A$3:$C$9838,2,FALSE)</f>
        <v>Erlösung</v>
      </c>
      <c r="D81" t="s">
        <v>7</v>
      </c>
      <c r="E81" s="3" t="str">
        <f>IF(ISNA(VLOOKUP(D81,ConstDLCIds!$B$4:$C$1001,2,FALSE)),"",VLOOKUP(D81,ConstDLCIds!$B$4:$C$1001,2,FALSE))</f>
        <v>Included in base game</v>
      </c>
    </row>
    <row r="82" spans="1:5" x14ac:dyDescent="0.25">
      <c r="A82" s="12">
        <v>100</v>
      </c>
      <c r="B82" s="9" t="str">
        <f>VLOOKUP(A82,'Sets (lua data)'!$A$3:$C$9838,3,FALSE)</f>
        <v>Hawk\'s Eye</v>
      </c>
      <c r="C82" s="9" t="str">
        <f>VLOOKUP(A82,'Sets (lua data)'!$A$3:$C$9838,2,FALSE)</f>
        <v>Falkenauge</v>
      </c>
      <c r="D82" t="s">
        <v>7</v>
      </c>
      <c r="E82" s="3" t="str">
        <f>IF(ISNA(VLOOKUP(D82,ConstDLCIds!$B$4:$C$1001,2,FALSE)),"",VLOOKUP(D82,ConstDLCIds!$B$4:$C$1001,2,FALSE))</f>
        <v>Included in base game</v>
      </c>
    </row>
    <row r="83" spans="1:5" x14ac:dyDescent="0.25">
      <c r="A83" s="12">
        <v>101</v>
      </c>
      <c r="B83" s="9" t="str">
        <f>VLOOKUP(A83,'Sets (lua data)'!$A$3:$C$9838,3,FALSE)</f>
        <v>Affliction</v>
      </c>
      <c r="C83" s="9" t="str">
        <f>VLOOKUP(A83,'Sets (lua data)'!$A$3:$C$9838,2,FALSE)</f>
        <v>Elend (Befallen)</v>
      </c>
      <c r="D83" t="s">
        <v>7</v>
      </c>
      <c r="E83" s="3" t="str">
        <f>IF(ISNA(VLOOKUP(D83,ConstDLCIds!$B$4:$C$1001,2,FALSE)),"",VLOOKUP(D83,ConstDLCIds!$B$4:$C$1001,2,FALSE))</f>
        <v>Included in base game</v>
      </c>
    </row>
    <row r="84" spans="1:5" x14ac:dyDescent="0.25">
      <c r="A84" s="12">
        <v>102</v>
      </c>
      <c r="B84" s="9" t="str">
        <f>VLOOKUP(A84,'Sets (lua data)'!$A$3:$C$9838,3,FALSE)</f>
        <v>Duneripper\'s Scales</v>
      </c>
      <c r="C84" s="9" t="str">
        <f>VLOOKUP(A84,'Sets (lua data)'!$A$3:$C$9838,2,FALSE)</f>
        <v>Schuppen des Dünenbrechers</v>
      </c>
      <c r="D84" t="s">
        <v>7</v>
      </c>
      <c r="E84" s="3" t="str">
        <f>IF(ISNA(VLOOKUP(D84,ConstDLCIds!$B$4:$C$1001,2,FALSE)),"",VLOOKUP(D84,ConstDLCIds!$B$4:$C$1001,2,FALSE))</f>
        <v>Included in base game</v>
      </c>
    </row>
    <row r="85" spans="1:5" x14ac:dyDescent="0.25">
      <c r="A85" s="12">
        <v>103</v>
      </c>
      <c r="B85" s="9" t="str">
        <f>VLOOKUP(A85,'Sets (lua data)'!$A$3:$C$9838,3,FALSE)</f>
        <v>Magicka Furnace</v>
      </c>
      <c r="C85" s="9" t="str">
        <f>VLOOKUP(A85,'Sets (lua data)'!$A$3:$C$9838,2,FALSE)</f>
        <v>Magickaschmiede</v>
      </c>
      <c r="D85" t="s">
        <v>7</v>
      </c>
      <c r="E85" s="3" t="str">
        <f>IF(ISNA(VLOOKUP(D85,ConstDLCIds!$B$4:$C$1001,2,FALSE)),"",VLOOKUP(D85,ConstDLCIds!$B$4:$C$1001,2,FALSE))</f>
        <v>Included in base game</v>
      </c>
    </row>
    <row r="86" spans="1:5" x14ac:dyDescent="0.25">
      <c r="A86" s="12">
        <v>104</v>
      </c>
      <c r="B86" s="9" t="str">
        <f>VLOOKUP(A86,'Sets (lua data)'!$A$3:$C$9838,3,FALSE)</f>
        <v>Curse Eater</v>
      </c>
      <c r="C86" s="9" t="str">
        <f>VLOOKUP(A86,'Sets (lua data)'!$A$3:$C$9838,2,FALSE)</f>
        <v>Fluchfresser</v>
      </c>
      <c r="D86" t="s">
        <v>7</v>
      </c>
      <c r="E86" s="3" t="str">
        <f>IF(ISNA(VLOOKUP(D86,ConstDLCIds!$B$4:$C$1001,2,FALSE)),"",VLOOKUP(D86,ConstDLCIds!$B$4:$C$1001,2,FALSE))</f>
        <v>Included in base game</v>
      </c>
    </row>
    <row r="87" spans="1:5" x14ac:dyDescent="0.25">
      <c r="A87" s="12">
        <v>105</v>
      </c>
      <c r="B87" s="9" t="str">
        <f>VLOOKUP(A87,'Sets (lua data)'!$A$3:$C$9838,3,FALSE)</f>
        <v>Twin Sisters</v>
      </c>
      <c r="C87" s="9" t="str">
        <f>VLOOKUP(A87,'Sets (lua data)'!$A$3:$C$9838,2,FALSE)</f>
        <v>Zwillingsschwestern</v>
      </c>
      <c r="D87" t="s">
        <v>7</v>
      </c>
      <c r="E87" s="3" t="str">
        <f>IF(ISNA(VLOOKUP(D87,ConstDLCIds!$B$4:$C$1001,2,FALSE)),"",VLOOKUP(D87,ConstDLCIds!$B$4:$C$1001,2,FALSE))</f>
        <v>Included in base game</v>
      </c>
    </row>
    <row r="88" spans="1:5" x14ac:dyDescent="0.25">
      <c r="A88" s="12">
        <v>106</v>
      </c>
      <c r="B88" s="9" t="str">
        <f>VLOOKUP(A88,'Sets (lua data)'!$A$3:$C$9838,3,FALSE)</f>
        <v>Wilderqueen\'s Arch</v>
      </c>
      <c r="C88" s="9" t="str">
        <f>VLOOKUP(A88,'Sets (lua data)'!$A$3:$C$9838,2,FALSE)</f>
        <v>Bogen der Wildkönigin</v>
      </c>
      <c r="D88" t="s">
        <v>7</v>
      </c>
      <c r="E88" s="3" t="str">
        <f>IF(ISNA(VLOOKUP(D88,ConstDLCIds!$B$4:$C$1001,2,FALSE)),"",VLOOKUP(D88,ConstDLCIds!$B$4:$C$1001,2,FALSE))</f>
        <v>Included in base game</v>
      </c>
    </row>
    <row r="89" spans="1:5" x14ac:dyDescent="0.25">
      <c r="A89" s="12">
        <v>107</v>
      </c>
      <c r="B89" s="9" t="str">
        <f>VLOOKUP(A89,'Sets (lua data)'!$A$3:$C$9838,3,FALSE)</f>
        <v>Wyrd Tree\'s Blessing</v>
      </c>
      <c r="C89" s="9" t="str">
        <f>VLOOKUP(A89,'Sets (lua data)'!$A$3:$C$9838,2,FALSE)</f>
        <v>Segen des Wyrdbaums</v>
      </c>
      <c r="D89" t="s">
        <v>7</v>
      </c>
      <c r="E89" s="3" t="str">
        <f>IF(ISNA(VLOOKUP(D89,ConstDLCIds!$B$4:$C$1001,2,FALSE)),"",VLOOKUP(D89,ConstDLCIds!$B$4:$C$1001,2,FALSE))</f>
        <v>Included in base game</v>
      </c>
    </row>
    <row r="90" spans="1:5" x14ac:dyDescent="0.25">
      <c r="A90" s="12">
        <v>108</v>
      </c>
      <c r="B90" s="9" t="str">
        <f>VLOOKUP(A90,'Sets (lua data)'!$A$3:$C$9838,3,FALSE)</f>
        <v>Ravager</v>
      </c>
      <c r="C90" s="9" t="str">
        <f>VLOOKUP(A90,'Sets (lua data)'!$A$3:$C$9838,2,FALSE)</f>
        <v>Verwüster</v>
      </c>
      <c r="D90" t="s">
        <v>7</v>
      </c>
      <c r="E90" s="3" t="str">
        <f>IF(ISNA(VLOOKUP(D90,ConstDLCIds!$B$4:$C$1001,2,FALSE)),"",VLOOKUP(D90,ConstDLCIds!$B$4:$C$1001,2,FALSE))</f>
        <v>Included in base game</v>
      </c>
    </row>
    <row r="91" spans="1:5" x14ac:dyDescent="0.25">
      <c r="A91" s="12">
        <v>109</v>
      </c>
      <c r="B91" s="9" t="str">
        <f>VLOOKUP(A91,'Sets (lua data)'!$A$3:$C$9838,3,FALSE)</f>
        <v>Light of Cyrodiil</v>
      </c>
      <c r="C91" s="9" t="str">
        <f>VLOOKUP(A91,'Sets (lua data)'!$A$3:$C$9838,2,FALSE)</f>
        <v>Licht von Cyrodiil</v>
      </c>
      <c r="D91" t="s">
        <v>7</v>
      </c>
      <c r="E91" s="3" t="str">
        <f>IF(ISNA(VLOOKUP(D91,ConstDLCIds!$B$4:$C$1001,2,FALSE)),"",VLOOKUP(D91,ConstDLCIds!$B$4:$C$1001,2,FALSE))</f>
        <v>Included in base game</v>
      </c>
    </row>
    <row r="92" spans="1:5" x14ac:dyDescent="0.25">
      <c r="A92" s="12">
        <v>110</v>
      </c>
      <c r="B92" s="9" t="str">
        <f>VLOOKUP(A92,'Sets (lua data)'!$A$3:$C$9838,3,FALSE)</f>
        <v>Sanctuary</v>
      </c>
      <c r="C92" s="9" t="str">
        <f>VLOOKUP(A92,'Sets (lua data)'!$A$3:$C$9838,2,FALSE)</f>
        <v>Heiligtum</v>
      </c>
      <c r="D92" t="s">
        <v>7</v>
      </c>
      <c r="E92" s="3" t="str">
        <f>IF(ISNA(VLOOKUP(D92,ConstDLCIds!$B$4:$C$1001,2,FALSE)),"",VLOOKUP(D92,ConstDLCIds!$B$4:$C$1001,2,FALSE))</f>
        <v>Included in base game</v>
      </c>
    </row>
    <row r="93" spans="1:5" x14ac:dyDescent="0.25">
      <c r="A93" s="12">
        <v>111</v>
      </c>
      <c r="B93" s="9" t="str">
        <f>VLOOKUP(A93,'Sets (lua data)'!$A$3:$C$9838,3,FALSE)</f>
        <v>Ward of Cyrodiil</v>
      </c>
      <c r="C93" s="9" t="str">
        <f>VLOOKUP(A93,'Sets (lua data)'!$A$3:$C$9838,2,FALSE)</f>
        <v>Schutz von Cyrodiil</v>
      </c>
      <c r="D93" t="s">
        <v>7</v>
      </c>
      <c r="E93" s="3" t="str">
        <f>IF(ISNA(VLOOKUP(D93,ConstDLCIds!$B$4:$C$1001,2,FALSE)),"",VLOOKUP(D93,ConstDLCIds!$B$4:$C$1001,2,FALSE))</f>
        <v>Included in base game</v>
      </c>
    </row>
    <row r="94" spans="1:5" x14ac:dyDescent="0.25">
      <c r="A94" s="12">
        <v>112</v>
      </c>
      <c r="B94" s="9" t="str">
        <f>VLOOKUP(A94,'Sets (lua data)'!$A$3:$C$9838,3,FALSE)</f>
        <v>Night Terror</v>
      </c>
      <c r="C94" s="9" t="str">
        <f>VLOOKUP(A94,'Sets (lua data)'!$A$3:$C$9838,2,FALSE)</f>
        <v>Nachtschrecken</v>
      </c>
      <c r="D94" t="s">
        <v>7</v>
      </c>
      <c r="E94" s="3" t="str">
        <f>IF(ISNA(VLOOKUP(D94,ConstDLCIds!$B$4:$C$1001,2,FALSE)),"",VLOOKUP(D94,ConstDLCIds!$B$4:$C$1001,2,FALSE))</f>
        <v>Included in base game</v>
      </c>
    </row>
    <row r="95" spans="1:5" x14ac:dyDescent="0.25">
      <c r="A95" s="12">
        <v>113</v>
      </c>
      <c r="B95" s="9" t="str">
        <f>VLOOKUP(A95,'Sets (lua data)'!$A$3:$C$9838,3,FALSE)</f>
        <v>Crest of Cyrodiil</v>
      </c>
      <c r="C95" s="9" t="str">
        <f>VLOOKUP(A95,'Sets (lua data)'!$A$3:$C$9838,2,FALSE)</f>
        <v>Wappen von Cyrodiil</v>
      </c>
      <c r="D95" t="s">
        <v>7</v>
      </c>
      <c r="E95" s="3" t="str">
        <f>IF(ISNA(VLOOKUP(D95,ConstDLCIds!$B$4:$C$1001,2,FALSE)),"",VLOOKUP(D95,ConstDLCIds!$B$4:$C$1001,2,FALSE))</f>
        <v>Included in base game</v>
      </c>
    </row>
    <row r="96" spans="1:5" x14ac:dyDescent="0.25">
      <c r="A96" s="12">
        <v>114</v>
      </c>
      <c r="B96" s="9" t="str">
        <f>VLOOKUP(A96,'Sets (lua data)'!$A$3:$C$9838,3,FALSE)</f>
        <v>Soulshine</v>
      </c>
      <c r="C96" s="9" t="str">
        <f>VLOOKUP(A96,'Sets (lua data)'!$A$3:$C$9838,2,FALSE)</f>
        <v>Seelenschein</v>
      </c>
      <c r="D96" t="s">
        <v>7</v>
      </c>
      <c r="E96" s="3" t="str">
        <f>IF(ISNA(VLOOKUP(D96,ConstDLCIds!$B$4:$C$1001,2,FALSE)),"",VLOOKUP(D96,ConstDLCIds!$B$4:$C$1001,2,FALSE))</f>
        <v>Included in base game</v>
      </c>
    </row>
    <row r="97" spans="1:5" x14ac:dyDescent="0.25">
      <c r="A97" s="12">
        <v>116</v>
      </c>
      <c r="B97" s="9" t="str">
        <f>VLOOKUP(A97,'Sets (lua data)'!$A$3:$C$9838,3,FALSE)</f>
        <v>The Destruction Suite</v>
      </c>
      <c r="C97" s="9" t="str">
        <f>VLOOKUP(A97,'Sets (lua data)'!$A$3:$C$9838,2,FALSE)</f>
        <v>Garnitur der Zerstörung</v>
      </c>
      <c r="D97" t="s">
        <v>7</v>
      </c>
      <c r="E97" s="3" t="str">
        <f>IF(ISNA(VLOOKUP(D97,ConstDLCIds!$B$4:$C$1001,2,FALSE)),"",VLOOKUP(D97,ConstDLCIds!$B$4:$C$1001,2,FALSE))</f>
        <v>Included in base game</v>
      </c>
    </row>
    <row r="98" spans="1:5" x14ac:dyDescent="0.25">
      <c r="A98" s="12">
        <v>117</v>
      </c>
      <c r="B98" s="9" t="str">
        <f>VLOOKUP(A98,'Sets (lua data)'!$A$3:$C$9838,3,FALSE)</f>
        <v>Relics of the Physician, Ansur</v>
      </c>
      <c r="C98" s="9" t="str">
        <f>VLOOKUP(A98,'Sets (lua data)'!$A$3:$C$9838,2,FALSE)</f>
        <v>Relikte des Mediziners Ansur</v>
      </c>
      <c r="D98" t="s">
        <v>7</v>
      </c>
      <c r="E98" s="3" t="str">
        <f>IF(ISNA(VLOOKUP(D98,ConstDLCIds!$B$4:$C$1001,2,FALSE)),"",VLOOKUP(D98,ConstDLCIds!$B$4:$C$1001,2,FALSE))</f>
        <v>Included in base game</v>
      </c>
    </row>
    <row r="99" spans="1:5" x14ac:dyDescent="0.25">
      <c r="A99" s="12">
        <v>118</v>
      </c>
      <c r="B99" s="9" t="str">
        <f>VLOOKUP(A99,'Sets (lua data)'!$A$3:$C$9838,3,FALSE)</f>
        <v>Treasures of the Earthforge</v>
      </c>
      <c r="C99" s="9" t="str">
        <f>VLOOKUP(A99,'Sets (lua data)'!$A$3:$C$9838,2,FALSE)</f>
        <v>Schätze der Erdenschmiede</v>
      </c>
      <c r="D99" t="s">
        <v>7</v>
      </c>
      <c r="E99" s="3" t="str">
        <f>IF(ISNA(VLOOKUP(D99,ConstDLCIds!$B$4:$C$1001,2,FALSE)),"",VLOOKUP(D99,ConstDLCIds!$B$4:$C$1001,2,FALSE))</f>
        <v>Included in base game</v>
      </c>
    </row>
    <row r="100" spans="1:5" x14ac:dyDescent="0.25">
      <c r="A100" s="12">
        <v>119</v>
      </c>
      <c r="B100" s="9" t="str">
        <f>VLOOKUP(A100,'Sets (lua data)'!$A$3:$C$9838,3,FALSE)</f>
        <v>Relics of the Rebellion</v>
      </c>
      <c r="C100" s="9" t="str">
        <f>VLOOKUP(A100,'Sets (lua data)'!$A$3:$C$9838,2,FALSE)</f>
        <v>Relikte der Rebellion</v>
      </c>
      <c r="D100" t="s">
        <v>7</v>
      </c>
      <c r="E100" s="3" t="str">
        <f>IF(ISNA(VLOOKUP(D100,ConstDLCIds!$B$4:$C$1001,2,FALSE)),"",VLOOKUP(D100,ConstDLCIds!$B$4:$C$1001,2,FALSE))</f>
        <v>Included in base game</v>
      </c>
    </row>
    <row r="101" spans="1:5" x14ac:dyDescent="0.25">
      <c r="A101" s="12">
        <v>120</v>
      </c>
      <c r="B101" s="9" t="str">
        <f>VLOOKUP(A101,'Sets (lua data)'!$A$3:$C$9838,3,FALSE)</f>
        <v>Arms of Infernace</v>
      </c>
      <c r="C101" s="9" t="str">
        <f>VLOOKUP(A101,'Sets (lua data)'!$A$3:$C$9838,2,FALSE)</f>
        <v>Waffen Infernals</v>
      </c>
      <c r="D101" t="s">
        <v>7</v>
      </c>
      <c r="E101" s="3" t="str">
        <f>IF(ISNA(VLOOKUP(D101,ConstDLCIds!$B$4:$C$1001,2,FALSE)),"",VLOOKUP(D101,ConstDLCIds!$B$4:$C$1001,2,FALSE))</f>
        <v>Included in base game</v>
      </c>
    </row>
    <row r="102" spans="1:5" x14ac:dyDescent="0.25">
      <c r="A102" s="12">
        <v>121</v>
      </c>
      <c r="B102" s="9" t="str">
        <f>VLOOKUP(A102,'Sets (lua data)'!$A$3:$C$9838,3,FALSE)</f>
        <v>Arms of the Ancestors</v>
      </c>
      <c r="C102" s="9" t="str">
        <f>VLOOKUP(A102,'Sets (lua data)'!$A$3:$C$9838,2,FALSE)</f>
        <v>Waffen der Ahnen</v>
      </c>
      <c r="D102" t="s">
        <v>7</v>
      </c>
      <c r="E102" s="3" t="str">
        <f>IF(ISNA(VLOOKUP(D102,ConstDLCIds!$B$4:$C$1001,2,FALSE)),"",VLOOKUP(D102,ConstDLCIds!$B$4:$C$1001,2,FALSE))</f>
        <v>Included in base game</v>
      </c>
    </row>
    <row r="103" spans="1:5" x14ac:dyDescent="0.25">
      <c r="A103" s="12">
        <v>122</v>
      </c>
      <c r="B103" s="9" t="str">
        <f>VLOOKUP(A103,'Sets (lua data)'!$A$3:$C$9838,3,FALSE)</f>
        <v>Ebon Armory</v>
      </c>
      <c r="C103" s="9" t="str">
        <f>VLOOKUP(A103,'Sets (lua data)'!$A$3:$C$9838,2,FALSE)</f>
        <v>Ebenerzarsenal</v>
      </c>
      <c r="D103" t="s">
        <v>7</v>
      </c>
      <c r="E103" s="3" t="str">
        <f>IF(ISNA(VLOOKUP(D103,ConstDLCIds!$B$4:$C$1001,2,FALSE)),"",VLOOKUP(D103,ConstDLCIds!$B$4:$C$1001,2,FALSE))</f>
        <v>Included in base game</v>
      </c>
    </row>
    <row r="104" spans="1:5" x14ac:dyDescent="0.25">
      <c r="A104" s="12">
        <v>123</v>
      </c>
      <c r="B104" s="9" t="str">
        <f>VLOOKUP(A104,'Sets (lua data)'!$A$3:$C$9838,3,FALSE)</f>
        <v>Hircine\'s Veneer</v>
      </c>
      <c r="C104" s="9" t="str">
        <f>VLOOKUP(A104,'Sets (lua data)'!$A$3:$C$9838,2,FALSE)</f>
        <v>Hircines Schein</v>
      </c>
      <c r="D104" t="s">
        <v>7</v>
      </c>
      <c r="E104" s="3" t="str">
        <f>IF(ISNA(VLOOKUP(D104,ConstDLCIds!$B$4:$C$1001,2,FALSE)),"",VLOOKUP(D104,ConstDLCIds!$B$4:$C$1001,2,FALSE))</f>
        <v>Included in base game</v>
      </c>
    </row>
    <row r="105" spans="1:5" x14ac:dyDescent="0.25">
      <c r="A105" s="12">
        <v>124</v>
      </c>
      <c r="B105" s="9" t="str">
        <f>VLOOKUP(A105,'Sets (lua data)'!$A$3:$C$9838,3,FALSE)</f>
        <v>The Worm\'s Raiment</v>
      </c>
      <c r="C105" s="9" t="str">
        <f>VLOOKUP(A105,'Sets (lua data)'!$A$3:$C$9838,2,FALSE)</f>
        <v>Garderobe des Wurms</v>
      </c>
      <c r="D105" t="s">
        <v>7</v>
      </c>
      <c r="E105" s="3" t="str">
        <f>IF(ISNA(VLOOKUP(D105,ConstDLCIds!$B$4:$C$1001,2,FALSE)),"",VLOOKUP(D105,ConstDLCIds!$B$4:$C$1001,2,FALSE))</f>
        <v>Included in base game</v>
      </c>
    </row>
    <row r="106" spans="1:5" x14ac:dyDescent="0.25">
      <c r="A106" s="12">
        <v>125</v>
      </c>
      <c r="B106" s="9" t="str">
        <f>VLOOKUP(A106,'Sets (lua data)'!$A$3:$C$9838,3,FALSE)</f>
        <v>Wrath of the Imperium</v>
      </c>
      <c r="C106" s="9" t="str">
        <f>VLOOKUP(A106,'Sets (lua data)'!$A$3:$C$9838,2,FALSE)</f>
        <v>Zorn des Kaiserreichs</v>
      </c>
      <c r="D106" t="s">
        <v>7</v>
      </c>
      <c r="E106" s="3" t="str">
        <f>IF(ISNA(VLOOKUP(D106,ConstDLCIds!$B$4:$C$1001,2,FALSE)),"",VLOOKUP(D106,ConstDLCIds!$B$4:$C$1001,2,FALSE))</f>
        <v>Included in base game</v>
      </c>
    </row>
    <row r="107" spans="1:5" x14ac:dyDescent="0.25">
      <c r="A107" s="12">
        <v>126</v>
      </c>
      <c r="B107" s="9" t="str">
        <f>VLOOKUP(A107,'Sets (lua data)'!$A$3:$C$9838,3,FALSE)</f>
        <v>Grace of the Ancients</v>
      </c>
      <c r="C107" s="9" t="str">
        <f>VLOOKUP(A107,'Sets (lua data)'!$A$3:$C$9838,2,FALSE)</f>
        <v>Anmut der Ahnen</v>
      </c>
      <c r="D107" t="s">
        <v>7</v>
      </c>
      <c r="E107" s="3" t="str">
        <f>IF(ISNA(VLOOKUP(D107,ConstDLCIds!$B$4:$C$1001,2,FALSE)),"",VLOOKUP(D107,ConstDLCIds!$B$4:$C$1001,2,FALSE))</f>
        <v>Included in base game</v>
      </c>
    </row>
    <row r="108" spans="1:5" x14ac:dyDescent="0.25">
      <c r="A108" s="12">
        <v>127</v>
      </c>
      <c r="B108" s="9" t="str">
        <f>VLOOKUP(A108,'Sets (lua data)'!$A$3:$C$9838,3,FALSE)</f>
        <v>Deadly Strike</v>
      </c>
      <c r="C108" s="9" t="str">
        <f>VLOOKUP(A108,'Sets (lua data)'!$A$3:$C$9838,2,FALSE)</f>
        <v>Tödlicher Stoß</v>
      </c>
      <c r="D108" t="s">
        <v>7</v>
      </c>
      <c r="E108" s="3" t="str">
        <f>IF(ISNA(VLOOKUP(D108,ConstDLCIds!$B$4:$C$1001,2,FALSE)),"",VLOOKUP(D108,ConstDLCIds!$B$4:$C$1001,2,FALSE))</f>
        <v>Included in base game</v>
      </c>
    </row>
    <row r="109" spans="1:5" x14ac:dyDescent="0.25">
      <c r="A109" s="12">
        <v>128</v>
      </c>
      <c r="B109" s="9" t="str">
        <f>VLOOKUP(A109,'Sets (lua data)'!$A$3:$C$9838,3,FALSE)</f>
        <v>Blessing of the Potentates</v>
      </c>
      <c r="C109" s="9" t="str">
        <f>VLOOKUP(A109,'Sets (lua data)'!$A$3:$C$9838,2,FALSE)</f>
        <v>Segen des Potentaten</v>
      </c>
      <c r="D109" t="s">
        <v>7</v>
      </c>
      <c r="E109" s="3" t="str">
        <f>IF(ISNA(VLOOKUP(D109,ConstDLCIds!$B$4:$C$1001,2,FALSE)),"",VLOOKUP(D109,ConstDLCIds!$B$4:$C$1001,2,FALSE))</f>
        <v>Included in base game</v>
      </c>
    </row>
    <row r="110" spans="1:5" x14ac:dyDescent="0.25">
      <c r="A110" s="12">
        <v>129</v>
      </c>
      <c r="B110" s="9" t="str">
        <f>VLOOKUP(A110,'Sets (lua data)'!$A$3:$C$9838,3,FALSE)</f>
        <v>Vengeance Leech</v>
      </c>
      <c r="C110" s="9" t="str">
        <f>VLOOKUP(A110,'Sets (lua data)'!$A$3:$C$9838,2,FALSE)</f>
        <v>Saugende Vergeltung</v>
      </c>
      <c r="D110" t="s">
        <v>7</v>
      </c>
      <c r="E110" s="3" t="str">
        <f>IF(ISNA(VLOOKUP(D110,ConstDLCIds!$B$4:$C$1001,2,FALSE)),"",VLOOKUP(D110,ConstDLCIds!$B$4:$C$1001,2,FALSE))</f>
        <v>Included in base game</v>
      </c>
    </row>
    <row r="111" spans="1:5" x14ac:dyDescent="0.25">
      <c r="A111" s="12">
        <v>130</v>
      </c>
      <c r="B111" s="9" t="str">
        <f>VLOOKUP(A111,'Sets (lua data)'!$A$3:$C$9838,3,FALSE)</f>
        <v>Eagle Eye</v>
      </c>
      <c r="C111" s="9" t="str">
        <f>VLOOKUP(A111,'Sets (lua data)'!$A$3:$C$9838,2,FALSE)</f>
        <v>Adlerauge</v>
      </c>
      <c r="D111" t="s">
        <v>7</v>
      </c>
      <c r="E111" s="3" t="str">
        <f>IF(ISNA(VLOOKUP(D111,ConstDLCIds!$B$4:$C$1001,2,FALSE)),"",VLOOKUP(D111,ConstDLCIds!$B$4:$C$1001,2,FALSE))</f>
        <v>Included in base game</v>
      </c>
    </row>
    <row r="112" spans="1:5" x14ac:dyDescent="0.25">
      <c r="A112" s="12">
        <v>131</v>
      </c>
      <c r="B112" s="9" t="str">
        <f>VLOOKUP(A112,'Sets (lua data)'!$A$3:$C$9838,3,FALSE)</f>
        <v>Bastion of the Heartland</v>
      </c>
      <c r="C112" s="9" t="str">
        <f>VLOOKUP(A112,'Sets (lua data)'!$A$3:$C$9838,2,FALSE)</f>
        <v>Bastion des Herzlandes</v>
      </c>
      <c r="D112" t="s">
        <v>7</v>
      </c>
      <c r="E112" s="3" t="str">
        <f>IF(ISNA(VLOOKUP(D112,ConstDLCIds!$B$4:$C$1001,2,FALSE)),"",VLOOKUP(D112,ConstDLCIds!$B$4:$C$1001,2,FALSE))</f>
        <v>Included in base game</v>
      </c>
    </row>
    <row r="113" spans="1:5" x14ac:dyDescent="0.25">
      <c r="A113" s="12">
        <v>132</v>
      </c>
      <c r="B113" s="9" t="str">
        <f>VLOOKUP(A113,'Sets (lua data)'!$A$3:$C$9838,3,FALSE)</f>
        <v>Shield of the Valiant</v>
      </c>
      <c r="C113" s="9" t="str">
        <f>VLOOKUP(A113,'Sets (lua data)'!$A$3:$C$9838,2,FALSE)</f>
        <v>Schild des Tapferen</v>
      </c>
      <c r="D113" t="s">
        <v>7</v>
      </c>
      <c r="E113" s="3" t="str">
        <f>IF(ISNA(VLOOKUP(D113,ConstDLCIds!$B$4:$C$1001,2,FALSE)),"",VLOOKUP(D113,ConstDLCIds!$B$4:$C$1001,2,FALSE))</f>
        <v>Included in base game</v>
      </c>
    </row>
    <row r="114" spans="1:5" x14ac:dyDescent="0.25">
      <c r="A114" s="12">
        <v>133</v>
      </c>
      <c r="B114" s="9" t="str">
        <f>VLOOKUP(A114,'Sets (lua data)'!$A$3:$C$9838,3,FALSE)</f>
        <v>Buffer of the Swift</v>
      </c>
      <c r="C114" s="9" t="str">
        <f>VLOOKUP(A114,'Sets (lua data)'!$A$3:$C$9838,2,FALSE)</f>
        <v>Dämpfer des Geschwinden</v>
      </c>
      <c r="D114" t="s">
        <v>7</v>
      </c>
      <c r="E114" s="3" t="str">
        <f>IF(ISNA(VLOOKUP(D114,ConstDLCIds!$B$4:$C$1001,2,FALSE)),"",VLOOKUP(D114,ConstDLCIds!$B$4:$C$1001,2,FALSE))</f>
        <v>Included in base game</v>
      </c>
    </row>
    <row r="115" spans="1:5" x14ac:dyDescent="0.25">
      <c r="A115" s="12">
        <v>134</v>
      </c>
      <c r="B115" s="9" t="str">
        <f>VLOOKUP(A115,'Sets (lua data)'!$A$3:$C$9838,3,FALSE)</f>
        <v>Shroud of the Lich</v>
      </c>
      <c r="C115" s="9" t="str">
        <f>VLOOKUP(A115,'Sets (lua data)'!$A$3:$C$9838,2,FALSE)</f>
        <v>Tuch des Lich</v>
      </c>
      <c r="D115" t="s">
        <v>7</v>
      </c>
      <c r="E115" s="3" t="str">
        <f>IF(ISNA(VLOOKUP(D115,ConstDLCIds!$B$4:$C$1001,2,FALSE)),"",VLOOKUP(D115,ConstDLCIds!$B$4:$C$1001,2,FALSE))</f>
        <v>Included in base game</v>
      </c>
    </row>
    <row r="116" spans="1:5" x14ac:dyDescent="0.25">
      <c r="A116" s="12">
        <v>135</v>
      </c>
      <c r="B116" s="9" t="str">
        <f>VLOOKUP(A116,'Sets (lua data)'!$A$3:$C$9838,3,FALSE)</f>
        <v>Draugr\'s Heritage</v>
      </c>
      <c r="C116" s="9" t="str">
        <f>VLOOKUP(A116,'Sets (lua data)'!$A$3:$C$9838,2,FALSE)</f>
        <v>Erbe des Draugrs</v>
      </c>
      <c r="D116" t="s">
        <v>7</v>
      </c>
      <c r="E116" s="3" t="str">
        <f>IF(ISNA(VLOOKUP(D116,ConstDLCIds!$B$4:$C$1001,2,FALSE)),"",VLOOKUP(D116,ConstDLCIds!$B$4:$C$1001,2,FALSE))</f>
        <v>Included in base game</v>
      </c>
    </row>
    <row r="117" spans="1:5" x14ac:dyDescent="0.25">
      <c r="A117" s="12">
        <v>136</v>
      </c>
      <c r="B117" s="9" t="str">
        <f>VLOOKUP(A117,'Sets (lua data)'!$A$3:$C$9838,3,FALSE)</f>
        <v>Immortal Warrior</v>
      </c>
      <c r="C117" s="9" t="str">
        <f>VLOOKUP(A117,'Sets (lua data)'!$A$3:$C$9838,2,FALSE)</f>
        <v>Unsterblicher Krieger</v>
      </c>
      <c r="D117" t="s">
        <v>7</v>
      </c>
      <c r="E117" s="3" t="str">
        <f>IF(ISNA(VLOOKUP(D117,ConstDLCIds!$B$4:$C$1001,2,FALSE)),"",VLOOKUP(D117,ConstDLCIds!$B$4:$C$1001,2,FALSE))</f>
        <v>Included in base game</v>
      </c>
    </row>
    <row r="118" spans="1:5" x14ac:dyDescent="0.25">
      <c r="A118" s="12">
        <v>137</v>
      </c>
      <c r="B118" s="9" t="str">
        <f>VLOOKUP(A118,'Sets (lua data)'!$A$3:$C$9838,3,FALSE)</f>
        <v>Berserking Warrior</v>
      </c>
      <c r="C118" s="9" t="str">
        <f>VLOOKUP(A118,'Sets (lua data)'!$A$3:$C$9838,2,FALSE)</f>
        <v>Tobender Krieger</v>
      </c>
      <c r="D118" t="s">
        <v>7</v>
      </c>
      <c r="E118" s="3" t="str">
        <f>IF(ISNA(VLOOKUP(D118,ConstDLCIds!$B$4:$C$1001,2,FALSE)),"",VLOOKUP(D118,ConstDLCIds!$B$4:$C$1001,2,FALSE))</f>
        <v>Included in base game</v>
      </c>
    </row>
    <row r="119" spans="1:5" x14ac:dyDescent="0.25">
      <c r="A119" s="12">
        <v>138</v>
      </c>
      <c r="B119" s="9" t="str">
        <f>VLOOKUP(A119,'Sets (lua data)'!$A$3:$C$9838,3,FALSE)</f>
        <v>Defending Warrior</v>
      </c>
      <c r="C119" s="9" t="str">
        <f>VLOOKUP(A119,'Sets (lua data)'!$A$3:$C$9838,2,FALSE)</f>
        <v>Verteidigender Krieger</v>
      </c>
      <c r="D119" t="s">
        <v>7</v>
      </c>
      <c r="E119" s="3" t="str">
        <f>IF(ISNA(VLOOKUP(D119,ConstDLCIds!$B$4:$C$1001,2,FALSE)),"",VLOOKUP(D119,ConstDLCIds!$B$4:$C$1001,2,FALSE))</f>
        <v>Included in base game</v>
      </c>
    </row>
    <row r="120" spans="1:5" x14ac:dyDescent="0.25">
      <c r="A120" s="12">
        <v>139</v>
      </c>
      <c r="B120" s="9" t="str">
        <f>VLOOKUP(A120,'Sets (lua data)'!$A$3:$C$9838,3,FALSE)</f>
        <v>Wise Mage</v>
      </c>
      <c r="C120" s="9" t="str">
        <f>VLOOKUP(A120,'Sets (lua data)'!$A$3:$C$9838,2,FALSE)</f>
        <v>Weiser Magier</v>
      </c>
      <c r="D120" t="s">
        <v>7</v>
      </c>
      <c r="E120" s="3" t="str">
        <f>IF(ISNA(VLOOKUP(D120,ConstDLCIds!$B$4:$C$1001,2,FALSE)),"",VLOOKUP(D120,ConstDLCIds!$B$4:$C$1001,2,FALSE))</f>
        <v>Included in base game</v>
      </c>
    </row>
    <row r="121" spans="1:5" x14ac:dyDescent="0.25">
      <c r="A121" s="12">
        <v>140</v>
      </c>
      <c r="B121" s="9" t="str">
        <f>VLOOKUP(A121,'Sets (lua data)'!$A$3:$C$9838,3,FALSE)</f>
        <v>Destructive Mage</v>
      </c>
      <c r="C121" s="9" t="str">
        <f>VLOOKUP(A121,'Sets (lua data)'!$A$3:$C$9838,2,FALSE)</f>
        <v>Zerstörerischer Magier</v>
      </c>
      <c r="D121" t="s">
        <v>7</v>
      </c>
      <c r="E121" s="3" t="str">
        <f>IF(ISNA(VLOOKUP(D121,ConstDLCIds!$B$4:$C$1001,2,FALSE)),"",VLOOKUP(D121,ConstDLCIds!$B$4:$C$1001,2,FALSE))</f>
        <v>Included in base game</v>
      </c>
    </row>
    <row r="122" spans="1:5" x14ac:dyDescent="0.25">
      <c r="A122" s="12">
        <v>141</v>
      </c>
      <c r="B122" s="9" t="str">
        <f>VLOOKUP(A122,'Sets (lua data)'!$A$3:$C$9838,3,FALSE)</f>
        <v>Healing Mage</v>
      </c>
      <c r="C122" s="9" t="str">
        <f>VLOOKUP(A122,'Sets (lua data)'!$A$3:$C$9838,2,FALSE)</f>
        <v>Heilender Magier</v>
      </c>
      <c r="D122" t="s">
        <v>7</v>
      </c>
      <c r="E122" s="3" t="str">
        <f>IF(ISNA(VLOOKUP(D122,ConstDLCIds!$B$4:$C$1001,2,FALSE)),"",VLOOKUP(D122,ConstDLCIds!$B$4:$C$1001,2,FALSE))</f>
        <v>Included in base game</v>
      </c>
    </row>
    <row r="123" spans="1:5" x14ac:dyDescent="0.25">
      <c r="A123" s="12">
        <v>142</v>
      </c>
      <c r="B123" s="9" t="str">
        <f>VLOOKUP(A123,'Sets (lua data)'!$A$3:$C$9838,3,FALSE)</f>
        <v>Quick Serpent</v>
      </c>
      <c r="C123" s="9" t="str">
        <f>VLOOKUP(A123,'Sets (lua data)'!$A$3:$C$9838,2,FALSE)</f>
        <v>Flinke Schlange</v>
      </c>
      <c r="D123" t="s">
        <v>7</v>
      </c>
      <c r="E123" s="3" t="str">
        <f>IF(ISNA(VLOOKUP(D123,ConstDLCIds!$B$4:$C$1001,2,FALSE)),"",VLOOKUP(D123,ConstDLCIds!$B$4:$C$1001,2,FALSE))</f>
        <v>Included in base game</v>
      </c>
    </row>
    <row r="124" spans="1:5" x14ac:dyDescent="0.25">
      <c r="A124" s="12">
        <v>143</v>
      </c>
      <c r="B124" s="9" t="str">
        <f>VLOOKUP(A124,'Sets (lua data)'!$A$3:$C$9838,3,FALSE)</f>
        <v>Poisonous Serpent</v>
      </c>
      <c r="C124" s="9" t="str">
        <f>VLOOKUP(A124,'Sets (lua data)'!$A$3:$C$9838,2,FALSE)</f>
        <v>Giftschlange</v>
      </c>
      <c r="D124" t="s">
        <v>7</v>
      </c>
      <c r="E124" s="3" t="str">
        <f>IF(ISNA(VLOOKUP(D124,ConstDLCIds!$B$4:$C$1001,2,FALSE)),"",VLOOKUP(D124,ConstDLCIds!$B$4:$C$1001,2,FALSE))</f>
        <v>Included in base game</v>
      </c>
    </row>
    <row r="125" spans="1:5" x14ac:dyDescent="0.25">
      <c r="A125" s="12">
        <v>144</v>
      </c>
      <c r="B125" s="9" t="str">
        <f>VLOOKUP(A125,'Sets (lua data)'!$A$3:$C$9838,3,FALSE)</f>
        <v>Twice-Fanged Serpent</v>
      </c>
      <c r="C125" s="9" t="str">
        <f>VLOOKUP(A125,'Sets (lua data)'!$A$3:$C$9838,2,FALSE)</f>
        <v>Doppelzüngige Schlange</v>
      </c>
      <c r="D125" t="s">
        <v>7</v>
      </c>
      <c r="E125" s="3" t="str">
        <f>IF(ISNA(VLOOKUP(D125,ConstDLCIds!$B$4:$C$1001,2,FALSE)),"",VLOOKUP(D125,ConstDLCIds!$B$4:$C$1001,2,FALSE))</f>
        <v>Included in base game</v>
      </c>
    </row>
    <row r="126" spans="1:5" x14ac:dyDescent="0.25">
      <c r="A126" s="12">
        <v>145</v>
      </c>
      <c r="B126" s="9" t="str">
        <f>VLOOKUP(A126,'Sets (lua data)'!$A$3:$C$9838,3,FALSE)</f>
        <v>Way of Fire</v>
      </c>
      <c r="C126" s="9" t="str">
        <f>VLOOKUP(A126,'Sets (lua data)'!$A$3:$C$9838,2,FALSE)</f>
        <v>Weg des Feuers</v>
      </c>
      <c r="D126" t="s">
        <v>7</v>
      </c>
      <c r="E126" s="3" t="str">
        <f>IF(ISNA(VLOOKUP(D126,ConstDLCIds!$B$4:$C$1001,2,FALSE)),"",VLOOKUP(D126,ConstDLCIds!$B$4:$C$1001,2,FALSE))</f>
        <v>Included in base game</v>
      </c>
    </row>
    <row r="127" spans="1:5" x14ac:dyDescent="0.25">
      <c r="A127" s="12">
        <v>146</v>
      </c>
      <c r="B127" s="9" t="str">
        <f>VLOOKUP(A127,'Sets (lua data)'!$A$3:$C$9838,3,FALSE)</f>
        <v>Way of Air</v>
      </c>
      <c r="C127" s="9" t="str">
        <f>VLOOKUP(A127,'Sets (lua data)'!$A$3:$C$9838,2,FALSE)</f>
        <v>Weg der Luft</v>
      </c>
      <c r="D127" t="s">
        <v>7</v>
      </c>
      <c r="E127" s="3" t="str">
        <f>IF(ISNA(VLOOKUP(D127,ConstDLCIds!$B$4:$C$1001,2,FALSE)),"",VLOOKUP(D127,ConstDLCIds!$B$4:$C$1001,2,FALSE))</f>
        <v>Included in base game</v>
      </c>
    </row>
    <row r="128" spans="1:5" x14ac:dyDescent="0.25">
      <c r="A128" s="12">
        <v>147</v>
      </c>
      <c r="B128" s="9" t="str">
        <f>VLOOKUP(A128,'Sets (lua data)'!$A$3:$C$9838,3,FALSE)</f>
        <v>Way of Martial Knowledge</v>
      </c>
      <c r="C128" s="9" t="str">
        <f>VLOOKUP(A128,'Sets (lua data)'!$A$3:$C$9838,2,FALSE)</f>
        <v>Weg der Kampfkunst</v>
      </c>
      <c r="D128" t="s">
        <v>7</v>
      </c>
      <c r="E128" s="3" t="str">
        <f>IF(ISNA(VLOOKUP(D128,ConstDLCIds!$B$4:$C$1001,2,FALSE)),"",VLOOKUP(D128,ConstDLCIds!$B$4:$C$1001,2,FALSE))</f>
        <v>Included in base game</v>
      </c>
    </row>
    <row r="129" spans="1:5" x14ac:dyDescent="0.25">
      <c r="A129" s="1">
        <v>148</v>
      </c>
      <c r="B129" s="9" t="str">
        <f>VLOOKUP(A129,'Sets (lua data)'!$A$3:$C$9838,3,FALSE)</f>
        <v>Way of the Arena</v>
      </c>
      <c r="C129" s="9" t="str">
        <f>VLOOKUP(A129,'Sets (lua data)'!$A$3:$C$9838,2,FALSE)</f>
        <v>Weg der Arena</v>
      </c>
      <c r="D129" t="s">
        <v>7</v>
      </c>
      <c r="E129" s="3" t="str">
        <f>IF(ISNA(VLOOKUP(D129,ConstDLCIds!$B$4:$C$1001,2,FALSE)),"",VLOOKUP(D129,ConstDLCIds!$B$4:$C$1001,2,FALSE))</f>
        <v>Included in base game</v>
      </c>
    </row>
    <row r="130" spans="1:5" x14ac:dyDescent="0.25">
      <c r="A130" s="12">
        <v>155</v>
      </c>
      <c r="B130" s="9" t="str">
        <f>VLOOKUP(A130,'Sets (lua data)'!$A$3:$C$9838,3,FALSE)</f>
        <v>Undaunted Bastion</v>
      </c>
      <c r="C130" s="9" t="str">
        <f>VLOOKUP(A130,'Sets (lua data)'!$A$3:$C$9838,2,FALSE)</f>
        <v>Unerschrockenen-Bastion</v>
      </c>
      <c r="D130" t="s">
        <v>7</v>
      </c>
      <c r="E130" s="3" t="str">
        <f>IF(ISNA(VLOOKUP(D130,ConstDLCIds!$B$4:$C$1001,2,FALSE)),"",VLOOKUP(D130,ConstDLCIds!$B$4:$C$1001,2,FALSE))</f>
        <v>Included in base game</v>
      </c>
    </row>
    <row r="131" spans="1:5" x14ac:dyDescent="0.25">
      <c r="A131" s="12">
        <v>156</v>
      </c>
      <c r="B131" s="9" t="str">
        <f>VLOOKUP(A131,'Sets (lua data)'!$A$3:$C$9838,3,FALSE)</f>
        <v>Undaunted Infiltrator</v>
      </c>
      <c r="C131" s="9" t="str">
        <f>VLOOKUP(A131,'Sets (lua data)'!$A$3:$C$9838,2,FALSE)</f>
        <v>Unerschrockener Infiltrator</v>
      </c>
      <c r="D131" t="s">
        <v>7</v>
      </c>
      <c r="E131" s="3" t="str">
        <f>IF(ISNA(VLOOKUP(D131,ConstDLCIds!$B$4:$C$1001,2,FALSE)),"",VLOOKUP(D131,ConstDLCIds!$B$4:$C$1001,2,FALSE))</f>
        <v>Included in base game</v>
      </c>
    </row>
    <row r="132" spans="1:5" x14ac:dyDescent="0.25">
      <c r="A132" s="12">
        <v>157</v>
      </c>
      <c r="B132" s="9" t="str">
        <f>VLOOKUP(A132,'Sets (lua data)'!$A$3:$C$9838,3,FALSE)</f>
        <v>Undaunted Unweaver</v>
      </c>
      <c r="C132" s="9" t="str">
        <f>VLOOKUP(A132,'Sets (lua data)'!$A$3:$C$9838,2,FALSE)</f>
        <v>Unerschrockener Entflechter</v>
      </c>
      <c r="D132" t="s">
        <v>7</v>
      </c>
      <c r="E132" s="3" t="str">
        <f>IF(ISNA(VLOOKUP(D132,ConstDLCIds!$B$4:$C$1001,2,FALSE)),"",VLOOKUP(D132,ConstDLCIds!$B$4:$C$1001,2,FALSE))</f>
        <v>Included in base game</v>
      </c>
    </row>
    <row r="133" spans="1:5" x14ac:dyDescent="0.25">
      <c r="A133" s="12">
        <v>158</v>
      </c>
      <c r="B133" s="9" t="str">
        <f>VLOOKUP(A133,'Sets (lua data)'!$A$3:$C$9838,3,FALSE)</f>
        <v>Embershield</v>
      </c>
      <c r="C133" s="9" t="str">
        <f>VLOOKUP(A133,'Sets (lua data)'!$A$3:$C$9838,2,FALSE)</f>
        <v>Glutschild</v>
      </c>
      <c r="D133" t="s">
        <v>7</v>
      </c>
      <c r="E133" s="3" t="str">
        <f>IF(ISNA(VLOOKUP(D133,ConstDLCIds!$B$4:$C$1001,2,FALSE)),"",VLOOKUP(D133,ConstDLCIds!$B$4:$C$1001,2,FALSE))</f>
        <v>Included in base game</v>
      </c>
    </row>
    <row r="134" spans="1:5" x14ac:dyDescent="0.25">
      <c r="A134" s="12">
        <v>159</v>
      </c>
      <c r="B134" s="9" t="str">
        <f>VLOOKUP(A134,'Sets (lua data)'!$A$3:$C$9838,3,FALSE)</f>
        <v>Sunderflame</v>
      </c>
      <c r="C134" s="9" t="str">
        <f>VLOOKUP(A134,'Sets (lua data)'!$A$3:$C$9838,2,FALSE)</f>
        <v>Trennflamme</v>
      </c>
      <c r="D134" t="s">
        <v>7</v>
      </c>
      <c r="E134" s="3" t="str">
        <f>IF(ISNA(VLOOKUP(D134,ConstDLCIds!$B$4:$C$1001,2,FALSE)),"",VLOOKUP(D134,ConstDLCIds!$B$4:$C$1001,2,FALSE))</f>
        <v>Included in base game</v>
      </c>
    </row>
    <row r="135" spans="1:5" x14ac:dyDescent="0.25">
      <c r="A135" s="12">
        <v>160</v>
      </c>
      <c r="B135" s="9" t="str">
        <f>VLOOKUP(A135,'Sets (lua data)'!$A$3:$C$9838,3,FALSE)</f>
        <v>Burning Spellweave</v>
      </c>
      <c r="C135" s="9" t="str">
        <f>VLOOKUP(A135,'Sets (lua data)'!$A$3:$C$9838,2,FALSE)</f>
        <v>Branntzauberweber</v>
      </c>
      <c r="D135" t="s">
        <v>7</v>
      </c>
      <c r="E135" s="3" t="str">
        <f>IF(ISNA(VLOOKUP(D135,ConstDLCIds!$B$4:$C$1001,2,FALSE)),"",VLOOKUP(D135,ConstDLCIds!$B$4:$C$1001,2,FALSE))</f>
        <v>Included in base game</v>
      </c>
    </row>
    <row r="136" spans="1:5" x14ac:dyDescent="0.25">
      <c r="A136" s="1">
        <v>161</v>
      </c>
      <c r="B136" s="9" t="str">
        <f>VLOOKUP(A136,'Sets (lua data)'!$A$3:$C$9838,3,FALSE)</f>
        <v>Twice-Born Star</v>
      </c>
      <c r="C136" s="9" t="str">
        <f>VLOOKUP(A136,'Sets (lua data)'!$A$3:$C$9838,2,FALSE)</f>
        <v>Doppelstern</v>
      </c>
      <c r="D136" t="s">
        <v>7</v>
      </c>
      <c r="E136" s="3" t="str">
        <f>IF(ISNA(VLOOKUP(D136,ConstDLCIds!$B$4:$C$1001,2,FALSE)),"",VLOOKUP(D136,ConstDLCIds!$B$4:$C$1001,2,FALSE))</f>
        <v>Included in base game</v>
      </c>
    </row>
    <row r="137" spans="1:5" x14ac:dyDescent="0.25">
      <c r="A137" s="1">
        <v>162</v>
      </c>
      <c r="B137" s="9" t="str">
        <f>VLOOKUP(A137,'Sets (lua data)'!$A$3:$C$9838,3,FALSE)</f>
        <v>Spawn of Mephala</v>
      </c>
      <c r="C137" s="9" t="str">
        <f>VLOOKUP(A137,'Sets (lua data)'!$A$3:$C$9838,2,FALSE)</f>
        <v>Mephalas Brut</v>
      </c>
      <c r="D137" t="s">
        <v>7</v>
      </c>
      <c r="E137" s="3" t="str">
        <f>IF(ISNA(VLOOKUP(D137,ConstDLCIds!$B$4:$C$1001,2,FALSE)),"",VLOOKUP(D137,ConstDLCIds!$B$4:$C$1001,2,FALSE))</f>
        <v>Included in base game</v>
      </c>
    </row>
    <row r="138" spans="1:5" x14ac:dyDescent="0.25">
      <c r="A138" s="1">
        <v>163</v>
      </c>
      <c r="B138" s="9" t="str">
        <f>VLOOKUP(A138,'Sets (lua data)'!$A$3:$C$9838,3,FALSE)</f>
        <v>Blood Spawn</v>
      </c>
      <c r="C138" s="9" t="str">
        <f>VLOOKUP(A138,'Sets (lua data)'!$A$3:$C$9838,2,FALSE)</f>
        <v>Blutbrut</v>
      </c>
      <c r="D138" t="s">
        <v>7</v>
      </c>
      <c r="E138" s="3" t="str">
        <f>IF(ISNA(VLOOKUP(D138,ConstDLCIds!$B$4:$C$1001,2,FALSE)),"",VLOOKUP(D138,ConstDLCIds!$B$4:$C$1001,2,FALSE))</f>
        <v>Included in base game</v>
      </c>
    </row>
    <row r="139" spans="1:5" x14ac:dyDescent="0.25">
      <c r="A139" s="1">
        <v>164</v>
      </c>
      <c r="B139" s="9" t="str">
        <f>VLOOKUP(A139,'Sets (lua data)'!$A$3:$C$9838,3,FALSE)</f>
        <v>Lord Warden</v>
      </c>
      <c r="C139" s="9" t="str">
        <f>VLOOKUP(A139,'Sets (lua data)'!$A$3:$C$9838,2,FALSE)</f>
        <v>Hochwärter</v>
      </c>
      <c r="D139" t="s">
        <v>10</v>
      </c>
      <c r="E139" s="3" t="str">
        <f>IF(ISNA(VLOOKUP(D139,ConstDLCIds!$B$4:$C$1001,2,FALSE)),"",VLOOKUP(D139,ConstDLCIds!$B$4:$C$1001,2,FALSE))</f>
        <v>Imperial City</v>
      </c>
    </row>
    <row r="140" spans="1:5" x14ac:dyDescent="0.25">
      <c r="A140" s="1">
        <v>165</v>
      </c>
      <c r="B140" s="9" t="str">
        <f>VLOOKUP(A140,'Sets (lua data)'!$A$3:$C$9838,3,FALSE)</f>
        <v>Scourge Harvester</v>
      </c>
      <c r="C140" s="9" t="str">
        <f>VLOOKUP(A140,'Sets (lua data)'!$A$3:$C$9838,2,FALSE)</f>
        <v>Geißelernter</v>
      </c>
      <c r="D140" t="s">
        <v>7</v>
      </c>
      <c r="E140" s="3" t="str">
        <f>IF(ISNA(VLOOKUP(D140,ConstDLCIds!$B$4:$C$1001,2,FALSE)),"",VLOOKUP(D140,ConstDLCIds!$B$4:$C$1001,2,FALSE))</f>
        <v>Included in base game</v>
      </c>
    </row>
    <row r="141" spans="1:5" x14ac:dyDescent="0.25">
      <c r="A141" s="1">
        <v>166</v>
      </c>
      <c r="B141" s="9" t="str">
        <f>VLOOKUP(A141,'Sets (lua data)'!$A$3:$C$9838,3,FALSE)</f>
        <v>Engine Guardian</v>
      </c>
      <c r="C141" s="9" t="str">
        <f>VLOOKUP(A141,'Sets (lua data)'!$A$3:$C$9838,2,FALSE)</f>
        <v>Maschinenwächter</v>
      </c>
      <c r="D141" t="s">
        <v>7</v>
      </c>
      <c r="E141" s="3" t="str">
        <f>IF(ISNA(VLOOKUP(D141,ConstDLCIds!$B$4:$C$1001,2,FALSE)),"",VLOOKUP(D141,ConstDLCIds!$B$4:$C$1001,2,FALSE))</f>
        <v>Included in base game</v>
      </c>
    </row>
    <row r="142" spans="1:5" x14ac:dyDescent="0.25">
      <c r="A142" s="1">
        <v>167</v>
      </c>
      <c r="B142" s="9" t="str">
        <f>VLOOKUP(A142,'Sets (lua data)'!$A$3:$C$9838,3,FALSE)</f>
        <v>Nightflame</v>
      </c>
      <c r="C142" s="9" t="str">
        <f>VLOOKUP(A142,'Sets (lua data)'!$A$3:$C$9838,2,FALSE)</f>
        <v>Nachtflamme</v>
      </c>
      <c r="D142" t="s">
        <v>7</v>
      </c>
      <c r="E142" s="3" t="str">
        <f>IF(ISNA(VLOOKUP(D142,ConstDLCIds!$B$4:$C$1001,2,FALSE)),"",VLOOKUP(D142,ConstDLCIds!$B$4:$C$1001,2,FALSE))</f>
        <v>Included in base game</v>
      </c>
    </row>
    <row r="143" spans="1:5" x14ac:dyDescent="0.25">
      <c r="A143" s="1">
        <v>168</v>
      </c>
      <c r="B143" s="9" t="str">
        <f>VLOOKUP(A143,'Sets (lua data)'!$A$3:$C$9838,3,FALSE)</f>
        <v>Nerien\'eth</v>
      </c>
      <c r="C143" s="9" t="str">
        <f>VLOOKUP(A143,'Sets (lua data)'!$A$3:$C$9838,2,FALSE)</f>
        <v>Nerien'eth</v>
      </c>
      <c r="D143" t="s">
        <v>7</v>
      </c>
      <c r="E143" s="3" t="str">
        <f>IF(ISNA(VLOOKUP(D143,ConstDLCIds!$B$4:$C$1001,2,FALSE)),"",VLOOKUP(D143,ConstDLCIds!$B$4:$C$1001,2,FALSE))</f>
        <v>Included in base game</v>
      </c>
    </row>
    <row r="144" spans="1:5" x14ac:dyDescent="0.25">
      <c r="A144" s="1">
        <v>169</v>
      </c>
      <c r="B144" s="9" t="str">
        <f>VLOOKUP(A144,'Sets (lua data)'!$A$3:$C$9838,3,FALSE)</f>
        <v>Valkyn Skoria</v>
      </c>
      <c r="C144" s="9" t="str">
        <f>VLOOKUP(A144,'Sets (lua data)'!$A$3:$C$9838,2,FALSE)</f>
        <v>Valkyn Skoria</v>
      </c>
      <c r="D144" t="s">
        <v>7</v>
      </c>
      <c r="E144" s="3" t="str">
        <f>IF(ISNA(VLOOKUP(D144,ConstDLCIds!$B$4:$C$1001,2,FALSE)),"",VLOOKUP(D144,ConstDLCIds!$B$4:$C$1001,2,FALSE))</f>
        <v>Included in base game</v>
      </c>
    </row>
    <row r="145" spans="1:5" x14ac:dyDescent="0.25">
      <c r="A145" s="1">
        <v>170</v>
      </c>
      <c r="B145" s="9" t="str">
        <f>VLOOKUP(A145,'Sets (lua data)'!$A$3:$C$9838,3,FALSE)</f>
        <v>Maw of the Infernal</v>
      </c>
      <c r="C145" s="9" t="str">
        <f>VLOOKUP(A145,'Sets (lua data)'!$A$3:$C$9838,2,FALSE)</f>
        <v>Schlund des Infernalen</v>
      </c>
      <c r="D145" t="s">
        <v>7</v>
      </c>
      <c r="E145" s="3" t="str">
        <f>IF(ISNA(VLOOKUP(D145,ConstDLCIds!$B$4:$C$1001,2,FALSE)),"",VLOOKUP(D145,ConstDLCIds!$B$4:$C$1001,2,FALSE))</f>
        <v>Included in base game</v>
      </c>
    </row>
    <row r="146" spans="1:5" x14ac:dyDescent="0.25">
      <c r="A146" s="12">
        <v>171</v>
      </c>
      <c r="B146" s="9" t="str">
        <f>VLOOKUP(A146,'Sets (lua data)'!$A$3:$C$9838,3,FALSE)</f>
        <v>Eternal Warrior</v>
      </c>
      <c r="C146" s="9" t="str">
        <f>VLOOKUP(A146,'Sets (lua data)'!$A$3:$C$9838,2,FALSE)</f>
        <v>Ewiger Krieger</v>
      </c>
      <c r="D146" t="s">
        <v>7</v>
      </c>
      <c r="E146" s="3" t="str">
        <f>IF(ISNA(VLOOKUP(D146,ConstDLCIds!$B$4:$C$1001,2,FALSE)),"",VLOOKUP(D146,ConstDLCIds!$B$4:$C$1001,2,FALSE))</f>
        <v>Included in base game</v>
      </c>
    </row>
    <row r="147" spans="1:5" x14ac:dyDescent="0.25">
      <c r="A147" s="12">
        <v>172</v>
      </c>
      <c r="B147" s="9" t="str">
        <f>VLOOKUP(A147,'Sets (lua data)'!$A$3:$C$9838,3,FALSE)</f>
        <v>Infallible Mage</v>
      </c>
      <c r="C147" s="9" t="str">
        <f>VLOOKUP(A147,'Sets (lua data)'!$A$3:$C$9838,2,FALSE)</f>
        <v>Unfehlbare Magierin</v>
      </c>
      <c r="D147" t="s">
        <v>7</v>
      </c>
      <c r="E147" s="3" t="str">
        <f>IF(ISNA(VLOOKUP(D147,ConstDLCIds!$B$4:$C$1001,2,FALSE)),"",VLOOKUP(D147,ConstDLCIds!$B$4:$C$1001,2,FALSE))</f>
        <v>Included in base game</v>
      </c>
    </row>
    <row r="148" spans="1:5" x14ac:dyDescent="0.25">
      <c r="A148" s="12">
        <v>173</v>
      </c>
      <c r="B148" s="9" t="str">
        <f>VLOOKUP(A148,'Sets (lua data)'!$A$3:$C$9838,3,FALSE)</f>
        <v>Vicious Serpent</v>
      </c>
      <c r="C148" s="9" t="str">
        <f>VLOOKUP(A148,'Sets (lua data)'!$A$3:$C$9838,2,FALSE)</f>
        <v>Boshafte Schlange</v>
      </c>
      <c r="D148" t="s">
        <v>7</v>
      </c>
      <c r="E148" s="3" t="str">
        <f>IF(ISNA(VLOOKUP(D148,ConstDLCIds!$B$4:$C$1001,2,FALSE)),"",VLOOKUP(D148,ConstDLCIds!$B$4:$C$1001,2,FALSE))</f>
        <v>Included in base game</v>
      </c>
    </row>
    <row r="149" spans="1:5" x14ac:dyDescent="0.25">
      <c r="A149" s="1">
        <v>176</v>
      </c>
      <c r="B149" s="9" t="str">
        <f>VLOOKUP(A149,'Sets (lua data)'!$A$3:$C$9838,3,FALSE)</f>
        <v>Noble\'s Conquest</v>
      </c>
      <c r="C149" s="9" t="str">
        <f>VLOOKUP(A149,'Sets (lua data)'!$A$3:$C$9838,2,FALSE)</f>
        <v>Adelssieg</v>
      </c>
      <c r="D149" t="s">
        <v>10</v>
      </c>
      <c r="E149" s="3" t="str">
        <f>IF(ISNA(VLOOKUP(D149,ConstDLCIds!$B$4:$C$1001,2,FALSE)),"",VLOOKUP(D149,ConstDLCIds!$B$4:$C$1001,2,FALSE))</f>
        <v>Imperial City</v>
      </c>
    </row>
    <row r="150" spans="1:5" x14ac:dyDescent="0.25">
      <c r="A150" s="1">
        <v>177</v>
      </c>
      <c r="B150" s="9" t="str">
        <f>VLOOKUP(A150,'Sets (lua data)'!$A$3:$C$9838,3,FALSE)</f>
        <v>Redistributor</v>
      </c>
      <c r="C150" s="9" t="str">
        <f>VLOOKUP(A150,'Sets (lua data)'!$A$3:$C$9838,2,FALSE)</f>
        <v>Umverteilung</v>
      </c>
      <c r="D150" t="s">
        <v>10</v>
      </c>
      <c r="E150" s="3" t="str">
        <f>IF(ISNA(VLOOKUP(D150,ConstDLCIds!$B$4:$C$1001,2,FALSE)),"",VLOOKUP(D150,ConstDLCIds!$B$4:$C$1001,2,FALSE))</f>
        <v>Imperial City</v>
      </c>
    </row>
    <row r="151" spans="1:5" x14ac:dyDescent="0.25">
      <c r="A151" s="1">
        <v>178</v>
      </c>
      <c r="B151" s="9" t="str">
        <f>VLOOKUP(A151,'Sets (lua data)'!$A$3:$C$9838,3,FALSE)</f>
        <v>Armor Master</v>
      </c>
      <c r="C151" s="9" t="str">
        <f>VLOOKUP(A151,'Sets (lua data)'!$A$3:$C$9838,2,FALSE)</f>
        <v>Rüstungsmeister</v>
      </c>
      <c r="D151" t="s">
        <v>10</v>
      </c>
      <c r="E151" s="3" t="str">
        <f>IF(ISNA(VLOOKUP(D151,ConstDLCIds!$B$4:$C$1001,2,FALSE)),"",VLOOKUP(D151,ConstDLCIds!$B$4:$C$1001,2,FALSE))</f>
        <v>Imperial City</v>
      </c>
    </row>
    <row r="152" spans="1:5" x14ac:dyDescent="0.25">
      <c r="A152" s="12">
        <v>179</v>
      </c>
      <c r="B152" s="9" t="str">
        <f>VLOOKUP(A152,'Sets (lua data)'!$A$3:$C$9838,3,FALSE)</f>
        <v>Black Rose</v>
      </c>
      <c r="C152" s="9" t="str">
        <f>VLOOKUP(A152,'Sets (lua data)'!$A$3:$C$9838,2,FALSE)</f>
        <v>Schwarze Rose</v>
      </c>
      <c r="D152" t="s">
        <v>10</v>
      </c>
      <c r="E152" s="3" t="str">
        <f>IF(ISNA(VLOOKUP(D152,ConstDLCIds!$B$4:$C$1001,2,FALSE)),"",VLOOKUP(D152,ConstDLCIds!$B$4:$C$1001,2,FALSE))</f>
        <v>Imperial City</v>
      </c>
    </row>
    <row r="153" spans="1:5" x14ac:dyDescent="0.25">
      <c r="A153" s="12">
        <v>180</v>
      </c>
      <c r="B153" s="9" t="str">
        <f>VLOOKUP(A153,'Sets (lua data)'!$A$3:$C$9838,3,FALSE)</f>
        <v>Powerful Assault</v>
      </c>
      <c r="C153" s="9" t="str">
        <f>VLOOKUP(A153,'Sets (lua data)'!$A$3:$C$9838,2,FALSE)</f>
        <v>Kraftvoller Ansturm</v>
      </c>
      <c r="D153" t="s">
        <v>10</v>
      </c>
      <c r="E153" s="3" t="str">
        <f>IF(ISNA(VLOOKUP(D153,ConstDLCIds!$B$4:$C$1001,2,FALSE)),"",VLOOKUP(D153,ConstDLCIds!$B$4:$C$1001,2,FALSE))</f>
        <v>Imperial City</v>
      </c>
    </row>
    <row r="154" spans="1:5" x14ac:dyDescent="0.25">
      <c r="A154" s="12">
        <v>181</v>
      </c>
      <c r="B154" s="9" t="str">
        <f>VLOOKUP(A154,'Sets (lua data)'!$A$3:$C$9838,3,FALSE)</f>
        <v>Meritorious Service</v>
      </c>
      <c r="C154" s="9" t="str">
        <f>VLOOKUP(A154,'Sets (lua data)'!$A$3:$C$9838,2,FALSE)</f>
        <v>Meritorischer Dienst</v>
      </c>
      <c r="D154" t="s">
        <v>10</v>
      </c>
      <c r="E154" s="3" t="str">
        <f>IF(ISNA(VLOOKUP(D154,ConstDLCIds!$B$4:$C$1001,2,FALSE)),"",VLOOKUP(D154,ConstDLCIds!$B$4:$C$1001,2,FALSE))</f>
        <v>Imperial City</v>
      </c>
    </row>
    <row r="155" spans="1:5" x14ac:dyDescent="0.25">
      <c r="A155" s="1">
        <v>183</v>
      </c>
      <c r="B155" s="9" t="str">
        <f>VLOOKUP(A155,'Sets (lua data)'!$A$3:$C$9838,3,FALSE)</f>
        <v>Molag Kena</v>
      </c>
      <c r="C155" s="9" t="str">
        <f>VLOOKUP(A155,'Sets (lua data)'!$A$3:$C$9838,2,FALSE)</f>
        <v>Molag Kena</v>
      </c>
      <c r="D155" t="s">
        <v>10</v>
      </c>
      <c r="E155" s="3" t="str">
        <f>IF(ISNA(VLOOKUP(D155,ConstDLCIds!$B$4:$C$1001,2,FALSE)),"",VLOOKUP(D155,ConstDLCIds!$B$4:$C$1001,2,FALSE))</f>
        <v>Imperial City</v>
      </c>
    </row>
    <row r="156" spans="1:5" x14ac:dyDescent="0.25">
      <c r="A156" s="12">
        <v>184</v>
      </c>
      <c r="B156" s="9" t="str">
        <f>VLOOKUP(A156,'Sets (lua data)'!$A$3:$C$9838,3,FALSE)</f>
        <v>Brands of Imperium</v>
      </c>
      <c r="C156" s="9" t="str">
        <f>VLOOKUP(A156,'Sets (lua data)'!$A$3:$C$9838,2,FALSE)</f>
        <v>Male des Kaiserreichs</v>
      </c>
      <c r="D156" t="s">
        <v>10</v>
      </c>
      <c r="E156" s="3" t="str">
        <f>IF(ISNA(VLOOKUP(D156,ConstDLCIds!$B$4:$C$1001,2,FALSE)),"",VLOOKUP(D156,ConstDLCIds!$B$4:$C$1001,2,FALSE))</f>
        <v>Imperial City</v>
      </c>
    </row>
    <row r="157" spans="1:5" x14ac:dyDescent="0.25">
      <c r="A157" s="12">
        <v>185</v>
      </c>
      <c r="B157" s="9" t="str">
        <f>VLOOKUP(A157,'Sets (lua data)'!$A$3:$C$9838,3,FALSE)</f>
        <v>Spell Power Cure</v>
      </c>
      <c r="C157" s="9" t="str">
        <f>VLOOKUP(A157,'Sets (lua data)'!$A$3:$C$9838,2,FALSE)</f>
        <v>Magiekraftheilung</v>
      </c>
      <c r="D157" t="s">
        <v>10</v>
      </c>
      <c r="E157" s="3" t="str">
        <f>IF(ISNA(VLOOKUP(D157,ConstDLCIds!$B$4:$C$1001,2,FALSE)),"",VLOOKUP(D157,ConstDLCIds!$B$4:$C$1001,2,FALSE))</f>
        <v>Imperial City</v>
      </c>
    </row>
    <row r="158" spans="1:5" x14ac:dyDescent="0.25">
      <c r="A158" s="12">
        <v>186</v>
      </c>
      <c r="B158" s="9" t="str">
        <f>VLOOKUP(A158,'Sets (lua data)'!$A$3:$C$9838,3,FALSE)</f>
        <v>Jolting Arms</v>
      </c>
      <c r="C158" s="9" t="str">
        <f>VLOOKUP(A158,'Sets (lua data)'!$A$3:$C$9838,2,FALSE)</f>
        <v>Rüttelnde Rüstung</v>
      </c>
      <c r="D158" t="s">
        <v>7</v>
      </c>
      <c r="E158" s="3" t="str">
        <f>IF(ISNA(VLOOKUP(D158,ConstDLCIds!$B$4:$C$1001,2,FALSE)),"",VLOOKUP(D158,ConstDLCIds!$B$4:$C$1001,2,FALSE))</f>
        <v>Included in base game</v>
      </c>
    </row>
    <row r="159" spans="1:5" x14ac:dyDescent="0.25">
      <c r="A159" s="12">
        <v>187</v>
      </c>
      <c r="B159" s="9" t="str">
        <f>VLOOKUP(A159,'Sets (lua data)'!$A$3:$C$9838,3,FALSE)</f>
        <v>Swamp Raider</v>
      </c>
      <c r="C159" s="9" t="str">
        <f>VLOOKUP(A159,'Sets (lua data)'!$A$3:$C$9838,2,FALSE)</f>
        <v>Sumpfräuber</v>
      </c>
      <c r="D159" t="s">
        <v>7</v>
      </c>
      <c r="E159" s="3" t="str">
        <f>IF(ISNA(VLOOKUP(D159,ConstDLCIds!$B$4:$C$1001,2,FALSE)),"",VLOOKUP(D159,ConstDLCIds!$B$4:$C$1001,2,FALSE))</f>
        <v>Included in base game</v>
      </c>
    </row>
    <row r="160" spans="1:5" x14ac:dyDescent="0.25">
      <c r="A160" s="12">
        <v>188</v>
      </c>
      <c r="B160" s="9" t="str">
        <f>VLOOKUP(A160,'Sets (lua data)'!$A$3:$C$9838,3,FALSE)</f>
        <v>Storm Master</v>
      </c>
      <c r="C160" s="9" t="str">
        <f>VLOOKUP(A160,'Sets (lua data)'!$A$3:$C$9838,2,FALSE)</f>
        <v>Sturmmeister</v>
      </c>
      <c r="D160" t="s">
        <v>7</v>
      </c>
      <c r="E160" s="3" t="str">
        <f>IF(ISNA(VLOOKUP(D160,ConstDLCIds!$B$4:$C$1001,2,FALSE)),"",VLOOKUP(D160,ConstDLCIds!$B$4:$C$1001,2,FALSE))</f>
        <v>Included in base game</v>
      </c>
    </row>
    <row r="161" spans="1:6" x14ac:dyDescent="0.25">
      <c r="A161" s="12">
        <v>190</v>
      </c>
      <c r="B161" s="9" t="str">
        <f>VLOOKUP(A161,'Sets (lua data)'!$A$3:$C$9838,3,FALSE)</f>
        <v>Scathing Mage</v>
      </c>
      <c r="C161" s="9" t="str">
        <f>VLOOKUP(A161,'Sets (lua data)'!$A$3:$C$9838,2,FALSE)</f>
        <v>Verletzender Magier</v>
      </c>
      <c r="D161" t="s">
        <v>10</v>
      </c>
      <c r="E161" s="3" t="str">
        <f>IF(ISNA(VLOOKUP(D161,ConstDLCIds!$B$4:$C$1001,2,FALSE)),"",VLOOKUP(D161,ConstDLCIds!$B$4:$C$1001,2,FALSE))</f>
        <v>Imperial City</v>
      </c>
    </row>
    <row r="162" spans="1:6" x14ac:dyDescent="0.25">
      <c r="A162" s="12">
        <v>193</v>
      </c>
      <c r="B162" s="9" t="str">
        <f>VLOOKUP(A162,'Sets (lua data)'!$A$3:$C$9838,3,FALSE)</f>
        <v>Overwhelming Surge</v>
      </c>
      <c r="C162" s="9" t="str">
        <f>VLOOKUP(A162,'Sets (lua data)'!$A$3:$C$9838,2,FALSE)</f>
        <v>Überwältigende Woge</v>
      </c>
      <c r="D162" t="s">
        <v>7</v>
      </c>
      <c r="E162" s="3" t="str">
        <f>IF(ISNA(VLOOKUP(D162,ConstDLCIds!$B$4:$C$1001,2,FALSE)),"",VLOOKUP(D162,ConstDLCIds!$B$4:$C$1001,2,FALSE))</f>
        <v>Included in base game</v>
      </c>
    </row>
    <row r="163" spans="1:6" x14ac:dyDescent="0.25">
      <c r="A163" s="12">
        <v>194</v>
      </c>
      <c r="B163" s="9" t="str">
        <f>VLOOKUP(A163,'Sets (lua data)'!$A$3:$C$9838,3,FALSE)</f>
        <v>Combat Physician</v>
      </c>
      <c r="C163" s="9" t="str">
        <f>VLOOKUP(A163,'Sets (lua data)'!$A$3:$C$9838,2,FALSE)</f>
        <v>Feldarzt</v>
      </c>
      <c r="D163" t="s">
        <v>7</v>
      </c>
      <c r="E163" s="3" t="str">
        <f>IF(ISNA(VLOOKUP(D163,ConstDLCIds!$B$4:$C$1001,2,FALSE)),"",VLOOKUP(D163,ConstDLCIds!$B$4:$C$1001,2,FALSE))</f>
        <v>Included in base game</v>
      </c>
    </row>
    <row r="164" spans="1:6" x14ac:dyDescent="0.25">
      <c r="A164" s="12">
        <v>195</v>
      </c>
      <c r="B164" s="9" t="str">
        <f>VLOOKUP(A164,'Sets (lua data)'!$A$3:$C$9838,3,FALSE)</f>
        <v>Sheer Venom</v>
      </c>
      <c r="C164" s="9" t="str">
        <f>VLOOKUP(A164,'Sets (lua data)'!$A$3:$C$9838,2,FALSE)</f>
        <v>Reingift</v>
      </c>
      <c r="D164" t="s">
        <v>10</v>
      </c>
      <c r="E164" s="3" t="str">
        <f>IF(ISNA(VLOOKUP(D164,ConstDLCIds!$B$4:$C$1001,2,FALSE)),"",VLOOKUP(D164,ConstDLCIds!$B$4:$C$1001,2,FALSE))</f>
        <v>Imperial City</v>
      </c>
    </row>
    <row r="165" spans="1:6" x14ac:dyDescent="0.25">
      <c r="A165" s="12">
        <v>196</v>
      </c>
      <c r="B165" s="9" t="str">
        <f>VLOOKUP(A165,'Sets (lua data)'!$A$3:$C$9838,3,FALSE)</f>
        <v>Leeching Plate</v>
      </c>
      <c r="C165" s="9" t="str">
        <f>VLOOKUP(A165,'Sets (lua data)'!$A$3:$C$9838,2,FALSE)</f>
        <v>Auslaugende Rüstung</v>
      </c>
      <c r="D165" t="s">
        <v>10</v>
      </c>
      <c r="E165" s="3" t="str">
        <f>IF(ISNA(VLOOKUP(D165,ConstDLCIds!$B$4:$C$1001,2,FALSE)),"",VLOOKUP(D165,ConstDLCIds!$B$4:$C$1001,2,FALSE))</f>
        <v>Imperial City</v>
      </c>
    </row>
    <row r="166" spans="1:6" x14ac:dyDescent="0.25">
      <c r="A166" s="12">
        <v>197</v>
      </c>
      <c r="B166" s="9" t="str">
        <f>VLOOKUP(A166,'Sets (lua data)'!$A$3:$C$9838,3,FALSE)</f>
        <v>Tormentor</v>
      </c>
      <c r="C166" s="9" t="str">
        <f>VLOOKUP(A166,'Sets (lua data)'!$A$3:$C$9838,2,FALSE)</f>
        <v>Quälender</v>
      </c>
      <c r="D166" t="s">
        <v>7</v>
      </c>
      <c r="E166" s="3" t="str">
        <f>IF(ISNA(VLOOKUP(D166,ConstDLCIds!$B$4:$C$1001,2,FALSE)),"",VLOOKUP(D166,ConstDLCIds!$B$4:$C$1001,2,FALSE))</f>
        <v>Included in base game</v>
      </c>
    </row>
    <row r="167" spans="1:6" x14ac:dyDescent="0.25">
      <c r="A167" s="12">
        <v>198</v>
      </c>
      <c r="B167" s="9" t="str">
        <f>VLOOKUP(A167,'Sets (lua data)'!$A$3:$C$9838,3,FALSE)</f>
        <v>Essence Thief</v>
      </c>
      <c r="C167" s="9" t="str">
        <f>VLOOKUP(A167,'Sets (lua data)'!$A$3:$C$9838,2,FALSE)</f>
        <v>Essenzdieb</v>
      </c>
      <c r="D167" t="s">
        <v>10</v>
      </c>
      <c r="E167" s="3" t="str">
        <f>IF(ISNA(VLOOKUP(D167,ConstDLCIds!$B$4:$C$1001,2,FALSE)),"",VLOOKUP(D167,ConstDLCIds!$B$4:$C$1001,2,FALSE))</f>
        <v>Imperial City</v>
      </c>
    </row>
    <row r="168" spans="1:6" x14ac:dyDescent="0.25">
      <c r="A168" s="12">
        <v>199</v>
      </c>
      <c r="B168" s="9" t="str">
        <f>VLOOKUP(A168,'Sets (lua data)'!$A$3:$C$9838,3,FALSE)</f>
        <v>Shield Breaker</v>
      </c>
      <c r="C168" s="9" t="str">
        <f>VLOOKUP(A168,'Sets (lua data)'!$A$3:$C$9838,2,FALSE)</f>
        <v>Schildbrecher</v>
      </c>
      <c r="D168" t="s">
        <v>10</v>
      </c>
      <c r="E168" s="3" t="str">
        <f>IF(ISNA(VLOOKUP(D168,ConstDLCIds!$B$4:$C$1001,2,FALSE)),"",VLOOKUP(D168,ConstDLCIds!$B$4:$C$1001,2,FALSE))</f>
        <v>Imperial City</v>
      </c>
    </row>
    <row r="169" spans="1:6" x14ac:dyDescent="0.25">
      <c r="A169" s="12">
        <v>200</v>
      </c>
      <c r="B169" s="9" t="str">
        <f>VLOOKUP(A169,'Sets (lua data)'!$A$3:$C$9838,3,FALSE)</f>
        <v>Phoenix</v>
      </c>
      <c r="C169" s="9" t="str">
        <f>VLOOKUP(A169,'Sets (lua data)'!$A$3:$C$9838,2,FALSE)</f>
        <v>Phönix</v>
      </c>
      <c r="D169" t="s">
        <v>10</v>
      </c>
      <c r="E169" s="3" t="str">
        <f>IF(ISNA(VLOOKUP(D169,ConstDLCIds!$B$4:$C$1001,2,FALSE)),"",VLOOKUP(D169,ConstDLCIds!$B$4:$C$1001,2,FALSE))</f>
        <v>Imperial City</v>
      </c>
    </row>
    <row r="170" spans="1:6" x14ac:dyDescent="0.25">
      <c r="A170" s="12">
        <v>201</v>
      </c>
      <c r="B170" s="9" t="str">
        <f>VLOOKUP(A170,'Sets (lua data)'!$A$3:$C$9838,3,FALSE)</f>
        <v>Reactive Armor</v>
      </c>
      <c r="C170" s="9" t="str">
        <f>VLOOKUP(A170,'Sets (lua data)'!$A$3:$C$9838,2,FALSE)</f>
        <v>Reaktive Rüstung</v>
      </c>
      <c r="D170" t="s">
        <v>10</v>
      </c>
      <c r="E170" s="3" t="str">
        <f>IF(ISNA(VLOOKUP(D170,ConstDLCIds!$B$4:$C$1001,2,FALSE)),"",VLOOKUP(D170,ConstDLCIds!$B$4:$C$1001,2,FALSE))</f>
        <v>Imperial City</v>
      </c>
    </row>
    <row r="171" spans="1:6" x14ac:dyDescent="0.25">
      <c r="A171" s="12">
        <v>204</v>
      </c>
      <c r="B171" s="9" t="str">
        <f>VLOOKUP(A171,'Sets (lua data)'!$A$3:$C$9838,3,FALSE)</f>
        <v>Endurance</v>
      </c>
      <c r="C171" s="9" t="str">
        <f>VLOOKUP(A171,'Sets (lua data)'!$A$3:$C$9838,2,FALSE)</f>
        <v>Beständigkeit</v>
      </c>
      <c r="D171" t="s">
        <v>10</v>
      </c>
      <c r="E171" s="3" t="str">
        <f>IF(ISNA(VLOOKUP(D171,ConstDLCIds!$B$4:$C$1001,2,FALSE)),"",VLOOKUP(D171,ConstDLCIds!$B$4:$C$1001,2,FALSE))</f>
        <v>Imperial City</v>
      </c>
    </row>
    <row r="172" spans="1:6" x14ac:dyDescent="0.25">
      <c r="A172" s="12">
        <v>205</v>
      </c>
      <c r="B172" s="9" t="str">
        <f>VLOOKUP(A172,'Sets (lua data)'!$A$3:$C$9838,3,FALSE)</f>
        <v>Willpower</v>
      </c>
      <c r="C172" s="9" t="str">
        <f>VLOOKUP(A172,'Sets (lua data)'!$A$3:$C$9838,2,FALSE)</f>
        <v>Willenskraft</v>
      </c>
      <c r="D172" t="s">
        <v>10</v>
      </c>
      <c r="E172" s="3" t="str">
        <f>IF(ISNA(VLOOKUP(D172,ConstDLCIds!$B$4:$C$1001,2,FALSE)),"",VLOOKUP(D172,ConstDLCIds!$B$4:$C$1001,2,FALSE))</f>
        <v>Imperial City</v>
      </c>
    </row>
    <row r="173" spans="1:6" x14ac:dyDescent="0.25">
      <c r="A173" s="12">
        <v>206</v>
      </c>
      <c r="B173" s="9" t="str">
        <f>VLOOKUP(A173,'Sets (lua data)'!$A$3:$C$9838,3,FALSE)</f>
        <v>Agility</v>
      </c>
      <c r="C173" s="9" t="str">
        <f>VLOOKUP(A173,'Sets (lua data)'!$A$3:$C$9838,2,FALSE)</f>
        <v>Agilität</v>
      </c>
      <c r="D173" t="s">
        <v>10</v>
      </c>
      <c r="E173" s="3" t="str">
        <f>IF(ISNA(VLOOKUP(D173,ConstDLCIds!$B$4:$C$1001,2,FALSE)),"",VLOOKUP(D173,ConstDLCIds!$B$4:$C$1001,2,FALSE))</f>
        <v>Imperial City</v>
      </c>
    </row>
    <row r="174" spans="1:6" x14ac:dyDescent="0.25">
      <c r="A174" s="1">
        <v>207</v>
      </c>
      <c r="B174" s="9" t="str">
        <f>VLOOKUP(A174,'Sets (lua data)'!$A$3:$C$9838,3,FALSE)</f>
        <v>Law of Julianos</v>
      </c>
      <c r="C174" s="9" t="str">
        <f>VLOOKUP(A174,'Sets (lua data)'!$A$3:$C$9838,2,FALSE)</f>
        <v>Gesetz von Julianos</v>
      </c>
      <c r="D174" t="s">
        <v>13</v>
      </c>
      <c r="E174" s="3" t="str">
        <f>IF(ISNA(VLOOKUP(D174,ConstDLCIds!$B$4:$C$1001,2,FALSE)),"",VLOOKUP(D174,ConstDLCIds!$B$4:$C$1001,2,FALSE))</f>
        <v>Orsinium</v>
      </c>
    </row>
    <row r="175" spans="1:6" x14ac:dyDescent="0.25">
      <c r="A175" s="1">
        <v>208</v>
      </c>
      <c r="B175" s="9" t="str">
        <f>VLOOKUP(A175,'Sets (lua data)'!$A$3:$C$9838,3,FALSE)</f>
        <v>Trial by Fire</v>
      </c>
      <c r="C175" s="9" t="str">
        <f>VLOOKUP(A175,'Sets (lua data)'!$A$3:$C$9838,2,FALSE)</f>
        <v>Feuertaufe</v>
      </c>
      <c r="D175" t="s">
        <v>13</v>
      </c>
      <c r="E175" s="3" t="str">
        <f>IF(ISNA(VLOOKUP(D175,ConstDLCIds!$B$4:$C$1001,2,FALSE)),"",VLOOKUP(D175,ConstDLCIds!$B$4:$C$1001,2,FALSE))</f>
        <v>Orsinium</v>
      </c>
    </row>
    <row r="176" spans="1:6" x14ac:dyDescent="0.25">
      <c r="A176" s="21">
        <v>209</v>
      </c>
      <c r="B176" s="81" t="str">
        <f>VLOOKUP(A176,'Sets (lua data)'!$A$3:$C$9838,3,FALSE)</f>
        <v>Armor of the Code</v>
      </c>
      <c r="C176" s="81" t="str">
        <f>VLOOKUP(A176,'Sets (lua data)'!$A$3:$C$9838,2,FALSE)</f>
        <v>Armor of the Code</v>
      </c>
      <c r="E176" s="3" t="str">
        <f>IF(ISNA(VLOOKUP(D176,ConstDLCIds!$B$4:$C$1001,2,FALSE)),"",VLOOKUP(D176,ConstDLCIds!$B$4:$C$1001,2,FALSE))</f>
        <v/>
      </c>
      <c r="F176" t="s">
        <v>2124</v>
      </c>
    </row>
    <row r="177" spans="1:5" x14ac:dyDescent="0.25">
      <c r="A177" s="12">
        <v>210</v>
      </c>
      <c r="B177" s="9" t="str">
        <f>VLOOKUP(A177,'Sets (lua data)'!$A$3:$C$9838,3,FALSE)</f>
        <v>Mark of the Pariah</v>
      </c>
      <c r="C177" s="9" t="str">
        <f>VLOOKUP(A177,'Sets (lua data)'!$A$3:$C$9838,2,FALSE)</f>
        <v>Zeichen des Ausgestoßenen</v>
      </c>
      <c r="D177" t="s">
        <v>13</v>
      </c>
      <c r="E177" s="3" t="str">
        <f>IF(ISNA(VLOOKUP(D177,ConstDLCIds!$B$4:$C$1001,2,FALSE)),"",VLOOKUP(D177,ConstDLCIds!$B$4:$C$1001,2,FALSE))</f>
        <v>Orsinium</v>
      </c>
    </row>
    <row r="178" spans="1:5" x14ac:dyDescent="0.25">
      <c r="A178" s="12">
        <v>211</v>
      </c>
      <c r="B178" s="9" t="str">
        <f>VLOOKUP(A178,'Sets (lua data)'!$A$3:$C$9838,3,FALSE)</f>
        <v>Permafrost</v>
      </c>
      <c r="C178" s="9" t="str">
        <f>VLOOKUP(A178,'Sets (lua data)'!$A$3:$C$9838,2,FALSE)</f>
        <v>Permafrost</v>
      </c>
      <c r="D178" t="s">
        <v>13</v>
      </c>
      <c r="E178" s="3" t="str">
        <f>IF(ISNA(VLOOKUP(D178,ConstDLCIds!$B$4:$C$1001,2,FALSE)),"",VLOOKUP(D178,ConstDLCIds!$B$4:$C$1001,2,FALSE))</f>
        <v>Orsinium</v>
      </c>
    </row>
    <row r="179" spans="1:5" x14ac:dyDescent="0.25">
      <c r="A179" s="12">
        <v>212</v>
      </c>
      <c r="B179" s="9" t="str">
        <f>VLOOKUP(A179,'Sets (lua data)'!$A$3:$C$9838,3,FALSE)</f>
        <v>Briarheart</v>
      </c>
      <c r="C179" s="9" t="str">
        <f>VLOOKUP(A179,'Sets (lua data)'!$A$3:$C$9838,2,FALSE)</f>
        <v>Dornenherz</v>
      </c>
      <c r="D179" t="s">
        <v>13</v>
      </c>
      <c r="E179" s="3" t="str">
        <f>IF(ISNA(VLOOKUP(D179,ConstDLCIds!$B$4:$C$1001,2,FALSE)),"",VLOOKUP(D179,ConstDLCIds!$B$4:$C$1001,2,FALSE))</f>
        <v>Orsinium</v>
      </c>
    </row>
    <row r="180" spans="1:5" x14ac:dyDescent="0.25">
      <c r="A180" s="12">
        <v>213</v>
      </c>
      <c r="B180" s="9" t="str">
        <f>VLOOKUP(A180,'Sets (lua data)'!$A$3:$C$9838,3,FALSE)</f>
        <v>Glorious Defender</v>
      </c>
      <c r="C180" s="9" t="str">
        <f>VLOOKUP(A180,'Sets (lua data)'!$A$3:$C$9838,2,FALSE)</f>
        <v>Ruhmreicher Verteidiger</v>
      </c>
      <c r="D180" t="s">
        <v>13</v>
      </c>
      <c r="E180" s="3" t="str">
        <f>IF(ISNA(VLOOKUP(D180,ConstDLCIds!$B$4:$C$1001,2,FALSE)),"",VLOOKUP(D180,ConstDLCIds!$B$4:$C$1001,2,FALSE))</f>
        <v>Orsinium</v>
      </c>
    </row>
    <row r="181" spans="1:5" x14ac:dyDescent="0.25">
      <c r="A181" s="12">
        <v>214</v>
      </c>
      <c r="B181" s="9" t="str">
        <f>VLOOKUP(A181,'Sets (lua data)'!$A$3:$C$9838,3,FALSE)</f>
        <v>Para Bellum</v>
      </c>
      <c r="C181" s="9" t="str">
        <f>VLOOKUP(A181,'Sets (lua data)'!$A$3:$C$9838,2,FALSE)</f>
        <v>Para Bellum</v>
      </c>
      <c r="D181" t="s">
        <v>13</v>
      </c>
      <c r="E181" s="3" t="str">
        <f>IF(ISNA(VLOOKUP(D181,ConstDLCIds!$B$4:$C$1001,2,FALSE)),"",VLOOKUP(D181,ConstDLCIds!$B$4:$C$1001,2,FALSE))</f>
        <v>Orsinium</v>
      </c>
    </row>
    <row r="182" spans="1:5" x14ac:dyDescent="0.25">
      <c r="A182" s="12">
        <v>215</v>
      </c>
      <c r="B182" s="9" t="str">
        <f>VLOOKUP(A182,'Sets (lua data)'!$A$3:$C$9838,3,FALSE)</f>
        <v>Elemental Succession</v>
      </c>
      <c r="C182" s="9" t="str">
        <f>VLOOKUP(A182,'Sets (lua data)'!$A$3:$C$9838,2,FALSE)</f>
        <v>Elementarfolge</v>
      </c>
      <c r="D182" t="s">
        <v>13</v>
      </c>
      <c r="E182" s="3" t="str">
        <f>IF(ISNA(VLOOKUP(D182,ConstDLCIds!$B$4:$C$1001,2,FALSE)),"",VLOOKUP(D182,ConstDLCIds!$B$4:$C$1001,2,FALSE))</f>
        <v>Orsinium</v>
      </c>
    </row>
    <row r="183" spans="1:5" x14ac:dyDescent="0.25">
      <c r="A183" s="12">
        <v>216</v>
      </c>
      <c r="B183" s="9" t="str">
        <f>VLOOKUP(A183,'Sets (lua data)'!$A$3:$C$9838,3,FALSE)</f>
        <v>Hunt Leader</v>
      </c>
      <c r="C183" s="9" t="str">
        <f>VLOOKUP(A183,'Sets (lua data)'!$A$3:$C$9838,2,FALSE)</f>
        <v>Jagdleiter</v>
      </c>
      <c r="D183" t="s">
        <v>13</v>
      </c>
      <c r="E183" s="3" t="str">
        <f>IF(ISNA(VLOOKUP(D183,ConstDLCIds!$B$4:$C$1001,2,FALSE)),"",VLOOKUP(D183,ConstDLCIds!$B$4:$C$1001,2,FALSE))</f>
        <v>Orsinium</v>
      </c>
    </row>
    <row r="184" spans="1:5" x14ac:dyDescent="0.25">
      <c r="A184" s="12">
        <v>217</v>
      </c>
      <c r="B184" s="9" t="str">
        <f>VLOOKUP(A184,'Sets (lua data)'!$A$3:$C$9838,3,FALSE)</f>
        <v>Winterborn</v>
      </c>
      <c r="C184" s="9" t="str">
        <f>VLOOKUP(A184,'Sets (lua data)'!$A$3:$C$9838,2,FALSE)</f>
        <v>Winterkind</v>
      </c>
      <c r="D184" t="s">
        <v>13</v>
      </c>
      <c r="E184" s="3" t="str">
        <f>IF(ISNA(VLOOKUP(D184,ConstDLCIds!$B$4:$C$1001,2,FALSE)),"",VLOOKUP(D184,ConstDLCIds!$B$4:$C$1001,2,FALSE))</f>
        <v>Orsinium</v>
      </c>
    </row>
    <row r="185" spans="1:5" x14ac:dyDescent="0.25">
      <c r="A185" s="12">
        <v>218</v>
      </c>
      <c r="B185" s="9" t="str">
        <f>VLOOKUP(A185,'Sets (lua data)'!$A$3:$C$9838,3,FALSE)</f>
        <v>Trinimac\'s Valor</v>
      </c>
      <c r="C185" s="9" t="str">
        <f>VLOOKUP(A185,'Sets (lua data)'!$A$3:$C$9838,2,FALSE)</f>
        <v>Trinimacs Heldenmut</v>
      </c>
      <c r="D185" t="s">
        <v>13</v>
      </c>
      <c r="E185" s="3" t="str">
        <f>IF(ISNA(VLOOKUP(D185,ConstDLCIds!$B$4:$C$1001,2,FALSE)),"",VLOOKUP(D185,ConstDLCIds!$B$4:$C$1001,2,FALSE))</f>
        <v>Orsinium</v>
      </c>
    </row>
    <row r="186" spans="1:5" x14ac:dyDescent="0.25">
      <c r="A186" s="1">
        <v>219</v>
      </c>
      <c r="B186" s="9" t="str">
        <f>VLOOKUP(A186,'Sets (lua data)'!$A$3:$C$9838,3,FALSE)</f>
        <v>Morkuldin</v>
      </c>
      <c r="C186" s="9" t="str">
        <f>VLOOKUP(A186,'Sets (lua data)'!$A$3:$C$9838,2,FALSE)</f>
        <v>Morkuldin</v>
      </c>
      <c r="D186" t="s">
        <v>13</v>
      </c>
      <c r="E186" s="3" t="str">
        <f>IF(ISNA(VLOOKUP(D186,ConstDLCIds!$B$4:$C$1001,2,FALSE)),"",VLOOKUP(D186,ConstDLCIds!$B$4:$C$1001,2,FALSE))</f>
        <v>Orsinium</v>
      </c>
    </row>
    <row r="187" spans="1:5" x14ac:dyDescent="0.25">
      <c r="A187" s="1">
        <v>224</v>
      </c>
      <c r="B187" s="9" t="str">
        <f>VLOOKUP(A187,'Sets (lua data)'!$A$3:$C$9838,3,FALSE)</f>
        <v>Tava\'s Favor</v>
      </c>
      <c r="C187" s="9" t="str">
        <f>VLOOKUP(A187,'Sets (lua data)'!$A$3:$C$9838,2,FALSE)</f>
        <v>Tavas Gunst</v>
      </c>
      <c r="D187" t="s">
        <v>16</v>
      </c>
      <c r="E187" s="3" t="str">
        <f>IF(ISNA(VLOOKUP(D187,ConstDLCIds!$B$4:$C$1001,2,FALSE)),"",VLOOKUP(D187,ConstDLCIds!$B$4:$C$1001,2,FALSE))</f>
        <v>Thieves Guild</v>
      </c>
    </row>
    <row r="188" spans="1:5" x14ac:dyDescent="0.25">
      <c r="A188" s="1">
        <v>225</v>
      </c>
      <c r="B188" s="9" t="str">
        <f>VLOOKUP(A188,'Sets (lua data)'!$A$3:$C$9838,3,FALSE)</f>
        <v>Clever Alchemist</v>
      </c>
      <c r="C188" s="9" t="str">
        <f>VLOOKUP(A188,'Sets (lua data)'!$A$3:$C$9838,2,FALSE)</f>
        <v>Schlauer Alchemist</v>
      </c>
      <c r="D188" t="s">
        <v>16</v>
      </c>
      <c r="E188" s="3" t="str">
        <f>IF(ISNA(VLOOKUP(D188,ConstDLCIds!$B$4:$C$1001,2,FALSE)),"",VLOOKUP(D188,ConstDLCIds!$B$4:$C$1001,2,FALSE))</f>
        <v>Thieves Guild</v>
      </c>
    </row>
    <row r="189" spans="1:5" x14ac:dyDescent="0.25">
      <c r="A189" s="1">
        <v>226</v>
      </c>
      <c r="B189" s="9" t="str">
        <f>VLOOKUP(A189,'Sets (lua data)'!$A$3:$C$9838,3,FALSE)</f>
        <v>Eternal Hunt</v>
      </c>
      <c r="C189" s="9" t="str">
        <f>VLOOKUP(A189,'Sets (lua data)'!$A$3:$C$9838,2,FALSE)</f>
        <v>Ewige Jagd</v>
      </c>
      <c r="D189" t="s">
        <v>16</v>
      </c>
      <c r="E189" s="3" t="str">
        <f>IF(ISNA(VLOOKUP(D189,ConstDLCIds!$B$4:$C$1001,2,FALSE)),"",VLOOKUP(D189,ConstDLCIds!$B$4:$C$1001,2,FALSE))</f>
        <v>Thieves Guild</v>
      </c>
    </row>
    <row r="190" spans="1:5" x14ac:dyDescent="0.25">
      <c r="A190" s="12">
        <v>227</v>
      </c>
      <c r="B190" s="9" t="str">
        <f>VLOOKUP(A190,'Sets (lua data)'!$A$3:$C$9838,3,FALSE)</f>
        <v>Bahraha\'s Curse</v>
      </c>
      <c r="C190" s="9" t="str">
        <f>VLOOKUP(A190,'Sets (lua data)'!$A$3:$C$9838,2,FALSE)</f>
        <v>Bahrahas Fluch</v>
      </c>
      <c r="D190" t="s">
        <v>16</v>
      </c>
      <c r="E190" s="3" t="str">
        <f>IF(ISNA(VLOOKUP(D190,ConstDLCIds!$B$4:$C$1001,2,FALSE)),"",VLOOKUP(D190,ConstDLCIds!$B$4:$C$1001,2,FALSE))</f>
        <v>Thieves Guild</v>
      </c>
    </row>
    <row r="191" spans="1:5" x14ac:dyDescent="0.25">
      <c r="A191" s="12">
        <v>228</v>
      </c>
      <c r="B191" s="9" t="str">
        <f>VLOOKUP(A191,'Sets (lua data)'!$A$3:$C$9838,3,FALSE)</f>
        <v>Syvarra\'s Scales</v>
      </c>
      <c r="C191" s="9" t="str">
        <f>VLOOKUP(A191,'Sets (lua data)'!$A$3:$C$9838,2,FALSE)</f>
        <v>Syvarras Schuppen</v>
      </c>
      <c r="D191" t="s">
        <v>16</v>
      </c>
      <c r="E191" s="3" t="str">
        <f>IF(ISNA(VLOOKUP(D191,ConstDLCIds!$B$4:$C$1001,2,FALSE)),"",VLOOKUP(D191,ConstDLCIds!$B$4:$C$1001,2,FALSE))</f>
        <v>Thieves Guild</v>
      </c>
    </row>
    <row r="192" spans="1:5" x14ac:dyDescent="0.25">
      <c r="A192" s="12">
        <v>229</v>
      </c>
      <c r="B192" s="9" t="str">
        <f>VLOOKUP(A192,'Sets (lua data)'!$A$3:$C$9838,3,FALSE)</f>
        <v>Twilight Remedy</v>
      </c>
      <c r="C192" s="9" t="str">
        <f>VLOOKUP(A192,'Sets (lua data)'!$A$3:$C$9838,2,FALSE)</f>
        <v>Zwielichtgenesung</v>
      </c>
      <c r="D192" t="s">
        <v>16</v>
      </c>
      <c r="E192" s="3" t="str">
        <f>IF(ISNA(VLOOKUP(D192,ConstDLCIds!$B$4:$C$1001,2,FALSE)),"",VLOOKUP(D192,ConstDLCIds!$B$4:$C$1001,2,FALSE))</f>
        <v>Thieves Guild</v>
      </c>
    </row>
    <row r="193" spans="1:6" x14ac:dyDescent="0.25">
      <c r="A193" s="12">
        <v>230</v>
      </c>
      <c r="B193" s="9" t="str">
        <f>VLOOKUP(A193,'Sets (lua data)'!$A$3:$C$9838,3,FALSE)</f>
        <v>Moondancer</v>
      </c>
      <c r="C193" s="9" t="str">
        <f>VLOOKUP(A193,'Sets (lua data)'!$A$3:$C$9838,2,FALSE)</f>
        <v>Mondtänzer</v>
      </c>
      <c r="D193" t="s">
        <v>16</v>
      </c>
      <c r="E193" s="3" t="str">
        <f>IF(ISNA(VLOOKUP(D193,ConstDLCIds!$B$4:$C$1001,2,FALSE)),"",VLOOKUP(D193,ConstDLCIds!$B$4:$C$1001,2,FALSE))</f>
        <v>Thieves Guild</v>
      </c>
    </row>
    <row r="194" spans="1:6" x14ac:dyDescent="0.25">
      <c r="A194" s="12">
        <v>231</v>
      </c>
      <c r="B194" s="9" t="str">
        <f>VLOOKUP(A194,'Sets (lua data)'!$A$3:$C$9838,3,FALSE)</f>
        <v>Lunar Bastion</v>
      </c>
      <c r="C194" s="9" t="str">
        <f>VLOOKUP(A194,'Sets (lua data)'!$A$3:$C$9838,2,FALSE)</f>
        <v>Mondbastion</v>
      </c>
      <c r="D194" t="s">
        <v>16</v>
      </c>
      <c r="E194" s="3" t="str">
        <f>IF(ISNA(VLOOKUP(D194,ConstDLCIds!$B$4:$C$1001,2,FALSE)),"",VLOOKUP(D194,ConstDLCIds!$B$4:$C$1001,2,FALSE))</f>
        <v>Thieves Guild</v>
      </c>
    </row>
    <row r="195" spans="1:6" x14ac:dyDescent="0.25">
      <c r="A195" s="12">
        <v>232</v>
      </c>
      <c r="B195" s="9" t="str">
        <f>VLOOKUP(A195,'Sets (lua data)'!$A$3:$C$9838,3,FALSE)</f>
        <v>Roar of Alkosh</v>
      </c>
      <c r="C195" s="9" t="str">
        <f>VLOOKUP(A195,'Sets (lua data)'!$A$3:$C$9838,2,FALSE)</f>
        <v>Brüllen von Alkosh</v>
      </c>
      <c r="D195" t="s">
        <v>16</v>
      </c>
      <c r="E195" s="3" t="str">
        <f>IF(ISNA(VLOOKUP(D195,ConstDLCIds!$B$4:$C$1001,2,FALSE)),"",VLOOKUP(D195,ConstDLCIds!$B$4:$C$1001,2,FALSE))</f>
        <v>Thieves Guild</v>
      </c>
    </row>
    <row r="196" spans="1:6" x14ac:dyDescent="0.25">
      <c r="A196" s="12">
        <v>234</v>
      </c>
      <c r="B196" s="9" t="str">
        <f>VLOOKUP(A196,'Sets (lua data)'!$A$3:$C$9838,3,FALSE)</f>
        <v>Marksman\'s Crest</v>
      </c>
      <c r="C196" s="9" t="str">
        <f>VLOOKUP(A196,'Sets (lua data)'!$A$3:$C$9838,2,FALSE)</f>
        <v>Wappen des Meisterschützen</v>
      </c>
      <c r="D196" t="s">
        <v>7</v>
      </c>
      <c r="E196" s="3" t="str">
        <f>IF(ISNA(VLOOKUP(D196,ConstDLCIds!$B$4:$C$1001,2,FALSE)),"",VLOOKUP(D196,ConstDLCIds!$B$4:$C$1001,2,FALSE))</f>
        <v>Included in base game</v>
      </c>
    </row>
    <row r="197" spans="1:6" x14ac:dyDescent="0.25">
      <c r="A197" s="12">
        <v>235</v>
      </c>
      <c r="B197" s="9" t="str">
        <f>VLOOKUP(A197,'Sets (lua data)'!$A$3:$C$9838,3,FALSE)</f>
        <v>Robes of Transmutation</v>
      </c>
      <c r="C197" s="9" t="str">
        <f>VLOOKUP(A197,'Sets (lua data)'!$A$3:$C$9838,2,FALSE)</f>
        <v>Roben der Transmutation</v>
      </c>
      <c r="D197" t="s">
        <v>7</v>
      </c>
      <c r="E197" s="3" t="str">
        <f>IF(ISNA(VLOOKUP(D197,ConstDLCIds!$B$4:$C$1001,2,FALSE)),"",VLOOKUP(D197,ConstDLCIds!$B$4:$C$1001,2,FALSE))</f>
        <v>Included in base game</v>
      </c>
    </row>
    <row r="198" spans="1:6" x14ac:dyDescent="0.25">
      <c r="A198" s="12">
        <v>236</v>
      </c>
      <c r="B198" s="9" t="str">
        <f>VLOOKUP(A198,'Sets (lua data)'!$A$3:$C$9838,3,FALSE)</f>
        <v>Vicious Death</v>
      </c>
      <c r="C198" s="9" t="str">
        <f>VLOOKUP(A198,'Sets (lua data)'!$A$3:$C$9838,2,FALSE)</f>
        <v>Grausamer Tod</v>
      </c>
      <c r="D198" t="s">
        <v>7</v>
      </c>
      <c r="E198" s="3" t="str">
        <f>IF(ISNA(VLOOKUP(D198,ConstDLCIds!$B$4:$C$1001,2,FALSE)),"",VLOOKUP(D198,ConstDLCIds!$B$4:$C$1001,2,FALSE))</f>
        <v>Included in base game</v>
      </c>
    </row>
    <row r="199" spans="1:6" x14ac:dyDescent="0.25">
      <c r="A199" s="12">
        <v>237</v>
      </c>
      <c r="B199" s="9" t="str">
        <f>VLOOKUP(A199,'Sets (lua data)'!$A$3:$C$9838,3,FALSE)</f>
        <v>Leki\'s Focus</v>
      </c>
      <c r="C199" s="9" t="str">
        <f>VLOOKUP(A199,'Sets (lua data)'!$A$3:$C$9838,2,FALSE)</f>
        <v>Lekis Fokus</v>
      </c>
      <c r="D199" t="s">
        <v>7</v>
      </c>
      <c r="E199" s="3" t="str">
        <f>IF(ISNA(VLOOKUP(D199,ConstDLCIds!$B$4:$C$1001,2,FALSE)),"",VLOOKUP(D199,ConstDLCIds!$B$4:$C$1001,2,FALSE))</f>
        <v>Included in base game</v>
      </c>
    </row>
    <row r="200" spans="1:6" x14ac:dyDescent="0.25">
      <c r="A200" s="12">
        <v>238</v>
      </c>
      <c r="B200" s="9" t="str">
        <f>VLOOKUP(A200,'Sets (lua data)'!$A$3:$C$9838,3,FALSE)</f>
        <v>Fasalla\'s Guile</v>
      </c>
      <c r="C200" s="9" t="str">
        <f>VLOOKUP(A200,'Sets (lua data)'!$A$3:$C$9838,2,FALSE)</f>
        <v>Fasallas List</v>
      </c>
      <c r="D200" t="s">
        <v>7</v>
      </c>
      <c r="E200" s="3" t="str">
        <f>IF(ISNA(VLOOKUP(D200,ConstDLCIds!$B$4:$C$1001,2,FALSE)),"",VLOOKUP(D200,ConstDLCIds!$B$4:$C$1001,2,FALSE))</f>
        <v>Included in base game</v>
      </c>
    </row>
    <row r="201" spans="1:6" x14ac:dyDescent="0.25">
      <c r="A201" s="12">
        <v>239</v>
      </c>
      <c r="B201" s="9" t="str">
        <f>VLOOKUP(A201,'Sets (lua data)'!$A$3:$C$9838,3,FALSE)</f>
        <v>Warrior\'s Fury</v>
      </c>
      <c r="C201" s="9" t="str">
        <f>VLOOKUP(A201,'Sets (lua data)'!$A$3:$C$9838,2,FALSE)</f>
        <v>Raserei des Kriegers</v>
      </c>
      <c r="D201" t="s">
        <v>7</v>
      </c>
      <c r="E201" s="3" t="str">
        <f>IF(ISNA(VLOOKUP(D201,ConstDLCIds!$B$4:$C$1001,2,FALSE)),"",VLOOKUP(D201,ConstDLCIds!$B$4:$C$1001,2,FALSE))</f>
        <v>Included in base game</v>
      </c>
    </row>
    <row r="202" spans="1:6" x14ac:dyDescent="0.25">
      <c r="A202" s="1">
        <v>240</v>
      </c>
      <c r="B202" s="9" t="str">
        <f>VLOOKUP(A202,'Sets (lua data)'!$A$3:$C$9838,3,FALSE)</f>
        <v>Kvatch Gladiator</v>
      </c>
      <c r="C202" s="9" t="str">
        <f>VLOOKUP(A202,'Sets (lua data)'!$A$3:$C$9838,2,FALSE)</f>
        <v>Gladiator von Kvatch</v>
      </c>
      <c r="D202" t="s">
        <v>19</v>
      </c>
      <c r="E202" s="3" t="str">
        <f>IF(ISNA(VLOOKUP(D202,ConstDLCIds!$B$4:$C$1001,2,FALSE)),"",VLOOKUP(D202,ConstDLCIds!$B$4:$C$1001,2,FALSE))</f>
        <v>Dark Brotherhood</v>
      </c>
    </row>
    <row r="203" spans="1:6" x14ac:dyDescent="0.25">
      <c r="A203" s="1">
        <v>241</v>
      </c>
      <c r="B203" s="9" t="str">
        <f>VLOOKUP(A203,'Sets (lua data)'!$A$3:$C$9838,3,FALSE)</f>
        <v>Varen\'s Legacy</v>
      </c>
      <c r="C203" s="9" t="str">
        <f>VLOOKUP(A203,'Sets (lua data)'!$A$3:$C$9838,2,FALSE)</f>
        <v>Varens Erbe</v>
      </c>
      <c r="D203" t="s">
        <v>19</v>
      </c>
      <c r="E203" s="3" t="str">
        <f>IF(ISNA(VLOOKUP(D203,ConstDLCIds!$B$4:$C$1001,2,FALSE)),"",VLOOKUP(D203,ConstDLCIds!$B$4:$C$1001,2,FALSE))</f>
        <v>Dark Brotherhood</v>
      </c>
    </row>
    <row r="204" spans="1:6" x14ac:dyDescent="0.25">
      <c r="A204" s="1">
        <v>242</v>
      </c>
      <c r="B204" s="9" t="str">
        <f>VLOOKUP(A204,'Sets (lua data)'!$A$3:$C$9838,3,FALSE)</f>
        <v>Pelinal\'s Wrath</v>
      </c>
      <c r="C204" s="9" t="str">
        <f>VLOOKUP(A204,'Sets (lua data)'!$A$3:$C$9838,2,FALSE)</f>
        <v>Pelinals Talent</v>
      </c>
      <c r="D204" t="s">
        <v>19</v>
      </c>
      <c r="E204" s="3" t="str">
        <f>IF(ISNA(VLOOKUP(D204,ConstDLCIds!$B$4:$C$1001,2,FALSE)),"",VLOOKUP(D204,ConstDLCIds!$B$4:$C$1001,2,FALSE))</f>
        <v>Dark Brotherhood</v>
      </c>
      <c r="F204" t="s">
        <v>2125</v>
      </c>
    </row>
    <row r="205" spans="1:6" x14ac:dyDescent="0.25">
      <c r="A205" s="12">
        <v>243</v>
      </c>
      <c r="B205" s="9" t="str">
        <f>VLOOKUP(A205,'Sets (lua data)'!$A$3:$C$9838,3,FALSE)</f>
        <v>Hide of Morihaus</v>
      </c>
      <c r="C205" s="9" t="str">
        <f>VLOOKUP(A205,'Sets (lua data)'!$A$3:$C$9838,2,FALSE)</f>
        <v>Haut von Morihaus</v>
      </c>
      <c r="D205" t="s">
        <v>19</v>
      </c>
      <c r="E205" s="3" t="str">
        <f>IF(ISNA(VLOOKUP(D205,ConstDLCIds!$B$4:$C$1001,2,FALSE)),"",VLOOKUP(D205,ConstDLCIds!$B$4:$C$1001,2,FALSE))</f>
        <v>Dark Brotherhood</v>
      </c>
    </row>
    <row r="206" spans="1:6" x14ac:dyDescent="0.25">
      <c r="A206" s="12">
        <v>244</v>
      </c>
      <c r="B206" s="9" t="str">
        <f>VLOOKUP(A206,'Sets (lua data)'!$A$3:$C$9838,3,FALSE)</f>
        <v>Flanking Strategist</v>
      </c>
      <c r="C206" s="9" t="str">
        <f>VLOOKUP(A206,'Sets (lua data)'!$A$3:$C$9838,2,FALSE)</f>
        <v>Flankierender Stratege</v>
      </c>
      <c r="D206" t="s">
        <v>19</v>
      </c>
      <c r="E206" s="3" t="str">
        <f>IF(ISNA(VLOOKUP(D206,ConstDLCIds!$B$4:$C$1001,2,FALSE)),"",VLOOKUP(D206,ConstDLCIds!$B$4:$C$1001,2,FALSE))</f>
        <v>Dark Brotherhood</v>
      </c>
    </row>
    <row r="207" spans="1:6" x14ac:dyDescent="0.25">
      <c r="A207" s="12">
        <v>245</v>
      </c>
      <c r="B207" s="9" t="str">
        <f>VLOOKUP(A207,'Sets (lua data)'!$A$3:$C$9838,3,FALSE)</f>
        <v>Sithis\' Touch</v>
      </c>
      <c r="C207" s="9" t="str">
        <f>VLOOKUP(A207,'Sets (lua data)'!$A$3:$C$9838,2,FALSE)</f>
        <v>Sithis' Berührung</v>
      </c>
      <c r="D207" t="s">
        <v>19</v>
      </c>
      <c r="E207" s="3" t="str">
        <f>IF(ISNA(VLOOKUP(D207,ConstDLCIds!$B$4:$C$1001,2,FALSE)),"",VLOOKUP(D207,ConstDLCIds!$B$4:$C$1001,2,FALSE))</f>
        <v>Dark Brotherhood</v>
      </c>
    </row>
    <row r="208" spans="1:6" x14ac:dyDescent="0.25">
      <c r="A208" s="12">
        <v>246</v>
      </c>
      <c r="B208" s="9" t="str">
        <f>VLOOKUP(A208,'Sets (lua data)'!$A$3:$C$9838,3,FALSE)</f>
        <v>Galerion\'s Revenge</v>
      </c>
      <c r="C208" s="9" t="str">
        <f>VLOOKUP(A208,'Sets (lua data)'!$A$3:$C$9838,2,FALSE)</f>
        <v>Galerions Revanche</v>
      </c>
      <c r="D208" t="s">
        <v>10</v>
      </c>
      <c r="E208" s="3" t="str">
        <f>IF(ISNA(VLOOKUP(D208,ConstDLCIds!$B$4:$C$1001,2,FALSE)),"",VLOOKUP(D208,ConstDLCIds!$B$4:$C$1001,2,FALSE))</f>
        <v>Imperial City</v>
      </c>
    </row>
    <row r="209" spans="1:6" x14ac:dyDescent="0.25">
      <c r="A209" s="12">
        <v>247</v>
      </c>
      <c r="B209" s="9" t="str">
        <f>VLOOKUP(A209,'Sets (lua data)'!$A$3:$C$9838,3,FALSE)</f>
        <v>Vicecanon of Venom</v>
      </c>
      <c r="C209" s="9" t="str">
        <f>VLOOKUP(A209,'Sets (lua data)'!$A$3:$C$9838,2,FALSE)</f>
        <v>Vizekanoniker des Gifts</v>
      </c>
      <c r="D209" t="s">
        <v>10</v>
      </c>
      <c r="E209" s="3" t="str">
        <f>IF(ISNA(VLOOKUP(D209,ConstDLCIds!$B$4:$C$1001,2,FALSE)),"",VLOOKUP(D209,ConstDLCIds!$B$4:$C$1001,2,FALSE))</f>
        <v>Imperial City</v>
      </c>
    </row>
    <row r="210" spans="1:6" x14ac:dyDescent="0.25">
      <c r="A210" s="12">
        <v>248</v>
      </c>
      <c r="B210" s="9" t="str">
        <f>VLOOKUP(A210,'Sets (lua data)'!$A$3:$C$9838,3,FALSE)</f>
        <v>Thews of the Harbinger</v>
      </c>
      <c r="C210" s="9" t="str">
        <f>VLOOKUP(A210,'Sets (lua data)'!$A$3:$C$9838,2,FALSE)</f>
        <v>Muskeln des Vorboten</v>
      </c>
      <c r="D210" t="s">
        <v>10</v>
      </c>
      <c r="E210" s="3" t="str">
        <f>IF(ISNA(VLOOKUP(D210,ConstDLCIds!$B$4:$C$1001,2,FALSE)),"",VLOOKUP(D210,ConstDLCIds!$B$4:$C$1001,2,FALSE))</f>
        <v>Imperial City</v>
      </c>
    </row>
    <row r="211" spans="1:6" x14ac:dyDescent="0.25">
      <c r="A211" s="12">
        <v>253</v>
      </c>
      <c r="B211" s="9" t="str">
        <f>VLOOKUP(A211,'Sets (lua data)'!$A$3:$C$9838,3,FALSE)</f>
        <v>Imperial Physique</v>
      </c>
      <c r="C211" s="9" t="str">
        <f>VLOOKUP(A211,'Sets (lua data)'!$A$3:$C$9838,2,FALSE)</f>
        <v>Kaiserliche Physis</v>
      </c>
      <c r="D211" t="s">
        <v>10</v>
      </c>
      <c r="E211" s="3" t="str">
        <f>IF(ISNA(VLOOKUP(D211,ConstDLCIds!$B$4:$C$1001,2,FALSE)),"",VLOOKUP(D211,ConstDLCIds!$B$4:$C$1001,2,FALSE))</f>
        <v>Imperial City</v>
      </c>
    </row>
    <row r="212" spans="1:6" x14ac:dyDescent="0.25">
      <c r="A212" s="1">
        <v>256</v>
      </c>
      <c r="B212" s="9" t="str">
        <f>VLOOKUP(A212,'Sets (lua data)'!$A$3:$C$9838,3,FALSE)</f>
        <v>Mighty Chudan</v>
      </c>
      <c r="C212" s="9" t="str">
        <f>VLOOKUP(A212,'Sets (lua data)'!$A$3:$C$9838,2,FALSE)</f>
        <v>Mächtiger Chudan</v>
      </c>
      <c r="D212" t="s">
        <v>22</v>
      </c>
      <c r="E212" s="3" t="str">
        <f>IF(ISNA(VLOOKUP(D212,ConstDLCIds!$B$4:$C$1001,2,FALSE)),"",VLOOKUP(D212,ConstDLCIds!$B$4:$C$1001,2,FALSE))</f>
        <v>Shadows of the Hist</v>
      </c>
    </row>
    <row r="213" spans="1:6" x14ac:dyDescent="0.25">
      <c r="A213" s="1">
        <v>257</v>
      </c>
      <c r="B213" s="9" t="str">
        <f>VLOOKUP(A213,'Sets (lua data)'!$A$3:$C$9838,3,FALSE)</f>
        <v>Velidreth</v>
      </c>
      <c r="C213" s="9" t="str">
        <f>VLOOKUP(A213,'Sets (lua data)'!$A$3:$C$9838,2,FALSE)</f>
        <v>Velidreth</v>
      </c>
      <c r="D213" t="s">
        <v>22</v>
      </c>
      <c r="E213" s="3" t="str">
        <f>IF(ISNA(VLOOKUP(D213,ConstDLCIds!$B$4:$C$1001,2,FALSE)),"",VLOOKUP(D213,ConstDLCIds!$B$4:$C$1001,2,FALSE))</f>
        <v>Shadows of the Hist</v>
      </c>
    </row>
    <row r="214" spans="1:6" x14ac:dyDescent="0.25">
      <c r="A214" s="12">
        <v>258</v>
      </c>
      <c r="B214" s="9" t="str">
        <f>VLOOKUP(A214,'Sets (lua data)'!$A$3:$C$9838,3,FALSE)</f>
        <v>Amber Plasm</v>
      </c>
      <c r="C214" s="9" t="str">
        <f>VLOOKUP(A214,'Sets (lua data)'!$A$3:$C$9838,2,FALSE)</f>
        <v>Bernsteinplasma</v>
      </c>
      <c r="D214" t="s">
        <v>22</v>
      </c>
      <c r="E214" s="3" t="str">
        <f>IF(ISNA(VLOOKUP(D214,ConstDLCIds!$B$4:$C$1001,2,FALSE)),"",VLOOKUP(D214,ConstDLCIds!$B$4:$C$1001,2,FALSE))</f>
        <v>Shadows of the Hist</v>
      </c>
    </row>
    <row r="215" spans="1:6" x14ac:dyDescent="0.25">
      <c r="A215" s="12">
        <v>259</v>
      </c>
      <c r="B215" s="9" t="str">
        <f>VLOOKUP(A215,'Sets (lua data)'!$A$3:$C$9838,3,FALSE)</f>
        <v>Heem-Jas\' Retribution</v>
      </c>
      <c r="C215" s="9" t="str">
        <f>VLOOKUP(A215,'Sets (lua data)'!$A$3:$C$9838,2,FALSE)</f>
        <v>Heem-Jas' Vergeltung</v>
      </c>
      <c r="D215" t="s">
        <v>22</v>
      </c>
      <c r="E215" s="3" t="str">
        <f>IF(ISNA(VLOOKUP(D215,ConstDLCIds!$B$4:$C$1001,2,FALSE)),"",VLOOKUP(D215,ConstDLCIds!$B$4:$C$1001,2,FALSE))</f>
        <v>Shadows of the Hist</v>
      </c>
    </row>
    <row r="216" spans="1:6" x14ac:dyDescent="0.25">
      <c r="A216" s="12">
        <v>260</v>
      </c>
      <c r="B216" s="9" t="str">
        <f>VLOOKUP(A216,'Sets (lua data)'!$A$3:$C$9838,3,FALSE)</f>
        <v>Aspect of Mazzatun</v>
      </c>
      <c r="C216" s="9" t="str">
        <f>VLOOKUP(A216,'Sets (lua data)'!$A$3:$C$9838,2,FALSE)</f>
        <v>Aspekt von Mazzatun</v>
      </c>
      <c r="D216" t="s">
        <v>22</v>
      </c>
      <c r="E216" s="3" t="str">
        <f>IF(ISNA(VLOOKUP(D216,ConstDLCIds!$B$4:$C$1001,2,FALSE)),"",VLOOKUP(D216,ConstDLCIds!$B$4:$C$1001,2,FALSE))</f>
        <v>Shadows of the Hist</v>
      </c>
    </row>
    <row r="217" spans="1:6" x14ac:dyDescent="0.25">
      <c r="A217" s="12">
        <v>261</v>
      </c>
      <c r="B217" s="9" t="str">
        <f>VLOOKUP(A217,'Sets (lua data)'!$A$3:$C$9838,3,FALSE)</f>
        <v>Gossamer</v>
      </c>
      <c r="C217" s="9" t="str">
        <f>VLOOKUP(A217,'Sets (lua data)'!$A$3:$C$9838,2,FALSE)</f>
        <v>Gespinst</v>
      </c>
      <c r="D217" t="s">
        <v>22</v>
      </c>
      <c r="E217" s="3" t="str">
        <f>IF(ISNA(VLOOKUP(D217,ConstDLCIds!$B$4:$C$1001,2,FALSE)),"",VLOOKUP(D217,ConstDLCIds!$B$4:$C$1001,2,FALSE))</f>
        <v>Shadows of the Hist</v>
      </c>
    </row>
    <row r="218" spans="1:6" x14ac:dyDescent="0.25">
      <c r="A218" s="12">
        <v>262</v>
      </c>
      <c r="B218" s="9" t="str">
        <f>VLOOKUP(A218,'Sets (lua data)'!$A$3:$C$9838,3,FALSE)</f>
        <v>Widowmaker</v>
      </c>
      <c r="C218" s="9" t="str">
        <f>VLOOKUP(A218,'Sets (lua data)'!$A$3:$C$9838,2,FALSE)</f>
        <v>Witwenmacher</v>
      </c>
      <c r="D218" t="s">
        <v>22</v>
      </c>
      <c r="E218" s="3" t="str">
        <f>IF(ISNA(VLOOKUP(D218,ConstDLCIds!$B$4:$C$1001,2,FALSE)),"",VLOOKUP(D218,ConstDLCIds!$B$4:$C$1001,2,FALSE))</f>
        <v>Shadows of the Hist</v>
      </c>
    </row>
    <row r="219" spans="1:6" x14ac:dyDescent="0.25">
      <c r="A219" s="12">
        <v>263</v>
      </c>
      <c r="B219" s="9" t="str">
        <f>VLOOKUP(A219,'Sets (lua data)'!$A$3:$C$9838,3,FALSE)</f>
        <v>Hand of Mephala</v>
      </c>
      <c r="C219" s="9" t="str">
        <f>VLOOKUP(A219,'Sets (lua data)'!$A$3:$C$9838,2,FALSE)</f>
        <v>Hand von Mephala</v>
      </c>
      <c r="D219" t="s">
        <v>22</v>
      </c>
      <c r="E219" s="3" t="str">
        <f>IF(ISNA(VLOOKUP(D219,ConstDLCIds!$B$4:$C$1001,2,FALSE)),"",VLOOKUP(D219,ConstDLCIds!$B$4:$C$1001,2,FALSE))</f>
        <v>Shadows of the Hist</v>
      </c>
    </row>
    <row r="220" spans="1:6" x14ac:dyDescent="0.25">
      <c r="A220" s="15">
        <v>264</v>
      </c>
      <c r="B220" s="81" t="str">
        <f>VLOOKUP(A220,'Sets (lua data)'!$A$3:$C$9838,3,FALSE)</f>
        <v>Giant Spider</v>
      </c>
      <c r="C220" s="81" t="str">
        <f>VLOOKUP(A220,'Sets (lua data)'!$A$3:$C$9838,2,FALSE)</f>
        <v>Riesenspinne</v>
      </c>
      <c r="E220" s="3" t="str">
        <f>IF(ISNA(VLOOKUP(D220,ConstDLCIds!$B$4:$C$1001,2,FALSE)),"",VLOOKUP(D220,ConstDLCIds!$B$4:$C$1001,2,FALSE))</f>
        <v/>
      </c>
      <c r="F220" t="s">
        <v>2124</v>
      </c>
    </row>
    <row r="221" spans="1:6" x14ac:dyDescent="0.25">
      <c r="A221" s="1">
        <v>265</v>
      </c>
      <c r="B221" s="9" t="str">
        <f>VLOOKUP(A221,'Sets (lua data)'!$A$3:$C$9838,3,FALSE)</f>
        <v>Shadowrend</v>
      </c>
      <c r="C221" s="9" t="str">
        <f>VLOOKUP(A221,'Sets (lua data)'!$A$3:$C$9838,2,FALSE)</f>
        <v>Schattenriss</v>
      </c>
      <c r="D221" t="s">
        <v>7</v>
      </c>
      <c r="E221" s="3" t="str">
        <f>IF(ISNA(VLOOKUP(D221,ConstDLCIds!$B$4:$C$1001,2,FALSE)),"",VLOOKUP(D221,ConstDLCIds!$B$4:$C$1001,2,FALSE))</f>
        <v>Included in base game</v>
      </c>
    </row>
    <row r="222" spans="1:6" x14ac:dyDescent="0.25">
      <c r="A222" s="1">
        <v>266</v>
      </c>
      <c r="B222" s="9" t="str">
        <f>VLOOKUP(A222,'Sets (lua data)'!$A$3:$C$9838,3,FALSE)</f>
        <v>Kra\'gh</v>
      </c>
      <c r="C222" s="9" t="str">
        <f>VLOOKUP(A222,'Sets (lua data)'!$A$3:$C$9838,2,FALSE)</f>
        <v>Kra'gh</v>
      </c>
      <c r="D222" t="s">
        <v>7</v>
      </c>
      <c r="E222" s="3" t="str">
        <f>IF(ISNA(VLOOKUP(D222,ConstDLCIds!$B$4:$C$1001,2,FALSE)),"",VLOOKUP(D222,ConstDLCIds!$B$4:$C$1001,2,FALSE))</f>
        <v>Included in base game</v>
      </c>
    </row>
    <row r="223" spans="1:6" x14ac:dyDescent="0.25">
      <c r="A223" s="1">
        <v>267</v>
      </c>
      <c r="B223" s="9" t="str">
        <f>VLOOKUP(A223,'Sets (lua data)'!$A$3:$C$9838,3,FALSE)</f>
        <v>Swarm Mother</v>
      </c>
      <c r="C223" s="9" t="str">
        <f>VLOOKUP(A223,'Sets (lua data)'!$A$3:$C$9838,2,FALSE)</f>
        <v>Schwarmmutter</v>
      </c>
      <c r="D223" t="s">
        <v>7</v>
      </c>
      <c r="E223" s="3" t="str">
        <f>IF(ISNA(VLOOKUP(D223,ConstDLCIds!$B$4:$C$1001,2,FALSE)),"",VLOOKUP(D223,ConstDLCIds!$B$4:$C$1001,2,FALSE))</f>
        <v>Included in base game</v>
      </c>
    </row>
    <row r="224" spans="1:6" x14ac:dyDescent="0.25">
      <c r="A224" s="1">
        <v>268</v>
      </c>
      <c r="B224" s="9" t="str">
        <f>VLOOKUP(A224,'Sets (lua data)'!$A$3:$C$9838,3,FALSE)</f>
        <v>Sentinel of Rkugamz</v>
      </c>
      <c r="C224" s="9" t="str">
        <f>VLOOKUP(A224,'Sets (lua data)'!$A$3:$C$9838,2,FALSE)</f>
        <v>Wachposten von Rkugamz</v>
      </c>
      <c r="D224" t="s">
        <v>7</v>
      </c>
      <c r="E224" s="3" t="str">
        <f>IF(ISNA(VLOOKUP(D224,ConstDLCIds!$B$4:$C$1001,2,FALSE)),"",VLOOKUP(D224,ConstDLCIds!$B$4:$C$1001,2,FALSE))</f>
        <v>Included in base game</v>
      </c>
    </row>
    <row r="225" spans="1:5" x14ac:dyDescent="0.25">
      <c r="A225" s="1">
        <v>269</v>
      </c>
      <c r="B225" s="9" t="str">
        <f>VLOOKUP(A225,'Sets (lua data)'!$A$3:$C$9838,3,FALSE)</f>
        <v>Chokethorn</v>
      </c>
      <c r="C225" s="9" t="str">
        <f>VLOOKUP(A225,'Sets (lua data)'!$A$3:$C$9838,2,FALSE)</f>
        <v>Würgedorn</v>
      </c>
      <c r="D225" t="s">
        <v>7</v>
      </c>
      <c r="E225" s="3" t="str">
        <f>IF(ISNA(VLOOKUP(D225,ConstDLCIds!$B$4:$C$1001,2,FALSE)),"",VLOOKUP(D225,ConstDLCIds!$B$4:$C$1001,2,FALSE))</f>
        <v>Included in base game</v>
      </c>
    </row>
    <row r="226" spans="1:5" x14ac:dyDescent="0.25">
      <c r="A226" s="1">
        <v>270</v>
      </c>
      <c r="B226" s="9" t="str">
        <f>VLOOKUP(A226,'Sets (lua data)'!$A$3:$C$9838,3,FALSE)</f>
        <v>Slimecraw</v>
      </c>
      <c r="C226" s="9" t="str">
        <f>VLOOKUP(A226,'Sets (lua data)'!$A$3:$C$9838,2,FALSE)</f>
        <v>Schleimkropf</v>
      </c>
      <c r="D226" t="s">
        <v>7</v>
      </c>
      <c r="E226" s="3" t="str">
        <f>IF(ISNA(VLOOKUP(D226,ConstDLCIds!$B$4:$C$1001,2,FALSE)),"",VLOOKUP(D226,ConstDLCIds!$B$4:$C$1001,2,FALSE))</f>
        <v>Included in base game</v>
      </c>
    </row>
    <row r="227" spans="1:5" x14ac:dyDescent="0.25">
      <c r="A227" s="1">
        <v>271</v>
      </c>
      <c r="B227" s="9" t="str">
        <f>VLOOKUP(A227,'Sets (lua data)'!$A$3:$C$9838,3,FALSE)</f>
        <v>Sellistrix</v>
      </c>
      <c r="C227" s="9" t="str">
        <f>VLOOKUP(A227,'Sets (lua data)'!$A$3:$C$9838,2,FALSE)</f>
        <v>Sellistrix</v>
      </c>
      <c r="D227" t="s">
        <v>7</v>
      </c>
      <c r="E227" s="3" t="str">
        <f>IF(ISNA(VLOOKUP(D227,ConstDLCIds!$B$4:$C$1001,2,FALSE)),"",VLOOKUP(D227,ConstDLCIds!$B$4:$C$1001,2,FALSE))</f>
        <v>Included in base game</v>
      </c>
    </row>
    <row r="228" spans="1:5" x14ac:dyDescent="0.25">
      <c r="A228" s="1">
        <v>272</v>
      </c>
      <c r="B228" s="9" t="str">
        <f>VLOOKUP(A228,'Sets (lua data)'!$A$3:$C$9838,3,FALSE)</f>
        <v>Infernal Guardian</v>
      </c>
      <c r="C228" s="9" t="str">
        <f>VLOOKUP(A228,'Sets (lua data)'!$A$3:$C$9838,2,FALSE)</f>
        <v>Infernaler Wächter</v>
      </c>
      <c r="D228" t="s">
        <v>7</v>
      </c>
      <c r="E228" s="3" t="str">
        <f>IF(ISNA(VLOOKUP(D228,ConstDLCIds!$B$4:$C$1001,2,FALSE)),"",VLOOKUP(D228,ConstDLCIds!$B$4:$C$1001,2,FALSE))</f>
        <v>Included in base game</v>
      </c>
    </row>
    <row r="229" spans="1:5" x14ac:dyDescent="0.25">
      <c r="A229" s="1">
        <v>273</v>
      </c>
      <c r="B229" s="9" t="str">
        <f>VLOOKUP(A229,'Sets (lua data)'!$A$3:$C$9838,3,FALSE)</f>
        <v>Ilambris</v>
      </c>
      <c r="C229" s="9" t="str">
        <f>VLOOKUP(A229,'Sets (lua data)'!$A$3:$C$9838,2,FALSE)</f>
        <v>Ilambris</v>
      </c>
      <c r="D229" t="s">
        <v>7</v>
      </c>
      <c r="E229" s="3" t="str">
        <f>IF(ISNA(VLOOKUP(D229,ConstDLCIds!$B$4:$C$1001,2,FALSE)),"",VLOOKUP(D229,ConstDLCIds!$B$4:$C$1001,2,FALSE))</f>
        <v>Included in base game</v>
      </c>
    </row>
    <row r="230" spans="1:5" x14ac:dyDescent="0.25">
      <c r="A230" s="1">
        <v>274</v>
      </c>
      <c r="B230" s="9" t="str">
        <f>VLOOKUP(A230,'Sets (lua data)'!$A$3:$C$9838,3,FALSE)</f>
        <v>Iceheart</v>
      </c>
      <c r="C230" s="9" t="str">
        <f>VLOOKUP(A230,'Sets (lua data)'!$A$3:$C$9838,2,FALSE)</f>
        <v>Eisherz</v>
      </c>
      <c r="D230" t="s">
        <v>7</v>
      </c>
      <c r="E230" s="3" t="str">
        <f>IF(ISNA(VLOOKUP(D230,ConstDLCIds!$B$4:$C$1001,2,FALSE)),"",VLOOKUP(D230,ConstDLCIds!$B$4:$C$1001,2,FALSE))</f>
        <v>Included in base game</v>
      </c>
    </row>
    <row r="231" spans="1:5" x14ac:dyDescent="0.25">
      <c r="A231" s="1">
        <v>275</v>
      </c>
      <c r="B231" s="9" t="str">
        <f>VLOOKUP(A231,'Sets (lua data)'!$A$3:$C$9838,3,FALSE)</f>
        <v>Stormfist</v>
      </c>
      <c r="C231" s="9" t="str">
        <f>VLOOKUP(A231,'Sets (lua data)'!$A$3:$C$9838,2,FALSE)</f>
        <v>Sturmfaust</v>
      </c>
      <c r="D231" t="s">
        <v>7</v>
      </c>
      <c r="E231" s="3" t="str">
        <f>IF(ISNA(VLOOKUP(D231,ConstDLCIds!$B$4:$C$1001,2,FALSE)),"",VLOOKUP(D231,ConstDLCIds!$B$4:$C$1001,2,FALSE))</f>
        <v>Included in base game</v>
      </c>
    </row>
    <row r="232" spans="1:5" x14ac:dyDescent="0.25">
      <c r="A232" s="1">
        <v>276</v>
      </c>
      <c r="B232" s="9" t="str">
        <f>VLOOKUP(A232,'Sets (lua data)'!$A$3:$C$9838,3,FALSE)</f>
        <v>Tremorscale</v>
      </c>
      <c r="C232" s="9" t="str">
        <f>VLOOKUP(A232,'Sets (lua data)'!$A$3:$C$9838,2,FALSE)</f>
        <v>Bebenschuppe</v>
      </c>
      <c r="D232" t="s">
        <v>7</v>
      </c>
      <c r="E232" s="3" t="str">
        <f>IF(ISNA(VLOOKUP(D232,ConstDLCIds!$B$4:$C$1001,2,FALSE)),"",VLOOKUP(D232,ConstDLCIds!$B$4:$C$1001,2,FALSE))</f>
        <v>Included in base game</v>
      </c>
    </row>
    <row r="233" spans="1:5" x14ac:dyDescent="0.25">
      <c r="A233" s="1">
        <v>277</v>
      </c>
      <c r="B233" s="9" t="str">
        <f>VLOOKUP(A233,'Sets (lua data)'!$A$3:$C$9838,3,FALSE)</f>
        <v>Pirate Skeleton</v>
      </c>
      <c r="C233" s="9" t="str">
        <f>VLOOKUP(A233,'Sets (lua data)'!$A$3:$C$9838,2,FALSE)</f>
        <v>Piratenskelett</v>
      </c>
      <c r="D233" t="s">
        <v>7</v>
      </c>
      <c r="E233" s="3" t="str">
        <f>IF(ISNA(VLOOKUP(D233,ConstDLCIds!$B$4:$C$1001,2,FALSE)),"",VLOOKUP(D233,ConstDLCIds!$B$4:$C$1001,2,FALSE))</f>
        <v>Included in base game</v>
      </c>
    </row>
    <row r="234" spans="1:5" x14ac:dyDescent="0.25">
      <c r="A234" s="1">
        <v>278</v>
      </c>
      <c r="B234" s="9" t="str">
        <f>VLOOKUP(A234,'Sets (lua data)'!$A$3:$C$9838,3,FALSE)</f>
        <v>The Troll King</v>
      </c>
      <c r="C234" s="9" t="str">
        <f>VLOOKUP(A234,'Sets (lua data)'!$A$3:$C$9838,2,FALSE)</f>
        <v>Trollkönig</v>
      </c>
      <c r="D234" t="s">
        <v>7</v>
      </c>
      <c r="E234" s="3" t="str">
        <f>IF(ISNA(VLOOKUP(D234,ConstDLCIds!$B$4:$C$1001,2,FALSE)),"",VLOOKUP(D234,ConstDLCIds!$B$4:$C$1001,2,FALSE))</f>
        <v>Included in base game</v>
      </c>
    </row>
    <row r="235" spans="1:5" x14ac:dyDescent="0.25">
      <c r="A235" s="1">
        <v>279</v>
      </c>
      <c r="B235" s="9" t="str">
        <f>VLOOKUP(A235,'Sets (lua data)'!$A$3:$C$9838,3,FALSE)</f>
        <v>Selene</v>
      </c>
      <c r="C235" s="9" t="str">
        <f>VLOOKUP(A235,'Sets (lua data)'!$A$3:$C$9838,2,FALSE)</f>
        <v>Selene</v>
      </c>
      <c r="D235" t="s">
        <v>7</v>
      </c>
      <c r="E235" s="3" t="str">
        <f>IF(ISNA(VLOOKUP(D235,ConstDLCIds!$B$4:$C$1001,2,FALSE)),"",VLOOKUP(D235,ConstDLCIds!$B$4:$C$1001,2,FALSE))</f>
        <v>Included in base game</v>
      </c>
    </row>
    <row r="236" spans="1:5" x14ac:dyDescent="0.25">
      <c r="A236" s="1">
        <v>280</v>
      </c>
      <c r="B236" s="9" t="str">
        <f>VLOOKUP(A236,'Sets (lua data)'!$A$3:$C$9838,3,FALSE)</f>
        <v>Grothdarr</v>
      </c>
      <c r="C236" s="9" t="str">
        <f>VLOOKUP(A236,'Sets (lua data)'!$A$3:$C$9838,2,FALSE)</f>
        <v>Grothdarr</v>
      </c>
      <c r="D236" t="s">
        <v>7</v>
      </c>
      <c r="E236" s="3" t="str">
        <f>IF(ISNA(VLOOKUP(D236,ConstDLCIds!$B$4:$C$1001,2,FALSE)),"",VLOOKUP(D236,ConstDLCIds!$B$4:$C$1001,2,FALSE))</f>
        <v>Included in base game</v>
      </c>
    </row>
    <row r="237" spans="1:5" x14ac:dyDescent="0.25">
      <c r="A237" s="12">
        <v>281</v>
      </c>
      <c r="B237" s="9" t="str">
        <f>VLOOKUP(A237,'Sets (lua data)'!$A$3:$C$9838,3,FALSE)</f>
        <v>Armor of the Trainee</v>
      </c>
      <c r="C237" s="9" t="str">
        <f>VLOOKUP(A237,'Sets (lua data)'!$A$3:$C$9838,2,FALSE)</f>
        <v>Rüstung des Auszubildenden</v>
      </c>
      <c r="D237" t="s">
        <v>7</v>
      </c>
      <c r="E237" s="3" t="str">
        <f>IF(ISNA(VLOOKUP(D237,ConstDLCIds!$B$4:$C$1001,2,FALSE)),"",VLOOKUP(D237,ConstDLCIds!$B$4:$C$1001,2,FALSE))</f>
        <v>Included in base game</v>
      </c>
    </row>
    <row r="238" spans="1:5" x14ac:dyDescent="0.25">
      <c r="A238" s="12">
        <v>282</v>
      </c>
      <c r="B238" s="9" t="str">
        <f>VLOOKUP(A238,'Sets (lua data)'!$A$3:$C$9838,3,FALSE)</f>
        <v>Vampire Cloak</v>
      </c>
      <c r="C238" s="9" t="str">
        <f>VLOOKUP(A238,'Sets (lua data)'!$A$3:$C$9838,2,FALSE)</f>
        <v>Vampirumhang</v>
      </c>
      <c r="D238" t="s">
        <v>7</v>
      </c>
      <c r="E238" s="3" t="str">
        <f>IF(ISNA(VLOOKUP(D238,ConstDLCIds!$B$4:$C$1001,2,FALSE)),"",VLOOKUP(D238,ConstDLCIds!$B$4:$C$1001,2,FALSE))</f>
        <v>Included in base game</v>
      </c>
    </row>
    <row r="239" spans="1:5" x14ac:dyDescent="0.25">
      <c r="A239" s="12">
        <v>283</v>
      </c>
      <c r="B239" s="9" t="str">
        <f>VLOOKUP(A239,'Sets (lua data)'!$A$3:$C$9838,3,FALSE)</f>
        <v>Sword-Singer</v>
      </c>
      <c r="C239" s="9" t="str">
        <f>VLOOKUP(A239,'Sets (lua data)'!$A$3:$C$9838,2,FALSE)</f>
        <v>Schwertsänger</v>
      </c>
      <c r="D239" t="s">
        <v>7</v>
      </c>
      <c r="E239" s="3" t="str">
        <f>IF(ISNA(VLOOKUP(D239,ConstDLCIds!$B$4:$C$1001,2,FALSE)),"",VLOOKUP(D239,ConstDLCIds!$B$4:$C$1001,2,FALSE))</f>
        <v>Included in base game</v>
      </c>
    </row>
    <row r="240" spans="1:5" x14ac:dyDescent="0.25">
      <c r="A240" s="12">
        <v>284</v>
      </c>
      <c r="B240" s="9" t="str">
        <f>VLOOKUP(A240,'Sets (lua data)'!$A$3:$C$9838,3,FALSE)</f>
        <v>Order of Diagna</v>
      </c>
      <c r="C240" s="9" t="str">
        <f>VLOOKUP(A240,'Sets (lua data)'!$A$3:$C$9838,2,FALSE)</f>
        <v>Orden von Diagna</v>
      </c>
      <c r="D240" t="s">
        <v>7</v>
      </c>
      <c r="E240" s="3" t="str">
        <f>IF(ISNA(VLOOKUP(D240,ConstDLCIds!$B$4:$C$1001,2,FALSE)),"",VLOOKUP(D240,ConstDLCIds!$B$4:$C$1001,2,FALSE))</f>
        <v>Included in base game</v>
      </c>
    </row>
    <row r="241" spans="1:5" x14ac:dyDescent="0.25">
      <c r="A241" s="12">
        <v>285</v>
      </c>
      <c r="B241" s="9" t="str">
        <f>VLOOKUP(A241,'Sets (lua data)'!$A$3:$C$9838,3,FALSE)</f>
        <v>Vampire Lord</v>
      </c>
      <c r="C241" s="9" t="str">
        <f>VLOOKUP(A241,'Sets (lua data)'!$A$3:$C$9838,2,FALSE)</f>
        <v>Vampirfürst</v>
      </c>
      <c r="D241" t="s">
        <v>7</v>
      </c>
      <c r="E241" s="3" t="str">
        <f>IF(ISNA(VLOOKUP(D241,ConstDLCIds!$B$4:$C$1001,2,FALSE)),"",VLOOKUP(D241,ConstDLCIds!$B$4:$C$1001,2,FALSE))</f>
        <v>Included in base game</v>
      </c>
    </row>
    <row r="242" spans="1:5" x14ac:dyDescent="0.25">
      <c r="A242" s="12">
        <v>286</v>
      </c>
      <c r="B242" s="9" t="str">
        <f>VLOOKUP(A242,'Sets (lua data)'!$A$3:$C$9838,3,FALSE)</f>
        <v>Spriggan\'s Thorns</v>
      </c>
      <c r="C242" s="9" t="str">
        <f>VLOOKUP(A242,'Sets (lua data)'!$A$3:$C$9838,2,FALSE)</f>
        <v>Dornen des Zweiglings</v>
      </c>
      <c r="D242" t="s">
        <v>7</v>
      </c>
      <c r="E242" s="3" t="str">
        <f>IF(ISNA(VLOOKUP(D242,ConstDLCIds!$B$4:$C$1001,2,FALSE)),"",VLOOKUP(D242,ConstDLCIds!$B$4:$C$1001,2,FALSE))</f>
        <v>Included in base game</v>
      </c>
    </row>
    <row r="243" spans="1:5" x14ac:dyDescent="0.25">
      <c r="A243" s="12">
        <v>287</v>
      </c>
      <c r="B243" s="9" t="str">
        <f>VLOOKUP(A243,'Sets (lua data)'!$A$3:$C$9838,3,FALSE)</f>
        <v>Green Pact</v>
      </c>
      <c r="C243" s="9" t="str">
        <f>VLOOKUP(A243,'Sets (lua data)'!$A$3:$C$9838,2,FALSE)</f>
        <v>Der Grüne Pakt</v>
      </c>
      <c r="D243" t="s">
        <v>7</v>
      </c>
      <c r="E243" s="3" t="str">
        <f>IF(ISNA(VLOOKUP(D243,ConstDLCIds!$B$4:$C$1001,2,FALSE)),"",VLOOKUP(D243,ConstDLCIds!$B$4:$C$1001,2,FALSE))</f>
        <v>Included in base game</v>
      </c>
    </row>
    <row r="244" spans="1:5" x14ac:dyDescent="0.25">
      <c r="A244" s="12">
        <v>288</v>
      </c>
      <c r="B244" s="9" t="str">
        <f>VLOOKUP(A244,'Sets (lua data)'!$A$3:$C$9838,3,FALSE)</f>
        <v>Beekeeper\'s Gear</v>
      </c>
      <c r="C244" s="9" t="str">
        <f>VLOOKUP(A244,'Sets (lua data)'!$A$3:$C$9838,2,FALSE)</f>
        <v>Werkzeug des Bienenhüters</v>
      </c>
      <c r="D244" t="s">
        <v>7</v>
      </c>
      <c r="E244" s="3" t="str">
        <f>IF(ISNA(VLOOKUP(D244,ConstDLCIds!$B$4:$C$1001,2,FALSE)),"",VLOOKUP(D244,ConstDLCIds!$B$4:$C$1001,2,FALSE))</f>
        <v>Included in base game</v>
      </c>
    </row>
    <row r="245" spans="1:5" x14ac:dyDescent="0.25">
      <c r="A245" s="12">
        <v>289</v>
      </c>
      <c r="B245" s="9" t="str">
        <f>VLOOKUP(A245,'Sets (lua data)'!$A$3:$C$9838,3,FALSE)</f>
        <v>Spinner\'s Garments</v>
      </c>
      <c r="C245" s="9" t="str">
        <f>VLOOKUP(A245,'Sets (lua data)'!$A$3:$C$9838,2,FALSE)</f>
        <v>Gewänder des Webers</v>
      </c>
      <c r="D245" t="s">
        <v>7</v>
      </c>
      <c r="E245" s="3" t="str">
        <f>IF(ISNA(VLOOKUP(D245,ConstDLCIds!$B$4:$C$1001,2,FALSE)),"",VLOOKUP(D245,ConstDLCIds!$B$4:$C$1001,2,FALSE))</f>
        <v>Included in base game</v>
      </c>
    </row>
    <row r="246" spans="1:5" x14ac:dyDescent="0.25">
      <c r="A246" s="12">
        <v>290</v>
      </c>
      <c r="B246" s="9" t="str">
        <f>VLOOKUP(A246,'Sets (lua data)'!$A$3:$C$9838,3,FALSE)</f>
        <v>Skooma Smuggler</v>
      </c>
      <c r="C246" s="9" t="str">
        <f>VLOOKUP(A246,'Sets (lua data)'!$A$3:$C$9838,2,FALSE)</f>
        <v>Skoomaschmuggler</v>
      </c>
      <c r="D246" t="s">
        <v>7</v>
      </c>
      <c r="E246" s="3" t="str">
        <f>IF(ISNA(VLOOKUP(D246,ConstDLCIds!$B$4:$C$1001,2,FALSE)),"",VLOOKUP(D246,ConstDLCIds!$B$4:$C$1001,2,FALSE))</f>
        <v>Included in base game</v>
      </c>
    </row>
    <row r="247" spans="1:5" x14ac:dyDescent="0.25">
      <c r="A247" s="12">
        <v>291</v>
      </c>
      <c r="B247" s="9" t="str">
        <f>VLOOKUP(A247,'Sets (lua data)'!$A$3:$C$9838,3,FALSE)</f>
        <v>Shalk Exoskeleton</v>
      </c>
      <c r="C247" s="9" t="str">
        <f>VLOOKUP(A247,'Sets (lua data)'!$A$3:$C$9838,2,FALSE)</f>
        <v>Schröterpanzer</v>
      </c>
      <c r="D247" t="s">
        <v>7</v>
      </c>
      <c r="E247" s="3" t="str">
        <f>IF(ISNA(VLOOKUP(D247,ConstDLCIds!$B$4:$C$1001,2,FALSE)),"",VLOOKUP(D247,ConstDLCIds!$B$4:$C$1001,2,FALSE))</f>
        <v>Included in base game</v>
      </c>
    </row>
    <row r="248" spans="1:5" x14ac:dyDescent="0.25">
      <c r="A248" s="12">
        <v>292</v>
      </c>
      <c r="B248" s="9" t="str">
        <f>VLOOKUP(A248,'Sets (lua data)'!$A$3:$C$9838,3,FALSE)</f>
        <v>Mother\'s Sorrow</v>
      </c>
      <c r="C248" s="9" t="str">
        <f>VLOOKUP(A248,'Sets (lua data)'!$A$3:$C$9838,2,FALSE)</f>
        <v>Muttertränen</v>
      </c>
      <c r="D248" t="s">
        <v>7</v>
      </c>
      <c r="E248" s="3" t="str">
        <f>IF(ISNA(VLOOKUP(D248,ConstDLCIds!$B$4:$C$1001,2,FALSE)),"",VLOOKUP(D248,ConstDLCIds!$B$4:$C$1001,2,FALSE))</f>
        <v>Included in base game</v>
      </c>
    </row>
    <row r="249" spans="1:5" x14ac:dyDescent="0.25">
      <c r="A249" s="12">
        <v>293</v>
      </c>
      <c r="B249" s="9" t="str">
        <f>VLOOKUP(A249,'Sets (lua data)'!$A$3:$C$9838,3,FALSE)</f>
        <v>Plague Doctor</v>
      </c>
      <c r="C249" s="9" t="str">
        <f>VLOOKUP(A249,'Sets (lua data)'!$A$3:$C$9838,2,FALSE)</f>
        <v>Seuchendoktor</v>
      </c>
      <c r="D249" t="s">
        <v>7</v>
      </c>
      <c r="E249" s="3" t="str">
        <f>IF(ISNA(VLOOKUP(D249,ConstDLCIds!$B$4:$C$1001,2,FALSE)),"",VLOOKUP(D249,ConstDLCIds!$B$4:$C$1001,2,FALSE))</f>
        <v>Included in base game</v>
      </c>
    </row>
    <row r="250" spans="1:5" x14ac:dyDescent="0.25">
      <c r="A250" s="12">
        <v>294</v>
      </c>
      <c r="B250" s="9" t="str">
        <f>VLOOKUP(A250,'Sets (lua data)'!$A$3:$C$9838,3,FALSE)</f>
        <v>Ysgramor\'s Birthright</v>
      </c>
      <c r="C250" s="9" t="str">
        <f>VLOOKUP(A250,'Sets (lua data)'!$A$3:$C$9838,2,FALSE)</f>
        <v>Ysgramors Geburtsrecht</v>
      </c>
      <c r="D250" t="s">
        <v>7</v>
      </c>
      <c r="E250" s="3" t="str">
        <f>IF(ISNA(VLOOKUP(D250,ConstDLCIds!$B$4:$C$1001,2,FALSE)),"",VLOOKUP(D250,ConstDLCIds!$B$4:$C$1001,2,FALSE))</f>
        <v>Included in base game</v>
      </c>
    </row>
    <row r="251" spans="1:5" x14ac:dyDescent="0.25">
      <c r="A251" s="12">
        <v>295</v>
      </c>
      <c r="B251" s="9" t="str">
        <f>VLOOKUP(A251,'Sets (lua data)'!$A$3:$C$9838,3,FALSE)</f>
        <v>Jailbreaker</v>
      </c>
      <c r="C251" s="9" t="str">
        <f>VLOOKUP(A251,'Sets (lua data)'!$A$3:$C$9838,2,FALSE)</f>
        <v>Ausbrecher</v>
      </c>
      <c r="D251" t="s">
        <v>7</v>
      </c>
      <c r="E251" s="3" t="str">
        <f>IF(ISNA(VLOOKUP(D251,ConstDLCIds!$B$4:$C$1001,2,FALSE)),"",VLOOKUP(D251,ConstDLCIds!$B$4:$C$1001,2,FALSE))</f>
        <v>Included in base game</v>
      </c>
    </row>
    <row r="252" spans="1:5" x14ac:dyDescent="0.25">
      <c r="A252" s="12">
        <v>296</v>
      </c>
      <c r="B252" s="9" t="str">
        <f>VLOOKUP(A252,'Sets (lua data)'!$A$3:$C$9838,3,FALSE)</f>
        <v>Spelunker</v>
      </c>
      <c r="C252" s="9" t="str">
        <f>VLOOKUP(A252,'Sets (lua data)'!$A$3:$C$9838,2,FALSE)</f>
        <v>Höhlenforscher</v>
      </c>
      <c r="D252" t="s">
        <v>7</v>
      </c>
      <c r="E252" s="3" t="str">
        <f>IF(ISNA(VLOOKUP(D252,ConstDLCIds!$B$4:$C$1001,2,FALSE)),"",VLOOKUP(D252,ConstDLCIds!$B$4:$C$1001,2,FALSE))</f>
        <v>Included in base game</v>
      </c>
    </row>
    <row r="253" spans="1:5" x14ac:dyDescent="0.25">
      <c r="A253" s="12">
        <v>297</v>
      </c>
      <c r="B253" s="9" t="str">
        <f>VLOOKUP(A253,'Sets (lua data)'!$A$3:$C$9838,3,FALSE)</f>
        <v>Spider Cultist Cowl</v>
      </c>
      <c r="C253" s="9" t="str">
        <f>VLOOKUP(A253,'Sets (lua data)'!$A$3:$C$9838,2,FALSE)</f>
        <v>Spinnenkultistenkutte</v>
      </c>
      <c r="D253" t="s">
        <v>7</v>
      </c>
      <c r="E253" s="3" t="str">
        <f>IF(ISNA(VLOOKUP(D253,ConstDLCIds!$B$4:$C$1001,2,FALSE)),"",VLOOKUP(D253,ConstDLCIds!$B$4:$C$1001,2,FALSE))</f>
        <v>Included in base game</v>
      </c>
    </row>
    <row r="254" spans="1:5" x14ac:dyDescent="0.25">
      <c r="A254" s="12">
        <v>298</v>
      </c>
      <c r="B254" s="9" t="str">
        <f>VLOOKUP(A254,'Sets (lua data)'!$A$3:$C$9838,3,FALSE)</f>
        <v>Light Speaker</v>
      </c>
      <c r="C254" s="9" t="str">
        <f>VLOOKUP(A254,'Sets (lua data)'!$A$3:$C$9838,2,FALSE)</f>
        <v>Lichtsprecher</v>
      </c>
      <c r="D254" t="s">
        <v>7</v>
      </c>
      <c r="E254" s="3" t="str">
        <f>IF(ISNA(VLOOKUP(D254,ConstDLCIds!$B$4:$C$1001,2,FALSE)),"",VLOOKUP(D254,ConstDLCIds!$B$4:$C$1001,2,FALSE))</f>
        <v>Included in base game</v>
      </c>
    </row>
    <row r="255" spans="1:5" x14ac:dyDescent="0.25">
      <c r="A255" s="12">
        <v>299</v>
      </c>
      <c r="B255" s="9" t="str">
        <f>VLOOKUP(A255,'Sets (lua data)'!$A$3:$C$9838,3,FALSE)</f>
        <v>Toothrow</v>
      </c>
      <c r="C255" s="9" t="str">
        <f>VLOOKUP(A255,'Sets (lua data)'!$A$3:$C$9838,2,FALSE)</f>
        <v>Zahnreihe</v>
      </c>
      <c r="D255" t="s">
        <v>7</v>
      </c>
      <c r="E255" s="3" t="str">
        <f>IF(ISNA(VLOOKUP(D255,ConstDLCIds!$B$4:$C$1001,2,FALSE)),"",VLOOKUP(D255,ConstDLCIds!$B$4:$C$1001,2,FALSE))</f>
        <v>Included in base game</v>
      </c>
    </row>
    <row r="256" spans="1:5" x14ac:dyDescent="0.25">
      <c r="A256" s="12">
        <v>300</v>
      </c>
      <c r="B256" s="9" t="str">
        <f>VLOOKUP(A256,'Sets (lua data)'!$A$3:$C$9838,3,FALSE)</f>
        <v>Netch\'s Touch</v>
      </c>
      <c r="C256" s="9" t="str">
        <f>VLOOKUP(A256,'Sets (lua data)'!$A$3:$C$9838,2,FALSE)</f>
        <v>Berührung des Netch</v>
      </c>
      <c r="D256" t="s">
        <v>7</v>
      </c>
      <c r="E256" s="3" t="str">
        <f>IF(ISNA(VLOOKUP(D256,ConstDLCIds!$B$4:$C$1001,2,FALSE)),"",VLOOKUP(D256,ConstDLCIds!$B$4:$C$1001,2,FALSE))</f>
        <v>Included in base game</v>
      </c>
    </row>
    <row r="257" spans="1:5" x14ac:dyDescent="0.25">
      <c r="A257" s="12">
        <v>301</v>
      </c>
      <c r="B257" s="9" t="str">
        <f>VLOOKUP(A257,'Sets (lua data)'!$A$3:$C$9838,3,FALSE)</f>
        <v>Strength of the Automaton</v>
      </c>
      <c r="C257" s="9" t="str">
        <f>VLOOKUP(A257,'Sets (lua data)'!$A$3:$C$9838,2,FALSE)</f>
        <v>Stärke des Automaten</v>
      </c>
      <c r="D257" t="s">
        <v>7</v>
      </c>
      <c r="E257" s="3" t="str">
        <f>IF(ISNA(VLOOKUP(D257,ConstDLCIds!$B$4:$C$1001,2,FALSE)),"",VLOOKUP(D257,ConstDLCIds!$B$4:$C$1001,2,FALSE))</f>
        <v>Included in base game</v>
      </c>
    </row>
    <row r="258" spans="1:5" x14ac:dyDescent="0.25">
      <c r="A258" s="12">
        <v>302</v>
      </c>
      <c r="B258" s="9" t="str">
        <f>VLOOKUP(A258,'Sets (lua data)'!$A$3:$C$9838,3,FALSE)</f>
        <v>Leviathan</v>
      </c>
      <c r="C258" s="9" t="str">
        <f>VLOOKUP(A258,'Sets (lua data)'!$A$3:$C$9838,2,FALSE)</f>
        <v>Leviathan</v>
      </c>
      <c r="D258" t="s">
        <v>7</v>
      </c>
      <c r="E258" s="3" t="str">
        <f>IF(ISNA(VLOOKUP(D258,ConstDLCIds!$B$4:$C$1001,2,FALSE)),"",VLOOKUP(D258,ConstDLCIds!$B$4:$C$1001,2,FALSE))</f>
        <v>Included in base game</v>
      </c>
    </row>
    <row r="259" spans="1:5" x14ac:dyDescent="0.25">
      <c r="A259" s="12">
        <v>303</v>
      </c>
      <c r="B259" s="9" t="str">
        <f>VLOOKUP(A259,'Sets (lua data)'!$A$3:$C$9838,3,FALSE)</f>
        <v>Lamia\'s Song</v>
      </c>
      <c r="C259" s="9" t="str">
        <f>VLOOKUP(A259,'Sets (lua data)'!$A$3:$C$9838,2,FALSE)</f>
        <v>Lied der Lamie</v>
      </c>
      <c r="D259" t="s">
        <v>7</v>
      </c>
      <c r="E259" s="3" t="str">
        <f>IF(ISNA(VLOOKUP(D259,ConstDLCIds!$B$4:$C$1001,2,FALSE)),"",VLOOKUP(D259,ConstDLCIds!$B$4:$C$1001,2,FALSE))</f>
        <v>Included in base game</v>
      </c>
    </row>
    <row r="260" spans="1:5" x14ac:dyDescent="0.25">
      <c r="A260" s="12">
        <v>304</v>
      </c>
      <c r="B260" s="9" t="str">
        <f>VLOOKUP(A260,'Sets (lua data)'!$A$3:$C$9838,3,FALSE)</f>
        <v>Medusa</v>
      </c>
      <c r="C260" s="9" t="str">
        <f>VLOOKUP(A260,'Sets (lua data)'!$A$3:$C$9838,2,FALSE)</f>
        <v>Versteinernder Blick</v>
      </c>
      <c r="D260" t="s">
        <v>7</v>
      </c>
      <c r="E260" s="3" t="str">
        <f>IF(ISNA(VLOOKUP(D260,ConstDLCIds!$B$4:$C$1001,2,FALSE)),"",VLOOKUP(D260,ConstDLCIds!$B$4:$C$1001,2,FALSE))</f>
        <v>Included in base game</v>
      </c>
    </row>
    <row r="261" spans="1:5" x14ac:dyDescent="0.25">
      <c r="A261" s="12">
        <v>305</v>
      </c>
      <c r="B261" s="9" t="str">
        <f>VLOOKUP(A261,'Sets (lua data)'!$A$3:$C$9838,3,FALSE)</f>
        <v>Treasure Hunter</v>
      </c>
      <c r="C261" s="9" t="str">
        <f>VLOOKUP(A261,'Sets (lua data)'!$A$3:$C$9838,2,FALSE)</f>
        <v>Schatzjäger</v>
      </c>
      <c r="D261" t="s">
        <v>7</v>
      </c>
      <c r="E261" s="3" t="str">
        <f>IF(ISNA(VLOOKUP(D261,ConstDLCIds!$B$4:$C$1001,2,FALSE)),"",VLOOKUP(D261,ConstDLCIds!$B$4:$C$1001,2,FALSE))</f>
        <v>Included in base game</v>
      </c>
    </row>
    <row r="262" spans="1:5" x14ac:dyDescent="0.25">
      <c r="A262" s="12">
        <v>307</v>
      </c>
      <c r="B262" s="9" t="str">
        <f>VLOOKUP(A262,'Sets (lua data)'!$A$3:$C$9838,3,FALSE)</f>
        <v>Draugr Hulk</v>
      </c>
      <c r="C262" s="9" t="str">
        <f>VLOOKUP(A262,'Sets (lua data)'!$A$3:$C$9838,2,FALSE)</f>
        <v>Schwerfälliger Draugr</v>
      </c>
      <c r="D262" t="s">
        <v>7</v>
      </c>
      <c r="E262" s="3" t="str">
        <f>IF(ISNA(VLOOKUP(D262,ConstDLCIds!$B$4:$C$1001,2,FALSE)),"",VLOOKUP(D262,ConstDLCIds!$B$4:$C$1001,2,FALSE))</f>
        <v>Included in base game</v>
      </c>
    </row>
    <row r="263" spans="1:5" x14ac:dyDescent="0.25">
      <c r="A263" s="12">
        <v>308</v>
      </c>
      <c r="B263" s="9" t="str">
        <f>VLOOKUP(A263,'Sets (lua data)'!$A$3:$C$9838,3,FALSE)</f>
        <v>Bone Pirate\'s Tatters</v>
      </c>
      <c r="C263" s="9" t="str">
        <f>VLOOKUP(A263,'Sets (lua data)'!$A$3:$C$9838,2,FALSE)</f>
        <v>Lumpen des Knochenpiraten</v>
      </c>
      <c r="D263" t="s">
        <v>7</v>
      </c>
      <c r="E263" s="3" t="str">
        <f>IF(ISNA(VLOOKUP(D263,ConstDLCIds!$B$4:$C$1001,2,FALSE)),"",VLOOKUP(D263,ConstDLCIds!$B$4:$C$1001,2,FALSE))</f>
        <v>Included in base game</v>
      </c>
    </row>
    <row r="264" spans="1:5" x14ac:dyDescent="0.25">
      <c r="A264" s="12">
        <v>309</v>
      </c>
      <c r="B264" s="9" t="str">
        <f>VLOOKUP(A264,'Sets (lua data)'!$A$3:$C$9838,3,FALSE)</f>
        <v>Knight-errant\'s Mail</v>
      </c>
      <c r="C264" s="9" t="str">
        <f>VLOOKUP(A264,'Sets (lua data)'!$A$3:$C$9838,2,FALSE)</f>
        <v>Platten des Wanderritters</v>
      </c>
      <c r="D264" t="s">
        <v>7</v>
      </c>
      <c r="E264" s="3" t="str">
        <f>IF(ISNA(VLOOKUP(D264,ConstDLCIds!$B$4:$C$1001,2,FALSE)),"",VLOOKUP(D264,ConstDLCIds!$B$4:$C$1001,2,FALSE))</f>
        <v>Included in base game</v>
      </c>
    </row>
    <row r="265" spans="1:5" x14ac:dyDescent="0.25">
      <c r="A265" s="12">
        <v>310</v>
      </c>
      <c r="B265" s="9" t="str">
        <f>VLOOKUP(A265,'Sets (lua data)'!$A$3:$C$9838,3,FALSE)</f>
        <v>Sword Dancer</v>
      </c>
      <c r="C265" s="9" t="str">
        <f>VLOOKUP(A265,'Sets (lua data)'!$A$3:$C$9838,2,FALSE)</f>
        <v>Schwerttänzer</v>
      </c>
      <c r="D265" t="s">
        <v>7</v>
      </c>
      <c r="E265" s="3" t="str">
        <f>IF(ISNA(VLOOKUP(D265,ConstDLCIds!$B$4:$C$1001,2,FALSE)),"",VLOOKUP(D265,ConstDLCIds!$B$4:$C$1001,2,FALSE))</f>
        <v>Included in base game</v>
      </c>
    </row>
    <row r="266" spans="1:5" x14ac:dyDescent="0.25">
      <c r="A266" s="12">
        <v>311</v>
      </c>
      <c r="B266" s="9" t="str">
        <f>VLOOKUP(A266,'Sets (lua data)'!$A$3:$C$9838,3,FALSE)</f>
        <v>Rattlecage</v>
      </c>
      <c r="C266" s="9" t="str">
        <f>VLOOKUP(A266,'Sets (lua data)'!$A$3:$C$9838,2,FALSE)</f>
        <v>Klapperkäfig</v>
      </c>
      <c r="D266" t="s">
        <v>7</v>
      </c>
      <c r="E266" s="3" t="str">
        <f>IF(ISNA(VLOOKUP(D266,ConstDLCIds!$B$4:$C$1001,2,FALSE)),"",VLOOKUP(D266,ConstDLCIds!$B$4:$C$1001,2,FALSE))</f>
        <v>Included in base game</v>
      </c>
    </row>
    <row r="267" spans="1:5" x14ac:dyDescent="0.25">
      <c r="A267" s="12">
        <v>313</v>
      </c>
      <c r="B267" s="9" t="str">
        <f>VLOOKUP(A267,'Sets (lua data)'!$A$3:$C$9838,3,FALSE)</f>
        <v>Titanic Cleave</v>
      </c>
      <c r="C267" s="9" t="str">
        <f>VLOOKUP(A267,'Sets (lua data)'!$A$3:$C$9838,2,FALSE)</f>
        <v>Titanisches Trennen</v>
      </c>
      <c r="D267" t="s">
        <v>7</v>
      </c>
      <c r="E267" s="3" t="str">
        <f>IF(ISNA(VLOOKUP(D267,ConstDLCIds!$B$4:$C$1001,2,FALSE)),"",VLOOKUP(D267,ConstDLCIds!$B$4:$C$1001,2,FALSE))</f>
        <v>Included in base game</v>
      </c>
    </row>
    <row r="268" spans="1:5" x14ac:dyDescent="0.25">
      <c r="A268" s="12">
        <v>314</v>
      </c>
      <c r="B268" s="9" t="str">
        <f>VLOOKUP(A268,'Sets (lua data)'!$A$3:$C$9838,3,FALSE)</f>
        <v>Puncturing Remedy</v>
      </c>
      <c r="C268" s="9" t="str">
        <f>VLOOKUP(A268,'Sets (lua data)'!$A$3:$C$9838,2,FALSE)</f>
        <v>Durchschlagende Genesung</v>
      </c>
      <c r="D268" t="s">
        <v>7</v>
      </c>
      <c r="E268" s="3" t="str">
        <f>IF(ISNA(VLOOKUP(D268,ConstDLCIds!$B$4:$C$1001,2,FALSE)),"",VLOOKUP(D268,ConstDLCIds!$B$4:$C$1001,2,FALSE))</f>
        <v>Included in base game</v>
      </c>
    </row>
    <row r="269" spans="1:5" x14ac:dyDescent="0.25">
      <c r="A269" s="12">
        <v>315</v>
      </c>
      <c r="B269" s="9" t="str">
        <f>VLOOKUP(A269,'Sets (lua data)'!$A$3:$C$9838,3,FALSE)</f>
        <v>Stinging Slashes</v>
      </c>
      <c r="C269" s="9" t="str">
        <f>VLOOKUP(A269,'Sets (lua data)'!$A$3:$C$9838,2,FALSE)</f>
        <v>Stechende Schnitte</v>
      </c>
      <c r="D269" t="s">
        <v>7</v>
      </c>
      <c r="E269" s="3" t="str">
        <f>IF(ISNA(VLOOKUP(D269,ConstDLCIds!$B$4:$C$1001,2,FALSE)),"",VLOOKUP(D269,ConstDLCIds!$B$4:$C$1001,2,FALSE))</f>
        <v>Included in base game</v>
      </c>
    </row>
    <row r="270" spans="1:5" x14ac:dyDescent="0.25">
      <c r="A270" s="12">
        <v>316</v>
      </c>
      <c r="B270" s="9" t="str">
        <f>VLOOKUP(A270,'Sets (lua data)'!$A$3:$C$9838,3,FALSE)</f>
        <v>Caustic Arrow</v>
      </c>
      <c r="C270" s="9" t="str">
        <f>VLOOKUP(A270,'Sets (lua data)'!$A$3:$C$9838,2,FALSE)</f>
        <v>Beißender Pfeil</v>
      </c>
      <c r="D270" t="s">
        <v>7</v>
      </c>
      <c r="E270" s="3" t="str">
        <f>IF(ISNA(VLOOKUP(D270,ConstDLCIds!$B$4:$C$1001,2,FALSE)),"",VLOOKUP(D270,ConstDLCIds!$B$4:$C$1001,2,FALSE))</f>
        <v>Included in base game</v>
      </c>
    </row>
    <row r="271" spans="1:5" x14ac:dyDescent="0.25">
      <c r="A271" s="12">
        <v>317</v>
      </c>
      <c r="B271" s="9" t="str">
        <f>VLOOKUP(A271,'Sets (lua data)'!$A$3:$C$9838,3,FALSE)</f>
        <v>Destructive Impact</v>
      </c>
      <c r="C271" s="9" t="str">
        <f>VLOOKUP(A271,'Sets (lua data)'!$A$3:$C$9838,2,FALSE)</f>
        <v>Zerstörerischer Einschlag</v>
      </c>
      <c r="D271" t="s">
        <v>7</v>
      </c>
      <c r="E271" s="3" t="str">
        <f>IF(ISNA(VLOOKUP(D271,ConstDLCIds!$B$4:$C$1001,2,FALSE)),"",VLOOKUP(D271,ConstDLCIds!$B$4:$C$1001,2,FALSE))</f>
        <v>Included in base game</v>
      </c>
    </row>
    <row r="272" spans="1:5" x14ac:dyDescent="0.25">
      <c r="A272" s="12">
        <v>318</v>
      </c>
      <c r="B272" s="9" t="str">
        <f>VLOOKUP(A272,'Sets (lua data)'!$A$3:$C$9838,3,FALSE)</f>
        <v>Grand Rejuvenation</v>
      </c>
      <c r="C272" s="9" t="str">
        <f>VLOOKUP(A272,'Sets (lua data)'!$A$3:$C$9838,2,FALSE)</f>
        <v>Große Verjüngung</v>
      </c>
      <c r="D272" t="s">
        <v>7</v>
      </c>
      <c r="E272" s="3" t="str">
        <f>IF(ISNA(VLOOKUP(D272,ConstDLCIds!$B$4:$C$1001,2,FALSE)),"",VLOOKUP(D272,ConstDLCIds!$B$4:$C$1001,2,FALSE))</f>
        <v>Included in base game</v>
      </c>
    </row>
    <row r="273" spans="1:5" x14ac:dyDescent="0.25">
      <c r="A273" s="12">
        <v>320</v>
      </c>
      <c r="B273" s="9" t="str">
        <f>VLOOKUP(A273,'Sets (lua data)'!$A$3:$C$9838,3,FALSE)</f>
        <v>War Maiden</v>
      </c>
      <c r="C273" s="9" t="str">
        <f>VLOOKUP(A273,'Sets (lua data)'!$A$3:$C$9838,2,FALSE)</f>
        <v>Kriegsjungfer</v>
      </c>
      <c r="D273" t="s">
        <v>25</v>
      </c>
      <c r="E273" s="3" t="str">
        <f>IF(ISNA(VLOOKUP(D273,ConstDLCIds!$B$4:$C$1001,2,FALSE)),"",VLOOKUP(D273,ConstDLCIds!$B$4:$C$1001,2,FALSE))</f>
        <v>Morrowind</v>
      </c>
    </row>
    <row r="274" spans="1:5" x14ac:dyDescent="0.25">
      <c r="A274" s="12">
        <v>321</v>
      </c>
      <c r="B274" s="9" t="str">
        <f>VLOOKUP(A274,'Sets (lua data)'!$A$3:$C$9838,3,FALSE)</f>
        <v>Defiler</v>
      </c>
      <c r="C274" s="9" t="str">
        <f>VLOOKUP(A274,'Sets (lua data)'!$A$3:$C$9838,2,FALSE)</f>
        <v>Schänder</v>
      </c>
      <c r="D274" t="s">
        <v>25</v>
      </c>
      <c r="E274" s="3" t="str">
        <f>IF(ISNA(VLOOKUP(D274,ConstDLCIds!$B$4:$C$1001,2,FALSE)),"",VLOOKUP(D274,ConstDLCIds!$B$4:$C$1001,2,FALSE))</f>
        <v>Morrowind</v>
      </c>
    </row>
    <row r="275" spans="1:5" x14ac:dyDescent="0.25">
      <c r="A275" s="12">
        <v>322</v>
      </c>
      <c r="B275" s="9" t="str">
        <f>VLOOKUP(A275,'Sets (lua data)'!$A$3:$C$9838,3,FALSE)</f>
        <v>Warrior-Poet</v>
      </c>
      <c r="C275" s="9" t="str">
        <f>VLOOKUP(A275,'Sets (lua data)'!$A$3:$C$9838,2,FALSE)</f>
        <v>Kriegerpoet</v>
      </c>
      <c r="D275" t="s">
        <v>25</v>
      </c>
      <c r="E275" s="3" t="str">
        <f>IF(ISNA(VLOOKUP(D275,ConstDLCIds!$B$4:$C$1001,2,FALSE)),"",VLOOKUP(D275,ConstDLCIds!$B$4:$C$1001,2,FALSE))</f>
        <v>Morrowind</v>
      </c>
    </row>
    <row r="276" spans="1:5" x14ac:dyDescent="0.25">
      <c r="A276" s="1">
        <v>323</v>
      </c>
      <c r="B276" s="9" t="str">
        <f>VLOOKUP(A276,'Sets (lua data)'!$A$3:$C$9838,3,FALSE)</f>
        <v>Assassin\'s Guile</v>
      </c>
      <c r="C276" s="9" t="str">
        <f>VLOOKUP(A276,'Sets (lua data)'!$A$3:$C$9838,2,FALSE)</f>
        <v>Assassinenlist</v>
      </c>
      <c r="D276" t="s">
        <v>25</v>
      </c>
      <c r="E276" s="3" t="str">
        <f>IF(ISNA(VLOOKUP(D276,ConstDLCIds!$B$4:$C$1001,2,FALSE)),"",VLOOKUP(D276,ConstDLCIds!$B$4:$C$1001,2,FALSE))</f>
        <v>Morrowind</v>
      </c>
    </row>
    <row r="277" spans="1:5" x14ac:dyDescent="0.25">
      <c r="A277" s="1">
        <v>324</v>
      </c>
      <c r="B277" s="9" t="str">
        <f>VLOOKUP(A277,'Sets (lua data)'!$A$3:$C$9838,3,FALSE)</f>
        <v>Daedric Trickery</v>
      </c>
      <c r="C277" s="9" t="str">
        <f>VLOOKUP(A277,'Sets (lua data)'!$A$3:$C$9838,2,FALSE)</f>
        <v>Daedrische Gaunerei</v>
      </c>
      <c r="D277" t="s">
        <v>25</v>
      </c>
      <c r="E277" s="3" t="str">
        <f>IF(ISNA(VLOOKUP(D277,ConstDLCIds!$B$4:$C$1001,2,FALSE)),"",VLOOKUP(D277,ConstDLCIds!$B$4:$C$1001,2,FALSE))</f>
        <v>Morrowind</v>
      </c>
    </row>
    <row r="278" spans="1:5" x14ac:dyDescent="0.25">
      <c r="A278" s="1">
        <v>325</v>
      </c>
      <c r="B278" s="9" t="str">
        <f>VLOOKUP(A278,'Sets (lua data)'!$A$3:$C$9838,3,FALSE)</f>
        <v>Shacklebreaker</v>
      </c>
      <c r="C278" s="9" t="str">
        <f>VLOOKUP(A278,'Sets (lua data)'!$A$3:$C$9838,2,FALSE)</f>
        <v>Kettensprenger</v>
      </c>
      <c r="D278" t="s">
        <v>25</v>
      </c>
      <c r="E278" s="3" t="str">
        <f>IF(ISNA(VLOOKUP(D278,ConstDLCIds!$B$4:$C$1001,2,FALSE)),"",VLOOKUP(D278,ConstDLCIds!$B$4:$C$1001,2,FALSE))</f>
        <v>Morrowind</v>
      </c>
    </row>
    <row r="279" spans="1:5" x14ac:dyDescent="0.25">
      <c r="A279" s="12">
        <v>326</v>
      </c>
      <c r="B279" s="9" t="str">
        <f>VLOOKUP(A279,'Sets (lua data)'!$A$3:$C$9838,3,FALSE)</f>
        <v>Vanguard\'s Challenge</v>
      </c>
      <c r="C279" s="9" t="str">
        <f>VLOOKUP(A279,'Sets (lua data)'!$A$3:$C$9838,2,FALSE)</f>
        <v>Vorhutdisput</v>
      </c>
      <c r="D279" t="s">
        <v>7</v>
      </c>
      <c r="E279" s="3" t="str">
        <f>IF(ISNA(VLOOKUP(D279,ConstDLCIds!$B$4:$C$1001,2,FALSE)),"",VLOOKUP(D279,ConstDLCIds!$B$4:$C$1001,2,FALSE))</f>
        <v>Included in base game</v>
      </c>
    </row>
    <row r="280" spans="1:5" x14ac:dyDescent="0.25">
      <c r="A280" s="12">
        <v>327</v>
      </c>
      <c r="B280" s="9" t="str">
        <f>VLOOKUP(A280,'Sets (lua data)'!$A$3:$C$9838,3,FALSE)</f>
        <v>Coward\'s Gear</v>
      </c>
      <c r="C280" s="9" t="str">
        <f>VLOOKUP(A280,'Sets (lua data)'!$A$3:$C$9838,2,FALSE)</f>
        <v>Feiglingstracht</v>
      </c>
      <c r="D280" t="s">
        <v>7</v>
      </c>
      <c r="E280" s="3" t="str">
        <f>IF(ISNA(VLOOKUP(D280,ConstDLCIds!$B$4:$C$1001,2,FALSE)),"",VLOOKUP(D280,ConstDLCIds!$B$4:$C$1001,2,FALSE))</f>
        <v>Included in base game</v>
      </c>
    </row>
    <row r="281" spans="1:5" x14ac:dyDescent="0.25">
      <c r="A281" s="12">
        <v>328</v>
      </c>
      <c r="B281" s="9" t="str">
        <f>VLOOKUP(A281,'Sets (lua data)'!$A$3:$C$9838,3,FALSE)</f>
        <v>Knight Slayer</v>
      </c>
      <c r="C281" s="9" t="str">
        <f>VLOOKUP(A281,'Sets (lua data)'!$A$3:$C$9838,2,FALSE)</f>
        <v>Ritterschlächter</v>
      </c>
      <c r="D281" t="s">
        <v>7</v>
      </c>
      <c r="E281" s="3" t="str">
        <f>IF(ISNA(VLOOKUP(D281,ConstDLCIds!$B$4:$C$1001,2,FALSE)),"",VLOOKUP(D281,ConstDLCIds!$B$4:$C$1001,2,FALSE))</f>
        <v>Included in base game</v>
      </c>
    </row>
    <row r="282" spans="1:5" x14ac:dyDescent="0.25">
      <c r="A282" s="12">
        <v>329</v>
      </c>
      <c r="B282" s="9" t="str">
        <f>VLOOKUP(A282,'Sets (lua data)'!$A$3:$C$9838,3,FALSE)</f>
        <v>Wizard\'s Riposte</v>
      </c>
      <c r="C282" s="9" t="str">
        <f>VLOOKUP(A282,'Sets (lua data)'!$A$3:$C$9838,2,FALSE)</f>
        <v>Zaubererreplik</v>
      </c>
      <c r="D282" t="s">
        <v>7</v>
      </c>
      <c r="E282" s="3" t="str">
        <f>IF(ISNA(VLOOKUP(D282,ConstDLCIds!$B$4:$C$1001,2,FALSE)),"",VLOOKUP(D282,ConstDLCIds!$B$4:$C$1001,2,FALSE))</f>
        <v>Included in base game</v>
      </c>
    </row>
    <row r="283" spans="1:5" x14ac:dyDescent="0.25">
      <c r="A283" s="12">
        <v>330</v>
      </c>
      <c r="B283" s="9" t="str">
        <f>VLOOKUP(A283,'Sets (lua data)'!$A$3:$C$9838,3,FALSE)</f>
        <v>Automated Defense</v>
      </c>
      <c r="C283" s="9" t="str">
        <f>VLOOKUP(A283,'Sets (lua data)'!$A$3:$C$9838,2,FALSE)</f>
        <v>Automatisierte Verteidigung</v>
      </c>
      <c r="D283" t="s">
        <v>25</v>
      </c>
      <c r="E283" s="3" t="str">
        <f>IF(ISNA(VLOOKUP(D283,ConstDLCIds!$B$4:$C$1001,2,FALSE)),"",VLOOKUP(D283,ConstDLCIds!$B$4:$C$1001,2,FALSE))</f>
        <v>Morrowind</v>
      </c>
    </row>
    <row r="284" spans="1:5" x14ac:dyDescent="0.25">
      <c r="A284" s="12">
        <v>331</v>
      </c>
      <c r="B284" s="9" t="str">
        <f>VLOOKUP(A284,'Sets (lua data)'!$A$3:$C$9838,3,FALSE)</f>
        <v>War Machine</v>
      </c>
      <c r="C284" s="9" t="str">
        <f>VLOOKUP(A284,'Sets (lua data)'!$A$3:$C$9838,2,FALSE)</f>
        <v>Kriegsmaschine</v>
      </c>
      <c r="D284" t="s">
        <v>25</v>
      </c>
      <c r="E284" s="3" t="str">
        <f>IF(ISNA(VLOOKUP(D284,ConstDLCIds!$B$4:$C$1001,2,FALSE)),"",VLOOKUP(D284,ConstDLCIds!$B$4:$C$1001,2,FALSE))</f>
        <v>Morrowind</v>
      </c>
    </row>
    <row r="285" spans="1:5" x14ac:dyDescent="0.25">
      <c r="A285" s="12">
        <v>332</v>
      </c>
      <c r="B285" s="9" t="str">
        <f>VLOOKUP(A285,'Sets (lua data)'!$A$3:$C$9838,3,FALSE)</f>
        <v>Master Architect</v>
      </c>
      <c r="C285" s="9" t="str">
        <f>VLOOKUP(A285,'Sets (lua data)'!$A$3:$C$9838,2,FALSE)</f>
        <v>Meisterarchitekt</v>
      </c>
      <c r="D285" t="s">
        <v>25</v>
      </c>
      <c r="E285" s="3" t="str">
        <f>IF(ISNA(VLOOKUP(D285,ConstDLCIds!$B$4:$C$1001,2,FALSE)),"",VLOOKUP(D285,ConstDLCIds!$B$4:$C$1001,2,FALSE))</f>
        <v>Morrowind</v>
      </c>
    </row>
    <row r="286" spans="1:5" x14ac:dyDescent="0.25">
      <c r="A286" s="12">
        <v>333</v>
      </c>
      <c r="B286" s="9" t="str">
        <f>VLOOKUP(A286,'Sets (lua data)'!$A$3:$C$9838,3,FALSE)</f>
        <v>Inventor\'s Guard</v>
      </c>
      <c r="C286" s="9" t="str">
        <f>VLOOKUP(A286,'Sets (lua data)'!$A$3:$C$9838,2,FALSE)</f>
        <v>Erfindergarde</v>
      </c>
      <c r="D286" t="s">
        <v>25</v>
      </c>
      <c r="E286" s="3" t="str">
        <f>IF(ISNA(VLOOKUP(D286,ConstDLCIds!$B$4:$C$1001,2,FALSE)),"",VLOOKUP(D286,ConstDLCIds!$B$4:$C$1001,2,FALSE))</f>
        <v>Morrowind</v>
      </c>
    </row>
    <row r="287" spans="1:5" x14ac:dyDescent="0.25">
      <c r="A287" s="12">
        <v>334</v>
      </c>
      <c r="B287" s="9" t="str">
        <f>VLOOKUP(A287,'Sets (lua data)'!$A$3:$C$9838,3,FALSE)</f>
        <v>Impregnable Armor</v>
      </c>
      <c r="C287" s="9" t="str">
        <f>VLOOKUP(A287,'Sets (lua data)'!$A$3:$C$9838,2,FALSE)</f>
        <v>Unüberwindliche Rüstung</v>
      </c>
      <c r="D287" t="s">
        <v>25</v>
      </c>
      <c r="E287" s="3" t="str">
        <f>IF(ISNA(VLOOKUP(D287,ConstDLCIds!$B$4:$C$1001,2,FALSE)),"",VLOOKUP(D287,ConstDLCIds!$B$4:$C$1001,2,FALSE))</f>
        <v>Morrowind</v>
      </c>
    </row>
    <row r="288" spans="1:5" x14ac:dyDescent="0.25">
      <c r="A288" s="12">
        <v>335</v>
      </c>
      <c r="B288" s="9" t="str">
        <f>VLOOKUP(A288,'Sets (lua data)'!$A$3:$C$9838,3,FALSE)</f>
        <v>Draugr\'s Rest</v>
      </c>
      <c r="C288" s="9" t="str">
        <f>VLOOKUP(A288,'Sets (lua data)'!$A$3:$C$9838,2,FALSE)</f>
        <v>Draugrruhe</v>
      </c>
      <c r="D288" t="s">
        <v>28</v>
      </c>
      <c r="E288" s="3" t="str">
        <f>IF(ISNA(VLOOKUP(D288,ConstDLCIds!$B$4:$C$1001,2,FALSE)),"",VLOOKUP(D288,ConstDLCIds!$B$4:$C$1001,2,FALSE))</f>
        <v>Horns of the Reach</v>
      </c>
    </row>
    <row r="289" spans="1:5" x14ac:dyDescent="0.25">
      <c r="A289" s="12">
        <v>336</v>
      </c>
      <c r="B289" s="9" t="str">
        <f>VLOOKUP(A289,'Sets (lua data)'!$A$3:$C$9838,3,FALSE)</f>
        <v>Pillar of Nirn</v>
      </c>
      <c r="C289" s="9" t="str">
        <f>VLOOKUP(A289,'Sets (lua data)'!$A$3:$C$9838,2,FALSE)</f>
        <v>Säulen von Nirn</v>
      </c>
      <c r="D289" t="s">
        <v>28</v>
      </c>
      <c r="E289" s="3" t="str">
        <f>IF(ISNA(VLOOKUP(D289,ConstDLCIds!$B$4:$C$1001,2,FALSE)),"",VLOOKUP(D289,ConstDLCIds!$B$4:$C$1001,2,FALSE))</f>
        <v>Horns of the Reach</v>
      </c>
    </row>
    <row r="290" spans="1:5" x14ac:dyDescent="0.25">
      <c r="A290" s="12">
        <v>337</v>
      </c>
      <c r="B290" s="9" t="str">
        <f>VLOOKUP(A290,'Sets (lua data)'!$A$3:$C$9838,3,FALSE)</f>
        <v>Ironblood</v>
      </c>
      <c r="C290" s="9" t="str">
        <f>VLOOKUP(A290,'Sets (lua data)'!$A$3:$C$9838,2,FALSE)</f>
        <v>Eisenblut</v>
      </c>
      <c r="D290" t="s">
        <v>28</v>
      </c>
      <c r="E290" s="3" t="str">
        <f>IF(ISNA(VLOOKUP(D290,ConstDLCIds!$B$4:$C$1001,2,FALSE)),"",VLOOKUP(D290,ConstDLCIds!$B$4:$C$1001,2,FALSE))</f>
        <v>Horns of the Reach</v>
      </c>
    </row>
    <row r="291" spans="1:5" x14ac:dyDescent="0.25">
      <c r="A291" s="12">
        <v>338</v>
      </c>
      <c r="B291" s="9" t="str">
        <f>VLOOKUP(A291,'Sets (lua data)'!$A$3:$C$9838,3,FALSE)</f>
        <v>Flame Blossom</v>
      </c>
      <c r="C291" s="9" t="str">
        <f>VLOOKUP(A291,'Sets (lua data)'!$A$3:$C$9838,2,FALSE)</f>
        <v>Flammenblüte</v>
      </c>
      <c r="D291" t="s">
        <v>28</v>
      </c>
      <c r="E291" s="3" t="str">
        <f>IF(ISNA(VLOOKUP(D291,ConstDLCIds!$B$4:$C$1001,2,FALSE)),"",VLOOKUP(D291,ConstDLCIds!$B$4:$C$1001,2,FALSE))</f>
        <v>Horns of the Reach</v>
      </c>
    </row>
    <row r="292" spans="1:5" x14ac:dyDescent="0.25">
      <c r="A292" s="12">
        <v>339</v>
      </c>
      <c r="B292" s="9" t="str">
        <f>VLOOKUP(A292,'Sets (lua data)'!$A$3:$C$9838,3,FALSE)</f>
        <v>Blooddrinker</v>
      </c>
      <c r="C292" s="9" t="str">
        <f>VLOOKUP(A292,'Sets (lua data)'!$A$3:$C$9838,2,FALSE)</f>
        <v>Bluttrinker</v>
      </c>
      <c r="D292" t="s">
        <v>28</v>
      </c>
      <c r="E292" s="3" t="str">
        <f>IF(ISNA(VLOOKUP(D292,ConstDLCIds!$B$4:$C$1001,2,FALSE)),"",VLOOKUP(D292,ConstDLCIds!$B$4:$C$1001,2,FALSE))</f>
        <v>Horns of the Reach</v>
      </c>
    </row>
    <row r="293" spans="1:5" x14ac:dyDescent="0.25">
      <c r="A293" s="12">
        <v>340</v>
      </c>
      <c r="B293" s="9" t="str">
        <f>VLOOKUP(A293,'Sets (lua data)'!$A$3:$C$9838,3,FALSE)</f>
        <v>Hagraven\'s Garden</v>
      </c>
      <c r="C293" s="9" t="str">
        <f>VLOOKUP(A293,'Sets (lua data)'!$A$3:$C$9838,2,FALSE)</f>
        <v>Vettelgarten</v>
      </c>
      <c r="D293" t="s">
        <v>28</v>
      </c>
      <c r="E293" s="3" t="str">
        <f>IF(ISNA(VLOOKUP(D293,ConstDLCIds!$B$4:$C$1001,2,FALSE)),"",VLOOKUP(D293,ConstDLCIds!$B$4:$C$1001,2,FALSE))</f>
        <v>Horns of the Reach</v>
      </c>
    </row>
    <row r="294" spans="1:5" x14ac:dyDescent="0.25">
      <c r="A294" s="1">
        <v>341</v>
      </c>
      <c r="B294" s="9" t="str">
        <f>VLOOKUP(A294,'Sets (lua data)'!$A$3:$C$9838,3,FALSE)</f>
        <v>Earthgore</v>
      </c>
      <c r="C294" s="9" t="str">
        <f>VLOOKUP(A294,'Sets (lua data)'!$A$3:$C$9838,2,FALSE)</f>
        <v>Erdbluter</v>
      </c>
      <c r="D294" t="s">
        <v>28</v>
      </c>
      <c r="E294" s="3" t="str">
        <f>IF(ISNA(VLOOKUP(D294,ConstDLCIds!$B$4:$C$1001,2,FALSE)),"",VLOOKUP(D294,ConstDLCIds!$B$4:$C$1001,2,FALSE))</f>
        <v>Horns of the Reach</v>
      </c>
    </row>
    <row r="295" spans="1:5" x14ac:dyDescent="0.25">
      <c r="A295" s="1">
        <v>342</v>
      </c>
      <c r="B295" s="9" t="str">
        <f>VLOOKUP(A295,'Sets (lua data)'!$A$3:$C$9838,3,FALSE)</f>
        <v>Domihaus</v>
      </c>
      <c r="C295" s="9" t="str">
        <f>VLOOKUP(A295,'Sets (lua data)'!$A$3:$C$9838,2,FALSE)</f>
        <v>Domihaus</v>
      </c>
      <c r="D295" t="s">
        <v>28</v>
      </c>
      <c r="E295" s="3" t="str">
        <f>IF(ISNA(VLOOKUP(D295,ConstDLCIds!$B$4:$C$1001,2,FALSE)),"",VLOOKUP(D295,ConstDLCIds!$B$4:$C$1001,2,FALSE))</f>
        <v>Horns of the Reach</v>
      </c>
    </row>
    <row r="296" spans="1:5" x14ac:dyDescent="0.25">
      <c r="A296" s="12">
        <v>343</v>
      </c>
      <c r="B296" s="9" t="str">
        <f>VLOOKUP(A296,'Sets (lua data)'!$A$3:$C$9838,3,FALSE)</f>
        <v>Caluurion\'s Legacy</v>
      </c>
      <c r="C296" s="9" t="str">
        <f>VLOOKUP(A296,'Sets (lua data)'!$A$3:$C$9838,2,FALSE)</f>
        <v>Caluurions Erbe</v>
      </c>
      <c r="D296" t="s">
        <v>34</v>
      </c>
      <c r="E296" s="3" t="str">
        <f>IF(ISNA(VLOOKUP(D296,ConstDLCIds!$B$4:$C$1001,2,FALSE)),"",VLOOKUP(D296,ConstDLCIds!$B$4:$C$1001,2,FALSE))</f>
        <v>Dragon Bones</v>
      </c>
    </row>
    <row r="297" spans="1:5" x14ac:dyDescent="0.25">
      <c r="A297" s="12">
        <v>344</v>
      </c>
      <c r="B297" s="9" t="str">
        <f>VLOOKUP(A297,'Sets (lua data)'!$A$3:$C$9838,3,FALSE)</f>
        <v>Trappings of Invigoration</v>
      </c>
      <c r="C297" s="9" t="str">
        <f>VLOOKUP(A297,'Sets (lua data)'!$A$3:$C$9838,2,FALSE)</f>
        <v>Stärkungsprunk</v>
      </c>
      <c r="D297" t="s">
        <v>34</v>
      </c>
      <c r="E297" s="3" t="str">
        <f>IF(ISNA(VLOOKUP(D297,ConstDLCIds!$B$4:$C$1001,2,FALSE)),"",VLOOKUP(D297,ConstDLCIds!$B$4:$C$1001,2,FALSE))</f>
        <v>Dragon Bones</v>
      </c>
    </row>
    <row r="298" spans="1:5" x14ac:dyDescent="0.25">
      <c r="A298" s="12">
        <v>345</v>
      </c>
      <c r="B298" s="9" t="str">
        <f>VLOOKUP(A298,'Sets (lua data)'!$A$3:$C$9838,3,FALSE)</f>
        <v>Ulfnor\'s Favor</v>
      </c>
      <c r="C298" s="9" t="str">
        <f>VLOOKUP(A298,'Sets (lua data)'!$A$3:$C$9838,2,FALSE)</f>
        <v>Ulfnors Gunst</v>
      </c>
      <c r="D298" t="s">
        <v>34</v>
      </c>
      <c r="E298" s="3" t="str">
        <f>IF(ISNA(VLOOKUP(D298,ConstDLCIds!$B$4:$C$1001,2,FALSE)),"",VLOOKUP(D298,ConstDLCIds!$B$4:$C$1001,2,FALSE))</f>
        <v>Dragon Bones</v>
      </c>
    </row>
    <row r="299" spans="1:5" x14ac:dyDescent="0.25">
      <c r="A299" s="12">
        <v>346</v>
      </c>
      <c r="B299" s="9" t="str">
        <f>VLOOKUP(A299,'Sets (lua data)'!$A$3:$C$9838,3,FALSE)</f>
        <v>Jorvuld\'s Guidance</v>
      </c>
      <c r="C299" s="9" t="str">
        <f>VLOOKUP(A299,'Sets (lua data)'!$A$3:$C$9838,2,FALSE)</f>
        <v>Jorvulds Führung</v>
      </c>
      <c r="D299" t="s">
        <v>34</v>
      </c>
      <c r="E299" s="3" t="str">
        <f>IF(ISNA(VLOOKUP(D299,ConstDLCIds!$B$4:$C$1001,2,FALSE)),"",VLOOKUP(D299,ConstDLCIds!$B$4:$C$1001,2,FALSE))</f>
        <v>Dragon Bones</v>
      </c>
    </row>
    <row r="300" spans="1:5" x14ac:dyDescent="0.25">
      <c r="A300" s="12">
        <v>347</v>
      </c>
      <c r="B300" s="9" t="str">
        <f>VLOOKUP(A300,'Sets (lua data)'!$A$3:$C$9838,3,FALSE)</f>
        <v>Plague Slinger</v>
      </c>
      <c r="C300" s="9" t="str">
        <f>VLOOKUP(A300,'Sets (lua data)'!$A$3:$C$9838,2,FALSE)</f>
        <v>Seuchenschleuder</v>
      </c>
      <c r="D300" t="s">
        <v>34</v>
      </c>
      <c r="E300" s="3" t="str">
        <f>IF(ISNA(VLOOKUP(D300,ConstDLCIds!$B$4:$C$1001,2,FALSE)),"",VLOOKUP(D300,ConstDLCIds!$B$4:$C$1001,2,FALSE))</f>
        <v>Dragon Bones</v>
      </c>
    </row>
    <row r="301" spans="1:5" x14ac:dyDescent="0.25">
      <c r="A301" s="12">
        <v>348</v>
      </c>
      <c r="B301" s="9" t="str">
        <f>VLOOKUP(A301,'Sets (lua data)'!$A$3:$C$9838,3,FALSE)</f>
        <v>Curse of Doylemish</v>
      </c>
      <c r="C301" s="9" t="str">
        <f>VLOOKUP(A301,'Sets (lua data)'!$A$3:$C$9838,2,FALSE)</f>
        <v>Fluch von Doylemish</v>
      </c>
      <c r="D301" t="s">
        <v>34</v>
      </c>
      <c r="E301" s="3" t="str">
        <f>IF(ISNA(VLOOKUP(D301,ConstDLCIds!$B$4:$C$1001,2,FALSE)),"",VLOOKUP(D301,ConstDLCIds!$B$4:$C$1001,2,FALSE))</f>
        <v>Dragon Bones</v>
      </c>
    </row>
    <row r="302" spans="1:5" x14ac:dyDescent="0.25">
      <c r="A302" s="1">
        <v>349</v>
      </c>
      <c r="B302" s="9" t="str">
        <f>VLOOKUP(A302,'Sets (lua data)'!$A$3:$C$9838,3,FALSE)</f>
        <v>Thurvokun</v>
      </c>
      <c r="C302" s="9" t="str">
        <f>VLOOKUP(A302,'Sets (lua data)'!$A$3:$C$9838,2,FALSE)</f>
        <v>Thurvokun</v>
      </c>
      <c r="D302" t="s">
        <v>34</v>
      </c>
      <c r="E302" s="3" t="str">
        <f>IF(ISNA(VLOOKUP(D302,ConstDLCIds!$B$4:$C$1001,2,FALSE)),"",VLOOKUP(D302,ConstDLCIds!$B$4:$C$1001,2,FALSE))</f>
        <v>Dragon Bones</v>
      </c>
    </row>
    <row r="303" spans="1:5" x14ac:dyDescent="0.25">
      <c r="A303" s="1">
        <v>350</v>
      </c>
      <c r="B303" s="9" t="str">
        <f>VLOOKUP(A303,'Sets (lua data)'!$A$3:$C$9838,3,FALSE)</f>
        <v>Zaan</v>
      </c>
      <c r="C303" s="9" t="str">
        <f>VLOOKUP(A303,'Sets (lua data)'!$A$3:$C$9838,2,FALSE)</f>
        <v>Zaan</v>
      </c>
      <c r="D303" t="s">
        <v>34</v>
      </c>
      <c r="E303" s="3" t="str">
        <f>IF(ISNA(VLOOKUP(D303,ConstDLCIds!$B$4:$C$1001,2,FALSE)),"",VLOOKUP(D303,ConstDLCIds!$B$4:$C$1001,2,FALSE))</f>
        <v>Dragon Bones</v>
      </c>
    </row>
    <row r="304" spans="1:5" x14ac:dyDescent="0.25">
      <c r="A304" s="1">
        <v>351</v>
      </c>
      <c r="B304" s="9" t="str">
        <f>VLOOKUP(A304,'Sets (lua data)'!$A$3:$C$9838,3,FALSE)</f>
        <v>Innate Axiom</v>
      </c>
      <c r="C304" s="9" t="str">
        <f>VLOOKUP(A304,'Sets (lua data)'!$A$3:$C$9838,2,FALSE)</f>
        <v>Kernaxiom</v>
      </c>
      <c r="D304" t="s">
        <v>31</v>
      </c>
      <c r="E304" s="3" t="str">
        <f>IF(ISNA(VLOOKUP(D304,ConstDLCIds!$B$4:$C$1001,2,FALSE)),"",VLOOKUP(D304,ConstDLCIds!$B$4:$C$1001,2,FALSE))</f>
        <v>Clockwork City</v>
      </c>
    </row>
    <row r="305" spans="1:5" x14ac:dyDescent="0.25">
      <c r="A305" s="1">
        <v>352</v>
      </c>
      <c r="B305" s="9" t="str">
        <f>VLOOKUP(A305,'Sets (lua data)'!$A$3:$C$9838,3,FALSE)</f>
        <v>Fortified Brass</v>
      </c>
      <c r="C305" s="9" t="str">
        <f>VLOOKUP(A305,'Sets (lua data)'!$A$3:$C$9838,2,FALSE)</f>
        <v>Messingpanzer</v>
      </c>
      <c r="D305" t="s">
        <v>31</v>
      </c>
      <c r="E305" s="3" t="str">
        <f>IF(ISNA(VLOOKUP(D305,ConstDLCIds!$B$4:$C$1001,2,FALSE)),"",VLOOKUP(D305,ConstDLCIds!$B$4:$C$1001,2,FALSE))</f>
        <v>Clockwork City</v>
      </c>
    </row>
    <row r="306" spans="1:5" x14ac:dyDescent="0.25">
      <c r="A306" s="1">
        <v>353</v>
      </c>
      <c r="B306" s="9" t="str">
        <f>VLOOKUP(A306,'Sets (lua data)'!$A$3:$C$9838,3,FALSE)</f>
        <v>Mechanical Acuity</v>
      </c>
      <c r="C306" s="9" t="str">
        <f>VLOOKUP(A306,'Sets (lua data)'!$A$3:$C$9838,2,FALSE)</f>
        <v>Mechanikblick</v>
      </c>
      <c r="D306" t="s">
        <v>31</v>
      </c>
      <c r="E306" s="3" t="str">
        <f>IF(ISNA(VLOOKUP(D306,ConstDLCIds!$B$4:$C$1001,2,FALSE)),"",VLOOKUP(D306,ConstDLCIds!$B$4:$C$1001,2,FALSE))</f>
        <v>Clockwork City</v>
      </c>
    </row>
    <row r="307" spans="1:5" x14ac:dyDescent="0.25">
      <c r="A307" s="12">
        <v>354</v>
      </c>
      <c r="B307" s="9" t="str">
        <f>VLOOKUP(A307,'Sets (lua data)'!$A$3:$C$9838,3,FALSE)</f>
        <v>Mad Tinkerer</v>
      </c>
      <c r="C307" s="9" t="str">
        <f>VLOOKUP(A307,'Sets (lua data)'!$A$3:$C$9838,2,FALSE)</f>
        <v>Wahntüftler</v>
      </c>
      <c r="D307" t="s">
        <v>31</v>
      </c>
      <c r="E307" s="3" t="str">
        <f>IF(ISNA(VLOOKUP(D307,ConstDLCIds!$B$4:$C$1001,2,FALSE)),"",VLOOKUP(D307,ConstDLCIds!$B$4:$C$1001,2,FALSE))</f>
        <v>Clockwork City</v>
      </c>
    </row>
    <row r="308" spans="1:5" x14ac:dyDescent="0.25">
      <c r="A308" s="12">
        <v>355</v>
      </c>
      <c r="B308" s="9" t="str">
        <f>VLOOKUP(A308,'Sets (lua data)'!$A$3:$C$9838,3,FALSE)</f>
        <v>Unfathomable Darkness</v>
      </c>
      <c r="C308" s="9" t="str">
        <f>VLOOKUP(A308,'Sets (lua data)'!$A$3:$C$9838,2,FALSE)</f>
        <v>Unermessliche Dunkelheit</v>
      </c>
      <c r="D308" t="s">
        <v>31</v>
      </c>
      <c r="E308" s="3" t="str">
        <f>IF(ISNA(VLOOKUP(D308,ConstDLCIds!$B$4:$C$1001,2,FALSE)),"",VLOOKUP(D308,ConstDLCIds!$B$4:$C$1001,2,FALSE))</f>
        <v>Clockwork City</v>
      </c>
    </row>
    <row r="309" spans="1:5" x14ac:dyDescent="0.25">
      <c r="A309" s="12">
        <v>356</v>
      </c>
      <c r="B309" s="9" t="str">
        <f>VLOOKUP(A309,'Sets (lua data)'!$A$3:$C$9838,3,FALSE)</f>
        <v>Livewire</v>
      </c>
      <c r="C309" s="9" t="str">
        <f>VLOOKUP(A309,'Sets (lua data)'!$A$3:$C$9838,2,FALSE)</f>
        <v>Stromschlag</v>
      </c>
      <c r="D309" t="s">
        <v>31</v>
      </c>
      <c r="E309" s="3" t="str">
        <f>IF(ISNA(VLOOKUP(D309,ConstDLCIds!$B$4:$C$1001,2,FALSE)),"",VLOOKUP(D309,ConstDLCIds!$B$4:$C$1001,2,FALSE))</f>
        <v>Clockwork City</v>
      </c>
    </row>
    <row r="310" spans="1:5" x14ac:dyDescent="0.25">
      <c r="A310" s="12">
        <v>357</v>
      </c>
      <c r="B310" s="9" t="str">
        <f>VLOOKUP(A310,'Sets (lua data)'!$A$3:$C$9838,3,FALSE)</f>
        <v>Perfected Disciplined Slash</v>
      </c>
      <c r="C310" s="9" t="str">
        <f>VLOOKUP(A310,'Sets (lua data)'!$A$3:$C$9838,2,FALSE)</f>
        <v>Vollendeter Disziplinierter Schnitt</v>
      </c>
      <c r="D310" t="s">
        <v>31</v>
      </c>
      <c r="E310" s="3" t="str">
        <f>IF(ISNA(VLOOKUP(D310,ConstDLCIds!$B$4:$C$1001,2,FALSE)),"",VLOOKUP(D310,ConstDLCIds!$B$4:$C$1001,2,FALSE))</f>
        <v>Clockwork City</v>
      </c>
    </row>
    <row r="311" spans="1:5" x14ac:dyDescent="0.25">
      <c r="A311" s="12">
        <v>358</v>
      </c>
      <c r="B311" s="9" t="str">
        <f>VLOOKUP(A311,'Sets (lua data)'!$A$3:$C$9838,3,FALSE)</f>
        <v>Perfected Defensive Position</v>
      </c>
      <c r="C311" s="9" t="str">
        <f>VLOOKUP(A311,'Sets (lua data)'!$A$3:$C$9838,2,FALSE)</f>
        <v>Vollendete Defensive Position</v>
      </c>
      <c r="D311" t="s">
        <v>31</v>
      </c>
      <c r="E311" s="3" t="str">
        <f>IF(ISNA(VLOOKUP(D311,ConstDLCIds!$B$4:$C$1001,2,FALSE)),"",VLOOKUP(D311,ConstDLCIds!$B$4:$C$1001,2,FALSE))</f>
        <v>Clockwork City</v>
      </c>
    </row>
    <row r="312" spans="1:5" x14ac:dyDescent="0.25">
      <c r="A312" s="12">
        <v>359</v>
      </c>
      <c r="B312" s="9" t="str">
        <f>VLOOKUP(A312,'Sets (lua data)'!$A$3:$C$9838,3,FALSE)</f>
        <v>Perfected Chaotic Whirlwind</v>
      </c>
      <c r="C312" s="9" t="str">
        <f>VLOOKUP(A312,'Sets (lua data)'!$A$3:$C$9838,2,FALSE)</f>
        <v>Vollendeter Chaotischer Wirbelwind</v>
      </c>
      <c r="D312" t="s">
        <v>31</v>
      </c>
      <c r="E312" s="3" t="str">
        <f>IF(ISNA(VLOOKUP(D312,ConstDLCIds!$B$4:$C$1001,2,FALSE)),"",VLOOKUP(D312,ConstDLCIds!$B$4:$C$1001,2,FALSE))</f>
        <v>Clockwork City</v>
      </c>
    </row>
    <row r="313" spans="1:5" x14ac:dyDescent="0.25">
      <c r="A313" s="12">
        <v>360</v>
      </c>
      <c r="B313" s="9" t="str">
        <f>VLOOKUP(A313,'Sets (lua data)'!$A$3:$C$9838,3,FALSE)</f>
        <v>Perfected Piercing Spray</v>
      </c>
      <c r="C313" s="9" t="str">
        <f>VLOOKUP(A313,'Sets (lua data)'!$A$3:$C$9838,2,FALSE)</f>
        <v>Vollendete Durchdringende Salve</v>
      </c>
      <c r="D313" t="s">
        <v>31</v>
      </c>
      <c r="E313" s="3" t="str">
        <f>IF(ISNA(VLOOKUP(D313,ConstDLCIds!$B$4:$C$1001,2,FALSE)),"",VLOOKUP(D313,ConstDLCIds!$B$4:$C$1001,2,FALSE))</f>
        <v>Clockwork City</v>
      </c>
    </row>
    <row r="314" spans="1:5" x14ac:dyDescent="0.25">
      <c r="A314" s="12">
        <v>361</v>
      </c>
      <c r="B314" s="9" t="str">
        <f>VLOOKUP(A314,'Sets (lua data)'!$A$3:$C$9838,3,FALSE)</f>
        <v>Perfected Concentrated Force</v>
      </c>
      <c r="C314" s="9" t="str">
        <f>VLOOKUP(A314,'Sets (lua data)'!$A$3:$C$9838,2,FALSE)</f>
        <v>Vollendete Konzentrierte Kraft</v>
      </c>
      <c r="D314" t="s">
        <v>31</v>
      </c>
      <c r="E314" s="3" t="str">
        <f>IF(ISNA(VLOOKUP(D314,ConstDLCIds!$B$4:$C$1001,2,FALSE)),"",VLOOKUP(D314,ConstDLCIds!$B$4:$C$1001,2,FALSE))</f>
        <v>Clockwork City</v>
      </c>
    </row>
    <row r="315" spans="1:5" x14ac:dyDescent="0.25">
      <c r="A315" s="12">
        <v>362</v>
      </c>
      <c r="B315" s="9" t="str">
        <f>VLOOKUP(A315,'Sets (lua data)'!$A$3:$C$9838,3,FALSE)</f>
        <v>Perfected Timeless Blessing</v>
      </c>
      <c r="C315" s="9" t="str">
        <f>VLOOKUP(A315,'Sets (lua data)'!$A$3:$C$9838,2,FALSE)</f>
        <v>Vollendeter Zeitloser Segen</v>
      </c>
      <c r="D315" t="s">
        <v>31</v>
      </c>
      <c r="E315" s="3" t="str">
        <f>IF(ISNA(VLOOKUP(D315,ConstDLCIds!$B$4:$C$1001,2,FALSE)),"",VLOOKUP(D315,ConstDLCIds!$B$4:$C$1001,2,FALSE))</f>
        <v>Clockwork City</v>
      </c>
    </row>
    <row r="316" spans="1:5" x14ac:dyDescent="0.25">
      <c r="A316" s="12">
        <v>363</v>
      </c>
      <c r="B316" s="9" t="str">
        <f>VLOOKUP(A316,'Sets (lua data)'!$A$3:$C$9838,3,FALSE)</f>
        <v>Disciplined Slash</v>
      </c>
      <c r="C316" s="9" t="str">
        <f>VLOOKUP(A316,'Sets (lua data)'!$A$3:$C$9838,2,FALSE)</f>
        <v>Disziplinierter Schnitt</v>
      </c>
      <c r="D316" t="s">
        <v>31</v>
      </c>
      <c r="E316" s="3" t="str">
        <f>IF(ISNA(VLOOKUP(D316,ConstDLCIds!$B$4:$C$1001,2,FALSE)),"",VLOOKUP(D316,ConstDLCIds!$B$4:$C$1001,2,FALSE))</f>
        <v>Clockwork City</v>
      </c>
    </row>
    <row r="317" spans="1:5" x14ac:dyDescent="0.25">
      <c r="A317" s="12">
        <v>364</v>
      </c>
      <c r="B317" s="9" t="str">
        <f>VLOOKUP(A317,'Sets (lua data)'!$A$3:$C$9838,3,FALSE)</f>
        <v>Defensive Position</v>
      </c>
      <c r="C317" s="9" t="str">
        <f>VLOOKUP(A317,'Sets (lua data)'!$A$3:$C$9838,2,FALSE)</f>
        <v>Defensive Position</v>
      </c>
      <c r="D317" t="s">
        <v>31</v>
      </c>
      <c r="E317" s="3" t="str">
        <f>IF(ISNA(VLOOKUP(D317,ConstDLCIds!$B$4:$C$1001,2,FALSE)),"",VLOOKUP(D317,ConstDLCIds!$B$4:$C$1001,2,FALSE))</f>
        <v>Clockwork City</v>
      </c>
    </row>
    <row r="318" spans="1:5" x14ac:dyDescent="0.25">
      <c r="A318" s="12">
        <v>365</v>
      </c>
      <c r="B318" s="9" t="str">
        <f>VLOOKUP(A318,'Sets (lua data)'!$A$3:$C$9838,3,FALSE)</f>
        <v>Chaotic Whirlwind</v>
      </c>
      <c r="C318" s="9" t="str">
        <f>VLOOKUP(A318,'Sets (lua data)'!$A$3:$C$9838,2,FALSE)</f>
        <v>Chaotischer Wirbelwind</v>
      </c>
      <c r="D318" t="s">
        <v>31</v>
      </c>
      <c r="E318" s="3" t="str">
        <f>IF(ISNA(VLOOKUP(D318,ConstDLCIds!$B$4:$C$1001,2,FALSE)),"",VLOOKUP(D318,ConstDLCIds!$B$4:$C$1001,2,FALSE))</f>
        <v>Clockwork City</v>
      </c>
    </row>
    <row r="319" spans="1:5" x14ac:dyDescent="0.25">
      <c r="A319" s="12">
        <v>366</v>
      </c>
      <c r="B319" s="9" t="str">
        <f>VLOOKUP(A319,'Sets (lua data)'!$A$3:$C$9838,3,FALSE)</f>
        <v>Piercing Spray</v>
      </c>
      <c r="C319" s="9" t="str">
        <f>VLOOKUP(A319,'Sets (lua data)'!$A$3:$C$9838,2,FALSE)</f>
        <v>Durchdringende Salve</v>
      </c>
      <c r="D319" t="s">
        <v>31</v>
      </c>
      <c r="E319" s="3" t="str">
        <f>IF(ISNA(VLOOKUP(D319,ConstDLCIds!$B$4:$C$1001,2,FALSE)),"",VLOOKUP(D319,ConstDLCIds!$B$4:$C$1001,2,FALSE))</f>
        <v>Clockwork City</v>
      </c>
    </row>
    <row r="320" spans="1:5" x14ac:dyDescent="0.25">
      <c r="A320" s="12">
        <v>367</v>
      </c>
      <c r="B320" s="9" t="str">
        <f>VLOOKUP(A320,'Sets (lua data)'!$A$3:$C$9838,3,FALSE)</f>
        <v>Concentrated Force</v>
      </c>
      <c r="C320" s="9" t="str">
        <f>VLOOKUP(A320,'Sets (lua data)'!$A$3:$C$9838,2,FALSE)</f>
        <v>Konzentrierte Kraft</v>
      </c>
      <c r="D320" t="s">
        <v>31</v>
      </c>
      <c r="E320" s="3" t="str">
        <f>IF(ISNA(VLOOKUP(D320,ConstDLCIds!$B$4:$C$1001,2,FALSE)),"",VLOOKUP(D320,ConstDLCIds!$B$4:$C$1001,2,FALSE))</f>
        <v>Clockwork City</v>
      </c>
    </row>
    <row r="321" spans="1:5" x14ac:dyDescent="0.25">
      <c r="A321" s="12">
        <v>368</v>
      </c>
      <c r="B321" s="9" t="str">
        <f>VLOOKUP(A321,'Sets (lua data)'!$A$3:$C$9838,3,FALSE)</f>
        <v>Timeless Blessing</v>
      </c>
      <c r="C321" s="9" t="str">
        <f>VLOOKUP(A321,'Sets (lua data)'!$A$3:$C$9838,2,FALSE)</f>
        <v>Zeitloser Segen</v>
      </c>
      <c r="D321" t="s">
        <v>31</v>
      </c>
      <c r="E321" s="3" t="str">
        <f>IF(ISNA(VLOOKUP(D321,ConstDLCIds!$B$4:$C$1001,2,FALSE)),"",VLOOKUP(D321,ConstDLCIds!$B$4:$C$1001,2,FALSE))</f>
        <v>Clockwork City</v>
      </c>
    </row>
    <row r="322" spans="1:5" x14ac:dyDescent="0.25">
      <c r="A322" s="12">
        <v>369</v>
      </c>
      <c r="B322" s="9" t="str">
        <f>VLOOKUP(A322,'Sets (lua data)'!$A$3:$C$9838,3,FALSE)</f>
        <v>Merciless Charge</v>
      </c>
      <c r="C322" s="9" t="str">
        <f>VLOOKUP(A322,'Sets (lua data)'!$A$3:$C$9838,2,FALSE)</f>
        <v>Gnadenloser Ansturm</v>
      </c>
      <c r="D322" t="s">
        <v>13</v>
      </c>
      <c r="E322" s="3" t="str">
        <f>IF(ISNA(VLOOKUP(D322,ConstDLCIds!$B$4:$C$1001,2,FALSE)),"",VLOOKUP(D322,ConstDLCIds!$B$4:$C$1001,2,FALSE))</f>
        <v>Orsinium</v>
      </c>
    </row>
    <row r="323" spans="1:5" x14ac:dyDescent="0.25">
      <c r="A323" s="12">
        <v>370</v>
      </c>
      <c r="B323" s="9" t="str">
        <f>VLOOKUP(A323,'Sets (lua data)'!$A$3:$C$9838,3,FALSE)</f>
        <v>Rampaging Slash</v>
      </c>
      <c r="C323" s="9" t="str">
        <f>VLOOKUP(A323,'Sets (lua data)'!$A$3:$C$9838,2,FALSE)</f>
        <v>Tobender Schnitt</v>
      </c>
      <c r="D323" t="s">
        <v>13</v>
      </c>
      <c r="E323" s="3" t="str">
        <f>IF(ISNA(VLOOKUP(D323,ConstDLCIds!$B$4:$C$1001,2,FALSE)),"",VLOOKUP(D323,ConstDLCIds!$B$4:$C$1001,2,FALSE))</f>
        <v>Orsinium</v>
      </c>
    </row>
    <row r="324" spans="1:5" x14ac:dyDescent="0.25">
      <c r="A324" s="12">
        <v>371</v>
      </c>
      <c r="B324" s="9" t="str">
        <f>VLOOKUP(A324,'Sets (lua data)'!$A$3:$C$9838,3,FALSE)</f>
        <v>Cruel Flurry</v>
      </c>
      <c r="C324" s="9" t="str">
        <f>VLOOKUP(A324,'Sets (lua data)'!$A$3:$C$9838,2,FALSE)</f>
        <v>Grausamer Schlaghagel</v>
      </c>
      <c r="D324" t="s">
        <v>13</v>
      </c>
      <c r="E324" s="3" t="str">
        <f>IF(ISNA(VLOOKUP(D324,ConstDLCIds!$B$4:$C$1001,2,FALSE)),"",VLOOKUP(D324,ConstDLCIds!$B$4:$C$1001,2,FALSE))</f>
        <v>Orsinium</v>
      </c>
    </row>
    <row r="325" spans="1:5" x14ac:dyDescent="0.25">
      <c r="A325" s="12">
        <v>372</v>
      </c>
      <c r="B325" s="9" t="str">
        <f>VLOOKUP(A325,'Sets (lua data)'!$A$3:$C$9838,3,FALSE)</f>
        <v>Thunderous Volley</v>
      </c>
      <c r="C325" s="9" t="str">
        <f>VLOOKUP(A325,'Sets (lua data)'!$A$3:$C$9838,2,FALSE)</f>
        <v>Donnernde Salve</v>
      </c>
      <c r="D325" t="s">
        <v>13</v>
      </c>
      <c r="E325" s="3" t="str">
        <f>IF(ISNA(VLOOKUP(D325,ConstDLCIds!$B$4:$C$1001,2,FALSE)),"",VLOOKUP(D325,ConstDLCIds!$B$4:$C$1001,2,FALSE))</f>
        <v>Orsinium</v>
      </c>
    </row>
    <row r="326" spans="1:5" x14ac:dyDescent="0.25">
      <c r="A326" s="12">
        <v>373</v>
      </c>
      <c r="B326" s="9" t="str">
        <f>VLOOKUP(A326,'Sets (lua data)'!$A$3:$C$9838,3,FALSE)</f>
        <v>Crushing Wall</v>
      </c>
      <c r="C326" s="9" t="str">
        <f>VLOOKUP(A326,'Sets (lua data)'!$A$3:$C$9838,2,FALSE)</f>
        <v>Zermalmende Mauer</v>
      </c>
      <c r="D326" t="s">
        <v>13</v>
      </c>
      <c r="E326" s="3" t="str">
        <f>IF(ISNA(VLOOKUP(D326,ConstDLCIds!$B$4:$C$1001,2,FALSE)),"",VLOOKUP(D326,ConstDLCIds!$B$4:$C$1001,2,FALSE))</f>
        <v>Orsinium</v>
      </c>
    </row>
    <row r="327" spans="1:5" x14ac:dyDescent="0.25">
      <c r="A327" s="12">
        <v>374</v>
      </c>
      <c r="B327" s="9" t="str">
        <f>VLOOKUP(A327,'Sets (lua data)'!$A$3:$C$9838,3,FALSE)</f>
        <v>Precise Regeneration</v>
      </c>
      <c r="C327" s="9" t="str">
        <f>VLOOKUP(A327,'Sets (lua data)'!$A$3:$C$9838,2,FALSE)</f>
        <v>Präzise Regeneration</v>
      </c>
      <c r="D327" t="s">
        <v>13</v>
      </c>
      <c r="E327" s="3" t="str">
        <f>IF(ISNA(VLOOKUP(D327,ConstDLCIds!$B$4:$C$1001,2,FALSE)),"",VLOOKUP(D327,ConstDLCIds!$B$4:$C$1001,2,FALSE))</f>
        <v>Orsinium</v>
      </c>
    </row>
    <row r="328" spans="1:5" x14ac:dyDescent="0.25">
      <c r="A328" s="12">
        <v>380</v>
      </c>
      <c r="B328" s="9" t="str">
        <f>VLOOKUP(A328,'Sets (lua data)'!$A$3:$C$9838,3,FALSE)</f>
        <v>Prophet\'s</v>
      </c>
      <c r="C328" s="9" t="str">
        <f>VLOOKUP(A328,'Sets (lua data)'!$A$3:$C$9838,2,FALSE)</f>
        <v>Prophet</v>
      </c>
      <c r="D328" t="s">
        <v>7</v>
      </c>
      <c r="E328" s="3" t="str">
        <f>IF(ISNA(VLOOKUP(D328,ConstDLCIds!$B$4:$C$1001,2,FALSE)),"",VLOOKUP(D328,ConstDLCIds!$B$4:$C$1001,2,FALSE))</f>
        <v>Included in base game</v>
      </c>
    </row>
    <row r="329" spans="1:5" x14ac:dyDescent="0.25">
      <c r="A329" s="12">
        <v>381</v>
      </c>
      <c r="B329" s="9" t="str">
        <f>VLOOKUP(A329,'Sets (lua data)'!$A$3:$C$9838,3,FALSE)</f>
        <v>Broken Soul</v>
      </c>
      <c r="C329" s="9" t="str">
        <f>VLOOKUP(A329,'Sets (lua data)'!$A$3:$C$9838,2,FALSE)</f>
        <v>Zerbrochene Seele</v>
      </c>
      <c r="D329" t="s">
        <v>7</v>
      </c>
      <c r="E329" s="3" t="str">
        <f>IF(ISNA(VLOOKUP(D329,ConstDLCIds!$B$4:$C$1001,2,FALSE)),"",VLOOKUP(D329,ConstDLCIds!$B$4:$C$1001,2,FALSE))</f>
        <v>Included in base game</v>
      </c>
    </row>
    <row r="330" spans="1:5" x14ac:dyDescent="0.25">
      <c r="A330" s="12">
        <v>382</v>
      </c>
      <c r="B330" s="9" t="str">
        <f>VLOOKUP(A330,'Sets (lua data)'!$A$3:$C$9838,3,FALSE)</f>
        <v>Grace of Gloom</v>
      </c>
      <c r="C330" s="9" t="str">
        <f>VLOOKUP(A330,'Sets (lua data)'!$A$3:$C$9838,2,FALSE)</f>
        <v>Anmut der Gräue</v>
      </c>
      <c r="D330" t="s">
        <v>37</v>
      </c>
      <c r="E330" s="3" t="str">
        <f>IF(ISNA(VLOOKUP(D330,ConstDLCIds!$B$4:$C$1001,2,FALSE)),"",VLOOKUP(D330,ConstDLCIds!$B$4:$C$1001,2,FALSE))</f>
        <v>Summerset</v>
      </c>
    </row>
    <row r="331" spans="1:5" x14ac:dyDescent="0.25">
      <c r="A331" s="12">
        <v>383</v>
      </c>
      <c r="B331" s="9" t="str">
        <f>VLOOKUP(A331,'Sets (lua data)'!$A$3:$C$9838,3,FALSE)</f>
        <v>Gryphon\'s Ferocity</v>
      </c>
      <c r="C331" s="9" t="str">
        <f>VLOOKUP(A331,'Sets (lua data)'!$A$3:$C$9838,2,FALSE)</f>
        <v>Wildheit des Greifen</v>
      </c>
      <c r="D331" t="s">
        <v>37</v>
      </c>
      <c r="E331" s="3" t="str">
        <f>IF(ISNA(VLOOKUP(D331,ConstDLCIds!$B$4:$C$1001,2,FALSE)),"",VLOOKUP(D331,ConstDLCIds!$B$4:$C$1001,2,FALSE))</f>
        <v>Summerset</v>
      </c>
    </row>
    <row r="332" spans="1:5" x14ac:dyDescent="0.25">
      <c r="A332" s="12">
        <v>384</v>
      </c>
      <c r="B332" s="9" t="str">
        <f>VLOOKUP(A332,'Sets (lua data)'!$A$3:$C$9838,3,FALSE)</f>
        <v>Wisdom of Vanus</v>
      </c>
      <c r="C332" s="9" t="str">
        <f>VLOOKUP(A332,'Sets (lua data)'!$A$3:$C$9838,2,FALSE)</f>
        <v>Weisheit von Vanus</v>
      </c>
      <c r="D332" t="s">
        <v>37</v>
      </c>
      <c r="E332" s="3" t="str">
        <f>IF(ISNA(VLOOKUP(D332,ConstDLCIds!$B$4:$C$1001,2,FALSE)),"",VLOOKUP(D332,ConstDLCIds!$B$4:$C$1001,2,FALSE))</f>
        <v>Summerset</v>
      </c>
    </row>
    <row r="333" spans="1:5" x14ac:dyDescent="0.25">
      <c r="A333" s="1">
        <v>385</v>
      </c>
      <c r="B333" s="9" t="str">
        <f>VLOOKUP(A333,'Sets (lua data)'!$A$3:$C$9838,3,FALSE)</f>
        <v>Adept Rider</v>
      </c>
      <c r="C333" s="9" t="str">
        <f>VLOOKUP(A333,'Sets (lua data)'!$A$3:$C$9838,2,FALSE)</f>
        <v>Versierter Reiter</v>
      </c>
      <c r="D333" t="s">
        <v>37</v>
      </c>
      <c r="E333" s="3" t="str">
        <f>IF(ISNA(VLOOKUP(D333,ConstDLCIds!$B$4:$C$1001,2,FALSE)),"",VLOOKUP(D333,ConstDLCIds!$B$4:$C$1001,2,FALSE))</f>
        <v>Summerset</v>
      </c>
    </row>
    <row r="334" spans="1:5" x14ac:dyDescent="0.25">
      <c r="A334" s="1">
        <v>386</v>
      </c>
      <c r="B334" s="9" t="str">
        <f>VLOOKUP(A334,'Sets (lua data)'!$A$3:$C$9838,3,FALSE)</f>
        <v>Sload\'s Semblance</v>
      </c>
      <c r="C334" s="9" t="str">
        <f>VLOOKUP(A334,'Sets (lua data)'!$A$3:$C$9838,2,FALSE)</f>
        <v>Kreckenantlitz</v>
      </c>
      <c r="D334" t="s">
        <v>37</v>
      </c>
      <c r="E334" s="3" t="str">
        <f>IF(ISNA(VLOOKUP(D334,ConstDLCIds!$B$4:$C$1001,2,FALSE)),"",VLOOKUP(D334,ConstDLCIds!$B$4:$C$1001,2,FALSE))</f>
        <v>Summerset</v>
      </c>
    </row>
    <row r="335" spans="1:5" x14ac:dyDescent="0.25">
      <c r="A335" s="1">
        <v>387</v>
      </c>
      <c r="B335" s="9" t="str">
        <f>VLOOKUP(A335,'Sets (lua data)'!$A$3:$C$9838,3,FALSE)</f>
        <v>Nocturnal\'s Favor</v>
      </c>
      <c r="C335" s="9" t="str">
        <f>VLOOKUP(A335,'Sets (lua data)'!$A$3:$C$9838,2,FALSE)</f>
        <v>Nocturnals Gunst</v>
      </c>
      <c r="D335" t="s">
        <v>37</v>
      </c>
      <c r="E335" s="3" t="str">
        <f>IF(ISNA(VLOOKUP(D335,ConstDLCIds!$B$4:$C$1001,2,FALSE)),"",VLOOKUP(D335,ConstDLCIds!$B$4:$C$1001,2,FALSE))</f>
        <v>Summerset</v>
      </c>
    </row>
    <row r="336" spans="1:5" x14ac:dyDescent="0.25">
      <c r="A336" s="12">
        <v>388</v>
      </c>
      <c r="B336" s="9" t="str">
        <f>VLOOKUP(A336,'Sets (lua data)'!$A$3:$C$9838,3,FALSE)</f>
        <v>Aegis of Galenwe</v>
      </c>
      <c r="C336" s="9" t="str">
        <f>VLOOKUP(A336,'Sets (lua data)'!$A$3:$C$9838,2,FALSE)</f>
        <v>Ägis von Galenwe</v>
      </c>
      <c r="D336" t="s">
        <v>37</v>
      </c>
      <c r="E336" s="3" t="str">
        <f>IF(ISNA(VLOOKUP(D336,ConstDLCIds!$B$4:$C$1001,2,FALSE)),"",VLOOKUP(D336,ConstDLCIds!$B$4:$C$1001,2,FALSE))</f>
        <v>Summerset</v>
      </c>
    </row>
    <row r="337" spans="1:5" x14ac:dyDescent="0.25">
      <c r="A337" s="12">
        <v>389</v>
      </c>
      <c r="B337" s="9" t="str">
        <f>VLOOKUP(A337,'Sets (lua data)'!$A$3:$C$9838,3,FALSE)</f>
        <v>Arms of Relequen</v>
      </c>
      <c r="C337" s="9" t="str">
        <f>VLOOKUP(A337,'Sets (lua data)'!$A$3:$C$9838,2,FALSE)</f>
        <v>Waffen von Relequen</v>
      </c>
      <c r="D337" t="s">
        <v>37</v>
      </c>
      <c r="E337" s="3" t="str">
        <f>IF(ISNA(VLOOKUP(D337,ConstDLCIds!$B$4:$C$1001,2,FALSE)),"",VLOOKUP(D337,ConstDLCIds!$B$4:$C$1001,2,FALSE))</f>
        <v>Summerset</v>
      </c>
    </row>
    <row r="338" spans="1:5" x14ac:dyDescent="0.25">
      <c r="A338" s="12">
        <v>390</v>
      </c>
      <c r="B338" s="9" t="str">
        <f>VLOOKUP(A338,'Sets (lua data)'!$A$3:$C$9838,3,FALSE)</f>
        <v>Mantle of Siroria</v>
      </c>
      <c r="C338" s="9" t="str">
        <f>VLOOKUP(A338,'Sets (lua data)'!$A$3:$C$9838,2,FALSE)</f>
        <v>Mantel von Siroria</v>
      </c>
      <c r="D338" t="s">
        <v>37</v>
      </c>
      <c r="E338" s="3" t="str">
        <f>IF(ISNA(VLOOKUP(D338,ConstDLCIds!$B$4:$C$1001,2,FALSE)),"",VLOOKUP(D338,ConstDLCIds!$B$4:$C$1001,2,FALSE))</f>
        <v>Summerset</v>
      </c>
    </row>
    <row r="339" spans="1:5" x14ac:dyDescent="0.25">
      <c r="A339" s="12">
        <v>391</v>
      </c>
      <c r="B339" s="9" t="str">
        <f>VLOOKUP(A339,'Sets (lua data)'!$A$3:$C$9838,3,FALSE)</f>
        <v>Vestment of Olorime</v>
      </c>
      <c r="C339" s="9" t="str">
        <f>VLOOKUP(A339,'Sets (lua data)'!$A$3:$C$9838,2,FALSE)</f>
        <v>Gewandung von Olorime</v>
      </c>
      <c r="D339" t="s">
        <v>37</v>
      </c>
      <c r="E339" s="3" t="str">
        <f>IF(ISNA(VLOOKUP(D339,ConstDLCIds!$B$4:$C$1001,2,FALSE)),"",VLOOKUP(D339,ConstDLCIds!$B$4:$C$1001,2,FALSE))</f>
        <v>Summerset</v>
      </c>
    </row>
    <row r="340" spans="1:5" x14ac:dyDescent="0.25">
      <c r="A340" s="12">
        <v>392</v>
      </c>
      <c r="B340" s="9" t="str">
        <f>VLOOKUP(A340,'Sets (lua data)'!$A$3:$C$9838,3,FALSE)</f>
        <v>Perfect Aegis of Galenwe</v>
      </c>
      <c r="C340" s="9" t="str">
        <f>VLOOKUP(A340,'Sets (lua data)'!$A$3:$C$9838,2,FALSE)</f>
        <v>Perfekte Ägis von Galenwe</v>
      </c>
      <c r="D340" t="s">
        <v>37</v>
      </c>
      <c r="E340" s="3" t="str">
        <f>IF(ISNA(VLOOKUP(D340,ConstDLCIds!$B$4:$C$1001,2,FALSE)),"",VLOOKUP(D340,ConstDLCIds!$B$4:$C$1001,2,FALSE))</f>
        <v>Summerset</v>
      </c>
    </row>
    <row r="341" spans="1:5" x14ac:dyDescent="0.25">
      <c r="A341" s="12">
        <v>393</v>
      </c>
      <c r="B341" s="9" t="str">
        <f>VLOOKUP(A341,'Sets (lua data)'!$A$3:$C$9838,3,FALSE)</f>
        <v>Perfect Arms of Relequen</v>
      </c>
      <c r="C341" s="9" t="str">
        <f>VLOOKUP(A341,'Sets (lua data)'!$A$3:$C$9838,2,FALSE)</f>
        <v>Perfekte Waffen von Relequen</v>
      </c>
      <c r="D341" t="s">
        <v>37</v>
      </c>
      <c r="E341" s="3" t="str">
        <f>IF(ISNA(VLOOKUP(D341,ConstDLCIds!$B$4:$C$1001,2,FALSE)),"",VLOOKUP(D341,ConstDLCIds!$B$4:$C$1001,2,FALSE))</f>
        <v>Summerset</v>
      </c>
    </row>
    <row r="342" spans="1:5" x14ac:dyDescent="0.25">
      <c r="A342" s="12">
        <v>394</v>
      </c>
      <c r="B342" s="9" t="str">
        <f>VLOOKUP(A342,'Sets (lua data)'!$A$3:$C$9838,3,FALSE)</f>
        <v>Perfect Mantle of Siroria</v>
      </c>
      <c r="C342" s="9" t="str">
        <f>VLOOKUP(A342,'Sets (lua data)'!$A$3:$C$9838,2,FALSE)</f>
        <v>Perfekter Mantel von Siroria</v>
      </c>
      <c r="D342" t="s">
        <v>37</v>
      </c>
      <c r="E342" s="3" t="str">
        <f>IF(ISNA(VLOOKUP(D342,ConstDLCIds!$B$4:$C$1001,2,FALSE)),"",VLOOKUP(D342,ConstDLCIds!$B$4:$C$1001,2,FALSE))</f>
        <v>Summerset</v>
      </c>
    </row>
    <row r="343" spans="1:5" x14ac:dyDescent="0.25">
      <c r="A343" s="12">
        <v>395</v>
      </c>
      <c r="B343" s="9" t="str">
        <f>VLOOKUP(A343,'Sets (lua data)'!$A$3:$C$9838,3,FALSE)</f>
        <v>Perfect Vestment of Olorime</v>
      </c>
      <c r="C343" s="9" t="str">
        <f>VLOOKUP(A343,'Sets (lua data)'!$A$3:$C$9838,2,FALSE)</f>
        <v>Perfekte Gewandung von Olorime</v>
      </c>
      <c r="D343" t="s">
        <v>37</v>
      </c>
      <c r="E343" s="3" t="str">
        <f>IF(ISNA(VLOOKUP(D343,ConstDLCIds!$B$4:$C$1001,2,FALSE)),"",VLOOKUP(D343,ConstDLCIds!$B$4:$C$1001,2,FALSE))</f>
        <v>Summerset</v>
      </c>
    </row>
    <row r="344" spans="1:5" x14ac:dyDescent="0.25">
      <c r="A344" s="1">
        <v>397</v>
      </c>
      <c r="B344" s="9" t="str">
        <f>VLOOKUP(A344,'Sets (lua data)'!$A$3:$C$9838,3,FALSE)</f>
        <v>Balorgh</v>
      </c>
      <c r="C344" s="9" t="str">
        <f>VLOOKUP(A344,'Sets (lua data)'!$A$3:$C$9838,2,FALSE)</f>
        <v>Balorgh</v>
      </c>
      <c r="D344" t="s">
        <v>40</v>
      </c>
      <c r="E344" s="3" t="str">
        <f>IF(ISNA(VLOOKUP(D344,ConstDLCIds!$B$4:$C$1001,2,FALSE)),"",VLOOKUP(D344,ConstDLCIds!$B$4:$C$1001,2,FALSE))</f>
        <v>Wolfhunter</v>
      </c>
    </row>
    <row r="345" spans="1:5" x14ac:dyDescent="0.25">
      <c r="A345" s="1">
        <v>398</v>
      </c>
      <c r="B345" s="9" t="str">
        <f>VLOOKUP(A345,'Sets (lua data)'!$A$3:$C$9838,3,FALSE)</f>
        <v>Vykosa</v>
      </c>
      <c r="C345" s="9" t="str">
        <f>VLOOKUP(A345,'Sets (lua data)'!$A$3:$C$9838,2,FALSE)</f>
        <v>Vykosa</v>
      </c>
      <c r="D345" t="s">
        <v>40</v>
      </c>
      <c r="E345" s="3" t="str">
        <f>IF(ISNA(VLOOKUP(D345,ConstDLCIds!$B$4:$C$1001,2,FALSE)),"",VLOOKUP(D345,ConstDLCIds!$B$4:$C$1001,2,FALSE))</f>
        <v>Wolfhunter</v>
      </c>
    </row>
    <row r="346" spans="1:5" x14ac:dyDescent="0.25">
      <c r="A346" s="12">
        <v>399</v>
      </c>
      <c r="B346" s="9" t="str">
        <f>VLOOKUP(A346,'Sets (lua data)'!$A$3:$C$9838,3,FALSE)</f>
        <v>Hanu\'s Compassion</v>
      </c>
      <c r="C346" s="9" t="str">
        <f>VLOOKUP(A346,'Sets (lua data)'!$A$3:$C$9838,2,FALSE)</f>
        <v>Hanus Mitgefühl</v>
      </c>
      <c r="D346" t="s">
        <v>40</v>
      </c>
      <c r="E346" s="3" t="str">
        <f>IF(ISNA(VLOOKUP(D346,ConstDLCIds!$B$4:$C$1001,2,FALSE)),"",VLOOKUP(D346,ConstDLCIds!$B$4:$C$1001,2,FALSE))</f>
        <v>Wolfhunter</v>
      </c>
    </row>
    <row r="347" spans="1:5" x14ac:dyDescent="0.25">
      <c r="A347" s="12">
        <v>400</v>
      </c>
      <c r="B347" s="9" t="str">
        <f>VLOOKUP(A347,'Sets (lua data)'!$A$3:$C$9838,3,FALSE)</f>
        <v>Blood Moon</v>
      </c>
      <c r="C347" s="9" t="str">
        <f>VLOOKUP(A347,'Sets (lua data)'!$A$3:$C$9838,2,FALSE)</f>
        <v>Blutmond</v>
      </c>
      <c r="D347" t="s">
        <v>40</v>
      </c>
      <c r="E347" s="3" t="str">
        <f>IF(ISNA(VLOOKUP(D347,ConstDLCIds!$B$4:$C$1001,2,FALSE)),"",VLOOKUP(D347,ConstDLCIds!$B$4:$C$1001,2,FALSE))</f>
        <v>Wolfhunter</v>
      </c>
    </row>
    <row r="348" spans="1:5" x14ac:dyDescent="0.25">
      <c r="A348" s="12">
        <v>401</v>
      </c>
      <c r="B348" s="9" t="str">
        <f>VLOOKUP(A348,'Sets (lua data)'!$A$3:$C$9838,3,FALSE)</f>
        <v>Haven of Ursus</v>
      </c>
      <c r="C348" s="9" t="str">
        <f>VLOOKUP(A348,'Sets (lua data)'!$A$3:$C$9838,2,FALSE)</f>
        <v>Zuflucht von Ursus</v>
      </c>
      <c r="D348" t="s">
        <v>40</v>
      </c>
      <c r="E348" s="3" t="str">
        <f>IF(ISNA(VLOOKUP(D348,ConstDLCIds!$B$4:$C$1001,2,FALSE)),"",VLOOKUP(D348,ConstDLCIds!$B$4:$C$1001,2,FALSE))</f>
        <v>Wolfhunter</v>
      </c>
    </row>
    <row r="349" spans="1:5" x14ac:dyDescent="0.25">
      <c r="A349" s="12">
        <v>402</v>
      </c>
      <c r="B349" s="9" t="str">
        <f>VLOOKUP(A349,'Sets (lua data)'!$A$3:$C$9838,3,FALSE)</f>
        <v>Moon Hunter</v>
      </c>
      <c r="C349" s="9" t="str">
        <f>VLOOKUP(A349,'Sets (lua data)'!$A$3:$C$9838,2,FALSE)</f>
        <v>Mondjäger</v>
      </c>
      <c r="D349" t="s">
        <v>40</v>
      </c>
      <c r="E349" s="3" t="str">
        <f>IF(ISNA(VLOOKUP(D349,ConstDLCIds!$B$4:$C$1001,2,FALSE)),"",VLOOKUP(D349,ConstDLCIds!$B$4:$C$1001,2,FALSE))</f>
        <v>Wolfhunter</v>
      </c>
    </row>
    <row r="350" spans="1:5" x14ac:dyDescent="0.25">
      <c r="A350" s="12">
        <v>403</v>
      </c>
      <c r="B350" s="9" t="str">
        <f>VLOOKUP(A350,'Sets (lua data)'!$A$3:$C$9838,3,FALSE)</f>
        <v>Savage Werewolf</v>
      </c>
      <c r="C350" s="9" t="str">
        <f>VLOOKUP(A350,'Sets (lua data)'!$A$3:$C$9838,2,FALSE)</f>
        <v>Wilder Werwolf</v>
      </c>
      <c r="D350" t="s">
        <v>40</v>
      </c>
      <c r="E350" s="3" t="str">
        <f>IF(ISNA(VLOOKUP(D350,ConstDLCIds!$B$4:$C$1001,2,FALSE)),"",VLOOKUP(D350,ConstDLCIds!$B$4:$C$1001,2,FALSE))</f>
        <v>Wolfhunter</v>
      </c>
    </row>
    <row r="351" spans="1:5" x14ac:dyDescent="0.25">
      <c r="A351" s="12">
        <v>404</v>
      </c>
      <c r="B351" s="9" t="str">
        <f>VLOOKUP(A351,'Sets (lua data)'!$A$3:$C$9838,3,FALSE)</f>
        <v>Jailer\'s Tenacity</v>
      </c>
      <c r="C351" s="9" t="str">
        <f>VLOOKUP(A351,'Sets (lua data)'!$A$3:$C$9838,2,FALSE)</f>
        <v>Tenazität des Kerkermeisters</v>
      </c>
      <c r="D351" t="s">
        <v>40</v>
      </c>
      <c r="E351" s="3" t="str">
        <f>IF(ISNA(VLOOKUP(D351,ConstDLCIds!$B$4:$C$1001,2,FALSE)),"",VLOOKUP(D351,ConstDLCIds!$B$4:$C$1001,2,FALSE))</f>
        <v>Wolfhunter</v>
      </c>
    </row>
    <row r="352" spans="1:5" x14ac:dyDescent="0.25">
      <c r="A352" s="12">
        <v>405</v>
      </c>
      <c r="B352" s="9" t="str">
        <f>VLOOKUP(A352,'Sets (lua data)'!$A$3:$C$9838,3,FALSE)</f>
        <v>Bright-Throat\'s Boast</v>
      </c>
      <c r="C352" s="9" t="str">
        <f>VLOOKUP(A352,'Sets (lua data)'!$A$3:$C$9838,2,FALSE)</f>
        <v>Hellhalsstolz</v>
      </c>
      <c r="D352" t="s">
        <v>43</v>
      </c>
      <c r="E352" s="3" t="str">
        <f>IF(ISNA(VLOOKUP(D352,ConstDLCIds!$B$4:$C$1001,2,FALSE)),"",VLOOKUP(D352,ConstDLCIds!$B$4:$C$1001,2,FALSE))</f>
        <v>Murkmire</v>
      </c>
    </row>
    <row r="353" spans="1:5" x14ac:dyDescent="0.25">
      <c r="A353" s="12">
        <v>406</v>
      </c>
      <c r="B353" s="9" t="str">
        <f>VLOOKUP(A353,'Sets (lua data)'!$A$3:$C$9838,3,FALSE)</f>
        <v>Dead-Water\'s Guile</v>
      </c>
      <c r="C353" s="9" t="str">
        <f>VLOOKUP(A353,'Sets (lua data)'!$A$3:$C$9838,2,FALSE)</f>
        <v>Totwassertücke</v>
      </c>
      <c r="D353" t="s">
        <v>43</v>
      </c>
      <c r="E353" s="3" t="str">
        <f>IF(ISNA(VLOOKUP(D353,ConstDLCIds!$B$4:$C$1001,2,FALSE)),"",VLOOKUP(D353,ConstDLCIds!$B$4:$C$1001,2,FALSE))</f>
        <v>Murkmire</v>
      </c>
    </row>
    <row r="354" spans="1:5" x14ac:dyDescent="0.25">
      <c r="A354" s="12">
        <v>407</v>
      </c>
      <c r="B354" s="9" t="str">
        <f>VLOOKUP(A354,'Sets (lua data)'!$A$3:$C$9838,3,FALSE)</f>
        <v>Champion of the Hist</v>
      </c>
      <c r="C354" s="9" t="str">
        <f>VLOOKUP(A354,'Sets (lua data)'!$A$3:$C$9838,2,FALSE)</f>
        <v>Histchampion</v>
      </c>
      <c r="D354" t="s">
        <v>43</v>
      </c>
      <c r="E354" s="3" t="str">
        <f>IF(ISNA(VLOOKUP(D354,ConstDLCIds!$B$4:$C$1001,2,FALSE)),"",VLOOKUP(D354,ConstDLCIds!$B$4:$C$1001,2,FALSE))</f>
        <v>Murkmire</v>
      </c>
    </row>
    <row r="355" spans="1:5" x14ac:dyDescent="0.25">
      <c r="A355" s="1">
        <v>408</v>
      </c>
      <c r="B355" s="9" t="str">
        <f>VLOOKUP(A355,'Sets (lua data)'!$A$3:$C$9838,3,FALSE)</f>
        <v>Grave-Stake Collector</v>
      </c>
      <c r="C355" s="9" t="str">
        <f>VLOOKUP(A355,'Sets (lua data)'!$A$3:$C$9838,2,FALSE)</f>
        <v>Grabpflocksammler</v>
      </c>
      <c r="D355" t="s">
        <v>43</v>
      </c>
      <c r="E355" s="3" t="str">
        <f>IF(ISNA(VLOOKUP(D355,ConstDLCIds!$B$4:$C$1001,2,FALSE)),"",VLOOKUP(D355,ConstDLCIds!$B$4:$C$1001,2,FALSE))</f>
        <v>Murkmire</v>
      </c>
    </row>
    <row r="356" spans="1:5" x14ac:dyDescent="0.25">
      <c r="A356" s="1">
        <v>409</v>
      </c>
      <c r="B356" s="9" t="str">
        <f>VLOOKUP(A356,'Sets (lua data)'!$A$3:$C$9838,3,FALSE)</f>
        <v>Naga Shaman</v>
      </c>
      <c r="C356" s="9" t="str">
        <f>VLOOKUP(A356,'Sets (lua data)'!$A$3:$C$9838,2,FALSE)</f>
        <v>Nagaschamane</v>
      </c>
      <c r="D356" t="s">
        <v>43</v>
      </c>
      <c r="E356" s="3" t="str">
        <f>IF(ISNA(VLOOKUP(D356,ConstDLCIds!$B$4:$C$1001,2,FALSE)),"",VLOOKUP(D356,ConstDLCIds!$B$4:$C$1001,2,FALSE))</f>
        <v>Murkmire</v>
      </c>
    </row>
    <row r="357" spans="1:5" x14ac:dyDescent="0.25">
      <c r="A357" s="1">
        <v>410</v>
      </c>
      <c r="B357" s="9" t="str">
        <f>VLOOKUP(A357,'Sets (lua data)'!$A$3:$C$9838,3,FALSE)</f>
        <v>Might of the Lost Legion</v>
      </c>
      <c r="C357" s="9" t="str">
        <f>VLOOKUP(A357,'Sets (lua data)'!$A$3:$C$9838,2,FALSE)</f>
        <v>Macht der Verlorenen Legion</v>
      </c>
      <c r="D357" t="s">
        <v>43</v>
      </c>
      <c r="E357" s="3" t="str">
        <f>IF(ISNA(VLOOKUP(D357,ConstDLCIds!$B$4:$C$1001,2,FALSE)),"",VLOOKUP(D357,ConstDLCIds!$B$4:$C$1001,2,FALSE))</f>
        <v>Murkmire</v>
      </c>
    </row>
    <row r="358" spans="1:5" x14ac:dyDescent="0.25">
      <c r="A358" s="12">
        <v>411</v>
      </c>
      <c r="B358" s="9" t="str">
        <f>VLOOKUP(A358,'Sets (lua data)'!$A$3:$C$9838,3,FALSE)</f>
        <v>Gallant Charge</v>
      </c>
      <c r="C358" s="9" t="str">
        <f>VLOOKUP(A358,'Sets (lua data)'!$A$3:$C$9838,2,FALSE)</f>
        <v>Galanter Ansturm</v>
      </c>
      <c r="D358" t="s">
        <v>43</v>
      </c>
      <c r="E358" s="3" t="str">
        <f>IF(ISNA(VLOOKUP(D358,ConstDLCIds!$B$4:$C$1001,2,FALSE)),"",VLOOKUP(D358,ConstDLCIds!$B$4:$C$1001,2,FALSE))</f>
        <v>Murkmire</v>
      </c>
    </row>
    <row r="359" spans="1:5" x14ac:dyDescent="0.25">
      <c r="A359" s="12">
        <v>412</v>
      </c>
      <c r="B359" s="9" t="str">
        <f>VLOOKUP(A359,'Sets (lua data)'!$A$3:$C$9838,3,FALSE)</f>
        <v>Radial Uppercut</v>
      </c>
      <c r="C359" s="9" t="str">
        <f>VLOOKUP(A359,'Sets (lua data)'!$A$3:$C$9838,2,FALSE)</f>
        <v>Rundum-Aufwärtsschnitt</v>
      </c>
      <c r="D359" t="s">
        <v>43</v>
      </c>
      <c r="E359" s="3" t="str">
        <f>IF(ISNA(VLOOKUP(D359,ConstDLCIds!$B$4:$C$1001,2,FALSE)),"",VLOOKUP(D359,ConstDLCIds!$B$4:$C$1001,2,FALSE))</f>
        <v>Murkmire</v>
      </c>
    </row>
    <row r="360" spans="1:5" x14ac:dyDescent="0.25">
      <c r="A360" s="12">
        <v>413</v>
      </c>
      <c r="B360" s="9" t="str">
        <f>VLOOKUP(A360,'Sets (lua data)'!$A$3:$C$9838,3,FALSE)</f>
        <v>Spectral Cloak</v>
      </c>
      <c r="C360" s="9" t="str">
        <f>VLOOKUP(A360,'Sets (lua data)'!$A$3:$C$9838,2,FALSE)</f>
        <v>Spektraler Mantel</v>
      </c>
      <c r="D360" t="s">
        <v>43</v>
      </c>
      <c r="E360" s="3" t="str">
        <f>IF(ISNA(VLOOKUP(D360,ConstDLCIds!$B$4:$C$1001,2,FALSE)),"",VLOOKUP(D360,ConstDLCIds!$B$4:$C$1001,2,FALSE))</f>
        <v>Murkmire</v>
      </c>
    </row>
    <row r="361" spans="1:5" x14ac:dyDescent="0.25">
      <c r="A361" s="12">
        <v>414</v>
      </c>
      <c r="B361" s="9" t="str">
        <f>VLOOKUP(A361,'Sets (lua data)'!$A$3:$C$9838,3,FALSE)</f>
        <v>Virulent Shot</v>
      </c>
      <c r="C361" s="9" t="str">
        <f>VLOOKUP(A361,'Sets (lua data)'!$A$3:$C$9838,2,FALSE)</f>
        <v>Virulenter Schuss</v>
      </c>
      <c r="D361" t="s">
        <v>43</v>
      </c>
      <c r="E361" s="3" t="str">
        <f>IF(ISNA(VLOOKUP(D361,ConstDLCIds!$B$4:$C$1001,2,FALSE)),"",VLOOKUP(D361,ConstDLCIds!$B$4:$C$1001,2,FALSE))</f>
        <v>Murkmire</v>
      </c>
    </row>
    <row r="362" spans="1:5" x14ac:dyDescent="0.25">
      <c r="A362" s="12">
        <v>415</v>
      </c>
      <c r="B362" s="9" t="str">
        <f>VLOOKUP(A362,'Sets (lua data)'!$A$3:$C$9838,3,FALSE)</f>
        <v>Wild Impulse</v>
      </c>
      <c r="C362" s="9" t="str">
        <f>VLOOKUP(A362,'Sets (lua data)'!$A$3:$C$9838,2,FALSE)</f>
        <v>Wilder Impuls</v>
      </c>
      <c r="D362" t="s">
        <v>43</v>
      </c>
      <c r="E362" s="3" t="str">
        <f>IF(ISNA(VLOOKUP(D362,ConstDLCIds!$B$4:$C$1001,2,FALSE)),"",VLOOKUP(D362,ConstDLCIds!$B$4:$C$1001,2,FALSE))</f>
        <v>Murkmire</v>
      </c>
    </row>
    <row r="363" spans="1:5" x14ac:dyDescent="0.25">
      <c r="A363" s="12">
        <v>416</v>
      </c>
      <c r="B363" s="9" t="str">
        <f>VLOOKUP(A363,'Sets (lua data)'!$A$3:$C$9838,3,FALSE)</f>
        <v>Mender\'s Ward</v>
      </c>
      <c r="C363" s="9" t="str">
        <f>VLOOKUP(A363,'Sets (lua data)'!$A$3:$C$9838,2,FALSE)</f>
        <v>Schutz des Pflegers</v>
      </c>
      <c r="D363" t="s">
        <v>43</v>
      </c>
      <c r="E363" s="3" t="str">
        <f>IF(ISNA(VLOOKUP(D363,ConstDLCIds!$B$4:$C$1001,2,FALSE)),"",VLOOKUP(D363,ConstDLCIds!$B$4:$C$1001,2,FALSE))</f>
        <v>Murkmire</v>
      </c>
    </row>
    <row r="364" spans="1:5" x14ac:dyDescent="0.25">
      <c r="A364" s="12">
        <v>417</v>
      </c>
      <c r="B364" s="9" t="str">
        <f>VLOOKUP(A364,'Sets (lua data)'!$A$3:$C$9838,3,FALSE)</f>
        <v>Indomitable Fury</v>
      </c>
      <c r="C364" s="9" t="str">
        <f>VLOOKUP(A364,'Sets (lua data)'!$A$3:$C$9838,2,FALSE)</f>
        <v>Unbeugsamer Zorn</v>
      </c>
      <c r="D364" t="s">
        <v>7</v>
      </c>
      <c r="E364" s="3" t="str">
        <f>IF(ISNA(VLOOKUP(D364,ConstDLCIds!$B$4:$C$1001,2,FALSE)),"",VLOOKUP(D364,ConstDLCIds!$B$4:$C$1001,2,FALSE))</f>
        <v>Included in base game</v>
      </c>
    </row>
    <row r="365" spans="1:5" x14ac:dyDescent="0.25">
      <c r="A365" s="12">
        <v>418</v>
      </c>
      <c r="B365" s="9" t="str">
        <f>VLOOKUP(A365,'Sets (lua data)'!$A$3:$C$9838,3,FALSE)</f>
        <v>Spell Strategist</v>
      </c>
      <c r="C365" s="9" t="str">
        <f>VLOOKUP(A365,'Sets (lua data)'!$A$3:$C$9838,2,FALSE)</f>
        <v>Zauberstratege</v>
      </c>
      <c r="D365" t="s">
        <v>7</v>
      </c>
      <c r="E365" s="3" t="str">
        <f>IF(ISNA(VLOOKUP(D365,ConstDLCIds!$B$4:$C$1001,2,FALSE)),"",VLOOKUP(D365,ConstDLCIds!$B$4:$C$1001,2,FALSE))</f>
        <v>Included in base game</v>
      </c>
    </row>
    <row r="366" spans="1:5" x14ac:dyDescent="0.25">
      <c r="A366" s="12">
        <v>419</v>
      </c>
      <c r="B366" s="9" t="str">
        <f>VLOOKUP(A366,'Sets (lua data)'!$A$3:$C$9838,3,FALSE)</f>
        <v>Battlefield Acrobat</v>
      </c>
      <c r="C366" s="9" t="str">
        <f>VLOOKUP(A366,'Sets (lua data)'!$A$3:$C$9838,2,FALSE)</f>
        <v>Schlachtfeldakrobat</v>
      </c>
      <c r="D366" t="s">
        <v>7</v>
      </c>
      <c r="E366" s="3" t="str">
        <f>IF(ISNA(VLOOKUP(D366,ConstDLCIds!$B$4:$C$1001,2,FALSE)),"",VLOOKUP(D366,ConstDLCIds!$B$4:$C$1001,2,FALSE))</f>
        <v>Included in base game</v>
      </c>
    </row>
    <row r="367" spans="1:5" x14ac:dyDescent="0.25">
      <c r="A367" s="12">
        <v>420</v>
      </c>
      <c r="B367" s="9" t="str">
        <f>VLOOKUP(A367,'Sets (lua data)'!$A$3:$C$9838,3,FALSE)</f>
        <v>Soldier of Anguish</v>
      </c>
      <c r="C367" s="9" t="str">
        <f>VLOOKUP(A367,'Sets (lua data)'!$A$3:$C$9838,2,FALSE)</f>
        <v>Soldat der Pein</v>
      </c>
      <c r="D367" t="s">
        <v>7</v>
      </c>
      <c r="E367" s="3" t="str">
        <f>IF(ISNA(VLOOKUP(D367,ConstDLCIds!$B$4:$C$1001,2,FALSE)),"",VLOOKUP(D367,ConstDLCIds!$B$4:$C$1001,2,FALSE))</f>
        <v>Included in base game</v>
      </c>
    </row>
    <row r="368" spans="1:5" x14ac:dyDescent="0.25">
      <c r="A368" s="12">
        <v>421</v>
      </c>
      <c r="B368" s="9" t="str">
        <f>VLOOKUP(A368,'Sets (lua data)'!$A$3:$C$9838,3,FALSE)</f>
        <v>Steadfast Hero</v>
      </c>
      <c r="C368" s="9" t="str">
        <f>VLOOKUP(A368,'Sets (lua data)'!$A$3:$C$9838,2,FALSE)</f>
        <v>Standhafter Held</v>
      </c>
      <c r="D368" t="s">
        <v>7</v>
      </c>
      <c r="E368" s="3" t="str">
        <f>IF(ISNA(VLOOKUP(D368,ConstDLCIds!$B$4:$C$1001,2,FALSE)),"",VLOOKUP(D368,ConstDLCIds!$B$4:$C$1001,2,FALSE))</f>
        <v>Included in base game</v>
      </c>
    </row>
    <row r="369" spans="1:5" x14ac:dyDescent="0.25">
      <c r="A369" s="12">
        <v>422</v>
      </c>
      <c r="B369" s="9" t="str">
        <f>VLOOKUP(A369,'Sets (lua data)'!$A$3:$C$9838,3,FALSE)</f>
        <v>Battalion Defender</v>
      </c>
      <c r="C369" s="9" t="str">
        <f>VLOOKUP(A369,'Sets (lua data)'!$A$3:$C$9838,2,FALSE)</f>
        <v>Bataillonsverteidiger</v>
      </c>
      <c r="D369" t="s">
        <v>7</v>
      </c>
      <c r="E369" s="3" t="str">
        <f>IF(ISNA(VLOOKUP(D369,ConstDLCIds!$B$4:$C$1001,2,FALSE)),"",VLOOKUP(D369,ConstDLCIds!$B$4:$C$1001,2,FALSE))</f>
        <v>Included in base game</v>
      </c>
    </row>
    <row r="370" spans="1:5" x14ac:dyDescent="0.25">
      <c r="A370" s="12">
        <v>423</v>
      </c>
      <c r="B370" s="9" t="str">
        <f>VLOOKUP(A370,'Sets (lua data)'!$A$3:$C$9838,3,FALSE)</f>
        <v>Perfect Gallant Charge</v>
      </c>
      <c r="C370" s="9" t="str">
        <f>VLOOKUP(A370,'Sets (lua data)'!$A$3:$C$9838,2,FALSE)</f>
        <v>Perfekter galanter Ansturm</v>
      </c>
      <c r="D370" t="s">
        <v>43</v>
      </c>
      <c r="E370" s="3" t="str">
        <f>IF(ISNA(VLOOKUP(D370,ConstDLCIds!$B$4:$C$1001,2,FALSE)),"",VLOOKUP(D370,ConstDLCIds!$B$4:$C$1001,2,FALSE))</f>
        <v>Murkmire</v>
      </c>
    </row>
    <row r="371" spans="1:5" x14ac:dyDescent="0.25">
      <c r="A371" s="12">
        <v>424</v>
      </c>
      <c r="B371" s="9" t="str">
        <f>VLOOKUP(A371,'Sets (lua data)'!$A$3:$C$9838,3,FALSE)</f>
        <v>Perfect Radial Uppercut</v>
      </c>
      <c r="C371" s="9" t="str">
        <f>VLOOKUP(A371,'Sets (lua data)'!$A$3:$C$9838,2,FALSE)</f>
        <v>Perfekter Rundum-Aufwärtsschnitt</v>
      </c>
      <c r="D371" t="s">
        <v>43</v>
      </c>
      <c r="E371" s="3" t="str">
        <f>IF(ISNA(VLOOKUP(D371,ConstDLCIds!$B$4:$C$1001,2,FALSE)),"",VLOOKUP(D371,ConstDLCIds!$B$4:$C$1001,2,FALSE))</f>
        <v>Murkmire</v>
      </c>
    </row>
    <row r="372" spans="1:5" x14ac:dyDescent="0.25">
      <c r="A372" s="12">
        <v>425</v>
      </c>
      <c r="B372" s="9" t="str">
        <f>VLOOKUP(A372,'Sets (lua data)'!$A$3:$C$9838,3,FALSE)</f>
        <v>Perfect Spectral Cloak</v>
      </c>
      <c r="C372" s="9" t="str">
        <f>VLOOKUP(A372,'Sets (lua data)'!$A$3:$C$9838,2,FALSE)</f>
        <v>Perfekter spektraler Mantel</v>
      </c>
      <c r="D372" t="s">
        <v>43</v>
      </c>
      <c r="E372" s="3" t="str">
        <f>IF(ISNA(VLOOKUP(D372,ConstDLCIds!$B$4:$C$1001,2,FALSE)),"",VLOOKUP(D372,ConstDLCIds!$B$4:$C$1001,2,FALSE))</f>
        <v>Murkmire</v>
      </c>
    </row>
    <row r="373" spans="1:5" x14ac:dyDescent="0.25">
      <c r="A373" s="12">
        <v>426</v>
      </c>
      <c r="B373" s="9" t="str">
        <f>VLOOKUP(A373,'Sets (lua data)'!$A$3:$C$9838,3,FALSE)</f>
        <v>Perfect Virulent Shot</v>
      </c>
      <c r="C373" s="9" t="str">
        <f>VLOOKUP(A373,'Sets (lua data)'!$A$3:$C$9838,2,FALSE)</f>
        <v>Perfekter virulenter Schuss</v>
      </c>
      <c r="D373" t="s">
        <v>43</v>
      </c>
      <c r="E373" s="3" t="str">
        <f>IF(ISNA(VLOOKUP(D373,ConstDLCIds!$B$4:$C$1001,2,FALSE)),"",VLOOKUP(D373,ConstDLCIds!$B$4:$C$1001,2,FALSE))</f>
        <v>Murkmire</v>
      </c>
    </row>
    <row r="374" spans="1:5" x14ac:dyDescent="0.25">
      <c r="A374" s="12">
        <v>427</v>
      </c>
      <c r="B374" s="9" t="str">
        <f>VLOOKUP(A374,'Sets (lua data)'!$A$3:$C$9838,3,FALSE)</f>
        <v>Perfect Wild Impulse</v>
      </c>
      <c r="C374" s="9" t="str">
        <f>VLOOKUP(A374,'Sets (lua data)'!$A$3:$C$9838,2,FALSE)</f>
        <v>Perfekter wilder Impuls</v>
      </c>
      <c r="D374" t="s">
        <v>43</v>
      </c>
      <c r="E374" s="3" t="str">
        <f>IF(ISNA(VLOOKUP(D374,ConstDLCIds!$B$4:$C$1001,2,FALSE)),"",VLOOKUP(D374,ConstDLCIds!$B$4:$C$1001,2,FALSE))</f>
        <v>Murkmire</v>
      </c>
    </row>
    <row r="375" spans="1:5" x14ac:dyDescent="0.25">
      <c r="A375" s="12">
        <v>428</v>
      </c>
      <c r="B375" s="9" t="str">
        <f>VLOOKUP(A375,'Sets (lua data)'!$A$3:$C$9838,3,FALSE)</f>
        <v>Perfect Mender\'s Ward</v>
      </c>
      <c r="C375" s="9" t="str">
        <f>VLOOKUP(A375,'Sets (lua data)'!$A$3:$C$9838,2,FALSE)</f>
        <v>Perfekter Schutz des Pflegers</v>
      </c>
      <c r="D375" t="s">
        <v>43</v>
      </c>
      <c r="E375" s="3" t="str">
        <f>IF(ISNA(VLOOKUP(D375,ConstDLCIds!$B$4:$C$1001,2,FALSE)),"",VLOOKUP(D375,ConstDLCIds!$B$4:$C$1001,2,FALSE))</f>
        <v>Murkmire</v>
      </c>
    </row>
    <row r="376" spans="1:5" x14ac:dyDescent="0.25">
      <c r="A376" s="12">
        <v>429</v>
      </c>
      <c r="B376" s="9" t="str">
        <f>VLOOKUP(A376,'Sets (lua data)'!$A$3:$C$9838,3,FALSE)</f>
        <v>Mighty Glacier</v>
      </c>
      <c r="C376" s="9" t="str">
        <f>VLOOKUP(A376,'Sets (lua data)'!$A$3:$C$9838,2,FALSE)</f>
        <v>Mächtiger Gletscher</v>
      </c>
      <c r="D376" t="s">
        <v>46</v>
      </c>
      <c r="E376" s="3" t="str">
        <f>IF(ISNA(VLOOKUP(D376,ConstDLCIds!$B$4:$C$1001,2,FALSE)),"",VLOOKUP(D376,ConstDLCIds!$B$4:$C$1001,2,FALSE))</f>
        <v>Wrathstone</v>
      </c>
    </row>
    <row r="377" spans="1:5" x14ac:dyDescent="0.25">
      <c r="A377" s="12">
        <v>430</v>
      </c>
      <c r="B377" s="9" t="str">
        <f>VLOOKUP(A377,'Sets (lua data)'!$A$3:$C$9838,3,FALSE)</f>
        <v>Tzogvin\'s Warband</v>
      </c>
      <c r="C377" s="9" t="str">
        <f>VLOOKUP(A377,'Sets (lua data)'!$A$3:$C$9838,2,FALSE)</f>
        <v>Tzogvins Kriegstrupp</v>
      </c>
      <c r="D377" t="s">
        <v>46</v>
      </c>
      <c r="E377" s="3" t="str">
        <f>IF(ISNA(VLOOKUP(D377,ConstDLCIds!$B$4:$C$1001,2,FALSE)),"",VLOOKUP(D377,ConstDLCIds!$B$4:$C$1001,2,FALSE))</f>
        <v>Wrathstone</v>
      </c>
    </row>
    <row r="378" spans="1:5" x14ac:dyDescent="0.25">
      <c r="A378" s="12">
        <v>431</v>
      </c>
      <c r="B378" s="9" t="str">
        <f>VLOOKUP(A378,'Sets (lua data)'!$A$3:$C$9838,3,FALSE)</f>
        <v>Icy Conjuror</v>
      </c>
      <c r="C378" s="9" t="str">
        <f>VLOOKUP(A378,'Sets (lua data)'!$A$3:$C$9838,2,FALSE)</f>
        <v>Eisiger Anrufer</v>
      </c>
      <c r="D378" t="s">
        <v>46</v>
      </c>
      <c r="E378" s="3" t="str">
        <f>IF(ISNA(VLOOKUP(D378,ConstDLCIds!$B$4:$C$1001,2,FALSE)),"",VLOOKUP(D378,ConstDLCIds!$B$4:$C$1001,2,FALSE))</f>
        <v>Wrathstone</v>
      </c>
    </row>
    <row r="379" spans="1:5" x14ac:dyDescent="0.25">
      <c r="A379" s="1">
        <v>432</v>
      </c>
      <c r="B379" s="9" t="str">
        <f>VLOOKUP(A379,'Sets (lua data)'!$A$3:$C$9838,3,FALSE)</f>
        <v>Stonekeeper</v>
      </c>
      <c r="C379" s="9" t="str">
        <f>VLOOKUP(A379,'Sets (lua data)'!$A$3:$C$9838,2,FALSE)</f>
        <v>Steinwahrer</v>
      </c>
      <c r="D379" t="s">
        <v>46</v>
      </c>
      <c r="E379" s="3" t="str">
        <f>IF(ISNA(VLOOKUP(D379,ConstDLCIds!$B$4:$C$1001,2,FALSE)),"",VLOOKUP(D379,ConstDLCIds!$B$4:$C$1001,2,FALSE))</f>
        <v>Wrathstone</v>
      </c>
    </row>
    <row r="380" spans="1:5" x14ac:dyDescent="0.25">
      <c r="A380" s="12">
        <v>433</v>
      </c>
      <c r="B380" s="9" t="str">
        <f>VLOOKUP(A380,'Sets (lua data)'!$A$3:$C$9838,3,FALSE)</f>
        <v>Frozen Watcher</v>
      </c>
      <c r="C380" s="9" t="str">
        <f>VLOOKUP(A380,'Sets (lua data)'!$A$3:$C$9838,2,FALSE)</f>
        <v>Gefrorener Beobachter</v>
      </c>
      <c r="D380" t="s">
        <v>46</v>
      </c>
      <c r="E380" s="3" t="str">
        <f>IF(ISNA(VLOOKUP(D380,ConstDLCIds!$B$4:$C$1001,2,FALSE)),"",VLOOKUP(D380,ConstDLCIds!$B$4:$C$1001,2,FALSE))</f>
        <v>Wrathstone</v>
      </c>
    </row>
    <row r="381" spans="1:5" x14ac:dyDescent="0.25">
      <c r="A381" s="12">
        <v>434</v>
      </c>
      <c r="B381" s="9" t="str">
        <f>VLOOKUP(A381,'Sets (lua data)'!$A$3:$C$9838,3,FALSE)</f>
        <v>Scavenging Demise</v>
      </c>
      <c r="C381" s="9" t="str">
        <f>VLOOKUP(A381,'Sets (lua data)'!$A$3:$C$9838,2,FALSE)</f>
        <v>Ausbeutender Niedergang</v>
      </c>
      <c r="D381" t="s">
        <v>46</v>
      </c>
      <c r="E381" s="3" t="str">
        <f>IF(ISNA(VLOOKUP(D381,ConstDLCIds!$B$4:$C$1001,2,FALSE)),"",VLOOKUP(D381,ConstDLCIds!$B$4:$C$1001,2,FALSE))</f>
        <v>Wrathstone</v>
      </c>
    </row>
    <row r="382" spans="1:5" x14ac:dyDescent="0.25">
      <c r="A382" s="12">
        <v>435</v>
      </c>
      <c r="B382" s="9" t="str">
        <f>VLOOKUP(A382,'Sets (lua data)'!$A$3:$C$9838,3,FALSE)</f>
        <v>Auroran\'s Thunder</v>
      </c>
      <c r="C382" s="9" t="str">
        <f>VLOOKUP(A382,'Sets (lua data)'!$A$3:$C$9838,2,FALSE)</f>
        <v>Donner des Auroraners</v>
      </c>
      <c r="D382" t="s">
        <v>46</v>
      </c>
      <c r="E382" s="3" t="str">
        <f>IF(ISNA(VLOOKUP(D382,ConstDLCIds!$B$4:$C$1001,2,FALSE)),"",VLOOKUP(D382,ConstDLCIds!$B$4:$C$1001,2,FALSE))</f>
        <v>Wrathstone</v>
      </c>
    </row>
    <row r="383" spans="1:5" x14ac:dyDescent="0.25">
      <c r="A383" s="1">
        <v>436</v>
      </c>
      <c r="B383" s="9" t="str">
        <f>VLOOKUP(A383,'Sets (lua data)'!$A$3:$C$9838,3,FALSE)</f>
        <v>Symphony of Blades</v>
      </c>
      <c r="C383" s="9" t="str">
        <f>VLOOKUP(A383,'Sets (lua data)'!$A$3:$C$9838,2,FALSE)</f>
        <v>Sinfonie der Klingen</v>
      </c>
      <c r="D383" t="s">
        <v>46</v>
      </c>
      <c r="E383" s="3" t="str">
        <f>IF(ISNA(VLOOKUP(D383,ConstDLCIds!$B$4:$C$1001,2,FALSE)),"",VLOOKUP(D383,ConstDLCIds!$B$4:$C$1001,2,FALSE))</f>
        <v>Wrathstone</v>
      </c>
    </row>
    <row r="384" spans="1:5" x14ac:dyDescent="0.25">
      <c r="A384" s="12">
        <v>437</v>
      </c>
      <c r="B384" s="9" t="str">
        <f>VLOOKUP(A384,'Sets (lua data)'!$A$3:$C$9838,3,FALSE)</f>
        <v>Coldharbour\'s Favorite</v>
      </c>
      <c r="C384" s="9" t="str">
        <f>VLOOKUP(A384,'Sets (lua data)'!$A$3:$C$9838,2,FALSE)</f>
        <v>Kalthafens Günstling</v>
      </c>
      <c r="D384" t="s">
        <v>49</v>
      </c>
      <c r="E384" s="3" t="str">
        <f>IF(ISNA(VLOOKUP(D384,ConstDLCIds!$B$4:$C$1001,2,FALSE)),"",VLOOKUP(D384,ConstDLCIds!$B$4:$C$1001,2,FALSE))</f>
        <v>Elsweyr</v>
      </c>
    </row>
    <row r="385" spans="1:5" x14ac:dyDescent="0.25">
      <c r="A385" s="12">
        <v>438</v>
      </c>
      <c r="B385" s="9" t="str">
        <f>VLOOKUP(A385,'Sets (lua data)'!$A$3:$C$9838,3,FALSE)</f>
        <v>Senche-raht\'s Grit</v>
      </c>
      <c r="C385" s="9" t="str">
        <f>VLOOKUP(A385,'Sets (lua data)'!$A$3:$C$9838,2,FALSE)</f>
        <v>Mut des Senche-raht</v>
      </c>
      <c r="D385" t="s">
        <v>19</v>
      </c>
      <c r="E385" s="3" t="str">
        <f>IF(ISNA(VLOOKUP(D385,ConstDLCIds!$B$4:$C$1001,2,FALSE)),"",VLOOKUP(D385,ConstDLCIds!$B$4:$C$1001,2,FALSE))</f>
        <v>Dark Brotherhood</v>
      </c>
    </row>
    <row r="386" spans="1:5" x14ac:dyDescent="0.25">
      <c r="A386" s="1">
        <v>439</v>
      </c>
      <c r="B386" s="9" t="str">
        <f>VLOOKUP(A386,'Sets (lua data)'!$A$3:$C$9838,3,FALSE)</f>
        <v>Vastarie\'s Tutelage</v>
      </c>
      <c r="C386" s="9" t="str">
        <f>VLOOKUP(A386,'Sets (lua data)'!$A$3:$C$9838,2,FALSE)</f>
        <v>Vastaries Vormundschaft</v>
      </c>
      <c r="D386" t="s">
        <v>49</v>
      </c>
      <c r="E386" s="3" t="str">
        <f>IF(ISNA(VLOOKUP(D386,ConstDLCIds!$B$4:$C$1001,2,FALSE)),"",VLOOKUP(D386,ConstDLCIds!$B$4:$C$1001,2,FALSE))</f>
        <v>Elsweyr</v>
      </c>
    </row>
    <row r="387" spans="1:5" x14ac:dyDescent="0.25">
      <c r="A387" s="1">
        <v>440</v>
      </c>
      <c r="B387" s="9" t="str">
        <f>VLOOKUP(A387,'Sets (lua data)'!$A$3:$C$9838,3,FALSE)</f>
        <v>Crafty Alfiq</v>
      </c>
      <c r="C387" s="9" t="str">
        <f>VLOOKUP(A387,'Sets (lua data)'!$A$3:$C$9838,2,FALSE)</f>
        <v>Listiger Alfiq</v>
      </c>
      <c r="D387" t="s">
        <v>49</v>
      </c>
      <c r="E387" s="3" t="str">
        <f>IF(ISNA(VLOOKUP(D387,ConstDLCIds!$B$4:$C$1001,2,FALSE)),"",VLOOKUP(D387,ConstDLCIds!$B$4:$C$1001,2,FALSE))</f>
        <v>Elsweyr</v>
      </c>
    </row>
    <row r="388" spans="1:5" x14ac:dyDescent="0.25">
      <c r="A388" s="1">
        <v>441</v>
      </c>
      <c r="B388" s="9" t="str">
        <f>VLOOKUP(A388,'Sets (lua data)'!$A$3:$C$9838,3,FALSE)</f>
        <v>Vesture of Darloc Brae</v>
      </c>
      <c r="C388" s="9" t="str">
        <f>VLOOKUP(A388,'Sets (lua data)'!$A$3:$C$9838,2,FALSE)</f>
        <v>Gewandung von Darloc Brae</v>
      </c>
      <c r="D388" t="s">
        <v>49</v>
      </c>
      <c r="E388" s="3" t="str">
        <f>IF(ISNA(VLOOKUP(D388,ConstDLCIds!$B$4:$C$1001,2,FALSE)),"",VLOOKUP(D388,ConstDLCIds!$B$4:$C$1001,2,FALSE))</f>
        <v>Elsweyr</v>
      </c>
    </row>
    <row r="389" spans="1:5" x14ac:dyDescent="0.25">
      <c r="A389" s="1">
        <v>442</v>
      </c>
      <c r="B389" s="9" t="str">
        <f>VLOOKUP(A389,'Sets (lua data)'!$A$3:$C$9838,3,FALSE)</f>
        <v>Call of the Undertaker</v>
      </c>
      <c r="C389" s="9" t="str">
        <f>VLOOKUP(A389,'Sets (lua data)'!$A$3:$C$9838,2,FALSE)</f>
        <v>Ruf des Totengräbers</v>
      </c>
      <c r="D389" t="s">
        <v>49</v>
      </c>
      <c r="E389" s="3" t="str">
        <f>IF(ISNA(VLOOKUP(D389,ConstDLCIds!$B$4:$C$1001,2,FALSE)),"",VLOOKUP(D389,ConstDLCIds!$B$4:$C$1001,2,FALSE))</f>
        <v>Elsweyr</v>
      </c>
    </row>
    <row r="390" spans="1:5" x14ac:dyDescent="0.25">
      <c r="A390" s="1">
        <v>443</v>
      </c>
      <c r="B390" s="9" t="str">
        <f>VLOOKUP(A390,'Sets (lua data)'!$A$3:$C$9838,3,FALSE)</f>
        <v>Eye of Nahviintaas</v>
      </c>
      <c r="C390" s="9" t="str">
        <f>VLOOKUP(A390,'Sets (lua data)'!$A$3:$C$9838,2,FALSE)</f>
        <v>Auge von Nahviintaas</v>
      </c>
      <c r="D390" t="s">
        <v>49</v>
      </c>
      <c r="E390" s="3" t="str">
        <f>IF(ISNA(VLOOKUP(D390,ConstDLCIds!$B$4:$C$1001,2,FALSE)),"",VLOOKUP(D390,ConstDLCIds!$B$4:$C$1001,2,FALSE))</f>
        <v>Elsweyr</v>
      </c>
    </row>
    <row r="391" spans="1:5" x14ac:dyDescent="0.25">
      <c r="A391" s="1">
        <v>444</v>
      </c>
      <c r="B391" s="9" t="str">
        <f>VLOOKUP(A391,'Sets (lua data)'!$A$3:$C$9838,3,FALSE)</f>
        <v>False God\'s Devotion</v>
      </c>
      <c r="C391" s="9" t="str">
        <f>VLOOKUP(A391,'Sets (lua data)'!$A$3:$C$9838,2,FALSE)</f>
        <v>Ergebenheit des falschen Gottes</v>
      </c>
      <c r="D391" t="s">
        <v>49</v>
      </c>
      <c r="E391" s="3" t="str">
        <f>IF(ISNA(VLOOKUP(D391,ConstDLCIds!$B$4:$C$1001,2,FALSE)),"",VLOOKUP(D391,ConstDLCIds!$B$4:$C$1001,2,FALSE))</f>
        <v>Elsweyr</v>
      </c>
    </row>
    <row r="392" spans="1:5" x14ac:dyDescent="0.25">
      <c r="A392" s="1">
        <v>445</v>
      </c>
      <c r="B392" s="9" t="str">
        <f>VLOOKUP(A392,'Sets (lua data)'!$A$3:$C$9838,3,FALSE)</f>
        <v>Tooth of Lokkestiiz</v>
      </c>
      <c r="C392" s="9" t="str">
        <f>VLOOKUP(A392,'Sets (lua data)'!$A$3:$C$9838,2,FALSE)</f>
        <v>Zahn von Lokkestiiz</v>
      </c>
      <c r="D392" t="s">
        <v>49</v>
      </c>
      <c r="E392" s="3" t="str">
        <f>IF(ISNA(VLOOKUP(D392,ConstDLCIds!$B$4:$C$1001,2,FALSE)),"",VLOOKUP(D392,ConstDLCIds!$B$4:$C$1001,2,FALSE))</f>
        <v>Elsweyr</v>
      </c>
    </row>
    <row r="393" spans="1:5" x14ac:dyDescent="0.25">
      <c r="A393" s="12">
        <v>446</v>
      </c>
      <c r="B393" s="9" t="str">
        <f>VLOOKUP(A393,'Sets (lua data)'!$A$3:$C$9838,3,FALSE)</f>
        <v>Claw of Yolnakhriin</v>
      </c>
      <c r="C393" s="9" t="str">
        <f>VLOOKUP(A393,'Sets (lua data)'!$A$3:$C$9838,2,FALSE)</f>
        <v>Kralle von Yolnahkriin</v>
      </c>
      <c r="D393" t="s">
        <v>49</v>
      </c>
      <c r="E393" s="3" t="str">
        <f>IF(ISNA(VLOOKUP(D393,ConstDLCIds!$B$4:$C$1001,2,FALSE)),"",VLOOKUP(D393,ConstDLCIds!$B$4:$C$1001,2,FALSE))</f>
        <v>Elsweyr</v>
      </c>
    </row>
    <row r="394" spans="1:5" x14ac:dyDescent="0.25">
      <c r="A394" s="1">
        <v>448</v>
      </c>
      <c r="B394" s="9" t="str">
        <f>VLOOKUP(A394,'Sets (lua data)'!$A$3:$C$9838,3,FALSE)</f>
        <v>Perfected Eye of Nahviintaas</v>
      </c>
      <c r="C394" s="9" t="str">
        <f>VLOOKUP(A394,'Sets (lua data)'!$A$3:$C$9838,2,FALSE)</f>
        <v>Perfektioniertes Auge von Nahviintaas</v>
      </c>
      <c r="D394" t="s">
        <v>49</v>
      </c>
      <c r="E394" s="3" t="str">
        <f>IF(ISNA(VLOOKUP(D394,ConstDLCIds!$B$4:$C$1001,2,FALSE)),"",VLOOKUP(D394,ConstDLCIds!$B$4:$C$1001,2,FALSE))</f>
        <v>Elsweyr</v>
      </c>
    </row>
    <row r="395" spans="1:5" x14ac:dyDescent="0.25">
      <c r="A395" s="1">
        <v>449</v>
      </c>
      <c r="B395" s="9" t="str">
        <f>VLOOKUP(A395,'Sets (lua data)'!$A$3:$C$9838,3,FALSE)</f>
        <v>Perfected False God\'s Devotion</v>
      </c>
      <c r="C395" s="9" t="str">
        <f>VLOOKUP(A395,'Sets (lua data)'!$A$3:$C$9838,2,FALSE)</f>
        <v>Perfektionierte Ergebenheit zum falschen Gott</v>
      </c>
      <c r="D395" t="s">
        <v>49</v>
      </c>
      <c r="E395" s="3" t="str">
        <f>IF(ISNA(VLOOKUP(D395,ConstDLCIds!$B$4:$C$1001,2,FALSE)),"",VLOOKUP(D395,ConstDLCIds!$B$4:$C$1001,2,FALSE))</f>
        <v>Elsweyr</v>
      </c>
    </row>
    <row r="396" spans="1:5" x14ac:dyDescent="0.25">
      <c r="A396" s="1">
        <v>450</v>
      </c>
      <c r="B396" s="9" t="str">
        <f>VLOOKUP(A396,'Sets (lua data)'!$A$3:$C$9838,3,FALSE)</f>
        <v>Perfected Tooth of Lokkestiiz</v>
      </c>
      <c r="C396" s="9" t="str">
        <f>VLOOKUP(A396,'Sets (lua data)'!$A$3:$C$9838,2,FALSE)</f>
        <v>Perfektionierter Zahn von Lokkestiiz</v>
      </c>
      <c r="D396" t="s">
        <v>49</v>
      </c>
      <c r="E396" s="3" t="str">
        <f>IF(ISNA(VLOOKUP(D396,ConstDLCIds!$B$4:$C$1001,2,FALSE)),"",VLOOKUP(D396,ConstDLCIds!$B$4:$C$1001,2,FALSE))</f>
        <v>Elsweyr</v>
      </c>
    </row>
    <row r="397" spans="1:5" x14ac:dyDescent="0.25">
      <c r="A397" s="1">
        <v>451</v>
      </c>
      <c r="B397" s="9" t="str">
        <f>VLOOKUP(A397,'Sets (lua data)'!$A$3:$C$9838,3,FALSE)</f>
        <v>Perfected Claw of Yolnakhriin</v>
      </c>
      <c r="C397" s="9" t="str">
        <f>VLOOKUP(A397,'Sets (lua data)'!$A$3:$C$9838,2,FALSE)</f>
        <v>Perfektionierte Kralle von Yolnahkriin</v>
      </c>
      <c r="D397" t="s">
        <v>49</v>
      </c>
      <c r="E397" s="3" t="str">
        <f>IF(ISNA(VLOOKUP(D397,ConstDLCIds!$B$4:$C$1001,2,FALSE)),"",VLOOKUP(D397,ConstDLCIds!$B$4:$C$1001,2,FALSE))</f>
        <v>Elsweyr</v>
      </c>
    </row>
    <row r="398" spans="1:5" x14ac:dyDescent="0.25">
      <c r="A398" s="1">
        <v>452</v>
      </c>
      <c r="B398" s="9" t="str">
        <f>VLOOKUP(A398,'Sets (lua data)'!$A$3:$C$9838,3,FALSE)</f>
        <v>Hollowfang Thirst</v>
      </c>
      <c r="C398" s="9" t="str">
        <f>VLOOKUP(A398,'Sets (lua data)'!$A$3:$C$9838,2,FALSE)</f>
        <v>Hohlzahndurst</v>
      </c>
      <c r="D398" t="s">
        <v>52</v>
      </c>
      <c r="E398" s="3" t="str">
        <f>IF(ISNA(VLOOKUP(D398,ConstDLCIds!$B$4:$C$1001,2,FALSE)),"",VLOOKUP(D398,ConstDLCIds!$B$4:$C$1001,2,FALSE))</f>
        <v>Scalebraker</v>
      </c>
    </row>
    <row r="399" spans="1:5" x14ac:dyDescent="0.25">
      <c r="A399" s="1">
        <v>453</v>
      </c>
      <c r="B399" s="9" t="str">
        <f>VLOOKUP(A399,'Sets (lua data)'!$A$3:$C$9838,3,FALSE)</f>
        <v>Dro\'Zakar\'s Claws</v>
      </c>
      <c r="C399" s="9" t="str">
        <f>VLOOKUP(A399,'Sets (lua data)'!$A$3:$C$9838,2,FALSE)</f>
        <v>Dro'Zakars Krallen</v>
      </c>
      <c r="D399" t="s">
        <v>52</v>
      </c>
      <c r="E399" s="3" t="str">
        <f>IF(ISNA(VLOOKUP(D399,ConstDLCIds!$B$4:$C$1001,2,FALSE)),"",VLOOKUP(D399,ConstDLCIds!$B$4:$C$1001,2,FALSE))</f>
        <v>Scalebraker</v>
      </c>
    </row>
    <row r="400" spans="1:5" x14ac:dyDescent="0.25">
      <c r="A400" s="1">
        <v>454</v>
      </c>
      <c r="B400" s="9" t="str">
        <f>VLOOKUP(A400,'Sets (lua data)'!$A$3:$C$9838,3,FALSE)</f>
        <v>Renald\'s Resolve</v>
      </c>
      <c r="C400" s="9" t="str">
        <f>VLOOKUP(A400,'Sets (lua data)'!$A$3:$C$9838,2,FALSE)</f>
        <v>Renalds Entschlossenheit</v>
      </c>
      <c r="D400" t="s">
        <v>52</v>
      </c>
      <c r="E400" s="3" t="str">
        <f>IF(ISNA(VLOOKUP(D400,ConstDLCIds!$B$4:$C$1001,2,FALSE)),"",VLOOKUP(D400,ConstDLCIds!$B$4:$C$1001,2,FALSE))</f>
        <v>Scalebraker</v>
      </c>
    </row>
    <row r="401" spans="1:5" x14ac:dyDescent="0.25">
      <c r="A401" s="1">
        <v>455</v>
      </c>
      <c r="B401" s="9" t="str">
        <f>VLOOKUP(A401,'Sets (lua data)'!$A$3:$C$9838,3,FALSE)</f>
        <v>Z\'en\'s Redress</v>
      </c>
      <c r="C401" s="9" t="str">
        <f>VLOOKUP(A401,'Sets (lua data)'!$A$3:$C$9838,2,FALSE)</f>
        <v>Z'ens Wiedergutmachung</v>
      </c>
      <c r="D401" t="s">
        <v>52</v>
      </c>
      <c r="E401" s="3" t="str">
        <f>IF(ISNA(VLOOKUP(D401,ConstDLCIds!$B$4:$C$1001,2,FALSE)),"",VLOOKUP(D401,ConstDLCIds!$B$4:$C$1001,2,FALSE))</f>
        <v>Scalebraker</v>
      </c>
    </row>
    <row r="402" spans="1:5" x14ac:dyDescent="0.25">
      <c r="A402" s="1">
        <v>456</v>
      </c>
      <c r="B402" s="9" t="str">
        <f>VLOOKUP(A402,'Sets (lua data)'!$A$3:$C$9838,3,FALSE)</f>
        <v>Azureblight Reaper</v>
      </c>
      <c r="C402" s="9" t="str">
        <f>VLOOKUP(A402,'Sets (lua data)'!$A$3:$C$9838,2,FALSE)</f>
        <v>Azurfäuleschnitter</v>
      </c>
      <c r="D402" t="s">
        <v>52</v>
      </c>
      <c r="E402" s="3" t="str">
        <f>IF(ISNA(VLOOKUP(D402,ConstDLCIds!$B$4:$C$1001,2,FALSE)),"",VLOOKUP(D402,ConstDLCIds!$B$4:$C$1001,2,FALSE))</f>
        <v>Scalebraker</v>
      </c>
    </row>
    <row r="403" spans="1:5" x14ac:dyDescent="0.25">
      <c r="A403" s="1">
        <v>457</v>
      </c>
      <c r="B403" s="9" t="str">
        <f>VLOOKUP(A403,'Sets (lua data)'!$A$3:$C$9838,3,FALSE)</f>
        <v>Dragon\'s Defilement</v>
      </c>
      <c r="C403" s="9" t="str">
        <f>VLOOKUP(A403,'Sets (lua data)'!$A$3:$C$9838,2,FALSE)</f>
        <v>Drachenschändung</v>
      </c>
      <c r="D403" t="s">
        <v>52</v>
      </c>
      <c r="E403" s="3" t="str">
        <f>IF(ISNA(VLOOKUP(D403,ConstDLCIds!$B$4:$C$1001,2,FALSE)),"",VLOOKUP(D403,ConstDLCIds!$B$4:$C$1001,2,FALSE))</f>
        <v>Scalebraker</v>
      </c>
    </row>
    <row r="404" spans="1:5" x14ac:dyDescent="0.25">
      <c r="A404" s="1">
        <v>458</v>
      </c>
      <c r="B404" s="9" t="str">
        <f>VLOOKUP(A404,'Sets (lua data)'!$A$3:$C$9838,3,FALSE)</f>
        <v>Grundwulf</v>
      </c>
      <c r="C404" s="9" t="str">
        <f>VLOOKUP(A404,'Sets (lua data)'!$A$3:$C$9838,2,FALSE)</f>
        <v>Grundwulf</v>
      </c>
      <c r="D404" t="s">
        <v>52</v>
      </c>
      <c r="E404" s="3" t="str">
        <f>IF(ISNA(VLOOKUP(D404,ConstDLCIds!$B$4:$C$1001,2,FALSE)),"",VLOOKUP(D404,ConstDLCIds!$B$4:$C$1001,2,FALSE))</f>
        <v>Scalebraker</v>
      </c>
    </row>
    <row r="405" spans="1:5" x14ac:dyDescent="0.25">
      <c r="A405" s="1">
        <v>459</v>
      </c>
      <c r="B405" s="9" t="str">
        <f>VLOOKUP(A405,'Sets (lua data)'!$A$3:$C$9838,3,FALSE)</f>
        <v>Maarselok</v>
      </c>
      <c r="C405" s="9" t="str">
        <f>VLOOKUP(A405,'Sets (lua data)'!$A$3:$C$9838,2,FALSE)</f>
        <v>Maarselok</v>
      </c>
      <c r="D405" t="s">
        <v>52</v>
      </c>
      <c r="E405" s="3" t="str">
        <f>IF(ISNA(VLOOKUP(D405,ConstDLCIds!$B$4:$C$1001,2,FALSE)),"",VLOOKUP(D405,ConstDLCIds!$B$4:$C$1001,2,FALSE))</f>
        <v>Scalebraker</v>
      </c>
    </row>
    <row r="406" spans="1:5" x14ac:dyDescent="0.25">
      <c r="A406" s="1">
        <v>465</v>
      </c>
      <c r="B406" s="9" t="str">
        <f>VLOOKUP(A406,'Sets (lua data)'!$A$3:$C$9838,3,FALSE)</f>
        <v>Senchal Defender</v>
      </c>
      <c r="C406" s="9" t="str">
        <f>VLOOKUP(A406,'Sets (lua data)'!$A$3:$C$9838,2,FALSE)</f>
        <v>Verteidiger von Senchal</v>
      </c>
      <c r="D406" t="s">
        <v>55</v>
      </c>
      <c r="E406" s="3" t="str">
        <f>IF(ISNA(VLOOKUP(D406,ConstDLCIds!$B$4:$C$1001,2,FALSE)),"",VLOOKUP(D406,ConstDLCIds!$B$4:$C$1001,2,FALSE))</f>
        <v>Dragonhold</v>
      </c>
    </row>
    <row r="407" spans="1:5" x14ac:dyDescent="0.25">
      <c r="A407" s="1">
        <v>466</v>
      </c>
      <c r="B407" s="9" t="str">
        <f>VLOOKUP(A407,'Sets (lua data)'!$A$3:$C$9838,3,FALSE)</f>
        <v>Marauder\'s Haste</v>
      </c>
      <c r="C407" s="9" t="str">
        <f>VLOOKUP(A407,'Sets (lua data)'!$A$3:$C$9838,2,FALSE)</f>
        <v>Marodeurshast</v>
      </c>
      <c r="D407" t="s">
        <v>55</v>
      </c>
      <c r="E407" s="3" t="str">
        <f>IF(ISNA(VLOOKUP(D407,ConstDLCIds!$B$4:$C$1001,2,FALSE)),"",VLOOKUP(D407,ConstDLCIds!$B$4:$C$1001,2,FALSE))</f>
        <v>Dragonhold</v>
      </c>
    </row>
    <row r="408" spans="1:5" x14ac:dyDescent="0.25">
      <c r="A408" s="1">
        <v>467</v>
      </c>
      <c r="B408" s="9" t="str">
        <f>VLOOKUP(A408,'Sets (lua data)'!$A$3:$C$9838,3,FALSE)</f>
        <v>Dragonguard Elite</v>
      </c>
      <c r="C408" s="9" t="str">
        <f>VLOOKUP(A408,'Sets (lua data)'!$A$3:$C$9838,2,FALSE)</f>
        <v>Drachengardeelite</v>
      </c>
      <c r="D408" t="s">
        <v>55</v>
      </c>
      <c r="E408" s="3" t="str">
        <f>IF(ISNA(VLOOKUP(D408,ConstDLCIds!$B$4:$C$1001,2,FALSE)),"",VLOOKUP(D408,ConstDLCIds!$B$4:$C$1001,2,FALSE))</f>
        <v>Dragonhold</v>
      </c>
    </row>
    <row r="409" spans="1:5" x14ac:dyDescent="0.25">
      <c r="A409" s="1">
        <v>468</v>
      </c>
      <c r="B409" s="9" t="str">
        <f>VLOOKUP(A409,'Sets (lua data)'!$A$3:$C$9838,3,FALSE)</f>
        <v>Daring Corsair</v>
      </c>
      <c r="C409" s="9" t="str">
        <f>VLOOKUP(A409,'Sets (lua data)'!$A$3:$C$9838,2,FALSE)</f>
        <v>Kühner Korsar</v>
      </c>
      <c r="D409" t="s">
        <v>55</v>
      </c>
      <c r="E409" s="3" t="str">
        <f>IF(ISNA(VLOOKUP(D409,ConstDLCIds!$B$4:$C$1001,2,FALSE)),"",VLOOKUP(D409,ConstDLCIds!$B$4:$C$1001,2,FALSE))</f>
        <v>Dragonhold</v>
      </c>
    </row>
    <row r="410" spans="1:5" x14ac:dyDescent="0.25">
      <c r="A410" s="1">
        <v>469</v>
      </c>
      <c r="B410" s="9" t="str">
        <f>VLOOKUP(A410,'Sets (lua data)'!$A$3:$C$9838,3,FALSE)</f>
        <v>Ancient Dragonguard</v>
      </c>
      <c r="C410" s="9" t="str">
        <f>VLOOKUP(A410,'Sets (lua data)'!$A$3:$C$9838,2,FALSE)</f>
        <v>Alte Drachengarde</v>
      </c>
      <c r="D410" t="s">
        <v>55</v>
      </c>
      <c r="E410" s="3" t="str">
        <f>IF(ISNA(VLOOKUP(D410,ConstDLCIds!$B$4:$C$1001,2,FALSE)),"",VLOOKUP(D410,ConstDLCIds!$B$4:$C$1001,2,FALSE))</f>
        <v>Dragonhold</v>
      </c>
    </row>
    <row r="411" spans="1:5" x14ac:dyDescent="0.25">
      <c r="A411" s="1">
        <v>470</v>
      </c>
      <c r="B411" s="9" t="str">
        <f>VLOOKUP(A411,'Sets (lua data)'!$A$3:$C$9838,3,FALSE)</f>
        <v>New Moon Acolyte</v>
      </c>
      <c r="C411" s="9" t="str">
        <f>VLOOKUP(A411,'Sets (lua data)'!$A$3:$C$9838,2,FALSE)</f>
        <v>Akolythin des Neuen Mondes</v>
      </c>
      <c r="D411" t="s">
        <v>55</v>
      </c>
      <c r="E411" s="3" t="str">
        <f>IF(ISNA(VLOOKUP(D411,ConstDLCIds!$B$4:$C$1001,2,FALSE)),"",VLOOKUP(D411,ConstDLCIds!$B$4:$C$1001,2,FALSE))</f>
        <v>Dragonhold</v>
      </c>
    </row>
    <row r="412" spans="1:5" x14ac:dyDescent="0.25">
      <c r="A412" s="1">
        <v>471</v>
      </c>
      <c r="B412" s="9" t="str">
        <f>VLOOKUP(A412,'Sets (lua data)'!$A$3:$C$9838,3,FALSE)</f>
        <v>Hiti\'s Hearth</v>
      </c>
      <c r="C412" s="9" t="str">
        <f>VLOOKUP(A412,'Sets (lua data)'!$A$3:$C$9838,2,FALSE)</f>
        <v>Hitis Feuerstelle</v>
      </c>
      <c r="D412" t="s">
        <v>58</v>
      </c>
      <c r="E412" s="3" t="str">
        <f>IF(ISNA(VLOOKUP(D412,ConstDLCIds!$B$4:$C$1001,2,FALSE)),"",VLOOKUP(D412,ConstDLCIds!$B$4:$C$1001,2,FALSE))</f>
        <v>Harrowstorm</v>
      </c>
    </row>
    <row r="413" spans="1:5" x14ac:dyDescent="0.25">
      <c r="A413" s="1">
        <v>472</v>
      </c>
      <c r="B413" s="9" t="str">
        <f>VLOOKUP(A413,'Sets (lua data)'!$A$3:$C$9838,3,FALSE)</f>
        <v>Titanborn Strength</v>
      </c>
      <c r="C413" s="9" t="str">
        <f>VLOOKUP(A413,'Sets (lua data)'!$A$3:$C$9838,2,FALSE)</f>
        <v>Titanenkinds Stärke</v>
      </c>
      <c r="D413" t="s">
        <v>58</v>
      </c>
      <c r="E413" s="3" t="str">
        <f>IF(ISNA(VLOOKUP(D413,ConstDLCIds!$B$4:$C$1001,2,FALSE)),"",VLOOKUP(D413,ConstDLCIds!$B$4:$C$1001,2,FALSE))</f>
        <v>Harrowstorm</v>
      </c>
    </row>
    <row r="414" spans="1:5" x14ac:dyDescent="0.25">
      <c r="A414" s="1">
        <v>473</v>
      </c>
      <c r="B414" s="9" t="str">
        <f>VLOOKUP(A414,'Sets (lua data)'!$A$3:$C$9838,3,FALSE)</f>
        <v>Bani\'s Torment</v>
      </c>
      <c r="C414" s="9" t="str">
        <f>VLOOKUP(A414,'Sets (lua data)'!$A$3:$C$9838,2,FALSE)</f>
        <v>Banis Qual</v>
      </c>
      <c r="D414" t="s">
        <v>58</v>
      </c>
      <c r="E414" s="3" t="str">
        <f>IF(ISNA(VLOOKUP(D414,ConstDLCIds!$B$4:$C$1001,2,FALSE)),"",VLOOKUP(D414,ConstDLCIds!$B$4:$C$1001,2,FALSE))</f>
        <v>Harrowstorm</v>
      </c>
    </row>
    <row r="415" spans="1:5" x14ac:dyDescent="0.25">
      <c r="A415" s="1">
        <v>474</v>
      </c>
      <c r="B415" s="9" t="str">
        <f>VLOOKUP(A415,'Sets (lua data)'!$A$3:$C$9838,3,FALSE)</f>
        <v>Draugrkin\'s Grip</v>
      </c>
      <c r="C415" s="9" t="str">
        <f>VLOOKUP(A415,'Sets (lua data)'!$A$3:$C$9838,2,FALSE)</f>
        <v>Griff der Draugrbrut</v>
      </c>
      <c r="D415" t="s">
        <v>58</v>
      </c>
      <c r="E415" s="3" t="str">
        <f>IF(ISNA(VLOOKUP(D415,ConstDLCIds!$B$4:$C$1001,2,FALSE)),"",VLOOKUP(D415,ConstDLCIds!$B$4:$C$1001,2,FALSE))</f>
        <v>Harrowstorm</v>
      </c>
    </row>
    <row r="416" spans="1:5" x14ac:dyDescent="0.25">
      <c r="A416" s="1">
        <v>475</v>
      </c>
      <c r="B416" s="9" t="str">
        <f>VLOOKUP(A416,'Sets (lua data)'!$A$3:$C$9838,3,FALSE)</f>
        <v>Aegis Caller</v>
      </c>
      <c r="C416" s="9" t="str">
        <f>VLOOKUP(A416,'Sets (lua data)'!$A$3:$C$9838,2,FALSE)</f>
        <v>Ägisrufer</v>
      </c>
      <c r="D416" t="s">
        <v>58</v>
      </c>
      <c r="E416" s="3" t="str">
        <f>IF(ISNA(VLOOKUP(D416,ConstDLCIds!$B$4:$C$1001,2,FALSE)),"",VLOOKUP(D416,ConstDLCIds!$B$4:$C$1001,2,FALSE))</f>
        <v>Harrowstorm</v>
      </c>
    </row>
    <row r="417" spans="1:6" x14ac:dyDescent="0.25">
      <c r="A417" s="1">
        <v>476</v>
      </c>
      <c r="B417" s="9" t="str">
        <f>VLOOKUP(A417,'Sets (lua data)'!$A$3:$C$9838,3,FALSE)</f>
        <v>Grave Guardian </v>
      </c>
      <c r="C417" s="9" t="str">
        <f>VLOOKUP(A417,'Sets (lua data)'!$A$3:$C$9838,2,FALSE)</f>
        <v>Grabwächter</v>
      </c>
      <c r="D417" t="s">
        <v>58</v>
      </c>
      <c r="E417" s="3" t="str">
        <f>IF(ISNA(VLOOKUP(D417,ConstDLCIds!$B$4:$C$1001,2,FALSE)),"",VLOOKUP(D417,ConstDLCIds!$B$4:$C$1001,2,FALSE))</f>
        <v>Harrowstorm</v>
      </c>
    </row>
    <row r="418" spans="1:6" x14ac:dyDescent="0.25">
      <c r="A418" s="1">
        <v>478</v>
      </c>
      <c r="B418" s="9" t="str">
        <f>VLOOKUP(A418,'Sets (lua data)'!$A$3:$C$9838,3,FALSE)</f>
        <v>Mother Ciannait</v>
      </c>
      <c r="C418" s="9" t="str">
        <f>VLOOKUP(A418,'Sets (lua data)'!$A$3:$C$9838,2,FALSE)</f>
        <v>Mutter Ciannait</v>
      </c>
      <c r="D418" t="s">
        <v>58</v>
      </c>
      <c r="E418" s="3" t="str">
        <f>IF(ISNA(VLOOKUP(D418,ConstDLCIds!$B$4:$C$1001,2,FALSE)),"",VLOOKUP(D418,ConstDLCIds!$B$4:$C$1001,2,FALSE))</f>
        <v>Harrowstorm</v>
      </c>
    </row>
    <row r="419" spans="1:6" x14ac:dyDescent="0.25">
      <c r="A419" s="1">
        <v>479</v>
      </c>
      <c r="B419" s="9" t="str">
        <f>VLOOKUP(A419,'Sets (lua data)'!$A$3:$C$9838,3,FALSE)</f>
        <v>Kjalnar\'s Nightmare</v>
      </c>
      <c r="C419" s="9" t="str">
        <f>VLOOKUP(A419,'Sets (lua data)'!$A$3:$C$9838,2,FALSE)</f>
        <v>Kjalnar\'s Albtraum</v>
      </c>
      <c r="D419" t="s">
        <v>58</v>
      </c>
      <c r="E419" s="3" t="str">
        <f>IF(ISNA(VLOOKUP(D419,ConstDLCIds!$B$4:$C$1001,2,FALSE)),"",VLOOKUP(D419,ConstDLCIds!$B$4:$C$1001,2,FALSE))</f>
        <v>Harrowstorm</v>
      </c>
    </row>
    <row r="420" spans="1:6" x14ac:dyDescent="0.25">
      <c r="A420" s="1">
        <v>480</v>
      </c>
      <c r="B420" s="9" t="str">
        <f>VLOOKUP(A420,'Sets (lua data)'!$A$3:$C$9838,3,FALSE)</f>
        <v>Critical Riposte</v>
      </c>
      <c r="C420" s="9" t="str">
        <f>VLOOKUP(A420,'Sets (lua data)'!$A$3:$C$9838,2,FALSE)</f>
        <v>Kritischer Konter</v>
      </c>
      <c r="D420" t="s">
        <v>7</v>
      </c>
      <c r="E420" s="3" t="str">
        <f>IF(ISNA(VLOOKUP(D420,ConstDLCIds!$B$4:$C$1001,2,FALSE)),"",VLOOKUP(D420,ConstDLCIds!$B$4:$C$1001,2,FALSE))</f>
        <v>Included in base game</v>
      </c>
    </row>
    <row r="421" spans="1:6" x14ac:dyDescent="0.25">
      <c r="A421" s="1">
        <v>481</v>
      </c>
      <c r="B421" s="9" t="str">
        <f>VLOOKUP(A421,'Sets (lua data)'!$A$3:$C$9838,3,FALSE)</f>
        <v>Unchained Aggressor</v>
      </c>
      <c r="C421" s="9" t="str">
        <f>VLOOKUP(A421,'Sets (lua data)'!$A$3:$C$9838,2,FALSE)</f>
        <v>Entfesselter Aggressor</v>
      </c>
      <c r="D421" t="s">
        <v>7</v>
      </c>
      <c r="E421" s="3" t="str">
        <f>IF(ISNA(VLOOKUP(D421,ConstDLCIds!$B$4:$C$1001,2,FALSE)),"",VLOOKUP(D421,ConstDLCIds!$B$4:$C$1001,2,FALSE))</f>
        <v>Included in base game</v>
      </c>
    </row>
    <row r="422" spans="1:6" x14ac:dyDescent="0.25">
      <c r="A422" s="1">
        <v>482</v>
      </c>
      <c r="B422" s="9" t="str">
        <f>VLOOKUP(A422,'Sets (lua data)'!$A$3:$C$9838,3,FALSE)</f>
        <v>Dauntless Combatant</v>
      </c>
      <c r="C422" s="9" t="str">
        <f>VLOOKUP(A422,'Sets (lua data)'!$A$3:$C$9838,2,FALSE)</f>
        <v>Furchtloser Kombattant</v>
      </c>
      <c r="D422" t="s">
        <v>7</v>
      </c>
      <c r="E422" s="3" t="str">
        <f>IF(ISNA(VLOOKUP(D422,ConstDLCIds!$B$4:$C$1001,2,FALSE)),"",VLOOKUP(D422,ConstDLCIds!$B$4:$C$1001,2,FALSE))</f>
        <v>Included in base game</v>
      </c>
    </row>
    <row r="423" spans="1:6" x14ac:dyDescent="0.25">
      <c r="A423" s="82">
        <v>483</v>
      </c>
      <c r="B423" s="37" t="str">
        <f>VLOOKUP(A423,'Sets (lua data)'!$A$3:$C$9838,3,FALSE)</f>
        <v>Template_Drop_Magi</v>
      </c>
      <c r="C423" s="37" t="str">
        <f>VLOOKUP(A423,'Sets (lua data)'!$A$3:$C$9838,2,FALSE)</f>
        <v>Template_Drop_Magi</v>
      </c>
      <c r="E423" s="3" t="str">
        <f>IF(ISNA(VLOOKUP(D423,ConstDLCIds!$B$4:$C$1001,2,FALSE)),"",VLOOKUP(D423,ConstDLCIds!$B$4:$C$1001,2,FALSE))</f>
        <v/>
      </c>
      <c r="F423" t="s">
        <v>2126</v>
      </c>
    </row>
    <row r="424" spans="1:6" x14ac:dyDescent="0.25">
      <c r="A424" s="82">
        <v>484</v>
      </c>
      <c r="B424" s="37" t="str">
        <f>VLOOKUP(A424,'Sets (lua data)'!$A$3:$C$9838,3,FALSE)</f>
        <v>Template_Drop_Stamina</v>
      </c>
      <c r="C424" s="37" t="str">
        <f>VLOOKUP(A424,'Sets (lua data)'!$A$3:$C$9838,2,FALSE)</f>
        <v>Template_Drop_Stamina</v>
      </c>
      <c r="E424" s="3" t="str">
        <f>IF(ISNA(VLOOKUP(D424,ConstDLCIds!$B$4:$C$1001,2,FALSE)),"",VLOOKUP(D424,ConstDLCIds!$B$4:$C$1001,2,FALSE))</f>
        <v/>
      </c>
      <c r="F424" t="s">
        <v>2126</v>
      </c>
    </row>
    <row r="425" spans="1:6" x14ac:dyDescent="0.25">
      <c r="A425" s="82">
        <v>485</v>
      </c>
      <c r="B425" s="37" t="str">
        <f>VLOOKUP(A425,'Sets (lua data)'!$A$3:$C$9838,3,FALSE)</f>
        <v>Template_Drop_Tank</v>
      </c>
      <c r="C425" s="37" t="str">
        <f>VLOOKUP(A425,'Sets (lua data)'!$A$3:$C$9838,2,FALSE)</f>
        <v>Template_Drop_Tank</v>
      </c>
      <c r="E425" s="3" t="str">
        <f>IF(ISNA(VLOOKUP(D425,ConstDLCIds!$B$4:$C$1001,2,FALSE)),"",VLOOKUP(D425,ConstDLCIds!$B$4:$C$1001,2,FALSE))</f>
        <v/>
      </c>
      <c r="F425" t="s">
        <v>2126</v>
      </c>
    </row>
    <row r="426" spans="1:6" x14ac:dyDescent="0.25">
      <c r="A426" s="82">
        <v>486</v>
      </c>
      <c r="B426" s="37" t="str">
        <f>VLOOKUP(A426,'Sets (lua data)'!$A$3:$C$9838,3,FALSE)</f>
        <v>Template_Drop_Healer</v>
      </c>
      <c r="C426" s="37" t="str">
        <f>VLOOKUP(A426,'Sets (lua data)'!$A$3:$C$9838,2,FALSE)</f>
        <v>Template_Drop_Healer</v>
      </c>
      <c r="E426" s="3" t="str">
        <f>IF(ISNA(VLOOKUP(D426,ConstDLCIds!$B$4:$C$1001,2,FALSE)),"",VLOOKUP(D426,ConstDLCIds!$B$4:$C$1001,2,FALSE))</f>
        <v/>
      </c>
      <c r="F426" t="s">
        <v>2126</v>
      </c>
    </row>
    <row r="427" spans="1:6" x14ac:dyDescent="0.25">
      <c r="A427" s="1">
        <v>487</v>
      </c>
      <c r="B427" s="9" t="str">
        <f>VLOOKUP(A427,'Sets (lua data)'!$A$3:$C$9838,3,FALSE)</f>
        <v>Winter\'s Respite</v>
      </c>
      <c r="C427" s="9" t="str">
        <f>VLOOKUP(A427,'Sets (lua data)'!$A$3:$C$9838,2,FALSE)</f>
        <v>Winterruhe</v>
      </c>
      <c r="D427" t="s">
        <v>61</v>
      </c>
      <c r="E427" s="3" t="str">
        <f>IF(ISNA(VLOOKUP(D427,ConstDLCIds!$B$4:$C$1001,2,FALSE)),"",VLOOKUP(D427,ConstDLCIds!$B$4:$C$1001,2,FALSE))</f>
        <v>Greymoor</v>
      </c>
    </row>
    <row r="428" spans="1:6" x14ac:dyDescent="0.25">
      <c r="A428" s="1">
        <v>488</v>
      </c>
      <c r="B428" s="9" t="str">
        <f>VLOOKUP(A428,'Sets (lua data)'!$A$3:$C$9838,3,FALSE)</f>
        <v>Venomous Smite</v>
      </c>
      <c r="C428" s="9" t="str">
        <f>VLOOKUP(A428,'Sets (lua data)'!$A$3:$C$9838,2,FALSE)</f>
        <v>Giftschlag</v>
      </c>
      <c r="D428" t="s">
        <v>61</v>
      </c>
      <c r="E428" s="3" t="str">
        <f>IF(ISNA(VLOOKUP(D428,ConstDLCIds!$B$4:$C$1001,2,FALSE)),"",VLOOKUP(D428,ConstDLCIds!$B$4:$C$1001,2,FALSE))</f>
        <v>Greymoor</v>
      </c>
    </row>
    <row r="429" spans="1:6" x14ac:dyDescent="0.25">
      <c r="A429" s="1">
        <v>489</v>
      </c>
      <c r="B429" s="9" t="str">
        <f>VLOOKUP(A429,'Sets (lua data)'!$A$3:$C$9838,3,FALSE)</f>
        <v>Eternal Vigor</v>
      </c>
      <c r="C429" s="9" t="str">
        <f>VLOOKUP(A429,'Sets (lua data)'!$A$3:$C$9838,2,FALSE)</f>
        <v>Ewiger Elan</v>
      </c>
      <c r="D429" t="s">
        <v>61</v>
      </c>
      <c r="E429" s="3" t="str">
        <f>IF(ISNA(VLOOKUP(D429,ConstDLCIds!$B$4:$C$1001,2,FALSE)),"",VLOOKUP(D429,ConstDLCIds!$B$4:$C$1001,2,FALSE))</f>
        <v>Greymoor</v>
      </c>
    </row>
    <row r="430" spans="1:6" x14ac:dyDescent="0.25">
      <c r="A430" s="1">
        <v>490</v>
      </c>
      <c r="B430" s="9" t="str">
        <f>VLOOKUP(A430,'Sets (lua data)'!$A$3:$C$9838,3,FALSE)</f>
        <v>Stuhn\'s Favor</v>
      </c>
      <c r="C430" s="9" t="str">
        <f>VLOOKUP(A430,'Sets (lua data)'!$A$3:$C$9838,2,FALSE)</f>
        <v>Stuhns Gunst</v>
      </c>
      <c r="D430" t="s">
        <v>61</v>
      </c>
      <c r="E430" s="3" t="str">
        <f>IF(ISNA(VLOOKUP(D430,ConstDLCIds!$B$4:$C$1001,2,FALSE)),"",VLOOKUP(D430,ConstDLCIds!$B$4:$C$1001,2,FALSE))</f>
        <v>Greymoor</v>
      </c>
    </row>
    <row r="431" spans="1:6" x14ac:dyDescent="0.25">
      <c r="A431" s="1">
        <v>491</v>
      </c>
      <c r="B431" s="9" t="str">
        <f>VLOOKUP(A431,'Sets (lua data)'!$A$3:$C$9838,3,FALSE)</f>
        <v>Dragon\'s Appetite</v>
      </c>
      <c r="C431" s="9" t="str">
        <f>VLOOKUP(A431,'Sets (lua data)'!$A$3:$C$9838,2,FALSE)</f>
        <v>Appetit des Drachen</v>
      </c>
      <c r="D431" t="s">
        <v>61</v>
      </c>
      <c r="E431" s="3" t="str">
        <f>IF(ISNA(VLOOKUP(D431,ConstDLCIds!$B$4:$C$1001,2,FALSE)),"",VLOOKUP(D431,ConstDLCIds!$B$4:$C$1001,2,FALSE))</f>
        <v>Greymoor</v>
      </c>
    </row>
    <row r="432" spans="1:6" x14ac:dyDescent="0.25">
      <c r="A432" s="1">
        <v>492</v>
      </c>
      <c r="B432" s="9" t="str">
        <f>VLOOKUP(A432,'Sets (lua data)'!$A$3:$C$9838,3,FALSE)</f>
        <v>Kyne\'s Wind</v>
      </c>
      <c r="C432" s="9" t="str">
        <f>VLOOKUP(A432,'Sets (lua data)'!$A$3:$C$9838,2,FALSE)</f>
        <v>Kynes Wind</v>
      </c>
      <c r="D432" t="s">
        <v>61</v>
      </c>
      <c r="E432" s="3" t="str">
        <f>IF(ISNA(VLOOKUP(D432,ConstDLCIds!$B$4:$C$1001,2,FALSE)),"",VLOOKUP(D432,ConstDLCIds!$B$4:$C$1001,2,FALSE))</f>
        <v>Greymoor</v>
      </c>
    </row>
    <row r="433" spans="1:6" x14ac:dyDescent="0.25">
      <c r="A433" s="1">
        <v>493</v>
      </c>
      <c r="B433" s="9" t="str">
        <f>VLOOKUP(A433,'Sets (lua data)'!$A$3:$C$9838,3,FALSE)</f>
        <v>Perfected Kyne\'s Wind</v>
      </c>
      <c r="C433" s="9" t="str">
        <f>VLOOKUP(A433,'Sets (lua data)'!$A$3:$C$9838,2,FALSE)</f>
        <v>Kynes perfektionierter Wind</v>
      </c>
      <c r="D433" t="s">
        <v>61</v>
      </c>
      <c r="E433" s="3" t="str">
        <f>IF(ISNA(VLOOKUP(D433,ConstDLCIds!$B$4:$C$1001,2,FALSE)),"",VLOOKUP(D433,ConstDLCIds!$B$4:$C$1001,2,FALSE))</f>
        <v>Greymoor</v>
      </c>
    </row>
    <row r="434" spans="1:6" x14ac:dyDescent="0.25">
      <c r="A434" s="1">
        <v>494</v>
      </c>
      <c r="B434" s="9" t="str">
        <f>VLOOKUP(A434,'Sets (lua data)'!$A$3:$C$9838,3,FALSE)</f>
        <v>Vrol\'s Command</v>
      </c>
      <c r="C434" s="9" t="str">
        <f>VLOOKUP(A434,'Sets (lua data)'!$A$3:$C$9838,2,FALSE)</f>
        <v>Vrols Befehl</v>
      </c>
      <c r="D434" t="s">
        <v>61</v>
      </c>
      <c r="E434" s="3" t="str">
        <f>IF(ISNA(VLOOKUP(D434,ConstDLCIds!$B$4:$C$1001,2,FALSE)),"",VLOOKUP(D434,ConstDLCIds!$B$4:$C$1001,2,FALSE))</f>
        <v>Greymoor</v>
      </c>
    </row>
    <row r="435" spans="1:6" x14ac:dyDescent="0.25">
      <c r="A435" s="1">
        <v>495</v>
      </c>
      <c r="B435" s="9" t="str">
        <f>VLOOKUP(A435,'Sets (lua data)'!$A$3:$C$9838,3,FALSE)</f>
        <v>Perfected Vrol\'s Command</v>
      </c>
      <c r="C435" s="9" t="str">
        <f>VLOOKUP(A435,'Sets (lua data)'!$A$3:$C$9838,2,FALSE)</f>
        <v>Vrols perfektionierter Befehl</v>
      </c>
      <c r="D435" t="s">
        <v>61</v>
      </c>
      <c r="E435" s="3" t="str">
        <f>IF(ISNA(VLOOKUP(D435,ConstDLCIds!$B$4:$C$1001,2,FALSE)),"",VLOOKUP(D435,ConstDLCIds!$B$4:$C$1001,2,FALSE))</f>
        <v>Greymoor</v>
      </c>
    </row>
    <row r="436" spans="1:6" x14ac:dyDescent="0.25">
      <c r="A436" s="1">
        <v>496</v>
      </c>
      <c r="B436" s="9" t="str">
        <f>VLOOKUP(A436,'Sets (lua data)'!$A$3:$C$9838,3,FALSE)</f>
        <v>Roaring Opportunist</v>
      </c>
      <c r="C436" s="9" t="str">
        <f>VLOOKUP(A436,'Sets (lua data)'!$A$3:$C$9838,2,FALSE)</f>
        <v>Brüllender Opportunist</v>
      </c>
      <c r="D436" t="s">
        <v>61</v>
      </c>
      <c r="E436" s="3" t="str">
        <f>IF(ISNA(VLOOKUP(D436,ConstDLCIds!$B$4:$C$1001,2,FALSE)),"",VLOOKUP(D436,ConstDLCIds!$B$4:$C$1001,2,FALSE))</f>
        <v>Greymoor</v>
      </c>
    </row>
    <row r="437" spans="1:6" x14ac:dyDescent="0.25">
      <c r="A437" s="1">
        <v>497</v>
      </c>
      <c r="B437" s="9" t="str">
        <f>VLOOKUP(A437,'Sets (lua data)'!$A$3:$C$9838,3,FALSE)</f>
        <v>Perfected Roaring Opportunist</v>
      </c>
      <c r="C437" s="9" t="str">
        <f>VLOOKUP(A437,'Sets (lua data)'!$A$3:$C$9838,2,FALSE)</f>
        <v>Perfektionierter brüllender Opportunist</v>
      </c>
      <c r="D437" t="s">
        <v>61</v>
      </c>
      <c r="E437" s="3" t="str">
        <f>IF(ISNA(VLOOKUP(D437,ConstDLCIds!$B$4:$C$1001,2,FALSE)),"",VLOOKUP(D437,ConstDLCIds!$B$4:$C$1001,2,FALSE))</f>
        <v>Greymoor</v>
      </c>
    </row>
    <row r="438" spans="1:6" x14ac:dyDescent="0.25">
      <c r="A438" s="1">
        <v>498</v>
      </c>
      <c r="B438" s="9" t="str">
        <f>VLOOKUP(A438,'Sets (lua data)'!$A$3:$C$9838,3,FALSE)</f>
        <v>Yandir\'s Might</v>
      </c>
      <c r="C438" s="9" t="str">
        <f>VLOOKUP(A438,'Sets (lua data)'!$A$3:$C$9838,2,FALSE)</f>
        <v>Yandirs Macht</v>
      </c>
      <c r="D438" t="s">
        <v>61</v>
      </c>
      <c r="E438" s="3" t="str">
        <f>IF(ISNA(VLOOKUP(D438,ConstDLCIds!$B$4:$C$1001,2,FALSE)),"",VLOOKUP(D438,ConstDLCIds!$B$4:$C$1001,2,FALSE))</f>
        <v>Greymoor</v>
      </c>
    </row>
    <row r="439" spans="1:6" x14ac:dyDescent="0.25">
      <c r="A439" s="1">
        <v>499</v>
      </c>
      <c r="B439" s="9" t="str">
        <f>VLOOKUP(A439,'Sets (lua data)'!$A$3:$C$9838,3,FALSE)</f>
        <v>Perfected Yandir\'s Might</v>
      </c>
      <c r="C439" s="9" t="str">
        <f>VLOOKUP(A439,'Sets (lua data)'!$A$3:$C$9838,2,FALSE)</f>
        <v>Yandirs perfektionierte Macht</v>
      </c>
      <c r="D439" t="s">
        <v>61</v>
      </c>
      <c r="E439" s="3" t="str">
        <f>IF(ISNA(VLOOKUP(D439,ConstDLCIds!$B$4:$C$1001,2,FALSE)),"",VLOOKUP(D439,ConstDLCIds!$B$4:$C$1001,2,FALSE))</f>
        <v>Greymoor</v>
      </c>
    </row>
    <row r="440" spans="1:6" x14ac:dyDescent="0.25">
      <c r="A440" s="1">
        <v>500</v>
      </c>
      <c r="B440" s="37" t="str">
        <f>VLOOKUP(A440,'Sets (lua data)'!$A$3:$C$9838,3,FALSE)</f>
        <v>Bloodlord\'s Embrace (OLD)</v>
      </c>
      <c r="C440" s="37" t="str">
        <f>VLOOKUP(A440,'Sets (lua data)'!$A$3:$C$9838,2,FALSE)</f>
        <v>Bloodlord's Embrace (OLD)</v>
      </c>
      <c r="D440" t="s">
        <v>61</v>
      </c>
      <c r="E440" s="3" t="str">
        <f>IF(ISNA(VLOOKUP(D440,ConstDLCIds!$B$4:$C$1001,2,FALSE)),"",VLOOKUP(D440,ConstDLCIds!$B$4:$C$1001,2,FALSE))</f>
        <v>Greymoor</v>
      </c>
      <c r="F440" t="s">
        <v>2127</v>
      </c>
    </row>
    <row r="441" spans="1:6" x14ac:dyDescent="0.25">
      <c r="A441" s="1">
        <v>501</v>
      </c>
      <c r="B441" s="9" t="str">
        <f>VLOOKUP(A441,'Sets (lua data)'!$A$3:$C$9838,3,FALSE)</f>
        <v>Thrassian Stranglers</v>
      </c>
      <c r="C441" s="9" t="str">
        <f>VLOOKUP(A441,'Sets (lua data)'!$A$3:$C$9838,2,FALSE)</f>
        <v>Thrassische Würger</v>
      </c>
      <c r="D441" t="s">
        <v>61</v>
      </c>
      <c r="E441" s="3" t="str">
        <f>IF(ISNA(VLOOKUP(D441,ConstDLCIds!$B$4:$C$1001,2,FALSE)),"",VLOOKUP(D441,ConstDLCIds!$B$4:$C$1001,2,FALSE))</f>
        <v>Greymoor</v>
      </c>
    </row>
    <row r="442" spans="1:6" x14ac:dyDescent="0.25">
      <c r="A442" s="1">
        <v>502</v>
      </c>
      <c r="B442" s="37" t="str">
        <f>VLOOKUP(A442,'Sets (lua data)'!$A$3:$C$9838,3,FALSE)</f>
        <v>Snow Treaders (OLD)</v>
      </c>
      <c r="C442" s="37" t="str">
        <f>VLOOKUP(A442,'Sets (lua data)'!$A$3:$C$9838,2,FALSE)</f>
        <v>Snow Treaders (OLD)</v>
      </c>
      <c r="D442" t="s">
        <v>61</v>
      </c>
      <c r="E442" s="3" t="str">
        <f>IF(ISNA(VLOOKUP(D442,ConstDLCIds!$B$4:$C$1001,2,FALSE)),"",VLOOKUP(D442,ConstDLCIds!$B$4:$C$1001,2,FALSE))</f>
        <v>Greymoor</v>
      </c>
      <c r="F442" t="s">
        <v>2128</v>
      </c>
    </row>
    <row r="443" spans="1:6" x14ac:dyDescent="0.25">
      <c r="A443" s="1">
        <v>503</v>
      </c>
      <c r="B443" s="9" t="str">
        <f>VLOOKUP(A443,'Sets (lua data)'!$A$3:$C$9838,3,FALSE)</f>
        <v>Ring of the Wild Hunt</v>
      </c>
      <c r="C443" s="9" t="str">
        <f>VLOOKUP(A443,'Sets (lua data)'!$A$3:$C$9838,2,FALSE)</f>
        <v>Ring der Wilden Jagd</v>
      </c>
      <c r="D443" t="s">
        <v>61</v>
      </c>
      <c r="E443" s="3" t="str">
        <f>IF(ISNA(VLOOKUP(D443,ConstDLCIds!$B$4:$C$1001,2,FALSE)),"",VLOOKUP(D443,ConstDLCIds!$B$4:$C$1001,2,FALSE))</f>
        <v>Greymoor</v>
      </c>
    </row>
    <row r="444" spans="1:6" x14ac:dyDescent="0.25">
      <c r="A444" s="1">
        <v>504</v>
      </c>
      <c r="B444" s="9" t="str">
        <f>VLOOKUP(A444,'Sets (lua data)'!$A$3:$C$9838,3,FALSE)</f>
        <v>Malacath\'s Band of Brutality X</v>
      </c>
      <c r="C444" s="9" t="str">
        <f>VLOOKUP(A444,'Sets (lua data)'!$A$3:$C$9838,2,FALSE)</f>
        <v>Malacath's Band der Brutalität X</v>
      </c>
      <c r="D444" t="s">
        <v>61</v>
      </c>
      <c r="E444" s="3" t="str">
        <f>IF(ISNA(VLOOKUP(D444,ConstDLCIds!$B$4:$C$1001,2,FALSE)),"",VLOOKUP(D444,ConstDLCIds!$B$4:$C$1001,2,FALSE))</f>
        <v>Greymoor</v>
      </c>
    </row>
    <row r="445" spans="1:6" x14ac:dyDescent="0.25">
      <c r="A445" s="1">
        <v>505</v>
      </c>
      <c r="B445" s="9" t="str">
        <f>VLOOKUP(A445,'Sets (lua data)'!$A$3:$C$9838,3,FALSE)</f>
        <v>Torc of Tonal Constancy</v>
      </c>
      <c r="C445" s="9" t="str">
        <f>VLOOKUP(A445,'Sets (lua data)'!$A$3:$C$9838,2,FALSE)</f>
        <v>Torques der Klangkonstanz</v>
      </c>
      <c r="D445" t="s">
        <v>61</v>
      </c>
      <c r="E445" s="3" t="str">
        <f>IF(ISNA(VLOOKUP(D445,ConstDLCIds!$B$4:$C$1001,2,FALSE)),"",VLOOKUP(D445,ConstDLCIds!$B$4:$C$1001,2,FALSE))</f>
        <v>Greymoor</v>
      </c>
    </row>
    <row r="446" spans="1:6" x14ac:dyDescent="0.25">
      <c r="A446" s="1">
        <v>506</v>
      </c>
      <c r="B446" s="9" t="str">
        <f>VLOOKUP(A446,'Sets (lua data)'!$A$3:$C$9838,3,FALSE)</f>
        <v>Spell Parasite</v>
      </c>
      <c r="C446" s="9" t="str">
        <f>VLOOKUP(A446,'Sets (lua data)'!$A$3:$C$9838,2,FALSE)</f>
        <v>Magieparasit</v>
      </c>
      <c r="D446" t="s">
        <v>61</v>
      </c>
      <c r="E446" s="3" t="str">
        <f>IF(ISNA(VLOOKUP(D446,ConstDLCIds!$B$4:$C$1001,2,FALSE)),"",VLOOKUP(D446,ConstDLCIds!$B$4:$C$1001,2,FALSE))</f>
        <v>Greymoor</v>
      </c>
    </row>
    <row r="447" spans="1:6" x14ac:dyDescent="0.25">
      <c r="A447" s="50">
        <v>509</v>
      </c>
      <c r="B447" s="9" t="str">
        <f>VLOOKUP(A447,'Sets (lua data)'!$A$3:$C$9838,3,FALSE)</f>
        <v>Template_Drop_Healer P</v>
      </c>
      <c r="C447" s="9" t="str">
        <f>VLOOKUP(A447,'Sets (lua data)'!$A$3:$C$9838,2,FALSE)</f>
        <v>Template_Drop_Healer P</v>
      </c>
      <c r="D447" t="s">
        <v>7</v>
      </c>
      <c r="E447" s="3" t="str">
        <f>IF(ISNA(VLOOKUP(D447,ConstDLCIds!$B$4:$C$1001,2,FALSE)),"",VLOOKUP(D447,ConstDLCIds!$B$4:$C$1001,2,FALSE))</f>
        <v>Included in base game</v>
      </c>
    </row>
    <row r="448" spans="1:6" x14ac:dyDescent="0.25">
      <c r="A448" s="50">
        <v>510</v>
      </c>
      <c r="B448" s="9" t="str">
        <f>VLOOKUP(A448,'Sets (lua data)'!$A$3:$C$9838,3,FALSE)</f>
        <v>Template_Drop_Tank P</v>
      </c>
      <c r="C448" s="9" t="str">
        <f>VLOOKUP(A448,'Sets (lua data)'!$A$3:$C$9838,2,FALSE)</f>
        <v>Template_Drop_Tank P</v>
      </c>
      <c r="D448" t="s">
        <v>7</v>
      </c>
      <c r="E448" s="3" t="str">
        <f>IF(ISNA(VLOOKUP(D448,ConstDLCIds!$B$4:$C$1001,2,FALSE)),"",VLOOKUP(D448,ConstDLCIds!$B$4:$C$1001,2,FALSE))</f>
        <v>Included in base game</v>
      </c>
    </row>
    <row r="449" spans="1:5" x14ac:dyDescent="0.25">
      <c r="A449" s="50">
        <v>511</v>
      </c>
      <c r="B449" s="9" t="str">
        <f>VLOOKUP(A449,'Sets (lua data)'!$A$3:$C$9838,3,FALSE)</f>
        <v>Template_Drop_Stamina P</v>
      </c>
      <c r="C449" s="9" t="str">
        <f>VLOOKUP(A449,'Sets (lua data)'!$A$3:$C$9838,2,FALSE)</f>
        <v>Template_Drop_Stamina P</v>
      </c>
      <c r="D449" t="s">
        <v>7</v>
      </c>
      <c r="E449" s="3" t="str">
        <f>IF(ISNA(VLOOKUP(D449,ConstDLCIds!$B$4:$C$1001,2,FALSE)),"",VLOOKUP(D449,ConstDLCIds!$B$4:$C$1001,2,FALSE))</f>
        <v>Included in base game</v>
      </c>
    </row>
    <row r="450" spans="1:5" x14ac:dyDescent="0.25">
      <c r="A450" s="50">
        <v>512</v>
      </c>
      <c r="B450" s="9" t="str">
        <f>VLOOKUP(A450,'Sets (lua data)'!$A$3:$C$9838,3,FALSE)</f>
        <v>Template_Drop_Magi P</v>
      </c>
      <c r="C450" s="9" t="str">
        <f>VLOOKUP(A450,'Sets (lua data)'!$A$3:$C$9838,2,FALSE)</f>
        <v>Template_Drop_Magi P</v>
      </c>
      <c r="D450" t="s">
        <v>7</v>
      </c>
      <c r="E450" s="3" t="str">
        <f>IF(ISNA(VLOOKUP(D450,ConstDLCIds!$B$4:$C$1001,2,FALSE)),"",VLOOKUP(D450,ConstDLCIds!$B$4:$C$1001,2,FALSE))</f>
        <v>Included in base game</v>
      </c>
    </row>
    <row r="451" spans="1:5" x14ac:dyDescent="0.25">
      <c r="A451" s="1">
        <v>513</v>
      </c>
      <c r="B451" s="9" t="str">
        <f>VLOOKUP(A451,'Sets (lua data)'!$A$3:$C$9838,3,FALSE)</f>
        <v>Talfyg\'s Treachery</v>
      </c>
      <c r="C451" s="9" t="str">
        <f>VLOOKUP(A451,'Sets (lua data)'!$A$3:$C$9838,2,FALSE)</f>
        <v>Talfygs Verrat</v>
      </c>
      <c r="D451" t="s">
        <v>64</v>
      </c>
      <c r="E451" s="3" t="str">
        <f>IF(ISNA(VLOOKUP(D451,ConstDLCIds!$B$4:$C$1001,2,FALSE)),"",VLOOKUP(D451,ConstDLCIds!$B$4:$C$1001,2,FALSE))</f>
        <v>Stonethorn</v>
      </c>
    </row>
    <row r="452" spans="1:5" x14ac:dyDescent="0.25">
      <c r="A452" s="1">
        <v>514</v>
      </c>
      <c r="B452" s="9" t="str">
        <f>VLOOKUP(A452,'Sets (lua data)'!$A$3:$C$9838,3,FALSE)</f>
        <v>Unleashed Terror</v>
      </c>
      <c r="C452" s="9" t="str">
        <f>VLOOKUP(A452,'Sets (lua data)'!$A$3:$C$9838,2,FALSE)</f>
        <v>Entfesselter Schrecken</v>
      </c>
      <c r="D452" t="s">
        <v>64</v>
      </c>
      <c r="E452" s="3" t="str">
        <f>IF(ISNA(VLOOKUP(D452,ConstDLCIds!$B$4:$C$1001,2,FALSE)),"",VLOOKUP(D452,ConstDLCIds!$B$4:$C$1001,2,FALSE))</f>
        <v>Stonethorn</v>
      </c>
    </row>
    <row r="453" spans="1:5" x14ac:dyDescent="0.25">
      <c r="A453" s="1">
        <v>515</v>
      </c>
      <c r="B453" s="9" t="str">
        <f>VLOOKUP(A453,'Sets (lua data)'!$A$3:$C$9838,3,FALSE)</f>
        <v>Crimson Twilight</v>
      </c>
      <c r="C453" s="9" t="str">
        <f>VLOOKUP(A453,'Sets (lua data)'!$A$3:$C$9838,2,FALSE)</f>
        <v>Scharlachrotes Zwielicht</v>
      </c>
      <c r="D453" t="s">
        <v>64</v>
      </c>
      <c r="E453" s="3" t="str">
        <f>IF(ISNA(VLOOKUP(D453,ConstDLCIds!$B$4:$C$1001,2,FALSE)),"",VLOOKUP(D453,ConstDLCIds!$B$4:$C$1001,2,FALSE))</f>
        <v>Stonethorn</v>
      </c>
    </row>
    <row r="454" spans="1:5" x14ac:dyDescent="0.25">
      <c r="A454" s="1">
        <v>516</v>
      </c>
      <c r="B454" s="9" t="str">
        <f>VLOOKUP(A454,'Sets (lua data)'!$A$3:$C$9838,3,FALSE)</f>
        <v>Elemental Catalyst</v>
      </c>
      <c r="C454" s="9" t="str">
        <f>VLOOKUP(A454,'Sets (lua data)'!$A$3:$C$9838,2,FALSE)</f>
        <v>Elementarer Katalysator</v>
      </c>
      <c r="D454" t="s">
        <v>64</v>
      </c>
      <c r="E454" s="3" t="str">
        <f>IF(ISNA(VLOOKUP(D454,ConstDLCIds!$B$4:$C$1001,2,FALSE)),"",VLOOKUP(D454,ConstDLCIds!$B$4:$C$1001,2,FALSE))</f>
        <v>Stonethorn</v>
      </c>
    </row>
    <row r="455" spans="1:5" x14ac:dyDescent="0.25">
      <c r="A455" s="1">
        <v>517</v>
      </c>
      <c r="B455" s="9" t="str">
        <f>VLOOKUP(A455,'Sets (lua data)'!$A$3:$C$9838,3,FALSE)</f>
        <v>Kraglen\'s Howl</v>
      </c>
      <c r="C455" s="9" t="str">
        <f>VLOOKUP(A455,'Sets (lua data)'!$A$3:$C$9838,2,FALSE)</f>
        <v>Kraglens Heulen</v>
      </c>
      <c r="D455" t="s">
        <v>64</v>
      </c>
      <c r="E455" s="3" t="str">
        <f>IF(ISNA(VLOOKUP(D455,ConstDLCIds!$B$4:$C$1001,2,FALSE)),"",VLOOKUP(D455,ConstDLCIds!$B$4:$C$1001,2,FALSE))</f>
        <v>Stonethorn</v>
      </c>
    </row>
    <row r="456" spans="1:5" x14ac:dyDescent="0.25">
      <c r="A456" s="1">
        <v>518</v>
      </c>
      <c r="B456" s="9" t="str">
        <f>VLOOKUP(A456,'Sets (lua data)'!$A$3:$C$9838,3,FALSE)</f>
        <v>Arkasis\'s Genius</v>
      </c>
      <c r="C456" s="9" t="str">
        <f>VLOOKUP(A456,'Sets (lua data)'!$A$3:$C$9838,2,FALSE)</f>
        <v>Arkasis' Genie</v>
      </c>
      <c r="D456" t="s">
        <v>64</v>
      </c>
      <c r="E456" s="3" t="str">
        <f>IF(ISNA(VLOOKUP(D456,ConstDLCIds!$B$4:$C$1001,2,FALSE)),"",VLOOKUP(D456,ConstDLCIds!$B$4:$C$1001,2,FALSE))</f>
        <v>Stonethorn</v>
      </c>
    </row>
    <row r="457" spans="1:5" x14ac:dyDescent="0.25">
      <c r="A457" s="1">
        <v>519</v>
      </c>
      <c r="B457" s="9" t="str">
        <f>VLOOKUP(A457,'Sets (lua data)'!$A$3:$C$9838,3,FALSE)</f>
        <v>Snow Treaders</v>
      </c>
      <c r="C457" s="9" t="str">
        <f>VLOOKUP(A457,'Sets (lua data)'!$A$3:$C$9838,2,FALSE)</f>
        <v>Schneetreter</v>
      </c>
      <c r="D457" t="s">
        <v>61</v>
      </c>
      <c r="E457" s="3" t="str">
        <f>IF(ISNA(VLOOKUP(D457,ConstDLCIds!$B$4:$C$1001,2,FALSE)),"",VLOOKUP(D457,ConstDLCIds!$B$4:$C$1001,2,FALSE))</f>
        <v>Greymoor</v>
      </c>
    </row>
    <row r="458" spans="1:5" x14ac:dyDescent="0.25">
      <c r="A458" s="1">
        <v>520</v>
      </c>
      <c r="B458" s="9" t="str">
        <f>VLOOKUP(A458,'Sets (lua data)'!$A$3:$C$9838,3,FALSE)</f>
        <v>Malacath\'s Band of Brutality</v>
      </c>
      <c r="C458" s="9" t="str">
        <f>VLOOKUP(A458,'Sets (lua data)'!$A$3:$C$9838,2,FALSE)</f>
        <v>Malacaths Band der Brutalität</v>
      </c>
      <c r="D458" t="s">
        <v>61</v>
      </c>
      <c r="E458" s="3" t="str">
        <f>IF(ISNA(VLOOKUP(D458,ConstDLCIds!$B$4:$C$1001,2,FALSE)),"",VLOOKUP(D458,ConstDLCIds!$B$4:$C$1001,2,FALSE))</f>
        <v>Greymoor</v>
      </c>
    </row>
    <row r="459" spans="1:5" x14ac:dyDescent="0.25">
      <c r="A459" s="1">
        <v>521</v>
      </c>
      <c r="B459" s="9" t="str">
        <f>VLOOKUP(A459,'Sets (lua data)'!$A$3:$C$9838,3,FALSE)</f>
        <v>Bloodlord\'s Embrace</v>
      </c>
      <c r="C459" s="9" t="str">
        <f>VLOOKUP(A459,'Sets (lua data)'!$A$3:$C$9838,2,FALSE)</f>
        <v>Umarmung des Blutfürsten</v>
      </c>
      <c r="D459" t="s">
        <v>61</v>
      </c>
      <c r="E459" s="3" t="str">
        <f>IF(ISNA(VLOOKUP(D459,ConstDLCIds!$B$4:$C$1001,2,FALSE)),"",VLOOKUP(D459,ConstDLCIds!$B$4:$C$1001,2,FALSE))</f>
        <v>Greymoor</v>
      </c>
    </row>
    <row r="460" spans="1:5" x14ac:dyDescent="0.25">
      <c r="A460" s="1">
        <v>522</v>
      </c>
      <c r="B460" s="9" t="str">
        <f>VLOOKUP(A460,'Sets (lua data)'!$A$3:$C$9838,3,FALSE)</f>
        <v>Perfected Merciless Charge</v>
      </c>
      <c r="C460" s="9" t="str">
        <f>VLOOKUP(A460,'Sets (lua data)'!$A$3:$C$9838,2,FALSE)</f>
        <v>Perfektionierter gnadenloser Ansturm</v>
      </c>
      <c r="D460" t="s">
        <v>13</v>
      </c>
      <c r="E460" s="3" t="str">
        <f>IF(ISNA(VLOOKUP(D460,ConstDLCIds!$B$4:$C$1001,2,FALSE)),"",VLOOKUP(D460,ConstDLCIds!$B$4:$C$1001,2,FALSE))</f>
        <v>Orsinium</v>
      </c>
    </row>
    <row r="461" spans="1:5" x14ac:dyDescent="0.25">
      <c r="A461" s="1">
        <v>523</v>
      </c>
      <c r="B461" s="9" t="str">
        <f>VLOOKUP(A461,'Sets (lua data)'!$A$3:$C$9838,3,FALSE)</f>
        <v>Perfected Rampaging Slash</v>
      </c>
      <c r="C461" s="9" t="str">
        <f>VLOOKUP(A461,'Sets (lua data)'!$A$3:$C$9838,2,FALSE)</f>
        <v>Perfektionierter tobender Schnitt</v>
      </c>
      <c r="D461" t="s">
        <v>13</v>
      </c>
      <c r="E461" s="3" t="str">
        <f>IF(ISNA(VLOOKUP(D461,ConstDLCIds!$B$4:$C$1001,2,FALSE)),"",VLOOKUP(D461,ConstDLCIds!$B$4:$C$1001,2,FALSE))</f>
        <v>Orsinium</v>
      </c>
    </row>
    <row r="462" spans="1:5" x14ac:dyDescent="0.25">
      <c r="A462" s="1">
        <v>524</v>
      </c>
      <c r="B462" s="9" t="str">
        <f>VLOOKUP(A462,'Sets (lua data)'!$A$3:$C$9838,3,FALSE)</f>
        <v>Perfected Cruel Flurry</v>
      </c>
      <c r="C462" s="9" t="str">
        <f>VLOOKUP(A462,'Sets (lua data)'!$A$3:$C$9838,2,FALSE)</f>
        <v>Perfektionierter grausamer Schlaghagel</v>
      </c>
      <c r="D462" t="s">
        <v>13</v>
      </c>
      <c r="E462" s="3" t="str">
        <f>IF(ISNA(VLOOKUP(D462,ConstDLCIds!$B$4:$C$1001,2,FALSE)),"",VLOOKUP(D462,ConstDLCIds!$B$4:$C$1001,2,FALSE))</f>
        <v>Orsinium</v>
      </c>
    </row>
    <row r="463" spans="1:5" x14ac:dyDescent="0.25">
      <c r="A463" s="1">
        <v>525</v>
      </c>
      <c r="B463" s="9" t="str">
        <f>VLOOKUP(A463,'Sets (lua data)'!$A$3:$C$9838,3,FALSE)</f>
        <v>Perfected Thunderous Volley</v>
      </c>
      <c r="C463" s="9" t="str">
        <f>VLOOKUP(A463,'Sets (lua data)'!$A$3:$C$9838,2,FALSE)</f>
        <v>Perfektionierte donnernde Salve</v>
      </c>
      <c r="D463" t="s">
        <v>13</v>
      </c>
      <c r="E463" s="3" t="str">
        <f>IF(ISNA(VLOOKUP(D463,ConstDLCIds!$B$4:$C$1001,2,FALSE)),"",VLOOKUP(D463,ConstDLCIds!$B$4:$C$1001,2,FALSE))</f>
        <v>Orsinium</v>
      </c>
    </row>
    <row r="464" spans="1:5" x14ac:dyDescent="0.25">
      <c r="A464" s="1">
        <v>526</v>
      </c>
      <c r="B464" s="9" t="str">
        <f>VLOOKUP(A464,'Sets (lua data)'!$A$3:$C$9838,3,FALSE)</f>
        <v>Perfected Crushing Wall</v>
      </c>
      <c r="C464" s="9" t="str">
        <f>VLOOKUP(A464,'Sets (lua data)'!$A$3:$C$9838,2,FALSE)</f>
        <v>Perfektionierte zermalmende Mauer</v>
      </c>
      <c r="D464" t="s">
        <v>13</v>
      </c>
      <c r="E464" s="3" t="str">
        <f>IF(ISNA(VLOOKUP(D464,ConstDLCIds!$B$4:$C$1001,2,FALSE)),"",VLOOKUP(D464,ConstDLCIds!$B$4:$C$1001,2,FALSE))</f>
        <v>Orsinium</v>
      </c>
    </row>
    <row r="465" spans="1:5" x14ac:dyDescent="0.25">
      <c r="A465" s="1">
        <v>527</v>
      </c>
      <c r="B465" s="9" t="str">
        <f>VLOOKUP(A465,'Sets (lua data)'!$A$3:$C$9838,3,FALSE)</f>
        <v>Perfected Precise Regeneration</v>
      </c>
      <c r="C465" s="9" t="str">
        <f>VLOOKUP(A465,'Sets (lua data)'!$A$3:$C$9838,2,FALSE)</f>
        <v>Perfektionierte präzise Regeneration</v>
      </c>
      <c r="D465" t="s">
        <v>13</v>
      </c>
      <c r="E465" s="3" t="str">
        <f>IF(ISNA(VLOOKUP(D465,ConstDLCIds!$B$4:$C$1001,2,FALSE)),"",VLOOKUP(D465,ConstDLCIds!$B$4:$C$1001,2,FALSE))</f>
        <v>Orsinium</v>
      </c>
    </row>
    <row r="466" spans="1:5" x14ac:dyDescent="0.25">
      <c r="A466" s="1">
        <v>528</v>
      </c>
      <c r="B466" s="9" t="str">
        <f>VLOOKUP(A466,'Sets (lua data)'!$A$3:$C$9838,3,FALSE)</f>
        <v>Perfected Titanic Cleave</v>
      </c>
      <c r="C466" s="9" t="str">
        <f>VLOOKUP(A466,'Sets (lua data)'!$A$3:$C$9838,2,FALSE)</f>
        <v>Perfektioniertes titanisches Trennen</v>
      </c>
      <c r="D466" t="s">
        <v>7</v>
      </c>
      <c r="E466" s="3" t="str">
        <f>IF(ISNA(VLOOKUP(D466,ConstDLCIds!$B$4:$C$1001,2,FALSE)),"",VLOOKUP(D466,ConstDLCIds!$B$4:$C$1001,2,FALSE))</f>
        <v>Included in base game</v>
      </c>
    </row>
    <row r="467" spans="1:5" x14ac:dyDescent="0.25">
      <c r="A467" s="1">
        <v>529</v>
      </c>
      <c r="B467" s="9" t="str">
        <f>VLOOKUP(A467,'Sets (lua data)'!$A$3:$C$9838,3,FALSE)</f>
        <v>Perfected Puncturing Remedy</v>
      </c>
      <c r="C467" s="9" t="str">
        <f>VLOOKUP(A467,'Sets (lua data)'!$A$3:$C$9838,2,FALSE)</f>
        <v>Perfektionierte durchschlagende Genesung</v>
      </c>
      <c r="D467" t="s">
        <v>7</v>
      </c>
      <c r="E467" s="3" t="str">
        <f>IF(ISNA(VLOOKUP(D467,ConstDLCIds!$B$4:$C$1001,2,FALSE)),"",VLOOKUP(D467,ConstDLCIds!$B$4:$C$1001,2,FALSE))</f>
        <v>Included in base game</v>
      </c>
    </row>
    <row r="468" spans="1:5" x14ac:dyDescent="0.25">
      <c r="A468" s="1">
        <v>530</v>
      </c>
      <c r="B468" s="9" t="str">
        <f>VLOOKUP(A468,'Sets (lua data)'!$A$3:$C$9838,3,FALSE)</f>
        <v>Perfected Stinging Slashes</v>
      </c>
      <c r="C468" s="9" t="str">
        <f>VLOOKUP(A468,'Sets (lua data)'!$A$3:$C$9838,2,FALSE)</f>
        <v>Perfektionierte stechende Schnitte</v>
      </c>
      <c r="D468" t="s">
        <v>7</v>
      </c>
      <c r="E468" s="3" t="str">
        <f>IF(ISNA(VLOOKUP(D468,ConstDLCIds!$B$4:$C$1001,2,FALSE)),"",VLOOKUP(D468,ConstDLCIds!$B$4:$C$1001,2,FALSE))</f>
        <v>Included in base game</v>
      </c>
    </row>
    <row r="469" spans="1:5" x14ac:dyDescent="0.25">
      <c r="A469" s="1">
        <v>531</v>
      </c>
      <c r="B469" s="9" t="str">
        <f>VLOOKUP(A469,'Sets (lua data)'!$A$3:$C$9838,3,FALSE)</f>
        <v>Perfected Caustic Arrow</v>
      </c>
      <c r="C469" s="9" t="str">
        <f>VLOOKUP(A469,'Sets (lua data)'!$A$3:$C$9838,2,FALSE)</f>
        <v>Perfektionierter beißender Pfeil</v>
      </c>
      <c r="D469" t="s">
        <v>7</v>
      </c>
      <c r="E469" s="3" t="str">
        <f>IF(ISNA(VLOOKUP(D469,ConstDLCIds!$B$4:$C$1001,2,FALSE)),"",VLOOKUP(D469,ConstDLCIds!$B$4:$C$1001,2,FALSE))</f>
        <v>Included in base game</v>
      </c>
    </row>
    <row r="470" spans="1:5" x14ac:dyDescent="0.25">
      <c r="A470" s="1">
        <v>532</v>
      </c>
      <c r="B470" s="9" t="str">
        <f>VLOOKUP(A470,'Sets (lua data)'!$A$3:$C$9838,3,FALSE)</f>
        <v>Perfected Destructive Impact</v>
      </c>
      <c r="C470" s="9" t="str">
        <f>VLOOKUP(A470,'Sets (lua data)'!$A$3:$C$9838,2,FALSE)</f>
        <v>Perfektionierter zerstörerischer Einschlag</v>
      </c>
      <c r="D470" t="s">
        <v>7</v>
      </c>
      <c r="E470" s="3" t="str">
        <f>IF(ISNA(VLOOKUP(D470,ConstDLCIds!$B$4:$C$1001,2,FALSE)),"",VLOOKUP(D470,ConstDLCIds!$B$4:$C$1001,2,FALSE))</f>
        <v>Included in base game</v>
      </c>
    </row>
    <row r="471" spans="1:5" x14ac:dyDescent="0.25">
      <c r="A471" s="1">
        <v>533</v>
      </c>
      <c r="B471" s="9" t="str">
        <f>VLOOKUP(A471,'Sets (lua data)'!$A$3:$C$9838,3,FALSE)</f>
        <v>Perfected Grand Rejuvenation</v>
      </c>
      <c r="C471" s="9" t="str">
        <f>VLOOKUP(A471,'Sets (lua data)'!$A$3:$C$9838,2,FALSE)</f>
        <v>Pefektionierte Große Verjüngung</v>
      </c>
      <c r="D471" t="s">
        <v>7</v>
      </c>
      <c r="E471" s="3" t="str">
        <f>IF(ISNA(VLOOKUP(D471,ConstDLCIds!$B$4:$C$1001,2,FALSE)),"",VLOOKUP(D471,ConstDLCIds!$B$4:$C$1001,2,FALSE))</f>
        <v>Included in base game</v>
      </c>
    </row>
    <row r="472" spans="1:5" x14ac:dyDescent="0.25">
      <c r="A472" s="1">
        <v>534</v>
      </c>
      <c r="B472" s="9" t="str">
        <f>VLOOKUP(A472,'Sets (lua data)'!$A$3:$C$9838,3,FALSE)</f>
        <v>Stone Husk</v>
      </c>
      <c r="C472" s="9" t="str">
        <f>VLOOKUP(A472,'Sets (lua data)'!$A$3:$C$9838,2,FALSE)</f>
        <v>Steinhülle</v>
      </c>
      <c r="D472" t="s">
        <v>64</v>
      </c>
      <c r="E472" s="3" t="str">
        <f>IF(ISNA(VLOOKUP(D472,ConstDLCIds!$B$4:$C$1001,2,FALSE)),"",VLOOKUP(D472,ConstDLCIds!$B$4:$C$1001,2,FALSE))</f>
        <v>Stonethorn</v>
      </c>
    </row>
    <row r="473" spans="1:5" x14ac:dyDescent="0.25">
      <c r="A473" s="1">
        <v>535</v>
      </c>
      <c r="B473" s="9" t="str">
        <f>VLOOKUP(A473,'Sets (lua data)'!$A$3:$C$9838,3,FALSE)</f>
        <v>Lady Thorn</v>
      </c>
      <c r="C473" s="9" t="str">
        <f>VLOOKUP(A473,'Sets (lua data)'!$A$3:$C$9838,2,FALSE)</f>
        <v>Fürstin Dorn</v>
      </c>
      <c r="D473" t="s">
        <v>64</v>
      </c>
      <c r="E473" s="3" t="str">
        <f>IF(ISNA(VLOOKUP(D473,ConstDLCIds!$B$4:$C$1001,2,FALSE)),"",VLOOKUP(D473,ConstDLCIds!$B$4:$C$1001,2,FALSE))</f>
        <v>Stonethorn</v>
      </c>
    </row>
    <row r="474" spans="1:5" x14ac:dyDescent="0.25">
      <c r="A474" s="1">
        <v>536</v>
      </c>
      <c r="B474" s="9" t="str">
        <f>VLOOKUP(A474,'Sets (lua data)'!$A$3:$C$9838,3,FALSE)</f>
        <v>Radiant Bastion</v>
      </c>
      <c r="C474" s="9" t="str">
        <f>VLOOKUP(A474,'Sets (lua data)'!$A$3:$C$9838,2,FALSE)</f>
        <v>Strahlende Bastion</v>
      </c>
      <c r="D474" t="s">
        <v>67</v>
      </c>
      <c r="E474" s="3" t="str">
        <f>IF(ISNA(VLOOKUP(D474,ConstDLCIds!$B$4:$C$1001,2,FALSE)),"",VLOOKUP(D474,ConstDLCIds!$B$4:$C$1001,2,FALSE))</f>
        <v>Markarth</v>
      </c>
    </row>
    <row r="475" spans="1:5" x14ac:dyDescent="0.25">
      <c r="A475" s="1">
        <v>537</v>
      </c>
      <c r="B475" s="9" t="str">
        <f>VLOOKUP(A475,'Sets (lua data)'!$A$3:$C$9838,3,FALSE)</f>
        <v>Voidcaller</v>
      </c>
      <c r="C475" s="9" t="str">
        <f>VLOOKUP(A475,'Sets (lua data)'!$A$3:$C$9838,2,FALSE)</f>
        <v>Leerenrufer</v>
      </c>
      <c r="D475" t="s">
        <v>67</v>
      </c>
      <c r="E475" s="3" t="str">
        <f>IF(ISNA(VLOOKUP(D475,ConstDLCIds!$B$4:$C$1001,2,FALSE)),"",VLOOKUP(D475,ConstDLCIds!$B$4:$C$1001,2,FALSE))</f>
        <v>Markarth</v>
      </c>
    </row>
    <row r="476" spans="1:5" x14ac:dyDescent="0.25">
      <c r="A476" s="1">
        <v>538</v>
      </c>
      <c r="B476" s="9" t="str">
        <f>VLOOKUP(A476,'Sets (lua data)'!$A$3:$C$9838,3,FALSE)</f>
        <v>Witch-Knight\'s Defiance</v>
      </c>
      <c r="C476" s="9" t="str">
        <f>VLOOKUP(A476,'Sets (lua data)'!$A$3:$C$9838,2,FALSE)</f>
        <v>Trotz des Hexenritters</v>
      </c>
      <c r="D476" t="s">
        <v>67</v>
      </c>
      <c r="E476" s="3" t="str">
        <f>IF(ISNA(VLOOKUP(D476,ConstDLCIds!$B$4:$C$1001,2,FALSE)),"",VLOOKUP(D476,ConstDLCIds!$B$4:$C$1001,2,FALSE))</f>
        <v>Markarth</v>
      </c>
    </row>
    <row r="477" spans="1:5" x14ac:dyDescent="0.25">
      <c r="A477" s="1">
        <v>539</v>
      </c>
      <c r="B477" s="9" t="str">
        <f>VLOOKUP(A477,'Sets (lua data)'!$A$3:$C$9838,3,FALSE)</f>
        <v>Red Eagle\'s Fury</v>
      </c>
      <c r="C477" s="9" t="str">
        <f>VLOOKUP(A477,'Sets (lua data)'!$A$3:$C$9838,2,FALSE)</f>
        <v>Zorn des Roten Adlers</v>
      </c>
      <c r="D477" t="s">
        <v>67</v>
      </c>
      <c r="E477" s="3" t="str">
        <f>IF(ISNA(VLOOKUP(D477,ConstDLCIds!$B$4:$C$1001,2,FALSE)),"",VLOOKUP(D477,ConstDLCIds!$B$4:$C$1001,2,FALSE))</f>
        <v>Markarth</v>
      </c>
    </row>
    <row r="478" spans="1:5" x14ac:dyDescent="0.25">
      <c r="A478" s="1">
        <v>540</v>
      </c>
      <c r="B478" s="9" t="str">
        <f>VLOOKUP(A478,'Sets (lua data)'!$A$3:$C$9838,3,FALSE)</f>
        <v>Legacy of Karth</v>
      </c>
      <c r="C478" s="9" t="str">
        <f>VLOOKUP(A478,'Sets (lua data)'!$A$3:$C$9838,2,FALSE)</f>
        <v>Erbe des Karth</v>
      </c>
      <c r="D478" t="s">
        <v>67</v>
      </c>
      <c r="E478" s="3" t="str">
        <f>IF(ISNA(VLOOKUP(D478,ConstDLCIds!$B$4:$C$1001,2,FALSE)),"",VLOOKUP(D478,ConstDLCIds!$B$4:$C$1001,2,FALSE))</f>
        <v>Markarth</v>
      </c>
    </row>
    <row r="479" spans="1:5" x14ac:dyDescent="0.25">
      <c r="A479" s="1">
        <v>541</v>
      </c>
      <c r="B479" s="9" t="str">
        <f>VLOOKUP(A479,'Sets (lua data)'!$A$3:$C$9838,3,FALSE)</f>
        <v>Aetherial Ascension</v>
      </c>
      <c r="C479" s="9" t="str">
        <f>VLOOKUP(A479,'Sets (lua data)'!$A$3:$C$9838,2,FALSE)</f>
        <v>Ätherischer Aufstieg</v>
      </c>
      <c r="D479" t="s">
        <v>67</v>
      </c>
      <c r="E479" s="3" t="str">
        <f>IF(ISNA(VLOOKUP(D479,ConstDLCIds!$B$4:$C$1001,2,FALSE)),"",VLOOKUP(D479,ConstDLCIds!$B$4:$C$1001,2,FALSE))</f>
        <v>Markarth</v>
      </c>
    </row>
    <row r="480" spans="1:5" x14ac:dyDescent="0.25">
      <c r="A480" s="1">
        <v>542</v>
      </c>
      <c r="B480" s="9" t="str">
        <f>VLOOKUP(A480,'Sets (lua data)'!$A$3:$C$9838,3,FALSE)</f>
        <v>Hex Siphon</v>
      </c>
      <c r="C480" s="9" t="str">
        <f>VLOOKUP(A480,'Sets (lua data)'!$A$3:$C$9838,2,FALSE)</f>
        <v>Fluchsiphon</v>
      </c>
      <c r="D480" t="s">
        <v>67</v>
      </c>
      <c r="E480" s="3" t="str">
        <f>IF(ISNA(VLOOKUP(D480,ConstDLCIds!$B$4:$C$1001,2,FALSE)),"",VLOOKUP(D480,ConstDLCIds!$B$4:$C$1001,2,FALSE))</f>
        <v>Markarth</v>
      </c>
    </row>
    <row r="481" spans="1:5" x14ac:dyDescent="0.25">
      <c r="A481" s="1">
        <v>543</v>
      </c>
      <c r="B481" s="9" t="str">
        <f>VLOOKUP(A481,'Sets (lua data)'!$A$3:$C$9838,3,FALSE)</f>
        <v>Pestilent Host</v>
      </c>
      <c r="C481" s="9" t="str">
        <f>VLOOKUP(A481,'Sets (lua data)'!$A$3:$C$9838,2,FALSE)</f>
        <v>Pestilenter Wirt</v>
      </c>
      <c r="D481" t="s">
        <v>67</v>
      </c>
      <c r="E481" s="3" t="str">
        <f>IF(ISNA(VLOOKUP(D481,ConstDLCIds!$B$4:$C$1001,2,FALSE)),"",VLOOKUP(D481,ConstDLCIds!$B$4:$C$1001,2,FALSE))</f>
        <v>Markarth</v>
      </c>
    </row>
    <row r="482" spans="1:5" x14ac:dyDescent="0.25">
      <c r="A482" s="1">
        <v>544</v>
      </c>
      <c r="B482" s="9" t="str">
        <f>VLOOKUP(A482,'Sets (lua data)'!$A$3:$C$9838,3,FALSE)</f>
        <v>Explosive Rebuke</v>
      </c>
      <c r="C482" s="9" t="str">
        <f>VLOOKUP(A482,'Sets (lua data)'!$A$3:$C$9838,2,FALSE)</f>
        <v>Explosiver Tadel</v>
      </c>
      <c r="D482" t="s">
        <v>67</v>
      </c>
      <c r="E482" s="3" t="str">
        <f>IF(ISNA(VLOOKUP(D482,ConstDLCIds!$B$4:$C$1001,2,FALSE)),"",VLOOKUP(D482,ConstDLCIds!$B$4:$C$1001,2,FALSE))</f>
        <v>Markarth</v>
      </c>
    </row>
    <row r="483" spans="1:5" x14ac:dyDescent="0.25">
      <c r="A483" s="1">
        <v>557</v>
      </c>
      <c r="B483" s="9" t="str">
        <f>VLOOKUP(A483,'Sets (lua data)'!$A$3:$C$9838,3,FALSE)</f>
        <v>Executioner\'s Blade</v>
      </c>
      <c r="C483" s="9" t="str">
        <f>VLOOKUP(A483,'Sets (lua data)'!$A$3:$C$9838,2,FALSE)</f>
        <v>Henkersklinge</v>
      </c>
      <c r="D483" t="s">
        <v>67</v>
      </c>
      <c r="E483" s="3" t="str">
        <f>IF(ISNA(VLOOKUP(D483,ConstDLCIds!$B$4:$C$1001,2,FALSE)),"",VLOOKUP(D483,ConstDLCIds!$B$4:$C$1001,2,FALSE))</f>
        <v>Markarth</v>
      </c>
    </row>
    <row r="484" spans="1:5" x14ac:dyDescent="0.25">
      <c r="A484" s="1">
        <v>558</v>
      </c>
      <c r="B484" s="9" t="str">
        <f>VLOOKUP(A484,'Sets (lua data)'!$A$3:$C$9838,3,FALSE)</f>
        <v>Void Bash</v>
      </c>
      <c r="C484" s="9" t="str">
        <f>VLOOKUP(A484,'Sets (lua data)'!$A$3:$C$9838,2,FALSE)</f>
        <v>LeerenWucht</v>
      </c>
      <c r="D484" t="s">
        <v>67</v>
      </c>
      <c r="E484" s="3" t="str">
        <f>IF(ISNA(VLOOKUP(D484,ConstDLCIds!$B$4:$C$1001,2,FALSE)),"",VLOOKUP(D484,ConstDLCIds!$B$4:$C$1001,2,FALSE))</f>
        <v>Markarth</v>
      </c>
    </row>
    <row r="485" spans="1:5" x14ac:dyDescent="0.25">
      <c r="A485" s="1">
        <v>559</v>
      </c>
      <c r="B485" s="9" t="str">
        <f>VLOOKUP(A485,'Sets (lua data)'!$A$3:$C$9838,3,FALSE)</f>
        <v>Frenzied Momentum</v>
      </c>
      <c r="C485" s="9" t="str">
        <f>VLOOKUP(A485,'Sets (lua data)'!$A$3:$C$9838,2,FALSE)</f>
        <v>Tobendes Momentum</v>
      </c>
      <c r="D485" t="s">
        <v>67</v>
      </c>
      <c r="E485" s="3" t="str">
        <f>IF(ISNA(VLOOKUP(D485,ConstDLCIds!$B$4:$C$1001,2,FALSE)),"",VLOOKUP(D485,ConstDLCIds!$B$4:$C$1001,2,FALSE))</f>
        <v>Markarth</v>
      </c>
    </row>
    <row r="486" spans="1:5" x14ac:dyDescent="0.25">
      <c r="A486" s="1">
        <v>560</v>
      </c>
      <c r="B486" s="9" t="str">
        <f>VLOOKUP(A486,'Sets (lua data)'!$A$3:$C$9838,3,FALSE)</f>
        <v>Point-Blank Snipe</v>
      </c>
      <c r="C486" s="9" t="str">
        <f>VLOOKUP(A486,'Sets (lua data)'!$A$3:$C$9838,2,FALSE)</f>
        <v>Volltreffer</v>
      </c>
      <c r="D486" t="s">
        <v>67</v>
      </c>
      <c r="E486" s="3" t="str">
        <f>IF(ISNA(VLOOKUP(D486,ConstDLCIds!$B$4:$C$1001,2,FALSE)),"",VLOOKUP(D486,ConstDLCIds!$B$4:$C$1001,2,FALSE))</f>
        <v>Markarth</v>
      </c>
    </row>
    <row r="487" spans="1:5" x14ac:dyDescent="0.25">
      <c r="A487" s="1">
        <v>561</v>
      </c>
      <c r="B487" s="9" t="str">
        <f>VLOOKUP(A487,'Sets (lua data)'!$A$3:$C$9838,3,FALSE)</f>
        <v>Wrath of Elements</v>
      </c>
      <c r="C487" s="9" t="str">
        <f>VLOOKUP(A487,'Sets (lua data)'!$A$3:$C$9838,2,FALSE)</f>
        <v>Zorn der Elemente</v>
      </c>
      <c r="D487" t="s">
        <v>67</v>
      </c>
      <c r="E487" s="3" t="str">
        <f>IF(ISNA(VLOOKUP(D487,ConstDLCIds!$B$4:$C$1001,2,FALSE)),"",VLOOKUP(D487,ConstDLCIds!$B$4:$C$1001,2,FALSE))</f>
        <v>Markarth</v>
      </c>
    </row>
    <row r="488" spans="1:5" x14ac:dyDescent="0.25">
      <c r="A488" s="1">
        <v>562</v>
      </c>
      <c r="B488" s="9" t="str">
        <f>VLOOKUP(A488,'Sets (lua data)'!$A$3:$C$9838,3,FALSE)</f>
        <v>Force Overflow</v>
      </c>
      <c r="C488" s="9" t="str">
        <f>VLOOKUP(A488,'Sets (lua data)'!$A$3:$C$9838,2,FALSE)</f>
        <v>Machtüberschuss</v>
      </c>
      <c r="D488" t="s">
        <v>67</v>
      </c>
      <c r="E488" s="3" t="str">
        <f>IF(ISNA(VLOOKUP(D488,ConstDLCIds!$B$4:$C$1001,2,FALSE)),"",VLOOKUP(D488,ConstDLCIds!$B$4:$C$1001,2,FALSE))</f>
        <v>Markarth</v>
      </c>
    </row>
    <row r="489" spans="1:5" x14ac:dyDescent="0.25">
      <c r="A489" s="1">
        <v>563</v>
      </c>
      <c r="B489" s="9" t="str">
        <f>VLOOKUP(A489,'Sets (lua data)'!$A$3:$C$9838,3,FALSE)</f>
        <v>Perfected Executioner\'s Blade</v>
      </c>
      <c r="C489" s="9" t="str">
        <f>VLOOKUP(A489,'Sets (lua data)'!$A$3:$C$9838,2,FALSE)</f>
        <v>Perfektionierte Klinge des Henkers</v>
      </c>
      <c r="D489" t="s">
        <v>67</v>
      </c>
      <c r="E489" s="3" t="str">
        <f>IF(ISNA(VLOOKUP(D489,ConstDLCIds!$B$4:$C$1001,2,FALSE)),"",VLOOKUP(D489,ConstDLCIds!$B$4:$C$1001,2,FALSE))</f>
        <v>Markarth</v>
      </c>
    </row>
    <row r="490" spans="1:5" x14ac:dyDescent="0.25">
      <c r="A490" s="1">
        <v>564</v>
      </c>
      <c r="B490" s="9" t="str">
        <f>VLOOKUP(A490,'Sets (lua data)'!$A$3:$C$9838,3,FALSE)</f>
        <v>Perfected Void Bash</v>
      </c>
      <c r="C490" s="9" t="str">
        <f>VLOOKUP(A490,'Sets (lua data)'!$A$3:$C$9838,2,FALSE)</f>
        <v>Perfektionierte Leerenwucht</v>
      </c>
      <c r="D490" t="s">
        <v>67</v>
      </c>
      <c r="E490" s="3" t="str">
        <f>IF(ISNA(VLOOKUP(D490,ConstDLCIds!$B$4:$C$1001,2,FALSE)),"",VLOOKUP(D490,ConstDLCIds!$B$4:$C$1001,2,FALSE))</f>
        <v>Markarth</v>
      </c>
    </row>
    <row r="491" spans="1:5" x14ac:dyDescent="0.25">
      <c r="A491" s="1">
        <v>565</v>
      </c>
      <c r="B491" s="9" t="str">
        <f>VLOOKUP(A491,'Sets (lua data)'!$A$3:$C$9838,3,FALSE)</f>
        <v>Perfected Frenzied Momentum</v>
      </c>
      <c r="C491" s="9" t="str">
        <f>VLOOKUP(A491,'Sets (lua data)'!$A$3:$C$9838,2,FALSE)</f>
        <v>Perfektioniertes tobendes Momentum</v>
      </c>
      <c r="D491" t="s">
        <v>67</v>
      </c>
      <c r="E491" s="3" t="str">
        <f>IF(ISNA(VLOOKUP(D491,ConstDLCIds!$B$4:$C$1001,2,FALSE)),"",VLOOKUP(D491,ConstDLCIds!$B$4:$C$1001,2,FALSE))</f>
        <v>Markarth</v>
      </c>
    </row>
    <row r="492" spans="1:5" x14ac:dyDescent="0.25">
      <c r="A492" s="1">
        <v>566</v>
      </c>
      <c r="B492" s="9" t="str">
        <f>VLOOKUP(A492,'Sets (lua data)'!$A$3:$C$9838,3,FALSE)</f>
        <v>Perfected Point-Blank Snipe</v>
      </c>
      <c r="C492" s="9" t="str">
        <f>VLOOKUP(A492,'Sets (lua data)'!$A$3:$C$9838,2,FALSE)</f>
        <v>Perfektionierter Volltreffer</v>
      </c>
      <c r="D492" t="s">
        <v>67</v>
      </c>
      <c r="E492" s="3" t="str">
        <f>IF(ISNA(VLOOKUP(D492,ConstDLCIds!$B$4:$C$1001,2,FALSE)),"",VLOOKUP(D492,ConstDLCIds!$B$4:$C$1001,2,FALSE))</f>
        <v>Markarth</v>
      </c>
    </row>
    <row r="493" spans="1:5" x14ac:dyDescent="0.25">
      <c r="A493" s="1">
        <v>567</v>
      </c>
      <c r="B493" s="9" t="str">
        <f>VLOOKUP(A493,'Sets (lua data)'!$A$3:$C$9838,3,FALSE)</f>
        <v>Perfected Wrath of Elements</v>
      </c>
      <c r="C493" s="9" t="str">
        <f>VLOOKUP(A493,'Sets (lua data)'!$A$3:$C$9838,2,FALSE)</f>
        <v>Perfektionierter Zorn der Elemente</v>
      </c>
      <c r="D493" t="s">
        <v>67</v>
      </c>
      <c r="E493" s="3" t="str">
        <f>IF(ISNA(VLOOKUP(D493,ConstDLCIds!$B$4:$C$1001,2,FALSE)),"",VLOOKUP(D493,ConstDLCIds!$B$4:$C$1001,2,FALSE))</f>
        <v>Markarth</v>
      </c>
    </row>
    <row r="494" spans="1:5" x14ac:dyDescent="0.25">
      <c r="A494" s="1">
        <v>568</v>
      </c>
      <c r="B494" s="9" t="str">
        <f>VLOOKUP(A494,'Sets (lua data)'!$A$3:$C$9838,3,FALSE)</f>
        <v>Perfected Force Overflow</v>
      </c>
      <c r="C494" s="9" t="str">
        <f>VLOOKUP(A494,'Sets (lua data)'!$A$3:$C$9838,2,FALSE)</f>
        <v>Perfektionierter Machtüberschuss</v>
      </c>
      <c r="D494" t="s">
        <v>67</v>
      </c>
      <c r="E494" s="3" t="str">
        <f>IF(ISNA(VLOOKUP(D494,ConstDLCIds!$B$4:$C$1001,2,FALSE)),"",VLOOKUP(D494,ConstDLCIds!$B$4:$C$1001,2,FALSE))</f>
        <v>Markarth</v>
      </c>
    </row>
    <row r="495" spans="1:5" x14ac:dyDescent="0.25">
      <c r="A495" s="1">
        <v>569</v>
      </c>
      <c r="B495" s="9" t="str">
        <f>VLOOKUP(A495,'Sets (lua data)'!$A$3:$C$9838,3,FALSE)</f>
        <v>True-Sworn Fury </v>
      </c>
      <c r="C495" s="9" t="str">
        <f>VLOOKUP(A495,'Sets (lua data)'!$A$3:$C$9838,2,FALSE)</f>
        <v>Wahrgeschworenen-Raserei</v>
      </c>
      <c r="D495" t="s">
        <v>70</v>
      </c>
      <c r="E495" s="3" t="str">
        <f>IF(ISNA(VLOOKUP(D495,ConstDLCIds!$B$4:$C$1001,2,FALSE)),"",VLOOKUP(D495,ConstDLCIds!$B$4:$C$1001,2,FALSE))</f>
        <v>Flames of Ambition</v>
      </c>
    </row>
    <row r="496" spans="1:5" x14ac:dyDescent="0.25">
      <c r="A496" s="1">
        <v>570</v>
      </c>
      <c r="B496" s="9" t="str">
        <f>VLOOKUP(A496,'Sets (lua data)'!$A$3:$C$9838,3,FALSE)</f>
        <v>Kinras\'s Wrath</v>
      </c>
      <c r="C496" s="9" t="str">
        <f>VLOOKUP(A496,'Sets (lua data)'!$A$3:$C$9838,2,FALSE)</f>
        <v>Kinra's Zorn</v>
      </c>
      <c r="D496" t="s">
        <v>70</v>
      </c>
      <c r="E496" s="3" t="str">
        <f>IF(ISNA(VLOOKUP(D496,ConstDLCIds!$B$4:$C$1001,2,FALSE)),"",VLOOKUP(D496,ConstDLCIds!$B$4:$C$1001,2,FALSE))</f>
        <v>Flames of Ambition</v>
      </c>
    </row>
    <row r="497" spans="1:5" x14ac:dyDescent="0.25">
      <c r="A497" s="1">
        <v>571</v>
      </c>
      <c r="B497" s="9" t="str">
        <f>VLOOKUP(A497,'Sets (lua data)'!$A$3:$C$9838,3,FALSE)</f>
        <v>Drake\'s Rush</v>
      </c>
      <c r="C497" s="9" t="str">
        <f>VLOOKUP(A497,'Sets (lua data)'!$A$3:$C$9838,2,FALSE)</f>
        <v>Dracheneile</v>
      </c>
      <c r="D497" t="s">
        <v>70</v>
      </c>
      <c r="E497" s="3" t="str">
        <f>IF(ISNA(VLOOKUP(D497,ConstDLCIds!$B$4:$C$1001,2,FALSE)),"",VLOOKUP(D497,ConstDLCIds!$B$4:$C$1001,2,FALSE))</f>
        <v>Flames of Ambition</v>
      </c>
    </row>
    <row r="498" spans="1:5" x14ac:dyDescent="0.25">
      <c r="A498" s="1">
        <v>572</v>
      </c>
      <c r="B498" s="9" t="str">
        <f>VLOOKUP(A498,'Sets (lua data)'!$A$3:$C$9838,3,FALSE)</f>
        <v>Unleashed Ritualist</v>
      </c>
      <c r="C498" s="9" t="str">
        <f>VLOOKUP(A498,'Sets (lua data)'!$A$3:$C$9838,2,FALSE)</f>
        <v>Entfesselter Ritualist</v>
      </c>
      <c r="D498" t="s">
        <v>70</v>
      </c>
      <c r="E498" s="3" t="str">
        <f>IF(ISNA(VLOOKUP(D498,ConstDLCIds!$B$4:$C$1001,2,FALSE)),"",VLOOKUP(D498,ConstDLCIds!$B$4:$C$1001,2,FALSE))</f>
        <v>Flames of Ambition</v>
      </c>
    </row>
    <row r="499" spans="1:5" x14ac:dyDescent="0.25">
      <c r="A499" s="1">
        <v>573</v>
      </c>
      <c r="B499" s="9" t="str">
        <f>VLOOKUP(A499,'Sets (lua data)'!$A$3:$C$9838,3,FALSE)</f>
        <v>Dagon\'s Dominion</v>
      </c>
      <c r="C499" s="9" t="str">
        <f>VLOOKUP(A499,'Sets (lua data)'!$A$3:$C$9838,2,FALSE)</f>
        <v>Dagons Herrschaft</v>
      </c>
      <c r="D499" t="s">
        <v>70</v>
      </c>
      <c r="E499" s="3" t="str">
        <f>IF(ISNA(VLOOKUP(D499,ConstDLCIds!$B$4:$C$1001,2,FALSE)),"",VLOOKUP(D499,ConstDLCIds!$B$4:$C$1001,2,FALSE))</f>
        <v>Flames of Ambition</v>
      </c>
    </row>
    <row r="500" spans="1:5" x14ac:dyDescent="0.25">
      <c r="A500" s="1">
        <v>574</v>
      </c>
      <c r="B500" s="9" t="str">
        <f>VLOOKUP(A500,'Sets (lua data)'!$A$3:$C$9838,3,FALSE)</f>
        <v>Foolkiller\'s Ward</v>
      </c>
      <c r="C500" s="9" t="str">
        <f>VLOOKUP(A500,'Sets (lua data)'!$A$3:$C$9838,2,FALSE)</f>
        <v>Schutz des Narrentöters</v>
      </c>
      <c r="D500" t="s">
        <v>70</v>
      </c>
      <c r="E500" s="3" t="str">
        <f>IF(ISNA(VLOOKUP(D500,ConstDLCIds!$B$4:$C$1001,2,FALSE)),"",VLOOKUP(D500,ConstDLCIds!$B$4:$C$1001,2,FALSE))</f>
        <v>Flames of Ambition</v>
      </c>
    </row>
    <row r="501" spans="1:5" x14ac:dyDescent="0.25">
      <c r="A501" s="1">
        <v>575</v>
      </c>
      <c r="B501" s="9" t="str">
        <f>VLOOKUP(A501,'Sets (lua data)'!$A$3:$C$9838,3,FALSE)</f>
        <v>Ring of the Pale Order</v>
      </c>
      <c r="C501" s="9" t="str">
        <f>VLOOKUP(A501,'Sets (lua data)'!$A$3:$C$9838,2,FALSE)</f>
        <v>Ring des Fahlen Ordens</v>
      </c>
      <c r="D501" t="s">
        <v>67</v>
      </c>
      <c r="E501" s="3" t="str">
        <f>IF(ISNA(VLOOKUP(D501,ConstDLCIds!$B$4:$C$1001,2,FALSE)),"",VLOOKUP(D501,ConstDLCIds!$B$4:$C$1001,2,FALSE))</f>
        <v>Markarth</v>
      </c>
    </row>
    <row r="502" spans="1:5" x14ac:dyDescent="0.25">
      <c r="A502" s="1">
        <v>576</v>
      </c>
      <c r="B502" s="9" t="str">
        <f>VLOOKUP(A502,'Sets (lua data)'!$A$3:$C$9838,3,FALSE)</f>
        <v>Pearls of Ehlnofey</v>
      </c>
      <c r="C502" s="9" t="str">
        <f>VLOOKUP(A502,'Sets (lua data)'!$A$3:$C$9838,2,FALSE)</f>
        <v>Perlen der Ehlnofey</v>
      </c>
      <c r="D502" t="s">
        <v>67</v>
      </c>
      <c r="E502" s="3" t="str">
        <f>IF(ISNA(VLOOKUP(D502,ConstDLCIds!$B$4:$C$1001,2,FALSE)),"",VLOOKUP(D502,ConstDLCIds!$B$4:$C$1001,2,FALSE))</f>
        <v>Markarth</v>
      </c>
    </row>
    <row r="503" spans="1:5" x14ac:dyDescent="0.25">
      <c r="A503" s="1">
        <v>577</v>
      </c>
      <c r="B503" s="9" t="str">
        <f>VLOOKUP(A503,'Sets (lua data)'!$A$3:$C$9838,3,FALSE)</f>
        <v>Encrati\'s Behemoth</v>
      </c>
      <c r="C503" s="9" t="str">
        <f>VLOOKUP(A503,'Sets (lua data)'!$A$3:$C$9838,2,FALSE)</f>
        <v>Encrati\'s Behemoth</v>
      </c>
      <c r="D503" t="s">
        <v>70</v>
      </c>
      <c r="E503" s="3" t="str">
        <f>IF(ISNA(VLOOKUP(D503,ConstDLCIds!$B$4:$C$1001,2,FALSE)),"",VLOOKUP(D503,ConstDLCIds!$B$4:$C$1001,2,FALSE))</f>
        <v>Flames of Ambition</v>
      </c>
    </row>
    <row r="504" spans="1:5" x14ac:dyDescent="0.25">
      <c r="A504" s="1">
        <v>578</v>
      </c>
      <c r="B504" s="9" t="str">
        <f>VLOOKUP(A504,'Sets (lua data)'!$A$3:$C$9838,3,FALSE)</f>
        <v>Baron Zaudrus</v>
      </c>
      <c r="C504" s="9" t="str">
        <f>VLOOKUP(A504,'Sets (lua data)'!$A$3:$C$9838,2,FALSE)</f>
        <v>Baron Zaudrus</v>
      </c>
      <c r="D504" t="s">
        <v>70</v>
      </c>
      <c r="E504" s="3" t="str">
        <f>IF(ISNA(VLOOKUP(D504,ConstDLCIds!$B$4:$C$1001,2,FALSE)),"",VLOOKUP(D504,ConstDLCIds!$B$4:$C$1001,2,FALSE))</f>
        <v>Flames of Ambition</v>
      </c>
    </row>
    <row r="505" spans="1:5" x14ac:dyDescent="0.25">
      <c r="A505" s="1">
        <v>579</v>
      </c>
      <c r="B505" s="9" t="str">
        <f>VLOOKUP(A505,'Sets (lua data)'!$A$3:$C$9838,3,FALSE)</f>
        <v>Frostbite</v>
      </c>
      <c r="C505" s="9" t="str">
        <f>VLOOKUP(A505,'Sets (lua data)'!$A$3:$C$9838,2,FALSE)</f>
        <v>Frostbiss</v>
      </c>
      <c r="D505" t="s">
        <v>73</v>
      </c>
      <c r="E505" s="3" t="str">
        <f>IF(ISNA(VLOOKUP(D505,ConstDLCIds!$B$4:$C$1001,2,FALSE)),"",VLOOKUP(D505,ConstDLCIds!$B$4:$C$1001,2,FALSE))</f>
        <v>Blackwood</v>
      </c>
    </row>
    <row r="506" spans="1:5" x14ac:dyDescent="0.25">
      <c r="A506" s="1">
        <v>580</v>
      </c>
      <c r="B506" s="9" t="str">
        <f>VLOOKUP(A506,'Sets (lua data)'!$A$3:$C$9838,3,FALSE)</f>
        <v>Deadlands Assassin</v>
      </c>
      <c r="C506" s="9" t="str">
        <f>VLOOKUP(A506,'Sets (lua data)'!$A$3:$C$9838,2,FALSE)</f>
        <v>Totenländer-Assassine</v>
      </c>
      <c r="D506" t="s">
        <v>73</v>
      </c>
      <c r="E506" s="3" t="str">
        <f>IF(ISNA(VLOOKUP(D506,ConstDLCIds!$B$4:$C$1001,2,FALSE)),"",VLOOKUP(D506,ConstDLCIds!$B$4:$C$1001,2,FALSE))</f>
        <v>Blackwood</v>
      </c>
    </row>
    <row r="507" spans="1:5" x14ac:dyDescent="0.25">
      <c r="A507" s="1">
        <v>581</v>
      </c>
      <c r="B507" s="9" t="str">
        <f>VLOOKUP(A507,'Sets (lua data)'!$A$3:$C$9838,3,FALSE)</f>
        <v>Bog Raider</v>
      </c>
      <c r="C507" s="9" t="str">
        <f>VLOOKUP(A507,'Sets (lua data)'!$A$3:$C$9838,2,FALSE)</f>
        <v>Moorräuber</v>
      </c>
      <c r="D507" t="s">
        <v>73</v>
      </c>
      <c r="E507" s="3" t="str">
        <f>IF(ISNA(VLOOKUP(D507,ConstDLCIds!$B$4:$C$1001,2,FALSE)),"",VLOOKUP(D507,ConstDLCIds!$B$4:$C$1001,2,FALSE))</f>
        <v>Blackwood</v>
      </c>
    </row>
    <row r="508" spans="1:5" x14ac:dyDescent="0.25">
      <c r="A508" s="1">
        <v>582</v>
      </c>
      <c r="B508" s="9" t="str">
        <f>VLOOKUP(A508,'Sets (lua data)'!$A$3:$C$9838,3,FALSE)</f>
        <v>Hist Whisperer</v>
      </c>
      <c r="C508" s="9" t="str">
        <f>VLOOKUP(A508,'Sets (lua data)'!$A$3:$C$9838,2,FALSE)</f>
        <v>Histflüsterer</v>
      </c>
      <c r="D508" t="s">
        <v>73</v>
      </c>
      <c r="E508" s="3" t="str">
        <f>IF(ISNA(VLOOKUP(D508,ConstDLCIds!$B$4:$C$1001,2,FALSE)),"",VLOOKUP(D508,ConstDLCIds!$B$4:$C$1001,2,FALSE))</f>
        <v>Blackwood</v>
      </c>
    </row>
    <row r="509" spans="1:5" x14ac:dyDescent="0.25">
      <c r="A509" s="1">
        <v>583</v>
      </c>
      <c r="B509" s="9" t="str">
        <f>VLOOKUP(A509,'Sets (lua data)'!$A$3:$C$9838,3,FALSE)</f>
        <v>Heartland Conqueror</v>
      </c>
      <c r="C509" s="9" t="str">
        <f>VLOOKUP(A509,'Sets (lua data)'!$A$3:$C$9838,2,FALSE)</f>
        <v>Herzlanderoberer</v>
      </c>
      <c r="D509" t="s">
        <v>73</v>
      </c>
      <c r="E509" s="3" t="str">
        <f>IF(ISNA(VLOOKUP(D509,ConstDLCIds!$B$4:$C$1001,2,FALSE)),"",VLOOKUP(D509,ConstDLCIds!$B$4:$C$1001,2,FALSE))</f>
        <v>Blackwood</v>
      </c>
    </row>
    <row r="510" spans="1:5" x14ac:dyDescent="0.25">
      <c r="A510" s="1">
        <v>584</v>
      </c>
      <c r="B510" s="9" t="str">
        <f>VLOOKUP(A510,'Sets (lua data)'!$A$3:$C$9838,3,FALSE)</f>
        <v>Diamond\'s Victory</v>
      </c>
      <c r="C510" s="9" t="str">
        <f>VLOOKUP(A510,'Sets (lua data)'!$A$3:$C$9838,2,FALSE)</f>
        <v>Sieg des Diamanten</v>
      </c>
      <c r="D510" t="s">
        <v>73</v>
      </c>
      <c r="E510" s="3" t="str">
        <f>IF(ISNA(VLOOKUP(D510,ConstDLCIds!$B$4:$C$1001,2,FALSE)),"",VLOOKUP(D510,ConstDLCIds!$B$4:$C$1001,2,FALSE))</f>
        <v>Blackwood</v>
      </c>
    </row>
    <row r="511" spans="1:5" x14ac:dyDescent="0.25">
      <c r="A511" s="1">
        <v>585</v>
      </c>
      <c r="B511" s="9" t="str">
        <f>VLOOKUP(A511,'Sets (lua data)'!$A$3:$C$9838,3,FALSE)</f>
        <v>Saxhleel Champion</v>
      </c>
      <c r="C511" s="9" t="str">
        <f>VLOOKUP(A511,'Sets (lua data)'!$A$3:$C$9838,2,FALSE)</f>
        <v>Saxhleel-Champion</v>
      </c>
      <c r="D511" t="s">
        <v>73</v>
      </c>
      <c r="E511" s="3" t="str">
        <f>IF(ISNA(VLOOKUP(D511,ConstDLCIds!$B$4:$C$1001,2,FALSE)),"",VLOOKUP(D511,ConstDLCIds!$B$4:$C$1001,2,FALSE))</f>
        <v>Blackwood</v>
      </c>
    </row>
    <row r="512" spans="1:5" x14ac:dyDescent="0.25">
      <c r="A512" s="1">
        <v>586</v>
      </c>
      <c r="B512" s="9" t="str">
        <f>VLOOKUP(A512,'Sets (lua data)'!$A$3:$C$9838,3,FALSE)</f>
        <v>Sul-Xan\'s Torment</v>
      </c>
      <c r="C512" s="9" t="str">
        <f>VLOOKUP(A512,'Sets (lua data)'!$A$3:$C$9838,2,FALSE)</f>
        <v>Sul-Xans Folter</v>
      </c>
      <c r="D512" t="s">
        <v>73</v>
      </c>
      <c r="E512" s="3" t="str">
        <f>IF(ISNA(VLOOKUP(D512,ConstDLCIds!$B$4:$C$1001,2,FALSE)),"",VLOOKUP(D512,ConstDLCIds!$B$4:$C$1001,2,FALSE))</f>
        <v>Blackwood</v>
      </c>
    </row>
    <row r="513" spans="1:5" x14ac:dyDescent="0.25">
      <c r="A513" s="1">
        <v>587</v>
      </c>
      <c r="B513" s="9" t="str">
        <f>VLOOKUP(A513,'Sets (lua data)'!$A$3:$C$9838,3,FALSE)</f>
        <v>Bahsei\'s Mania</v>
      </c>
      <c r="C513" s="9" t="str">
        <f>VLOOKUP(A513,'Sets (lua data)'!$A$3:$C$9838,2,FALSE)</f>
        <v>Bahseis Manie</v>
      </c>
      <c r="D513" t="s">
        <v>73</v>
      </c>
      <c r="E513" s="3" t="str">
        <f>IF(ISNA(VLOOKUP(D513,ConstDLCIds!$B$4:$C$1001,2,FALSE)),"",VLOOKUP(D513,ConstDLCIds!$B$4:$C$1001,2,FALSE))</f>
        <v>Blackwood</v>
      </c>
    </row>
    <row r="514" spans="1:5" x14ac:dyDescent="0.25">
      <c r="A514" s="1">
        <v>588</v>
      </c>
      <c r="B514" s="9" t="str">
        <f>VLOOKUP(A514,'Sets (lua data)'!$A$3:$C$9838,3,FALSE)</f>
        <v>Stone-Talker\'s Oath</v>
      </c>
      <c r="C514" s="9" t="str">
        <f>VLOOKUP(A514,'Sets (lua data)'!$A$3:$C$9838,2,FALSE)</f>
        <v>Eid des Steinsprechers</v>
      </c>
      <c r="D514" t="s">
        <v>73</v>
      </c>
      <c r="E514" s="3" t="str">
        <f>IF(ISNA(VLOOKUP(D514,ConstDLCIds!$B$4:$C$1001,2,FALSE)),"",VLOOKUP(D514,ConstDLCIds!$B$4:$C$1001,2,FALSE))</f>
        <v>Blackwood</v>
      </c>
    </row>
    <row r="515" spans="1:5" x14ac:dyDescent="0.25">
      <c r="A515" s="1">
        <v>589</v>
      </c>
      <c r="B515" s="9" t="str">
        <f>VLOOKUP(A515,'Sets (lua data)'!$A$3:$C$9838,3,FALSE)</f>
        <v>Perfected Saxhleel Champion</v>
      </c>
      <c r="C515" s="9" t="str">
        <f>VLOOKUP(A515,'Sets (lua data)'!$A$3:$C$9838,2,FALSE)</f>
        <v>Perfektionierter Saxhleel-Champion</v>
      </c>
      <c r="D515" t="s">
        <v>73</v>
      </c>
      <c r="E515" s="3" t="str">
        <f>IF(ISNA(VLOOKUP(D515,ConstDLCIds!$B$4:$C$1001,2,FALSE)),"",VLOOKUP(D515,ConstDLCIds!$B$4:$C$1001,2,FALSE))</f>
        <v>Blackwood</v>
      </c>
    </row>
    <row r="516" spans="1:5" x14ac:dyDescent="0.25">
      <c r="A516" s="1">
        <v>590</v>
      </c>
      <c r="B516" s="9" t="str">
        <f>VLOOKUP(A516,'Sets (lua data)'!$A$3:$C$9838,3,FALSE)</f>
        <v>Perfected Sul-Xan\'s Torment</v>
      </c>
      <c r="C516" s="9" t="str">
        <f>VLOOKUP(A516,'Sets (lua data)'!$A$3:$C$9838,2,FALSE)</f>
        <v>Perfected Sul-Xan\'s Torment</v>
      </c>
      <c r="D516" t="s">
        <v>73</v>
      </c>
      <c r="E516" s="3" t="str">
        <f>IF(ISNA(VLOOKUP(D516,ConstDLCIds!$B$4:$C$1001,2,FALSE)),"",VLOOKUP(D516,ConstDLCIds!$B$4:$C$1001,2,FALSE))</f>
        <v>Blackwood</v>
      </c>
    </row>
    <row r="517" spans="1:5" x14ac:dyDescent="0.25">
      <c r="A517" s="1">
        <v>591</v>
      </c>
      <c r="B517" s="9" t="str">
        <f>VLOOKUP(A517,'Sets (lua data)'!$A$3:$C$9838,3,FALSE)</f>
        <v>Perfected Bahsei\'s Mania</v>
      </c>
      <c r="C517" s="9" t="str">
        <f>VLOOKUP(A517,'Sets (lua data)'!$A$3:$C$9838,2,FALSE)</f>
        <v>Bahseis perfektionierte Manie</v>
      </c>
      <c r="D517" t="s">
        <v>73</v>
      </c>
      <c r="E517" s="3" t="str">
        <f>IF(ISNA(VLOOKUP(D517,ConstDLCIds!$B$4:$C$1001,2,FALSE)),"",VLOOKUP(D517,ConstDLCIds!$B$4:$C$1001,2,FALSE))</f>
        <v>Blackwood</v>
      </c>
    </row>
    <row r="518" spans="1:5" x14ac:dyDescent="0.25">
      <c r="A518" s="1">
        <v>592</v>
      </c>
      <c r="B518" s="9" t="str">
        <f>VLOOKUP(A518,'Sets (lua data)'!$A$3:$C$9838,3,FALSE)</f>
        <v>Perfected Stone-Talker\'s Oath</v>
      </c>
      <c r="C518" s="9" t="str">
        <f>VLOOKUP(A518,'Sets (lua data)'!$A$3:$C$9838,2,FALSE)</f>
        <v>Perfektionierter Eid des Steinsprechers</v>
      </c>
      <c r="D518" t="s">
        <v>73</v>
      </c>
      <c r="E518" s="3" t="str">
        <f>IF(ISNA(VLOOKUP(D518,ConstDLCIds!$B$4:$C$1001,2,FALSE)),"",VLOOKUP(D518,ConstDLCIds!$B$4:$C$1001,2,FALSE))</f>
        <v>Blackwood</v>
      </c>
    </row>
    <row r="519" spans="1:5" x14ac:dyDescent="0.25">
      <c r="A519" s="1">
        <v>593</v>
      </c>
      <c r="B519" s="9" t="str">
        <f>VLOOKUP(A519,'Sets (lua data)'!$A$3:$C$9838,3,FALSE)</f>
        <v>Gaze of Sithis</v>
      </c>
      <c r="C519" s="9" t="str">
        <f>VLOOKUP(A519,'Sets (lua data)'!$A$3:$C$9838,2,FALSE)</f>
        <v>Gaze of Sithis</v>
      </c>
      <c r="D519" t="s">
        <v>73</v>
      </c>
      <c r="E519" s="3" t="str">
        <f>IF(ISNA(VLOOKUP(D519,ConstDLCIds!$B$4:$C$1001,2,FALSE)),"",VLOOKUP(D519,ConstDLCIds!$B$4:$C$1001,2,FALSE))</f>
        <v>Blackwood</v>
      </c>
    </row>
    <row r="520" spans="1:5" x14ac:dyDescent="0.25">
      <c r="A520" s="1">
        <v>594</v>
      </c>
      <c r="B520" s="9" t="str">
        <f>VLOOKUP(A520,'Sets (lua data)'!$A$3:$C$9838,3,FALSE)</f>
        <v>Harpooner\'s Wading Kilt</v>
      </c>
      <c r="C520" s="9" t="str">
        <f>VLOOKUP(A520,'Sets (lua data)'!$A$3:$C$9838,2,FALSE)</f>
        <v>Harpooner\'s Wading Kilt</v>
      </c>
      <c r="D520" t="s">
        <v>73</v>
      </c>
      <c r="E520" s="3" t="str">
        <f>IF(ISNA(VLOOKUP(D520,ConstDLCIds!$B$4:$C$1001,2,FALSE)),"",VLOOKUP(D520,ConstDLCIds!$B$4:$C$1001,2,FALSE))</f>
        <v>Blackwood</v>
      </c>
    </row>
    <row r="521" spans="1:5" x14ac:dyDescent="0.25">
      <c r="A521" s="1">
        <v>596</v>
      </c>
      <c r="B521" s="9" t="str">
        <f>VLOOKUP(A521,'Sets (lua data)'!$A$3:$C$9838,3,FALSE)</f>
        <v>Death Dealer\'s Fete</v>
      </c>
      <c r="C521" s="9" t="str">
        <f>VLOOKUP(A521,'Sets (lua data)'!$A$3:$C$9838,2,FALSE)</f>
        <v>Death Dealer\'s Fete</v>
      </c>
      <c r="D521" t="s">
        <v>73</v>
      </c>
      <c r="E521" s="3" t="str">
        <f>IF(ISNA(VLOOKUP(D521,ConstDLCIds!$B$4:$C$1001,2,FALSE)),"",VLOOKUP(D521,ConstDLCIds!$B$4:$C$1001,2,FALSE))</f>
        <v>Blackwood</v>
      </c>
    </row>
    <row r="522" spans="1:5" x14ac:dyDescent="0.25">
      <c r="A522" s="1">
        <v>597</v>
      </c>
      <c r="B522" s="9" t="str">
        <f>VLOOKUP(A522,'Sets (lua data)'!$A$3:$C$9838,3,FALSE)</f>
        <v>Shapeshifter\'s Chain</v>
      </c>
      <c r="C522" s="9" t="str">
        <f>VLOOKUP(A522,'Sets (lua data)'!$A$3:$C$9838,2,FALSE)</f>
        <v>Shapeshifter\'s Chain</v>
      </c>
      <c r="D522" t="s">
        <v>73</v>
      </c>
      <c r="E522" s="3" t="str">
        <f>IF(ISNA(VLOOKUP(D522,ConstDLCIds!$B$4:$C$1001,2,FALSE)),"",VLOOKUP(D522,ConstDLCIds!$B$4:$C$1001,2,FALSE))</f>
        <v>Blackwood</v>
      </c>
    </row>
    <row r="523" spans="1:5" x14ac:dyDescent="0.25">
      <c r="A523" s="1">
        <v>598</v>
      </c>
      <c r="B523" s="9" t="str">
        <f>VLOOKUP(A523,'Sets (lua data)'!$A$3:$C$9838,3,FALSE)</f>
        <v>Zoal the Ever-Wakeful</v>
      </c>
      <c r="C523" s="9" t="str">
        <f>VLOOKUP(A523,'Sets (lua data)'!$A$3:$C$9838,2,FALSE)</f>
        <v>Zoal der Immerwache</v>
      </c>
      <c r="D523" t="s">
        <v>10</v>
      </c>
      <c r="E523" s="3" t="str">
        <f>IF(ISNA(VLOOKUP(D523,ConstDLCIds!$B$4:$C$1001,2,FALSE)),"",VLOOKUP(D523,ConstDLCIds!$B$4:$C$1001,2,FALSE))</f>
        <v>Imperial City</v>
      </c>
    </row>
    <row r="524" spans="1:5" x14ac:dyDescent="0.25">
      <c r="A524" s="1">
        <v>599</v>
      </c>
      <c r="B524" s="9" t="str">
        <f>VLOOKUP(A524,'Sets (lua data)'!$A$3:$C$9838,3,FALSE)</f>
        <v>Immolator Charr</v>
      </c>
      <c r="C524" s="9" t="str">
        <f>VLOOKUP(A524,'Sets (lua data)'!$A$3:$C$9838,2,FALSE)</f>
        <v>Entflammer Charr</v>
      </c>
      <c r="D524" t="s">
        <v>10</v>
      </c>
      <c r="E524" s="3" t="str">
        <f>IF(ISNA(VLOOKUP(D524,ConstDLCIds!$B$4:$C$1001,2,FALSE)),"",VLOOKUP(D524,ConstDLCIds!$B$4:$C$1001,2,FALSE))</f>
        <v>Imperial City</v>
      </c>
    </row>
    <row r="525" spans="1:5" x14ac:dyDescent="0.25">
      <c r="A525" s="1">
        <v>600</v>
      </c>
      <c r="B525" s="9" t="str">
        <f>VLOOKUP(A525,'Sets (lua data)'!$A$3:$C$9838,3,FALSE)</f>
        <v>Glorgoloch the Destroyer</v>
      </c>
      <c r="C525" s="9" t="str">
        <f>VLOOKUP(A525,'Sets (lua data)'!$A$3:$C$9838,2,FALSE)</f>
        <v>Glorgoloch der Zerstörer</v>
      </c>
      <c r="D525" t="s">
        <v>10</v>
      </c>
      <c r="E525" s="3" t="str">
        <f>IF(ISNA(VLOOKUP(D525,ConstDLCIds!$B$4:$C$1001,2,FALSE)),"",VLOOKUP(D525,ConstDLCIds!$B$4:$C$1001,2,FALSE))</f>
        <v>Imperial City</v>
      </c>
    </row>
    <row r="526" spans="1:5" x14ac:dyDescent="0.25">
      <c r="A526" s="1">
        <v>602</v>
      </c>
      <c r="B526" s="9" t="str">
        <f>VLOOKUP(A526,'Sets (lua data)'!$A$3:$C$9838,3,FALSE)</f>
        <v>Crimson Oath\'s Rive</v>
      </c>
      <c r="C526" s="9" t="str">
        <f>VLOOKUP(A526,'Sets (lua data)'!$A$3:$C$9838,2,FALSE)</f>
        <v>Spalt des Karmesinschwurs</v>
      </c>
      <c r="D526" t="s">
        <v>76</v>
      </c>
      <c r="E526" s="3" t="str">
        <f>IF(ISNA(VLOOKUP(D526,ConstDLCIds!$B$4:$C$1001,2,FALSE)),"",VLOOKUP(D526,ConstDLCIds!$B$4:$C$1001,2,FALSE))</f>
        <v>Waking Flame</v>
      </c>
    </row>
    <row r="527" spans="1:5" x14ac:dyDescent="0.25">
      <c r="A527" s="1">
        <v>603</v>
      </c>
      <c r="B527" s="9" t="str">
        <f>VLOOKUP(A527,'Sets (lua data)'!$A$3:$C$9838,3,FALSE)</f>
        <v>Scorion\'s Feast </v>
      </c>
      <c r="C527" s="9" t="str">
        <f>VLOOKUP(A527,'Sets (lua data)'!$A$3:$C$9838,2,FALSE)</f>
        <v>Festmahl des Skorions</v>
      </c>
      <c r="D527" t="s">
        <v>76</v>
      </c>
      <c r="E527" s="3" t="str">
        <f>IF(ISNA(VLOOKUP(D527,ConstDLCIds!$B$4:$C$1001,2,FALSE)),"",VLOOKUP(D527,ConstDLCIds!$B$4:$C$1001,2,FALSE))</f>
        <v>Waking Flame</v>
      </c>
    </row>
    <row r="528" spans="1:5" x14ac:dyDescent="0.25">
      <c r="A528" s="1">
        <v>604</v>
      </c>
      <c r="B528" s="9" t="str">
        <f>VLOOKUP(A528,'Sets (lua data)'!$A$3:$C$9838,3,FALSE)</f>
        <v>Rush of Agony</v>
      </c>
      <c r="C528" s="9" t="str">
        <f>VLOOKUP(A528,'Sets (lua data)'!$A$3:$C$9838,2,FALSE)</f>
        <v>Auftreibende Agonie</v>
      </c>
      <c r="D528" t="s">
        <v>76</v>
      </c>
      <c r="E528" s="3" t="str">
        <f>IF(ISNA(VLOOKUP(D528,ConstDLCIds!$B$4:$C$1001,2,FALSE)),"",VLOOKUP(D528,ConstDLCIds!$B$4:$C$1001,2,FALSE))</f>
        <v>Waking Flame</v>
      </c>
    </row>
    <row r="529" spans="1:5" x14ac:dyDescent="0.25">
      <c r="A529" s="1">
        <v>605</v>
      </c>
      <c r="B529" s="9" t="str">
        <f>VLOOKUP(A529,'Sets (lua data)'!$A$3:$C$9838,3,FALSE)</f>
        <v>Silver Rose Vigil</v>
      </c>
      <c r="C529" s="9" t="str">
        <f>VLOOKUP(A529,'Sets (lua data)'!$A$3:$C$9838,2,FALSE)</f>
        <v>Silberrosen-Wacht</v>
      </c>
      <c r="D529" t="s">
        <v>76</v>
      </c>
      <c r="E529" s="3" t="str">
        <f>IF(ISNA(VLOOKUP(D529,ConstDLCIds!$B$4:$C$1001,2,FALSE)),"",VLOOKUP(D529,ConstDLCIds!$B$4:$C$1001,2,FALSE))</f>
        <v>Waking Flame</v>
      </c>
    </row>
    <row r="530" spans="1:5" x14ac:dyDescent="0.25">
      <c r="A530" s="1">
        <v>606</v>
      </c>
      <c r="B530" s="9" t="str">
        <f>VLOOKUP(A530,'Sets (lua data)'!$A$3:$C$9838,3,FALSE)</f>
        <v>Thunder Caller</v>
      </c>
      <c r="C530" s="9" t="str">
        <f>VLOOKUP(A530,'Sets (lua data)'!$A$3:$C$9838,2,FALSE)</f>
        <v>Donnerrufer</v>
      </c>
      <c r="D530" t="s">
        <v>76</v>
      </c>
      <c r="E530" s="3" t="str">
        <f>IF(ISNA(VLOOKUP(D530,ConstDLCIds!$B$4:$C$1001,2,FALSE)),"",VLOOKUP(D530,ConstDLCIds!$B$4:$C$1001,2,FALSE))</f>
        <v>Waking Flame</v>
      </c>
    </row>
    <row r="531" spans="1:5" x14ac:dyDescent="0.25">
      <c r="A531" s="1">
        <v>607</v>
      </c>
      <c r="B531" s="9" t="str">
        <f>VLOOKUP(A531,'Sets (lua data)'!$A$3:$C$9838,3,FALSE)</f>
        <v>Grisly Gourmet</v>
      </c>
      <c r="C531" s="9" t="str">
        <f>VLOOKUP(A531,'Sets (lua data)'!$A$3:$C$9838,2,FALSE)</f>
        <v>Grausiger Gourmet</v>
      </c>
      <c r="D531" t="s">
        <v>76</v>
      </c>
      <c r="E531" s="3" t="str">
        <f>IF(ISNA(VLOOKUP(D531,ConstDLCIds!$B$4:$C$1001,2,FALSE)),"",VLOOKUP(D531,ConstDLCIds!$B$4:$C$1001,2,FALSE))</f>
        <v>Waking Flame</v>
      </c>
    </row>
    <row r="532" spans="1:5" x14ac:dyDescent="0.25">
      <c r="A532" s="1">
        <v>608</v>
      </c>
      <c r="B532" s="9" t="str">
        <f>VLOOKUP(A532,'Sets (lua data)'!$A$3:$C$9838,3,FALSE)</f>
        <v>Prior Thierric</v>
      </c>
      <c r="C532" s="9" t="str">
        <f>VLOOKUP(A532,'Sets (lua data)'!$A$3:$C$9838,2,FALSE)</f>
        <v>Prior Thierric</v>
      </c>
      <c r="D532" t="s">
        <v>76</v>
      </c>
      <c r="E532" s="3" t="str">
        <f>IF(ISNA(VLOOKUP(D532,ConstDLCIds!$B$4:$C$1001,2,FALSE)),"",VLOOKUP(D532,ConstDLCIds!$B$4:$C$1001,2,FALSE))</f>
        <v>Waking Flame</v>
      </c>
    </row>
    <row r="533" spans="1:5" x14ac:dyDescent="0.25">
      <c r="A533" s="1">
        <v>609</v>
      </c>
      <c r="B533" s="9" t="str">
        <f>VLOOKUP(A533,'Sets (lua data)'!$A$3:$C$9838,3,FALSE)</f>
        <v>Magma Incarnate</v>
      </c>
      <c r="C533" s="9" t="str">
        <f>VLOOKUP(A533,'Sets (lua data)'!$A$3:$C$9838,2,FALSE)</f>
        <v>Magmaverkörperung</v>
      </c>
      <c r="D533" t="s">
        <v>76</v>
      </c>
      <c r="E533" s="3" t="str">
        <f>IF(ISNA(VLOOKUP(D533,ConstDLCIds!$B$4:$C$1001,2,FALSE)),"",VLOOKUP(D533,ConstDLCIds!$B$4:$C$1001,2,FALSE))</f>
        <v>Waking Flame</v>
      </c>
    </row>
    <row r="534" spans="1:5" x14ac:dyDescent="0.25">
      <c r="A534" s="1">
        <v>610</v>
      </c>
      <c r="B534" s="9" t="str">
        <f>VLOOKUP(A534,'Sets (lua data)'!$A$3:$C$9838,3,FALSE)</f>
        <v>Wretched Vitality</v>
      </c>
      <c r="C534" s="9" t="str">
        <f>VLOOKUP(A534,'Sets (lua data)'!$A$3:$C$9838,2,FALSE)</f>
        <v>Elendsvitalität</v>
      </c>
      <c r="D534" t="s">
        <v>79</v>
      </c>
      <c r="E534" s="3" t="str">
        <f>IF(ISNA(VLOOKUP(D534,ConstDLCIds!$B$4:$C$1001,2,FALSE)),"",VLOOKUP(D534,ConstDLCIds!$B$4:$C$1001,2,FALSE))</f>
        <v>The Deadlands</v>
      </c>
    </row>
    <row r="535" spans="1:5" x14ac:dyDescent="0.25">
      <c r="A535" s="1">
        <v>611</v>
      </c>
      <c r="B535" s="9" t="str">
        <f>VLOOKUP(A535,'Sets (lua data)'!$A$3:$C$9838,3,FALSE)</f>
        <v>Deadlands Demolisher</v>
      </c>
      <c r="C535" s="9" t="str">
        <f>VLOOKUP(A535,'Sets (lua data)'!$A$3:$C$9838,2,FALSE)</f>
        <v>Totenländer-Demolierer</v>
      </c>
      <c r="D535" t="s">
        <v>79</v>
      </c>
      <c r="E535" s="3" t="str">
        <f>IF(ISNA(VLOOKUP(D535,ConstDLCIds!$B$4:$C$1001,2,FALSE)),"",VLOOKUP(D535,ConstDLCIds!$B$4:$C$1001,2,FALSE))</f>
        <v>The Deadlands</v>
      </c>
    </row>
    <row r="536" spans="1:5" x14ac:dyDescent="0.25">
      <c r="A536" s="1">
        <v>612</v>
      </c>
      <c r="B536" s="9" t="str">
        <f>VLOOKUP(A536,'Sets (lua data)'!$A$3:$C$9838,3,FALSE)</f>
        <v>Iron Flask</v>
      </c>
      <c r="C536" s="9" t="str">
        <f>VLOOKUP(A536,'Sets (lua data)'!$A$3:$C$9838,2,FALSE)</f>
        <v>Eisenfläschchen</v>
      </c>
      <c r="D536" t="s">
        <v>79</v>
      </c>
      <c r="E536" s="3" t="str">
        <f>IF(ISNA(VLOOKUP(D536,ConstDLCIds!$B$4:$C$1001,2,FALSE)),"",VLOOKUP(D536,ConstDLCIds!$B$4:$C$1001,2,FALSE))</f>
        <v>The Deadlands</v>
      </c>
    </row>
    <row r="537" spans="1:5" x14ac:dyDescent="0.25">
      <c r="A537" s="1">
        <v>613</v>
      </c>
      <c r="B537" s="9" t="str">
        <f>VLOOKUP(A537,'Sets (lua data)'!$A$3:$C$9838,3,FALSE)</f>
        <v>Eye of the Grasp</v>
      </c>
      <c r="C537" s="9" t="str">
        <f>VLOOKUP(A537,'Sets (lua data)'!$A$3:$C$9838,2,FALSE)</f>
        <v>Griffblick</v>
      </c>
      <c r="D537" t="s">
        <v>79</v>
      </c>
      <c r="E537" s="3" t="str">
        <f>IF(ISNA(VLOOKUP(D537,ConstDLCIds!$B$4:$C$1001,2,FALSE)),"",VLOOKUP(D537,ConstDLCIds!$B$4:$C$1001,2,FALSE))</f>
        <v>The Deadlands</v>
      </c>
    </row>
    <row r="538" spans="1:5" x14ac:dyDescent="0.25">
      <c r="A538" s="1">
        <v>614</v>
      </c>
      <c r="B538" s="9" t="str">
        <f>VLOOKUP(A538,'Sets (lua data)'!$A$3:$C$9838,3,FALSE)</f>
        <v>Hexos' Ward</v>
      </c>
      <c r="C538" s="9" t="str">
        <f>VLOOKUP(A538,'Sets (lua data)'!$A$3:$C$9838,2,FALSE)</f>
        <v>Hexos-Abschirmung</v>
      </c>
      <c r="D538" t="s">
        <v>79</v>
      </c>
      <c r="E538" s="3" t="str">
        <f>IF(ISNA(VLOOKUP(D538,ConstDLCIds!$B$4:$C$1001,2,FALSE)),"",VLOOKUP(D538,ConstDLCIds!$B$4:$C$1001,2,FALSE))</f>
        <v>The Deadlands</v>
      </c>
    </row>
    <row r="539" spans="1:5" x14ac:dyDescent="0.25">
      <c r="A539" s="1">
        <v>615</v>
      </c>
      <c r="B539" s="9" t="str">
        <f>VLOOKUP(A539,'Sets (lua data)'!$A$3:$C$9838,3,FALSE)</f>
        <v>Kynmarcher's Cruelty</v>
      </c>
      <c r="C539" s="9" t="str">
        <f>VLOOKUP(A539,'Sets (lua data)'!$A$3:$C$9838,2,FALSE)</f>
        <v>Grausamkeit der Kynandantin</v>
      </c>
      <c r="D539" t="s">
        <v>79</v>
      </c>
      <c r="E539" s="3" t="str">
        <f>IF(ISNA(VLOOKUP(D539,ConstDLCIds!$B$4:$C$1001,2,FALSE)),"",VLOOKUP(D539,ConstDLCIds!$B$4:$C$1001,2,FALSE))</f>
        <v>The Deadlands</v>
      </c>
    </row>
    <row r="540" spans="1:5" x14ac:dyDescent="0.25">
      <c r="A540" s="1">
        <v>616</v>
      </c>
      <c r="B540" s="9" t="str">
        <f>VLOOKUP(A540,'Sets (lua data)'!$A$3:$C$9838,3,FALSE)</f>
        <v>Dark Convergence</v>
      </c>
      <c r="C540" s="9" t="str">
        <f>VLOOKUP(A540,'Sets (lua data)'!$A$3:$C$9838,2,FALSE)</f>
        <v>Dunkle Konvergenz</v>
      </c>
      <c r="D540" t="s">
        <v>7</v>
      </c>
      <c r="E540" s="3" t="str">
        <f>IF(ISNA(VLOOKUP(D540,ConstDLCIds!$B$4:$C$1001,2,FALSE)),"",VLOOKUP(D540,ConstDLCIds!$B$4:$C$1001,2,FALSE))</f>
        <v>Included in base game</v>
      </c>
    </row>
    <row r="541" spans="1:5" x14ac:dyDescent="0.25">
      <c r="A541" s="1">
        <v>617</v>
      </c>
      <c r="B541" s="9" t="str">
        <f>VLOOKUP(A541,'Sets (lua data)'!$A$3:$C$9838,3,FALSE)</f>
        <v>Plaguebreak</v>
      </c>
      <c r="C541" s="9" t="str">
        <f>VLOOKUP(A541,'Sets (lua data)'!$A$3:$C$9838,2,FALSE)</f>
        <v>Seuchenbruch</v>
      </c>
      <c r="D541" t="s">
        <v>7</v>
      </c>
      <c r="E541" s="3" t="str">
        <f>IF(ISNA(VLOOKUP(D541,ConstDLCIds!$B$4:$C$1001,2,FALSE)),"",VLOOKUP(D541,ConstDLCIds!$B$4:$C$1001,2,FALSE))</f>
        <v>Included in base game</v>
      </c>
    </row>
    <row r="542" spans="1:5" x14ac:dyDescent="0.25">
      <c r="A542" s="1">
        <v>618</v>
      </c>
      <c r="B542" s="9" t="str">
        <f>VLOOKUP(A542,'Sets (lua data)'!$A$3:$C$9838,3,FALSE)</f>
        <v>Hrothgar\'s Chill</v>
      </c>
      <c r="C542" s="9" t="str">
        <f>VLOOKUP(A542,'Sets (lua data)'!$A$3:$C$9838,2,FALSE)</f>
        <v>Hrothgars Kühle</v>
      </c>
      <c r="D542" t="s">
        <v>7</v>
      </c>
      <c r="E542" s="3" t="str">
        <f>IF(ISNA(VLOOKUP(D542,ConstDLCIds!$B$4:$C$1001,2,FALSE)),"",VLOOKUP(D542,ConstDLCIds!$B$4:$C$1001,2,FALSE))</f>
        <v>Included in base game</v>
      </c>
    </row>
    <row r="543" spans="1:5" x14ac:dyDescent="0.25">
      <c r="A543" s="1">
        <v>619</v>
      </c>
      <c r="B543" s="9" t="str">
        <f>VLOOKUP(A543,'Sets (lua data)'!$A$3:$C$9838,3,FALSE)</f>
        <v>Maligalig\'s Maelstrom</v>
      </c>
      <c r="C543" s="9" t="str">
        <f>VLOOKUP(A543,'Sets (lua data)'!$A$3:$C$9838,2,FALSE)</f>
        <v>Maligaligs Mahlstrom</v>
      </c>
      <c r="D543" t="s">
        <v>82</v>
      </c>
      <c r="E543" s="3" t="str">
        <f>IF(ISNA(VLOOKUP(D543,ConstDLCIds!$B$4:$C$1001,2,FALSE)),"",VLOOKUP(D543,ConstDLCIds!$B$4:$C$1001,2,FALSE))</f>
        <v>Ascending Tide</v>
      </c>
    </row>
    <row r="544" spans="1:5" x14ac:dyDescent="0.25">
      <c r="A544" s="1">
        <v>620</v>
      </c>
      <c r="B544" s="9" t="str">
        <f>VLOOKUP(A544,'Sets (lua data)'!$A$3:$C$9838,3,FALSE)</f>
        <v>Gryphon\'s Reprisal</v>
      </c>
      <c r="C544" s="9" t="str">
        <f>VLOOKUP(A544,'Sets (lua data)'!$A$3:$C$9838,2,FALSE)</f>
        <v>Vergeltung des Greifen</v>
      </c>
      <c r="D544" t="s">
        <v>82</v>
      </c>
      <c r="E544" s="3" t="str">
        <f>IF(ISNA(VLOOKUP(D544,ConstDLCIds!$B$4:$C$1001,2,FALSE)),"",VLOOKUP(D544,ConstDLCIds!$B$4:$C$1001,2,FALSE))</f>
        <v>Ascending Tide</v>
      </c>
    </row>
    <row r="545" spans="1:5" x14ac:dyDescent="0.25">
      <c r="A545" s="1">
        <v>621</v>
      </c>
      <c r="B545" s="9" t="str">
        <f>VLOOKUP(A545,'Sets (lua data)'!$A$3:$C$9838,3,FALSE)</f>
        <v>Glacial Guardian</v>
      </c>
      <c r="C545" s="9" t="str">
        <f>VLOOKUP(A545,'Sets (lua data)'!$A$3:$C$9838,2,FALSE)</f>
        <v>Gletscherwächter</v>
      </c>
      <c r="D545" t="s">
        <v>82</v>
      </c>
      <c r="E545" s="3" t="str">
        <f>IF(ISNA(VLOOKUP(D545,ConstDLCIds!$B$4:$C$1001,2,FALSE)),"",VLOOKUP(D545,ConstDLCIds!$B$4:$C$1001,2,FALSE))</f>
        <v>Ascending Tide</v>
      </c>
    </row>
    <row r="546" spans="1:5" x14ac:dyDescent="0.25">
      <c r="A546" s="1">
        <v>622</v>
      </c>
      <c r="B546" s="9" t="str">
        <f>VLOOKUP(A546,'Sets (lua data)'!$A$3:$C$9838,3,FALSE)</f>
        <v>Turning Tide</v>
      </c>
      <c r="C546" s="9" t="str">
        <f>VLOOKUP(A546,'Sets (lua data)'!$A$3:$C$9838,2,FALSE)</f>
        <v>Gezeitenwechsel</v>
      </c>
      <c r="D546" t="s">
        <v>82</v>
      </c>
      <c r="E546" s="3" t="str">
        <f>IF(ISNA(VLOOKUP(D546,ConstDLCIds!$B$4:$C$1001,2,FALSE)),"",VLOOKUP(D546,ConstDLCIds!$B$4:$C$1001,2,FALSE))</f>
        <v>Ascending Tide</v>
      </c>
    </row>
    <row r="547" spans="1:5" x14ac:dyDescent="0.25">
      <c r="A547" s="1">
        <v>623</v>
      </c>
      <c r="B547" s="9" t="str">
        <f>VLOOKUP(A547,'Sets (lua data)'!$A$3:$C$9838,3,FALSE)</f>
        <v>Storm-Cursed\'s Revenge</v>
      </c>
      <c r="C547" s="9" t="str">
        <f>VLOOKUP(A547,'Sets (lua data)'!$A$3:$C$9838,2,FALSE)</f>
        <v>Rache des Sturmverfluchten</v>
      </c>
      <c r="D547" t="s">
        <v>82</v>
      </c>
      <c r="E547" s="3" t="str">
        <f>IF(ISNA(VLOOKUP(D547,ConstDLCIds!$B$4:$C$1001,2,FALSE)),"",VLOOKUP(D547,ConstDLCIds!$B$4:$C$1001,2,FALSE))</f>
        <v>Ascending Tide</v>
      </c>
    </row>
    <row r="548" spans="1:5" x14ac:dyDescent="0.25">
      <c r="A548" s="1">
        <v>624</v>
      </c>
      <c r="B548" s="9" t="str">
        <f>VLOOKUP(A548,'Sets (lua data)'!$A$3:$C$9838,3,FALSE)</f>
        <v>Spriggan\’s Vigor</v>
      </c>
      <c r="C548" s="9" t="str">
        <f>VLOOKUP(A548,'Sets (lua data)'!$A$3:$C$9838,2,FALSE)</f>
        <v>Elan des Zweiglings</v>
      </c>
      <c r="D548" t="s">
        <v>82</v>
      </c>
      <c r="E548" s="3" t="str">
        <f>IF(ISNA(VLOOKUP(D548,ConstDLCIds!$B$4:$C$1001,2,FALSE)),"",VLOOKUP(D548,ConstDLCIds!$B$4:$C$1001,2,FALSE))</f>
        <v>Ascending Tide</v>
      </c>
    </row>
    <row r="549" spans="1:5" x14ac:dyDescent="0.25">
      <c r="A549" s="1">
        <v>625</v>
      </c>
      <c r="B549" s="9" t="str">
        <f>VLOOKUP(A549,'Sets (lua data)'!$A$3:$C$9838,3,FALSE)</f>
        <v>Markyn Ring of Majesty</v>
      </c>
      <c r="C549" s="9" t="str">
        <f>VLOOKUP(A549,'Sets (lua data)'!$A$3:$C$9838,2,FALSE)</f>
        <v>Markyn-Ring der Erhabenheit</v>
      </c>
      <c r="D549" t="s">
        <v>79</v>
      </c>
      <c r="E549" s="3" t="str">
        <f>IF(ISNA(VLOOKUP(D549,ConstDLCIds!$B$4:$C$1001,2,FALSE)),"",VLOOKUP(D549,ConstDLCIds!$B$4:$C$1001,2,FALSE))</f>
        <v>The Deadlands</v>
      </c>
    </row>
    <row r="550" spans="1:5" x14ac:dyDescent="0.25">
      <c r="A550" s="1">
        <v>626</v>
      </c>
      <c r="B550" s="9" t="str">
        <f>VLOOKUP(A550,'Sets (lua data)'!$A$3:$C$9838,3,FALSE)</f>
        <v>Belharza's Band</v>
      </c>
      <c r="C550" s="9" t="str">
        <f>VLOOKUP(A550,'Sets (lua data)'!$A$3:$C$9838,2,FALSE)</f>
        <v>Belharzas Band</v>
      </c>
      <c r="D550" t="s">
        <v>79</v>
      </c>
      <c r="E550" s="3" t="str">
        <f>IF(ISNA(VLOOKUP(D550,ConstDLCIds!$B$4:$C$1001,2,FALSE)),"",VLOOKUP(D550,ConstDLCIds!$B$4:$C$1001,2,FALSE))</f>
        <v>The Deadlands</v>
      </c>
    </row>
    <row r="551" spans="1:5" x14ac:dyDescent="0.25">
      <c r="A551" s="1">
        <v>627</v>
      </c>
      <c r="B551" s="9" t="str">
        <f>VLOOKUP(A551,'Sets (lua data)'!$A$3:$C$9838,3,FALSE)</f>
        <v>Spaulder of Ruin</v>
      </c>
      <c r="C551" s="9" t="str">
        <f>VLOOKUP(A551,'Sets (lua data)'!$A$3:$C$9838,2,FALSE)</f>
        <v>Schulterbänder des Untergangs</v>
      </c>
      <c r="D551" t="s">
        <v>79</v>
      </c>
      <c r="E551" s="3" t="str">
        <f>IF(ISNA(VLOOKUP(D551,ConstDLCIds!$B$4:$C$1001,2,FALSE)),"",VLOOKUP(D551,ConstDLCIds!$B$4:$C$1001,2,FALSE))</f>
        <v>The Deadlands</v>
      </c>
    </row>
    <row r="552" spans="1:5" x14ac:dyDescent="0.25">
      <c r="A552" s="1">
        <v>629</v>
      </c>
      <c r="B552" s="9" t="str">
        <f>VLOOKUP(A552,'Sets (lua data)'!$A$3:$C$9838,3,FALSE)</f>
        <v>Rallying Cry</v>
      </c>
      <c r="C552" s="9" t="str">
        <f>VLOOKUP(A552,'Sets (lua data)'!$A$3:$C$9838,2,FALSE)</f>
        <v>Schlachtruf</v>
      </c>
      <c r="D552" t="s">
        <v>7</v>
      </c>
      <c r="E552" s="3" t="str">
        <f>IF(ISNA(VLOOKUP(D552,ConstDLCIds!$B$4:$C$1001,2,FALSE)),"",VLOOKUP(D552,ConstDLCIds!$B$4:$C$1001,2,FALSE))</f>
        <v>Included in base game</v>
      </c>
    </row>
    <row r="553" spans="1:5" x14ac:dyDescent="0.25">
      <c r="A553" s="1">
        <v>630</v>
      </c>
      <c r="B553" s="9" t="str">
        <f>VLOOKUP(A553,'Sets (lua data)'!$A$3:$C$9838,3,FALSE)</f>
        <v>Hew and Sunder </v>
      </c>
      <c r="C553" s="9" t="str">
        <f>VLOOKUP(A553,'Sets (lua data)'!$A$3:$C$9838,2,FALSE)</f>
        <v>Kappspalter</v>
      </c>
      <c r="D553" t="s">
        <v>7</v>
      </c>
      <c r="E553" s="3" t="str">
        <f>IF(ISNA(VLOOKUP(D553,ConstDLCIds!$B$4:$C$1001,2,FALSE)),"",VLOOKUP(D553,ConstDLCIds!$B$4:$C$1001,2,FALSE))</f>
        <v>Included in base game</v>
      </c>
    </row>
    <row r="554" spans="1:5" x14ac:dyDescent="0.25">
      <c r="A554" s="1">
        <v>631</v>
      </c>
      <c r="B554" s="9" t="str">
        <f>VLOOKUP(A554,'Sets (lua data)'!$A$3:$C$9838,3,FALSE)</f>
        <v>Enervating Aura </v>
      </c>
      <c r="C554" s="9" t="str">
        <f>VLOOKUP(A554,'Sets (lua data)'!$A$3:$C$9838,2,FALSE)</f>
        <v>Enervierende Aura</v>
      </c>
      <c r="D554" t="s">
        <v>7</v>
      </c>
      <c r="E554" s="3" t="str">
        <f>IF(ISNA(VLOOKUP(D554,ConstDLCIds!$B$4:$C$1001,2,FALSE)),"",VLOOKUP(D554,ConstDLCIds!$B$4:$C$1001,2,FALSE))</f>
        <v>Included in base game</v>
      </c>
    </row>
    <row r="555" spans="1:5" x14ac:dyDescent="0.25">
      <c r="A555" s="1">
        <v>632</v>
      </c>
      <c r="B555" s="9" t="str">
        <f>VLOOKUP(A555,'Sets (lua data)'!$A$3:$C$9838,3,FALSE)</f>
        <v>Kargaeda</v>
      </c>
      <c r="C555" s="9" t="str">
        <f>VLOOKUP(A555,'Sets (lua data)'!$A$3:$C$9838,2,FALSE)</f>
        <v>Kargaeda</v>
      </c>
      <c r="D555" t="s">
        <v>82</v>
      </c>
      <c r="E555" s="3" t="str">
        <f>IF(ISNA(VLOOKUP(D555,ConstDLCIds!$B$4:$C$1001,2,FALSE)),"",VLOOKUP(D555,ConstDLCIds!$B$4:$C$1001,2,FALSE))</f>
        <v>Ascending Tide</v>
      </c>
    </row>
    <row r="556" spans="1:5" x14ac:dyDescent="0.25">
      <c r="A556" s="1">
        <v>633</v>
      </c>
      <c r="B556" s="9" t="str">
        <f>VLOOKUP(A556,'Sets (lua data)'!$A$3:$C$9838,3,FALSE)</f>
        <v>Nazaray </v>
      </c>
      <c r="C556" s="9" t="str">
        <f>VLOOKUP(A556,'Sets (lua data)'!$A$3:$C$9838,2,FALSE)</f>
        <v>Nazaray </v>
      </c>
      <c r="D556" t="s">
        <v>82</v>
      </c>
      <c r="E556" s="3" t="str">
        <f>IF(ISNA(VLOOKUP(D556,ConstDLCIds!$B$4:$C$1001,2,FALSE)),"",VLOOKUP(D556,ConstDLCIds!$B$4:$C$1001,2,FALSE))</f>
        <v>Ascending Tide</v>
      </c>
    </row>
    <row r="557" spans="1:5" x14ac:dyDescent="0.25">
      <c r="A557" s="1">
        <v>634</v>
      </c>
      <c r="B557" s="9" t="str">
        <f>VLOOKUP(A557,'Sets (lua data)'!$A$3:$C$9838,3,FALSE)</f>
        <v>Nunatak</v>
      </c>
      <c r="C557" s="9" t="str">
        <f>VLOOKUP(A557,'Sets (lua data)'!$A$3:$C$9838,2,FALSE)</f>
        <v>Nunatak</v>
      </c>
      <c r="D557" t="s">
        <v>10</v>
      </c>
      <c r="E557" s="3" t="str">
        <f>IF(ISNA(VLOOKUP(D557,ConstDLCIds!$B$4:$C$1001,2,FALSE)),"",VLOOKUP(D557,ConstDLCIds!$B$4:$C$1001,2,FALSE))</f>
        <v>Imperial City</v>
      </c>
    </row>
    <row r="558" spans="1:5" x14ac:dyDescent="0.25">
      <c r="A558" s="1">
        <v>635</v>
      </c>
      <c r="B558" s="9" t="str">
        <f>VLOOKUP(A558,'Sets (lua data)'!$A$3:$C$9838,3,FALSE)</f>
        <v>Lady Malydga</v>
      </c>
      <c r="C558" s="9" t="str">
        <f>VLOOKUP(A558,'Sets (lua data)'!$A$3:$C$9838,2,FALSE)</f>
        <v>Fürstin Malygda</v>
      </c>
      <c r="D558" t="s">
        <v>10</v>
      </c>
      <c r="E558" s="3" t="str">
        <f>IF(ISNA(VLOOKUP(D558,ConstDLCIds!$B$4:$C$1001,2,FALSE)),"",VLOOKUP(D558,ConstDLCIds!$B$4:$C$1001,2,FALSE))</f>
        <v>Imperial City</v>
      </c>
    </row>
    <row r="559" spans="1:5" x14ac:dyDescent="0.25">
      <c r="A559" s="1">
        <v>636</v>
      </c>
      <c r="B559" s="9" t="str">
        <f>VLOOKUP(A559,'Sets (lua data)'!$A$3:$C$9838,3,FALSE)</f>
        <v>Baron Thirsk</v>
      </c>
      <c r="C559" s="9" t="str">
        <f>VLOOKUP(A559,'Sets (lua data)'!$A$3:$C$9838,2,FALSE)</f>
        <v>Baron Thirsk</v>
      </c>
      <c r="D559" t="s">
        <v>10</v>
      </c>
      <c r="E559" s="3" t="str">
        <f>IF(ISNA(VLOOKUP(D559,ConstDLCIds!$B$4:$C$1001,2,FALSE)),"",VLOOKUP(D559,ConstDLCIds!$B$4:$C$1001,2,FALSE))</f>
        <v>Imperial City</v>
      </c>
    </row>
    <row r="560" spans="1:5" x14ac:dyDescent="0.25">
      <c r="A560" s="1">
        <v>640</v>
      </c>
      <c r="B560" s="9" t="str">
        <f>VLOOKUP(A560,'Sets (lua data)'!$A$3:$C$9838,3,FALSE)</f>
        <v>Order\'s Wrath</v>
      </c>
      <c r="C560" s="9" t="str">
        <f>VLOOKUP(A560,'Sets (lua data)'!$A$3:$C$9838,2,FALSE)</f>
        <v>Zorn des Ordens</v>
      </c>
      <c r="D560" t="s">
        <v>85</v>
      </c>
      <c r="E560" s="3" t="str">
        <f>IF(ISNA(VLOOKUP(D560,ConstDLCIds!$B$4:$C$1001,2,FALSE)),"",VLOOKUP(D560,ConstDLCIds!$B$4:$C$1001,2,FALSE))</f>
        <v>High Isle</v>
      </c>
    </row>
    <row r="561" spans="1:5" x14ac:dyDescent="0.25">
      <c r="A561" s="1">
        <v>641</v>
      </c>
      <c r="B561" s="9" t="str">
        <f>VLOOKUP(A561,'Sets (lua data)'!$A$3:$C$9838,3,FALSE)</f>
        <v>Serpent\'s Disdain</v>
      </c>
      <c r="C561" s="9" t="str">
        <f>VLOOKUP(A561,'Sets (lua data)'!$A$3:$C$9838,2,FALSE)</f>
        <v>Verachtung der Schlange</v>
      </c>
      <c r="D561" t="s">
        <v>85</v>
      </c>
      <c r="E561" s="3" t="str">
        <f>IF(ISNA(VLOOKUP(D561,ConstDLCIds!$B$4:$C$1001,2,FALSE)),"",VLOOKUP(D561,ConstDLCIds!$B$4:$C$1001,2,FALSE))</f>
        <v>High Isle</v>
      </c>
    </row>
    <row r="562" spans="1:5" x14ac:dyDescent="0.25">
      <c r="A562" s="1">
        <v>642</v>
      </c>
      <c r="B562" s="9" t="str">
        <f>VLOOKUP(A562,'Sets (lua data)'!$A$3:$C$9838,3,FALSE)</f>
        <v>Druid\'s Braid</v>
      </c>
      <c r="C562" s="9" t="str">
        <f>VLOOKUP(A562,'Sets (lua data)'!$A$3:$C$9838,2,FALSE)</f>
        <v>Druidenflechte</v>
      </c>
      <c r="D562" t="s">
        <v>85</v>
      </c>
      <c r="E562" s="3" t="str">
        <f>IF(ISNA(VLOOKUP(D562,ConstDLCIds!$B$4:$C$1001,2,FALSE)),"",VLOOKUP(D562,ConstDLCIds!$B$4:$C$1001,2,FALSE))</f>
        <v>High Isle</v>
      </c>
    </row>
    <row r="563" spans="1:5" x14ac:dyDescent="0.25">
      <c r="A563" s="1">
        <v>643</v>
      </c>
      <c r="B563" s="9" t="str">
        <f>VLOOKUP(A563,'Sets (lua data)'!$A$3:$C$9838,3,FALSE)</f>
        <v>Blessing of High Isle</v>
      </c>
      <c r="C563" s="9" t="str">
        <f>VLOOKUP(A563,'Sets (lua data)'!$A$3:$C$9838,2,FALSE)</f>
        <v>Segen von Hochinsel</v>
      </c>
      <c r="D563" t="s">
        <v>85</v>
      </c>
      <c r="E563" s="3" t="str">
        <f>IF(ISNA(VLOOKUP(D563,ConstDLCIds!$B$4:$C$1001,2,FALSE)),"",VLOOKUP(D563,ConstDLCIds!$B$4:$C$1001,2,FALSE))</f>
        <v>High Isle</v>
      </c>
    </row>
    <row r="564" spans="1:5" x14ac:dyDescent="0.25">
      <c r="A564" s="1">
        <v>644</v>
      </c>
      <c r="B564" s="9" t="str">
        <f>VLOOKUP(A564,'Sets (lua data)'!$A$3:$C$9838,3,FALSE)</f>
        <v>Steadfast\'s Mettle</v>
      </c>
      <c r="C564" s="9" t="str">
        <f>VLOOKUP(A564,'Sets (lua data)'!$A$3:$C$9838,2,FALSE)</f>
        <v>Mut der Standhaften</v>
      </c>
      <c r="D564" t="s">
        <v>85</v>
      </c>
      <c r="E564" s="3" t="str">
        <f>IF(ISNA(VLOOKUP(D564,ConstDLCIds!$B$4:$C$1001,2,FALSE)),"",VLOOKUP(D564,ConstDLCIds!$B$4:$C$1001,2,FALSE))</f>
        <v>High Isle</v>
      </c>
    </row>
    <row r="565" spans="1:5" x14ac:dyDescent="0.25">
      <c r="A565" s="1">
        <v>645</v>
      </c>
      <c r="B565" s="9" t="str">
        <f>VLOOKUP(A565,'Sets (lua data)'!$A$3:$C$9838,3,FALSE)</f>
        <v>Systres\' Scowl</v>
      </c>
      <c r="C565" s="9" t="str">
        <f>VLOOKUP(A565,'Sets (lua data)'!$A$3:$C$9838,2,FALSE)</f>
        <v>Blick der Systren</v>
      </c>
      <c r="D565" t="s">
        <v>85</v>
      </c>
      <c r="E565" s="3" t="str">
        <f>IF(ISNA(VLOOKUP(D565,ConstDLCIds!$B$4:$C$1001,2,FALSE)),"",VLOOKUP(D565,ConstDLCIds!$B$4:$C$1001,2,FALSE))</f>
        <v>High Isle</v>
      </c>
    </row>
    <row r="566" spans="1:5" x14ac:dyDescent="0.25">
      <c r="A566" s="1">
        <v>646</v>
      </c>
      <c r="B566" s="9" t="str">
        <f>VLOOKUP(A566,'Sets (lua data)'!$A$3:$C$9838,3,FALSE)</f>
        <v>Whorl of the Depths</v>
      </c>
      <c r="C566" s="9" t="str">
        <f>VLOOKUP(A566,'Sets (lua data)'!$A$3:$C$9838,2,FALSE)</f>
        <v>Wirbel der Tiefen</v>
      </c>
      <c r="D566" t="s">
        <v>85</v>
      </c>
      <c r="E566" s="3" t="str">
        <f>IF(ISNA(VLOOKUP(D566,ConstDLCIds!$B$4:$C$1001,2,FALSE)),"",VLOOKUP(D566,ConstDLCIds!$B$4:$C$1001,2,FALSE))</f>
        <v>High Isle</v>
      </c>
    </row>
    <row r="567" spans="1:5" x14ac:dyDescent="0.25">
      <c r="A567" s="1">
        <v>647</v>
      </c>
      <c r="B567" s="9" t="str">
        <f>VLOOKUP(A567,'Sets (lua data)'!$A$3:$C$9838,3,FALSE)</f>
        <v>Coral Riptide</v>
      </c>
      <c r="C567" s="9" t="str">
        <f>VLOOKUP(A567,'Sets (lua data)'!$A$3:$C$9838,2,FALSE)</f>
        <v>Korallenbrandung</v>
      </c>
      <c r="D567" t="s">
        <v>85</v>
      </c>
      <c r="E567" s="3" t="str">
        <f>IF(ISNA(VLOOKUP(D567,ConstDLCIds!$B$4:$C$1001,2,FALSE)),"",VLOOKUP(D567,ConstDLCIds!$B$4:$C$1001,2,FALSE))</f>
        <v>High Isle</v>
      </c>
    </row>
    <row r="568" spans="1:5" x14ac:dyDescent="0.25">
      <c r="A568" s="1">
        <v>648</v>
      </c>
      <c r="B568" s="9" t="str">
        <f>VLOOKUP(A568,'Sets (lua data)'!$A$3:$C$9838,3,FALSE)</f>
        <v>Pearlescent Ward</v>
      </c>
      <c r="C568" s="9" t="str">
        <f>VLOOKUP(A568,'Sets (lua data)'!$A$3:$C$9838,2,FALSE)</f>
        <v>Perlenglanz-Schutz</v>
      </c>
      <c r="D568" t="s">
        <v>85</v>
      </c>
      <c r="E568" s="3" t="str">
        <f>IF(ISNA(VLOOKUP(D568,ConstDLCIds!$B$4:$C$1001,2,FALSE)),"",VLOOKUP(D568,ConstDLCIds!$B$4:$C$1001,2,FALSE))</f>
        <v>High Isle</v>
      </c>
    </row>
    <row r="569" spans="1:5" x14ac:dyDescent="0.25">
      <c r="A569" s="1">
        <v>649</v>
      </c>
      <c r="B569" s="9" t="str">
        <f>VLOOKUP(A569,'Sets (lua data)'!$A$3:$C$9838,3,FALSE)</f>
        <v>Pillager\'s Profit</v>
      </c>
      <c r="C569" s="9" t="str">
        <f>VLOOKUP(A569,'Sets (lua data)'!$A$3:$C$9838,2,FALSE)</f>
        <v>Profit des Brandschatzers</v>
      </c>
      <c r="D569" t="s">
        <v>85</v>
      </c>
      <c r="E569" s="3" t="str">
        <f>IF(ISNA(VLOOKUP(D569,ConstDLCIds!$B$4:$C$1001,2,FALSE)),"",VLOOKUP(D569,ConstDLCIds!$B$4:$C$1001,2,FALSE))</f>
        <v>High Isle</v>
      </c>
    </row>
    <row r="570" spans="1:5" x14ac:dyDescent="0.25">
      <c r="A570" s="1">
        <v>650</v>
      </c>
      <c r="B570" s="9" t="str">
        <f>VLOOKUP(A570,'Sets (lua data)'!$A$3:$C$9838,3,FALSE)</f>
        <v>Perfected Pillager\'s Profit</v>
      </c>
      <c r="C570" s="9" t="str">
        <f>VLOOKUP(A570,'Sets (lua data)'!$A$3:$C$9838,2,FALSE)</f>
        <v>Perfektionierter Profit des Brandschatzers</v>
      </c>
      <c r="D570" t="s">
        <v>85</v>
      </c>
      <c r="E570" s="3" t="str">
        <f>IF(ISNA(VLOOKUP(D570,ConstDLCIds!$B$4:$C$1001,2,FALSE)),"",VLOOKUP(D570,ConstDLCIds!$B$4:$C$1001,2,FALSE))</f>
        <v>High Isle</v>
      </c>
    </row>
    <row r="571" spans="1:5" x14ac:dyDescent="0.25">
      <c r="A571" s="1">
        <v>651</v>
      </c>
      <c r="B571" s="9" t="str">
        <f>VLOOKUP(A571,'Sets (lua data)'!$A$3:$C$9838,3,FALSE)</f>
        <v>Perfected Pearlescent Ward</v>
      </c>
      <c r="C571" s="9" t="str">
        <f>VLOOKUP(A571,'Sets (lua data)'!$A$3:$C$9838,2,FALSE)</f>
        <v>Perfektionierter Perlenglanz-Schutz</v>
      </c>
      <c r="D571" t="s">
        <v>85</v>
      </c>
      <c r="E571" s="3" t="str">
        <f>IF(ISNA(VLOOKUP(D571,ConstDLCIds!$B$4:$C$1001,2,FALSE)),"",VLOOKUP(D571,ConstDLCIds!$B$4:$C$1001,2,FALSE))</f>
        <v>High Isle</v>
      </c>
    </row>
    <row r="572" spans="1:5" x14ac:dyDescent="0.25">
      <c r="A572" s="1">
        <v>652</v>
      </c>
      <c r="B572" s="9" t="str">
        <f>VLOOKUP(A572,'Sets (lua data)'!$A$3:$C$9838,3,FALSE)</f>
        <v>Perfected Coral Riptide</v>
      </c>
      <c r="C572" s="9" t="str">
        <f>VLOOKUP(A572,'Sets (lua data)'!$A$3:$C$9838,2,FALSE)</f>
        <v>Perfektionierte Korallenbrandung</v>
      </c>
      <c r="D572" t="s">
        <v>85</v>
      </c>
      <c r="E572" s="3" t="str">
        <f>IF(ISNA(VLOOKUP(D572,ConstDLCIds!$B$4:$C$1001,2,FALSE)),"",VLOOKUP(D572,ConstDLCIds!$B$4:$C$1001,2,FALSE))</f>
        <v>High Isle</v>
      </c>
    </row>
    <row r="573" spans="1:5" x14ac:dyDescent="0.25">
      <c r="A573" s="1">
        <v>653</v>
      </c>
      <c r="B573" s="9" t="str">
        <f>VLOOKUP(A573,'Sets (lua data)'!$A$3:$C$9838,3,FALSE)</f>
        <v>Perfected Whorl of the Depths</v>
      </c>
      <c r="C573" s="9" t="str">
        <f>VLOOKUP(A573,'Sets (lua data)'!$A$3:$C$9838,2,FALSE)</f>
        <v>Perfektionierter Wirbel der Tiefen</v>
      </c>
      <c r="D573" t="s">
        <v>85</v>
      </c>
      <c r="E573" s="3" t="str">
        <f>IF(ISNA(VLOOKUP(D573,ConstDLCIds!$B$4:$C$1001,2,FALSE)),"",VLOOKUP(D573,ConstDLCIds!$B$4:$C$1001,2,FALSE))</f>
        <v>High Isle</v>
      </c>
    </row>
    <row r="574" spans="1:5" x14ac:dyDescent="0.25">
      <c r="A574" s="1">
        <v>654</v>
      </c>
      <c r="B574" s="9" t="str">
        <f>VLOOKUP(A574,'Sets (lua data)'!$A$3:$C$9838,3,FALSE)</f>
        <v>Mora\'s Whispers</v>
      </c>
      <c r="C574" s="9" t="str">
        <f>VLOOKUP(A574,'Sets (lua data)'!$A$3:$C$9838,2,FALSE)</f>
        <v>Moras Flüstern</v>
      </c>
      <c r="D574" t="s">
        <v>85</v>
      </c>
      <c r="E574" s="3" t="str">
        <f>IF(ISNA(VLOOKUP(D574,ConstDLCIds!$B$4:$C$1001,2,FALSE)),"",VLOOKUP(D574,ConstDLCIds!$B$4:$C$1001,2,FALSE))</f>
        <v>High Isle</v>
      </c>
    </row>
    <row r="575" spans="1:5" x14ac:dyDescent="0.25">
      <c r="A575" s="1">
        <v>655</v>
      </c>
      <c r="B575" s="9" t="str">
        <f>VLOOKUP(A575,'Sets (lua data)'!$A$3:$C$9838,3,FALSE)</f>
        <v>Dov-rha Sabatons</v>
      </c>
      <c r="C575" s="9" t="str">
        <f>VLOOKUP(A575,'Sets (lua data)'!$A$3:$C$9838,2,FALSE)</f>
        <v>Dov-rha-Panzerschuhe</v>
      </c>
      <c r="D575" t="s">
        <v>85</v>
      </c>
      <c r="E575" s="3" t="str">
        <f>IF(ISNA(VLOOKUP(D575,ConstDLCIds!$B$4:$C$1001,2,FALSE)),"",VLOOKUP(D575,ConstDLCIds!$B$4:$C$1001,2,FALSE))</f>
        <v>High Isle</v>
      </c>
    </row>
    <row r="576" spans="1:5" x14ac:dyDescent="0.25">
      <c r="A576" s="1">
        <v>656</v>
      </c>
      <c r="B576" s="9" t="str">
        <f>VLOOKUP(A576,'Sets (lua data)'!$A$3:$C$9838,3,FALSE)</f>
        <v>Lefthander\'s Aegis Belt</v>
      </c>
      <c r="C576" s="9" t="str">
        <f>VLOOKUP(A576,'Sets (lua data)'!$A$3:$C$9838,2,FALSE)</f>
        <v>Ägisriemen der Linkshänder</v>
      </c>
      <c r="D576" t="s">
        <v>85</v>
      </c>
      <c r="E576" s="3" t="str">
        <f>IF(ISNA(VLOOKUP(D576,ConstDLCIds!$B$4:$C$1001,2,FALSE)),"",VLOOKUP(D576,ConstDLCIds!$B$4:$C$1001,2,FALSE))</f>
        <v>High Isle</v>
      </c>
    </row>
    <row r="577" spans="1:5" x14ac:dyDescent="0.25">
      <c r="A577" s="1">
        <v>657</v>
      </c>
      <c r="B577" s="9" t="str">
        <f>VLOOKUP(A577,'Sets (lua data)'!$A$3:$C$9838,3,FALSE)</f>
        <v>Sea-Serpent\'s Coil</v>
      </c>
      <c r="C577" s="9" t="str">
        <f>VLOOKUP(A577,'Sets (lua data)'!$A$3:$C$9838,2,FALSE)</f>
        <v>Wicklung der Seeschlange</v>
      </c>
      <c r="D577" t="s">
        <v>85</v>
      </c>
      <c r="E577" s="3" t="str">
        <f>IF(ISNA(VLOOKUP(D577,ConstDLCIds!$B$4:$C$1001,2,FALSE)),"",VLOOKUP(D577,ConstDLCIds!$B$4:$C$1001,2,FALSE))</f>
        <v>High Isle</v>
      </c>
    </row>
    <row r="578" spans="1:5" x14ac:dyDescent="0.25">
      <c r="A578" s="1">
        <v>658</v>
      </c>
      <c r="B578" s="9" t="str">
        <f>VLOOKUP(A578,'Sets (lua data)'!$A$3:$C$9838,3,FALSE)</f>
        <v>Oakensoul Ring</v>
      </c>
      <c r="C578" s="9" t="str">
        <f>VLOOKUP(A578,'Sets (lua data)'!$A$3:$C$9838,2,FALSE)</f>
        <v>Eichenseelenring</v>
      </c>
      <c r="D578" t="s">
        <v>85</v>
      </c>
      <c r="E578" s="3" t="str">
        <f>IF(ISNA(VLOOKUP(D578,ConstDLCIds!$B$4:$C$1001,2,FALSE)),"",VLOOKUP(D578,ConstDLCIds!$B$4:$C$1001,2,FALSE))</f>
        <v>High Isle</v>
      </c>
    </row>
    <row r="579" spans="1:5" x14ac:dyDescent="0.25">
      <c r="A579" s="1">
        <v>660</v>
      </c>
      <c r="B579" s="9" t="str">
        <f>VLOOKUP(A579,'Sets (lua data)'!$A$3:$C$9838,3,FALSE)</f>
        <v>Deeproot Zeal</v>
      </c>
      <c r="C579" s="9" t="str">
        <f>VLOOKUP(A579,'Sets (lua data)'!$A$3:$C$9838,2,FALSE)</f>
        <v>Tiefwurz-Eifer</v>
      </c>
      <c r="D579" t="s">
        <v>88</v>
      </c>
      <c r="E579" s="3" t="str">
        <f>IF(ISNA(VLOOKUP(D579,ConstDLCIds!$B$4:$C$1001,2,FALSE)),"",VLOOKUP(D579,ConstDLCIds!$B$4:$C$1001,2,FALSE))</f>
        <v>Lost Depths</v>
      </c>
    </row>
    <row r="580" spans="1:5" x14ac:dyDescent="0.25">
      <c r="A580" s="1">
        <v>661</v>
      </c>
      <c r="B580" s="9" t="str">
        <f>VLOOKUP(A580,'Sets (lua data)'!$A$3:$C$9838,3,FALSE)</f>
        <v>Stone\'s Accord</v>
      </c>
      <c r="C580" s="9" t="str">
        <f>VLOOKUP(A580,'Sets (lua data)'!$A$3:$C$9838,2,FALSE)</f>
        <v>Steinabkommen</v>
      </c>
      <c r="D580" t="s">
        <v>88</v>
      </c>
      <c r="E580" s="3" t="str">
        <f>IF(ISNA(VLOOKUP(D580,ConstDLCIds!$B$4:$C$1001,2,FALSE)),"",VLOOKUP(D580,ConstDLCIds!$B$4:$C$1001,2,FALSE))</f>
        <v>Lost Depths</v>
      </c>
    </row>
    <row r="581" spans="1:5" x14ac:dyDescent="0.25">
      <c r="A581" s="1">
        <v>662</v>
      </c>
      <c r="B581" s="9" t="str">
        <f>VLOOKUP(A581,'Sets (lua data)'!$A$3:$C$9838,3,FALSE)</f>
        <v>Rage of the Ursauk </v>
      </c>
      <c r="C581" s="9" t="str">
        <f>VLOOKUP(A581,'Sets (lua data)'!$A$3:$C$9838,2,FALSE)</f>
        <v>Zorns des Ursauk</v>
      </c>
      <c r="D581" t="s">
        <v>88</v>
      </c>
      <c r="E581" s="3" t="str">
        <f>IF(ISNA(VLOOKUP(D581,ConstDLCIds!$B$4:$C$1001,2,FALSE)),"",VLOOKUP(D581,ConstDLCIds!$B$4:$C$1001,2,FALSE))</f>
        <v>Lost Depths</v>
      </c>
    </row>
    <row r="582" spans="1:5" x14ac:dyDescent="0.25">
      <c r="A582" s="1">
        <v>663</v>
      </c>
      <c r="B582" s="9" t="str">
        <f>VLOOKUP(A582,'Sets (lua data)'!$A$3:$C$9838,3,FALSE)</f>
        <v>Pangrit Denmother</v>
      </c>
      <c r="C582" s="9" t="str">
        <f>VLOOKUP(A582,'Sets (lua data)'!$A$3:$C$9838,2,FALSE)</f>
        <v>Pangrit-Baumutter</v>
      </c>
      <c r="D582" t="s">
        <v>88</v>
      </c>
      <c r="E582" s="3" t="str">
        <f>IF(ISNA(VLOOKUP(D582,ConstDLCIds!$B$4:$C$1001,2,FALSE)),"",VLOOKUP(D582,ConstDLCIds!$B$4:$C$1001,2,FALSE))</f>
        <v>Lost Depths</v>
      </c>
    </row>
    <row r="583" spans="1:5" x14ac:dyDescent="0.25">
      <c r="A583" s="1">
        <v>664</v>
      </c>
      <c r="B583" s="9" t="str">
        <f>VLOOKUP(A583,'Sets (lua data)'!$A$3:$C$9838,3,FALSE)</f>
        <v>Grave Inevitability</v>
      </c>
      <c r="C583" s="9" t="str">
        <f>VLOOKUP(A583,'Sets (lua data)'!$A$3:$C$9838,2,FALSE)</f>
        <v>Unvermeidlichkeit des Grabs</v>
      </c>
      <c r="D583" t="s">
        <v>88</v>
      </c>
      <c r="E583" s="3" t="str">
        <f>IF(ISNA(VLOOKUP(D583,ConstDLCIds!$B$4:$C$1001,2,FALSE)),"",VLOOKUP(D583,ConstDLCIds!$B$4:$C$1001,2,FALSE))</f>
        <v>Lost Depths</v>
      </c>
    </row>
    <row r="584" spans="1:5" x14ac:dyDescent="0.25">
      <c r="A584" s="1">
        <v>665</v>
      </c>
      <c r="B584" s="9" t="str">
        <f>VLOOKUP(A584,'Sets (lua data)'!$A$3:$C$9838,3,FALSE)</f>
        <v>Phylactery\'s Grasp</v>
      </c>
      <c r="C584" s="9" t="str">
        <f>VLOOKUP(A584,'Sets (lua data)'!$A$3:$C$9838,2,FALSE)</f>
        <v>Phylakteriumsgriff</v>
      </c>
      <c r="D584" t="s">
        <v>88</v>
      </c>
      <c r="E584" s="3" t="str">
        <f>IF(ISNA(VLOOKUP(D584,ConstDLCIds!$B$4:$C$1001,2,FALSE)),"",VLOOKUP(D584,ConstDLCIds!$B$4:$C$1001,2,FALSE))</f>
        <v>Lost Depths</v>
      </c>
    </row>
    <row r="585" spans="1:5" x14ac:dyDescent="0.25">
      <c r="A585" s="1">
        <v>666</v>
      </c>
      <c r="B585" s="9" t="str">
        <f>VLOOKUP(A585,'Sets (lua data)'!$A$3:$C$9838,3,FALSE)</f>
        <v>Archdruid Devyric</v>
      </c>
      <c r="C585" s="9" t="str">
        <f>VLOOKUP(A585,'Sets (lua data)'!$A$3:$C$9838,2,FALSE)</f>
        <v>Erzdruide Devyric</v>
      </c>
      <c r="D585" t="s">
        <v>88</v>
      </c>
      <c r="E585" s="3" t="str">
        <f>IF(ISNA(VLOOKUP(D585,ConstDLCIds!$B$4:$C$1001,2,FALSE)),"",VLOOKUP(D585,ConstDLCIds!$B$4:$C$1001,2,FALSE))</f>
        <v>Lost Depths</v>
      </c>
    </row>
    <row r="586" spans="1:5" x14ac:dyDescent="0.25">
      <c r="A586" s="1">
        <v>667</v>
      </c>
      <c r="B586" s="9" t="str">
        <f>VLOOKUP(A586,'Sets (lua data)'!$A$3:$C$9838,3,FALSE)</f>
        <v>Euphotic Gatekeeper</v>
      </c>
      <c r="C586" s="9" t="str">
        <f>VLOOKUP(A586,'Sets (lua data)'!$A$3:$C$9838,2,FALSE)</f>
        <v>Euphotischer Torhüter</v>
      </c>
      <c r="D586" t="s">
        <v>88</v>
      </c>
      <c r="E586" s="3" t="str">
        <f>IF(ISNA(VLOOKUP(D586,ConstDLCIds!$B$4:$C$1001,2,FALSE)),"",VLOOKUP(D586,ConstDLCIds!$B$4:$C$1001,2,FALSE))</f>
        <v>Lost Depths</v>
      </c>
    </row>
    <row r="587" spans="1:5" x14ac:dyDescent="0.25">
      <c r="A587" s="1">
        <v>668</v>
      </c>
      <c r="B587" s="9" t="str">
        <f>VLOOKUP(A587,'Sets (lua data)'!$A$3:$C$9838,3,FALSE)</f>
        <v>Langour of Peryite</v>
      </c>
      <c r="C587" s="9" t="str">
        <f>VLOOKUP(A587,'Sets (lua data)'!$A$3:$C$9838,2,FALSE)</f>
        <v>Peryites Entkräftung</v>
      </c>
      <c r="D587" t="s">
        <v>7</v>
      </c>
      <c r="E587" s="3" t="str">
        <f>IF(ISNA(VLOOKUP(D587,ConstDLCIds!$B$4:$C$1001,2,FALSE)),"",VLOOKUP(D587,ConstDLCIds!$B$4:$C$1001,2,FALSE))</f>
        <v>Included in base game</v>
      </c>
    </row>
    <row r="588" spans="1:5" x14ac:dyDescent="0.25">
      <c r="A588" s="1">
        <v>669</v>
      </c>
      <c r="B588" s="9" t="str">
        <f>VLOOKUP(A588,'Sets (lua data)'!$A$3:$C$9838,3,FALSE)</f>
        <v>Nocturnal\'s Ploy </v>
      </c>
      <c r="C588" s="9" t="str">
        <f>VLOOKUP(A588,'Sets (lua data)'!$A$3:$C$9838,2,FALSE)</f>
        <v>Nocturnals List</v>
      </c>
      <c r="D588" t="s">
        <v>7</v>
      </c>
      <c r="E588" s="3" t="str">
        <f>IF(ISNA(VLOOKUP(D588,ConstDLCIds!$B$4:$C$1001,2,FALSE)),"",VLOOKUP(D588,ConstDLCIds!$B$4:$C$1001,2,FALSE))</f>
        <v>Included in base game</v>
      </c>
    </row>
    <row r="589" spans="1:5" x14ac:dyDescent="0.25">
      <c r="A589" s="1">
        <v>670</v>
      </c>
      <c r="B589" s="9" t="str">
        <f>VLOOKUP(A589,'Sets (lua data)'!$A$3:$C$9838,3,FALSE)</f>
        <v>Mara\’s Balm</v>
      </c>
      <c r="C589" s="9" t="str">
        <f>VLOOKUP(A589,'Sets (lua data)'!$A$3:$C$9838,2,FALSE)</f>
        <v>Maras Trost</v>
      </c>
      <c r="D589" t="s">
        <v>7</v>
      </c>
      <c r="E589" s="3" t="str">
        <f>IF(ISNA(VLOOKUP(D589,ConstDLCIds!$B$4:$C$1001,2,FALSE)),"",VLOOKUP(D589,ConstDLCIds!$B$4:$C$1001,2,FALSE))</f>
        <v>Included in base game</v>
      </c>
    </row>
    <row r="590" spans="1:5" x14ac:dyDescent="0.25">
      <c r="A590" s="1">
        <v>671</v>
      </c>
      <c r="B590" s="9" t="str">
        <f>VLOOKUP(A590,'Sets (lua data)'!$A$3:$C$9838,3,FALSE)</f>
        <v>Back-Alley Gourmand</v>
      </c>
      <c r="C590" s="9" t="str">
        <f>VLOOKUP(A590,'Sets (lua data)'!$A$3:$C$9838,2,FALSE)</f>
        <v>Hinterhof-Gourmet</v>
      </c>
      <c r="D590" t="s">
        <v>91</v>
      </c>
      <c r="E590" s="3" t="str">
        <f>IF(ISNA(VLOOKUP(D590,ConstDLCIds!$B$4:$C$1001,2,FALSE)),"",VLOOKUP(D590,ConstDLCIds!$B$4:$C$1001,2,FALSE))</f>
        <v>Firesong</v>
      </c>
    </row>
    <row r="591" spans="1:5" x14ac:dyDescent="0.25">
      <c r="A591" s="1">
        <v>672</v>
      </c>
      <c r="B591" s="9" t="str">
        <f>VLOOKUP(A591,'Sets (lua data)'!$A$3:$C$9838,3,FALSE)</f>
        <v>Phoenix Moth Theurge</v>
      </c>
      <c r="C591" s="9" t="str">
        <f>VLOOKUP(A591,'Sets (lua data)'!$A$3:$C$9838,2,FALSE)</f>
        <v>Phönixmotten-Theurg</v>
      </c>
      <c r="D591" t="s">
        <v>91</v>
      </c>
      <c r="E591" s="3" t="str">
        <f>IF(ISNA(VLOOKUP(D591,ConstDLCIds!$B$4:$C$1001,2,FALSE)),"",VLOOKUP(D591,ConstDLCIds!$B$4:$C$1001,2,FALSE))</f>
        <v>Firesong</v>
      </c>
    </row>
    <row r="592" spans="1:5" x14ac:dyDescent="0.25">
      <c r="A592" s="1">
        <v>673</v>
      </c>
      <c r="B592" s="9" t="str">
        <f>VLOOKUP(A592,'Sets (lua data)'!$A$3:$C$9838,3,FALSE)</f>
        <v>Bastion of Draoife</v>
      </c>
      <c r="C592" s="9" t="str">
        <f>VLOOKUP(A592,'Sets (lua data)'!$A$3:$C$9838,2,FALSE)</f>
        <v>Bastion des Draoife</v>
      </c>
      <c r="D592" t="s">
        <v>91</v>
      </c>
      <c r="E592" s="3" t="str">
        <f>IF(ISNA(VLOOKUP(D592,ConstDLCIds!$B$4:$C$1001,2,FALSE)),"",VLOOKUP(D592,ConstDLCIds!$B$4:$C$1001,2,FALSE))</f>
        <v>Firesong</v>
      </c>
    </row>
    <row r="593" spans="1:5" x14ac:dyDescent="0.25">
      <c r="A593" s="1">
        <v>674</v>
      </c>
      <c r="B593" s="9" t="str">
        <f>VLOOKUP(A593,'Sets (lua data)'!$A$3:$C$9838,3,FALSE)</f>
        <v>Faun\'s Lark Cladding</v>
      </c>
      <c r="C593" s="9" t="str">
        <f>VLOOKUP(A593,'Sets (lua data)'!$A$3:$C$9838,2,FALSE)</f>
        <v>Faunstreich</v>
      </c>
      <c r="D593" t="s">
        <v>91</v>
      </c>
      <c r="E593" s="3" t="str">
        <f>IF(ISNA(VLOOKUP(D593,ConstDLCIds!$B$4:$C$1001,2,FALSE)),"",VLOOKUP(D593,ConstDLCIds!$B$4:$C$1001,2,FALSE))</f>
        <v>Firesong</v>
      </c>
    </row>
    <row r="594" spans="1:5" x14ac:dyDescent="0.25">
      <c r="A594" s="1">
        <v>675</v>
      </c>
      <c r="B594" s="9" t="str">
        <f>VLOOKUP(A594,'Sets (lua data)'!$A$3:$C$9838,3,FALSE)</f>
        <v>Stormweaver\'s Cavort</v>
      </c>
      <c r="C594" s="9" t="str">
        <f>VLOOKUP(A594,'Sets (lua data)'!$A$3:$C$9838,2,FALSE)</f>
        <v>Sturmwebertollen</v>
      </c>
      <c r="D594" t="s">
        <v>91</v>
      </c>
      <c r="E594" s="3" t="str">
        <f>IF(ISNA(VLOOKUP(D594,ConstDLCIds!$B$4:$C$1001,2,FALSE)),"",VLOOKUP(D594,ConstDLCIds!$B$4:$C$1001,2,FALSE))</f>
        <v>Firesong</v>
      </c>
    </row>
    <row r="595" spans="1:5" x14ac:dyDescent="0.25">
      <c r="A595" s="1">
        <v>676</v>
      </c>
      <c r="B595" s="9" t="str">
        <f>VLOOKUP(A595,'Sets (lua data)'!$A$3:$C$9838,3,FALSE)</f>
        <v>Syrabane\'s Ward</v>
      </c>
      <c r="C595" s="9" t="str">
        <f>VLOOKUP(A595,'Sets (lua data)'!$A$3:$C$9838,2,FALSE)</f>
        <v>Syrabanns Schutz</v>
      </c>
      <c r="D595" t="s">
        <v>91</v>
      </c>
      <c r="E595" s="3" t="str">
        <f>IF(ISNA(VLOOKUP(D595,ConstDLCIds!$B$4:$C$1001,2,FALSE)),"",VLOOKUP(D595,ConstDLCIds!$B$4:$C$1001,2,FALSE))</f>
        <v>Firesong</v>
      </c>
    </row>
    <row r="596" spans="1:5" x14ac:dyDescent="0.25">
      <c r="A596" s="1">
        <v>677</v>
      </c>
      <c r="B596" s="9" t="str">
        <f>VLOOKUP(A596,'Sets (lua data)'!$A$3:$C$9838,3,FALSE)</f>
        <v>Chimera\'s Rebuke</v>
      </c>
      <c r="C596" s="9" t="str">
        <f>VLOOKUP(A596,'Sets (lua data)'!$A$3:$C$9838,2,FALSE)</f>
        <v>Zurechtweisung der Schimäre</v>
      </c>
      <c r="D596" t="s">
        <v>91</v>
      </c>
      <c r="E596" s="3" t="str">
        <f>IF(ISNA(VLOOKUP(D596,ConstDLCIds!$B$4:$C$1001,2,FALSE)),"",VLOOKUP(D596,ConstDLCIds!$B$4:$C$1001,2,FALSE))</f>
        <v>Firesong</v>
      </c>
    </row>
    <row r="597" spans="1:5" x14ac:dyDescent="0.25">
      <c r="A597" s="1">
        <v>678</v>
      </c>
      <c r="B597" s="9" t="str">
        <f>VLOOKUP(A597,'Sets (lua data)'!$A$3:$C$9838,3,FALSE)</f>
        <v>Old Growth Brewer</v>
      </c>
      <c r="C597" s="9" t="str">
        <f>VLOOKUP(A597,'Sets (lua data)'!$A$3:$C$9838,2,FALSE)</f>
        <v>Altwuchs-Brauer</v>
      </c>
      <c r="D597" t="s">
        <v>91</v>
      </c>
      <c r="E597" s="3" t="str">
        <f>IF(ISNA(VLOOKUP(D597,ConstDLCIds!$B$4:$C$1001,2,FALSE)),"",VLOOKUP(D597,ConstDLCIds!$B$4:$C$1001,2,FALSE))</f>
        <v>Firesong</v>
      </c>
    </row>
    <row r="598" spans="1:5" x14ac:dyDescent="0.25">
      <c r="A598" s="1">
        <v>679</v>
      </c>
      <c r="B598" s="9" t="str">
        <f>VLOOKUP(A598,'Sets (lua data)'!$A$3:$C$9838,3,FALSE)</f>
        <v>Claw of the Forest Wraith</v>
      </c>
      <c r="C598" s="9" t="str">
        <f>VLOOKUP(A598,'Sets (lua data)'!$A$3:$C$9838,2,FALSE)</f>
        <v>Kralle des Waldgespensts</v>
      </c>
      <c r="D598" t="s">
        <v>91</v>
      </c>
      <c r="E598" s="3" t="str">
        <f>IF(ISNA(VLOOKUP(D598,ConstDLCIds!$B$4:$C$1001,2,FALSE)),"",VLOOKUP(D598,ConstDLCIds!$B$4:$C$1001,2,FALSE))</f>
        <v>Firesong</v>
      </c>
    </row>
    <row r="599" spans="1:5" x14ac:dyDescent="0.25">
      <c r="A599" s="1">
        <v>680</v>
      </c>
      <c r="B599" s="9" t="str">
        <f>VLOOKUP(A599,'Sets (lua data)'!$A$3:$C$9838,3,FALSE)</f>
        <v>Ritemaster\'s Bond</v>
      </c>
      <c r="C599" s="9" t="str">
        <f>VLOOKUP(A599,'Sets (lua data)'!$A$3:$C$9838,2,FALSE)</f>
        <v>Bindung des Ritenmeisters</v>
      </c>
      <c r="D599" t="s">
        <v>94</v>
      </c>
      <c r="E599" s="3" t="str">
        <f>IF(ISNA(VLOOKUP(D599,ConstDLCIds!$B$4:$C$1001,2,FALSE)),"",VLOOKUP(D599,ConstDLCIds!$B$4:$C$1001,2,FALSE))</f>
        <v>Scribes of Fate</v>
      </c>
    </row>
    <row r="600" spans="1:5" x14ac:dyDescent="0.25">
      <c r="A600" s="1">
        <v>681</v>
      </c>
      <c r="B600" s="9" t="str">
        <f>VLOOKUP(A600,'Sets (lua data)'!$A$3:$C$9838,3,FALSE)</f>
        <v>Nix-Hound\'s Howl</v>
      </c>
      <c r="C600" s="9" t="str">
        <f>VLOOKUP(A600,'Sets (lua data)'!$A$3:$C$9838,2,FALSE)</f>
        <v>Nixhund-Heulen</v>
      </c>
      <c r="D600" t="s">
        <v>94</v>
      </c>
      <c r="E600" s="3" t="str">
        <f>IF(ISNA(VLOOKUP(D600,ConstDLCIds!$B$4:$C$1001,2,FALSE)),"",VLOOKUP(D600,ConstDLCIds!$B$4:$C$1001,2,FALSE))</f>
        <v>Scribes of Fate</v>
      </c>
    </row>
    <row r="601" spans="1:5" x14ac:dyDescent="0.25">
      <c r="A601" s="1">
        <v>682</v>
      </c>
      <c r="B601" s="9" t="str">
        <f>VLOOKUP(A601,'Sets (lua data)'!$A$3:$C$9838,3,FALSE)</f>
        <v>Telvanni Enforcer</v>
      </c>
      <c r="C601" s="9" t="str">
        <f>VLOOKUP(A601,'Sets (lua data)'!$A$3:$C$9838,2,FALSE)</f>
        <v>Telvanni-Vollstrecker</v>
      </c>
      <c r="D601" t="s">
        <v>94</v>
      </c>
      <c r="E601" s="3" t="str">
        <f>IF(ISNA(VLOOKUP(D601,ConstDLCIds!$B$4:$C$1001,2,FALSE)),"",VLOOKUP(D601,ConstDLCIds!$B$4:$C$1001,2,FALSE))</f>
        <v>Scribes of Fate</v>
      </c>
    </row>
    <row r="602" spans="1:5" x14ac:dyDescent="0.25">
      <c r="A602" s="1">
        <v>683</v>
      </c>
      <c r="B602" s="9" t="str">
        <f>VLOOKUP(A602,'Sets (lua data)'!$A$3:$C$9838,3,FALSE)</f>
        <v>Roksa the Warped</v>
      </c>
      <c r="C602" s="9" t="str">
        <f>VLOOKUP(A602,'Sets (lua data)'!$A$3:$C$9838,2,FALSE)</f>
        <v>Roksa die Verkrümmte</v>
      </c>
      <c r="D602" t="s">
        <v>94</v>
      </c>
      <c r="E602" s="3" t="str">
        <f>IF(ISNA(VLOOKUP(D602,ConstDLCIds!$B$4:$C$1001,2,FALSE)),"",VLOOKUP(D602,ConstDLCIds!$B$4:$C$1001,2,FALSE))</f>
        <v>Scribes of Fate</v>
      </c>
    </row>
    <row r="603" spans="1:5" x14ac:dyDescent="0.25">
      <c r="A603" s="1">
        <v>684</v>
      </c>
      <c r="B603" s="9" t="str">
        <f>VLOOKUP(A603,'Sets (lua data)'!$A$3:$C$9838,3,FALSE)</f>
        <v>Runecarver\’s Blaze</v>
      </c>
      <c r="C603" s="9" t="str">
        <f>VLOOKUP(A603,'Sets (lua data)'!$A$3:$C$9838,2,FALSE)</f>
        <v>Lodern des Runenschnitzers</v>
      </c>
      <c r="D603" t="s">
        <v>94</v>
      </c>
      <c r="E603" s="3" t="str">
        <f>IF(ISNA(VLOOKUP(D603,ConstDLCIds!$B$4:$C$1001,2,FALSE)),"",VLOOKUP(D603,ConstDLCIds!$B$4:$C$1001,2,FALSE))</f>
        <v>Scribes of Fate</v>
      </c>
    </row>
    <row r="604" spans="1:5" x14ac:dyDescent="0.25">
      <c r="A604" s="1">
        <v>685</v>
      </c>
      <c r="B604" s="9" t="str">
        <f>VLOOKUP(A604,'Sets (lua data)'!$A$3:$C$9838,3,FALSE)</f>
        <v>Apocryphal Inspiration</v>
      </c>
      <c r="C604" s="9" t="str">
        <f>VLOOKUP(A604,'Sets (lua data)'!$A$3:$C$9838,2,FALSE)</f>
        <v>Apocryphische Inspiration</v>
      </c>
      <c r="D604" t="s">
        <v>94</v>
      </c>
      <c r="E604" s="3" t="str">
        <f>IF(ISNA(VLOOKUP(D604,ConstDLCIds!$B$4:$C$1001,2,FALSE)),"",VLOOKUP(D604,ConstDLCIds!$B$4:$C$1001,2,FALSE))</f>
        <v>Scribes of Fate</v>
      </c>
    </row>
    <row r="605" spans="1:5" x14ac:dyDescent="0.25">
      <c r="A605" s="1">
        <v>686</v>
      </c>
      <c r="B605" s="9" t="str">
        <f>VLOOKUP(A605,'Sets (lua data)'!$A$3:$C$9838,3,FALSE)</f>
        <v>Abyssal Brace</v>
      </c>
      <c r="C605" s="9" t="str">
        <f>VLOOKUP(A605,'Sets (lua data)'!$A$3:$C$9838,2,FALSE)</f>
        <v>Abgründiges Wappnen</v>
      </c>
      <c r="D605" t="s">
        <v>94</v>
      </c>
      <c r="E605" s="3" t="str">
        <f>IF(ISNA(VLOOKUP(D605,ConstDLCIds!$B$4:$C$1001,2,FALSE)),"",VLOOKUP(D605,ConstDLCIds!$B$4:$C$1001,2,FALSE))</f>
        <v>Scribes of Fate</v>
      </c>
    </row>
    <row r="606" spans="1:5" x14ac:dyDescent="0.25">
      <c r="A606" s="1">
        <v>687</v>
      </c>
      <c r="B606" s="9" t="str">
        <f>VLOOKUP(A606,'Sets (lua data)'!$A$3:$C$9838,3,FALSE)</f>
        <v>Ozezan the Inferno</v>
      </c>
      <c r="C606" s="9" t="str">
        <f>VLOOKUP(A606,'Sets (lua data)'!$A$3:$C$9838,2,FALSE)</f>
        <v>Ozezan das Inferno</v>
      </c>
      <c r="D606" t="s">
        <v>94</v>
      </c>
      <c r="E606" s="3" t="str">
        <f>IF(ISNA(VLOOKUP(D606,ConstDLCIds!$B$4:$C$1001,2,FALSE)),"",VLOOKUP(D606,ConstDLCIds!$B$4:$C$1001,2,FALSE))</f>
        <v>Scribes of Fate</v>
      </c>
    </row>
    <row r="607" spans="1:5" x14ac:dyDescent="0.25">
      <c r="A607" s="1">
        <v>688</v>
      </c>
      <c r="B607" s="9" t="str">
        <f>VLOOKUP(A607,'Sets (lua data)'!$A$3:$C$9838,3,FALSE)</f>
        <v>Snake in the Stars</v>
      </c>
      <c r="C607" s="9" t="str">
        <f>VLOOKUP(A607,'Sets (lua data)'!$A$3:$C$9838,2,FALSE)</f>
        <v>Schlange inmitten der Sterne</v>
      </c>
      <c r="D607" t="s">
        <v>94</v>
      </c>
      <c r="E607" s="3" t="str">
        <f>IF(ISNA(VLOOKUP(D607,ConstDLCIds!$B$4:$C$1001,2,FALSE)),"",VLOOKUP(D607,ConstDLCIds!$B$4:$C$1001,2,FALSE))</f>
        <v>Scribes of Fate</v>
      </c>
    </row>
    <row r="608" spans="1:5" x14ac:dyDescent="0.25">
      <c r="A608" s="1">
        <v>689</v>
      </c>
      <c r="B608" s="9" t="str">
        <f>VLOOKUP(A608,'Sets (lua data)'!$A$3:$C$9838,3,FALSE)</f>
        <v>Shell Splitter</v>
      </c>
      <c r="C608" s="9" t="str">
        <f>VLOOKUP(A608,'Sets (lua data)'!$A$3:$C$9838,2,FALSE)</f>
        <v>Panzerspalten</v>
      </c>
      <c r="D608" t="s">
        <v>94</v>
      </c>
      <c r="E608" s="3" t="str">
        <f>IF(ISNA(VLOOKUP(D608,ConstDLCIds!$B$4:$C$1001,2,FALSE)),"",VLOOKUP(D608,ConstDLCIds!$B$4:$C$1001,2,FALSE))</f>
        <v>Scribes of Fate</v>
      </c>
    </row>
    <row r="609" spans="1:5" x14ac:dyDescent="0.25">
      <c r="A609" s="1">
        <v>690</v>
      </c>
      <c r="B609" s="9" t="str">
        <f>VLOOKUP(A609,'Sets (lua data)'!$A$3:$C$9838,3,FALSE)</f>
        <v>Judgement of Akatosh </v>
      </c>
      <c r="C609" s="9" t="str">
        <f>VLOOKUP(A609,'Sets (lua data)'!$A$3:$C$9838,2,FALSE)</f>
        <v>Urteil von Akatosh</v>
      </c>
      <c r="D609" t="s">
        <v>94</v>
      </c>
      <c r="E609" s="3" t="str">
        <f>IF(ISNA(VLOOKUP(D609,ConstDLCIds!$B$4:$C$1001,2,FALSE)),"",VLOOKUP(D609,ConstDLCIds!$B$4:$C$1001,2,FALSE))</f>
        <v>Scribes of Fate</v>
      </c>
    </row>
    <row r="610" spans="1:5" x14ac:dyDescent="0.25">
      <c r="A610" s="1">
        <v>691</v>
      </c>
      <c r="B610" s="9" t="str">
        <f>VLOOKUP(A610,'Sets (lua data)'!$A$3:$C$9838,3,FALSE)</f>
        <v>Cryptcanon Vestments</v>
      </c>
      <c r="C610" s="9" t="str">
        <f>VLOOKUP(A610,'Sets (lua data)'!$A$3:$C$9838,2,FALSE)</f>
        <v>Gewandung des Kryptenvogts</v>
      </c>
      <c r="D610" t="s">
        <v>97</v>
      </c>
      <c r="E610" s="3" t="str">
        <f>IF(ISNA(VLOOKUP(D610,ConstDLCIds!$B$4:$C$1001,2,FALSE)),"",VLOOKUP(D610,ConstDLCIds!$B$4:$C$1001,2,FALSE))</f>
        <v>Necrom</v>
      </c>
    </row>
    <row r="611" spans="1:5" x14ac:dyDescent="0.25">
      <c r="A611" s="1">
        <v>692</v>
      </c>
      <c r="B611" s="9" t="str">
        <f>VLOOKUP(A611,'Sets (lua data)'!$A$3:$C$9838,3,FALSE)</f>
        <v>Esoteric Environment Greaves</v>
      </c>
      <c r="C611" s="9" t="str">
        <f>VLOOKUP(A611,'Sets (lua data)'!$A$3:$C$9838,2,FALSE)</f>
        <v>Beinschienen der esoterischen Umgebung</v>
      </c>
      <c r="D611" t="s">
        <v>97</v>
      </c>
      <c r="E611" s="3" t="str">
        <f>IF(ISNA(VLOOKUP(D611,ConstDLCIds!$B$4:$C$1001,2,FALSE)),"",VLOOKUP(D611,ConstDLCIds!$B$4:$C$1001,2,FALSE))</f>
        <v>Necrom</v>
      </c>
    </row>
    <row r="612" spans="1:5" x14ac:dyDescent="0.25">
      <c r="A612" s="1">
        <v>693</v>
      </c>
      <c r="B612" s="9" t="str">
        <f>VLOOKUP(A612,'Sets (lua data)'!$A$3:$C$9838,3,FALSE)</f>
        <v>Torc of the Last Ayleid King</v>
      </c>
      <c r="C612" s="9" t="str">
        <f>VLOOKUP(A612,'Sets (lua data)'!$A$3:$C$9838,2,FALSE)</f>
        <v>Torc of the Last Ayleid King</v>
      </c>
      <c r="D612" t="s">
        <v>97</v>
      </c>
      <c r="E612" s="3" t="str">
        <f>IF(ISNA(VLOOKUP(D612,ConstDLCIds!$B$4:$C$1001,2,FALSE)),"",VLOOKUP(D612,ConstDLCIds!$B$4:$C$1001,2,FALSE))</f>
        <v>Necrom</v>
      </c>
    </row>
    <row r="613" spans="1:5" x14ac:dyDescent="0.25">
      <c r="A613" s="1">
        <v>694</v>
      </c>
      <c r="B613" s="9" t="str">
        <f>VLOOKUP(A613,'Sets (lua data)'!$A$3:$C$9838,3,FALSE)</f>
        <v>Velothi Ur-Mage\'s Amulet</v>
      </c>
      <c r="C613" s="9" t="str">
        <f>VLOOKUP(A613,'Sets (lua data)'!$A$3:$C$9838,2,FALSE)</f>
        <v>Velothi Ur-Mage\'s Amulet</v>
      </c>
      <c r="D613" t="s">
        <v>97</v>
      </c>
      <c r="E613" s="3" t="str">
        <f>IF(ISNA(VLOOKUP(D613,ConstDLCIds!$B$4:$C$1001,2,FALSE)),"",VLOOKUP(D613,ConstDLCIds!$B$4:$C$1001,2,FALSE))</f>
        <v>Necrom</v>
      </c>
    </row>
    <row r="614" spans="1:5" x14ac:dyDescent="0.25">
      <c r="A614" s="1">
        <v>695</v>
      </c>
      <c r="B614" s="9" t="str">
        <f>VLOOKUP(A614,'Sets (lua data)'!$A$3:$C$9838,3,FALSE)</f>
        <v>Shattered Fate</v>
      </c>
      <c r="C614" s="9" t="str">
        <f>VLOOKUP(A614,'Sets (lua data)'!$A$3:$C$9838,2,FALSE)</f>
        <v>Shattered Fate</v>
      </c>
      <c r="D614" t="s">
        <v>97</v>
      </c>
      <c r="E614" s="3" t="str">
        <f>IF(ISNA(VLOOKUP(D614,ConstDLCIds!$B$4:$C$1001,2,FALSE)),"",VLOOKUP(D614,ConstDLCIds!$B$4:$C$1001,2,FALSE))</f>
        <v>Necrom</v>
      </c>
    </row>
    <row r="615" spans="1:5" x14ac:dyDescent="0.25">
      <c r="A615" s="1">
        <v>696</v>
      </c>
      <c r="B615" s="9" t="str">
        <f>VLOOKUP(A615,'Sets (lua data)'!$A$3:$C$9838,3,FALSE)</f>
        <v>Telvanni Efficiency</v>
      </c>
      <c r="C615" s="9" t="str">
        <f>VLOOKUP(A615,'Sets (lua data)'!$A$3:$C$9838,2,FALSE)</f>
        <v>Telvanni Efficiency</v>
      </c>
      <c r="D615" t="s">
        <v>97</v>
      </c>
      <c r="E615" s="3" t="str">
        <f>IF(ISNA(VLOOKUP(D615,ConstDLCIds!$B$4:$C$1001,2,FALSE)),"",VLOOKUP(D615,ConstDLCIds!$B$4:$C$1001,2,FALSE))</f>
        <v>Necrom</v>
      </c>
    </row>
    <row r="616" spans="1:5" x14ac:dyDescent="0.25">
      <c r="A616" s="1">
        <v>697</v>
      </c>
      <c r="B616" s="9" t="str">
        <f>VLOOKUP(A616,'Sets (lua data)'!$A$3:$C$9838,3,FALSE)</f>
        <v>Seeker Synthesis</v>
      </c>
      <c r="C616" s="9" t="str">
        <f>VLOOKUP(A616,'Sets (lua data)'!$A$3:$C$9838,2,FALSE)</f>
        <v>Seeker Synthesis</v>
      </c>
      <c r="D616" t="s">
        <v>97</v>
      </c>
      <c r="E616" s="3" t="str">
        <f>IF(ISNA(VLOOKUP(D616,ConstDLCIds!$B$4:$C$1001,2,FALSE)),"",VLOOKUP(D616,ConstDLCIds!$B$4:$C$1001,2,FALSE))</f>
        <v>Necrom</v>
      </c>
    </row>
    <row r="617" spans="1:5" x14ac:dyDescent="0.25">
      <c r="A617" s="1">
        <v>698</v>
      </c>
      <c r="B617" s="9" t="str">
        <f>VLOOKUP(A617,'Sets (lua data)'!$A$3:$C$9838,3,FALSE)</f>
        <v>Vivec\'s Duality</v>
      </c>
      <c r="C617" s="9" t="str">
        <f>VLOOKUP(A617,'Sets (lua data)'!$A$3:$C$9838,2,FALSE)</f>
        <v>Vivec\'s Duality</v>
      </c>
      <c r="D617" t="s">
        <v>97</v>
      </c>
      <c r="E617" s="3" t="str">
        <f>IF(ISNA(VLOOKUP(D617,ConstDLCIds!$B$4:$C$1001,2,FALSE)),"",VLOOKUP(D617,ConstDLCIds!$B$4:$C$1001,2,FALSE))</f>
        <v>Necrom</v>
      </c>
    </row>
    <row r="618" spans="1:5" x14ac:dyDescent="0.25">
      <c r="A618" s="1">
        <v>699</v>
      </c>
      <c r="B618" s="9" t="str">
        <f>VLOOKUP(A618,'Sets (lua data)'!$A$3:$C$9838,3,FALSE)</f>
        <v>Camonna Tong</v>
      </c>
      <c r="C618" s="9" t="str">
        <f>VLOOKUP(A618,'Sets (lua data)'!$A$3:$C$9838,2,FALSE)</f>
        <v>Camonna Tong</v>
      </c>
      <c r="D618" t="s">
        <v>97</v>
      </c>
      <c r="E618" s="3" t="str">
        <f>IF(ISNA(VLOOKUP(D618,ConstDLCIds!$B$4:$C$1001,2,FALSE)),"",VLOOKUP(D618,ConstDLCIds!$B$4:$C$1001,2,FALSE))</f>
        <v>Necrom</v>
      </c>
    </row>
    <row r="619" spans="1:5" x14ac:dyDescent="0.25">
      <c r="A619" s="1">
        <v>700</v>
      </c>
      <c r="B619" s="9" t="str">
        <f>VLOOKUP(A619,'Sets (lua data)'!$A$3:$C$9838,3,FALSE)</f>
        <v>Adamant Lurker</v>
      </c>
      <c r="C619" s="9" t="str">
        <f>VLOOKUP(A619,'Sets (lua data)'!$A$3:$C$9838,2,FALSE)</f>
        <v>Adamant Lurker</v>
      </c>
      <c r="D619" t="s">
        <v>97</v>
      </c>
      <c r="E619" s="3" t="str">
        <f>IF(ISNA(VLOOKUP(D619,ConstDLCIds!$B$4:$C$1001,2,FALSE)),"",VLOOKUP(D619,ConstDLCIds!$B$4:$C$1001,2,FALSE))</f>
        <v>Necrom</v>
      </c>
    </row>
    <row r="620" spans="1:5" x14ac:dyDescent="0.25">
      <c r="A620" s="1">
        <v>701</v>
      </c>
      <c r="B620" s="9" t="str">
        <f>VLOOKUP(A620,'Sets (lua data)'!$A$3:$C$9838,3,FALSE)</f>
        <v>Peace and Serenity</v>
      </c>
      <c r="C620" s="9" t="str">
        <f>VLOOKUP(A620,'Sets (lua data)'!$A$3:$C$9838,2,FALSE)</f>
        <v>Peace and Serenity</v>
      </c>
      <c r="D620" t="s">
        <v>97</v>
      </c>
      <c r="E620" s="3" t="str">
        <f>IF(ISNA(VLOOKUP(D620,ConstDLCIds!$B$4:$C$1001,2,FALSE)),"",VLOOKUP(D620,ConstDLCIds!$B$4:$C$1001,2,FALSE))</f>
        <v>Necrom</v>
      </c>
    </row>
    <row r="621" spans="1:5" x14ac:dyDescent="0.25">
      <c r="A621" s="1">
        <v>702</v>
      </c>
      <c r="B621" s="9" t="str">
        <f>VLOOKUP(A621,'Sets (lua data)'!$A$3:$C$9838,3,FALSE)</f>
        <v>Ansuul\'s Torment</v>
      </c>
      <c r="C621" s="9" t="str">
        <f>VLOOKUP(A621,'Sets (lua data)'!$A$3:$C$9838,2,FALSE)</f>
        <v>Ansuul\'s Torment</v>
      </c>
      <c r="D621" t="s">
        <v>97</v>
      </c>
      <c r="E621" s="3" t="str">
        <f>IF(ISNA(VLOOKUP(D621,ConstDLCIds!$B$4:$C$1001,2,FALSE)),"",VLOOKUP(D621,ConstDLCIds!$B$4:$C$1001,2,FALSE))</f>
        <v>Necrom</v>
      </c>
    </row>
    <row r="622" spans="1:5" x14ac:dyDescent="0.25">
      <c r="A622" s="1">
        <v>703</v>
      </c>
      <c r="B622" s="9" t="str">
        <f>VLOOKUP(A622,'Sets (lua data)'!$A$3:$C$9838,3,FALSE)</f>
        <v>Test of Resolve</v>
      </c>
      <c r="C622" s="9" t="str">
        <f>VLOOKUP(A622,'Sets (lua data)'!$A$3:$C$9838,2,FALSE)</f>
        <v>Test of Resolve</v>
      </c>
      <c r="D622" t="s">
        <v>97</v>
      </c>
      <c r="E622" s="3" t="str">
        <f>IF(ISNA(VLOOKUP(D622,ConstDLCIds!$B$4:$C$1001,2,FALSE)),"",VLOOKUP(D622,ConstDLCIds!$B$4:$C$1001,2,FALSE))</f>
        <v>Necrom</v>
      </c>
    </row>
    <row r="623" spans="1:5" x14ac:dyDescent="0.25">
      <c r="A623" s="1">
        <v>704</v>
      </c>
      <c r="B623" s="9" t="str">
        <f>VLOOKUP(A623,'Sets (lua data)'!$A$3:$C$9838,3,FALSE)</f>
        <v>Transformative Hope</v>
      </c>
      <c r="C623" s="9" t="str">
        <f>VLOOKUP(A623,'Sets (lua data)'!$A$3:$C$9838,2,FALSE)</f>
        <v>Transformative Hope</v>
      </c>
      <c r="D623" t="s">
        <v>97</v>
      </c>
      <c r="E623" s="3" t="str">
        <f>IF(ISNA(VLOOKUP(D623,ConstDLCIds!$B$4:$C$1001,2,FALSE)),"",VLOOKUP(D623,ConstDLCIds!$B$4:$C$1001,2,FALSE))</f>
        <v>Necrom</v>
      </c>
    </row>
    <row r="624" spans="1:5" x14ac:dyDescent="0.25">
      <c r="A624" s="1">
        <v>705</v>
      </c>
      <c r="B624" s="9" t="str">
        <f>VLOOKUP(A624,'Sets (lua data)'!$A$3:$C$9838,3,FALSE)</f>
        <v>Perfected Transformative Hope</v>
      </c>
      <c r="C624" s="9" t="str">
        <f>VLOOKUP(A624,'Sets (lua data)'!$A$3:$C$9838,2,FALSE)</f>
        <v xml:space="preserve"> Perfected Transformative Hope</v>
      </c>
      <c r="D624" t="s">
        <v>97</v>
      </c>
      <c r="E624" s="3" t="str">
        <f>IF(ISNA(VLOOKUP(D624,ConstDLCIds!$B$4:$C$1001,2,FALSE)),"",VLOOKUP(D624,ConstDLCIds!$B$4:$C$1001,2,FALSE))</f>
        <v>Necrom</v>
      </c>
    </row>
    <row r="625" spans="1:5" x14ac:dyDescent="0.25">
      <c r="A625" s="1">
        <v>706</v>
      </c>
      <c r="B625" s="9" t="str">
        <f>VLOOKUP(A625,'Sets (lua data)'!$A$3:$C$9838,3,FALSE)</f>
        <v>Perfected Test of Resolve</v>
      </c>
      <c r="C625" s="9" t="str">
        <f>VLOOKUP(A625,'Sets (lua data)'!$A$3:$C$9838,2,FALSE)</f>
        <v>Perfected Test of Resolve</v>
      </c>
      <c r="D625" t="s">
        <v>97</v>
      </c>
      <c r="E625" s="3" t="str">
        <f>IF(ISNA(VLOOKUP(D625,ConstDLCIds!$B$4:$C$1001,2,FALSE)),"",VLOOKUP(D625,ConstDLCIds!$B$4:$C$1001,2,FALSE))</f>
        <v>Necrom</v>
      </c>
    </row>
    <row r="626" spans="1:5" x14ac:dyDescent="0.25">
      <c r="A626" s="1">
        <v>707</v>
      </c>
      <c r="B626" s="9" t="str">
        <f>VLOOKUP(A626,'Sets (lua data)'!$A$3:$C$9838,3,FALSE)</f>
        <v>Perfected Ansuul\'s Torment</v>
      </c>
      <c r="C626" s="9" t="str">
        <f>VLOOKUP(A626,'Sets (lua data)'!$A$3:$C$9838,2,FALSE)</f>
        <v>Perfected Ansuul\'s Torment</v>
      </c>
      <c r="D626" t="s">
        <v>97</v>
      </c>
      <c r="E626" s="3" t="str">
        <f>IF(ISNA(VLOOKUP(D626,ConstDLCIds!$B$4:$C$1001,2,FALSE)),"",VLOOKUP(D626,ConstDLCIds!$B$4:$C$1001,2,FALSE))</f>
        <v>Necrom</v>
      </c>
    </row>
    <row r="627" spans="1:5" x14ac:dyDescent="0.25">
      <c r="A627" s="1">
        <v>708</v>
      </c>
      <c r="B627" s="9" t="str">
        <f>VLOOKUP(A627,'Sets (lua data)'!$A$3:$C$9838,3,FALSE)</f>
        <v>Perfected Peace and Serenity</v>
      </c>
      <c r="C627" s="9" t="str">
        <f>VLOOKUP(A627,'Sets (lua data)'!$A$3:$C$9838,2,FALSE)</f>
        <v>Perfected Peace and Serenity</v>
      </c>
      <c r="D627" t="s">
        <v>97</v>
      </c>
      <c r="E627" s="3" t="str">
        <f>IF(ISNA(VLOOKUP(D627,ConstDLCIds!$B$4:$C$1001,2,FALSE)),"",VLOOKUP(D627,ConstDLCIds!$B$4:$C$1001,2,FALSE))</f>
        <v>Necrom</v>
      </c>
    </row>
    <row r="628" spans="1:5" x14ac:dyDescent="0.25">
      <c r="A628" s="1">
        <v>711</v>
      </c>
      <c r="B628" s="9" t="str">
        <f>VLOOKUP(A628,'Sets (lua data)'!$A$3:$C$9838,3,FALSE)</f>
        <v>Jerall Mountains Warchief</v>
      </c>
      <c r="C628" s="9" t="str">
        <f>VLOOKUP(A628,'Sets (lua data)'!$A$3:$C$9838,2,FALSE)</f>
        <v>Jerall Mountains Warchief</v>
      </c>
      <c r="D628" t="s">
        <v>7</v>
      </c>
      <c r="E628" s="3" t="str">
        <f>IF(ISNA(VLOOKUP(D628,ConstDLCIds!$B$4:$C$1001,2,FALSE)),"",VLOOKUP(D628,ConstDLCIds!$B$4:$C$1001,2,FALSE))</f>
        <v>Included in base game</v>
      </c>
    </row>
    <row r="629" spans="1:5" x14ac:dyDescent="0.25">
      <c r="A629" s="1">
        <v>712</v>
      </c>
      <c r="B629" s="9" t="str">
        <f>VLOOKUP(A629,'Sets (lua data)'!$A$3:$C$9838,3,FALSE)</f>
        <v>Nibenay Bay Battlereeve</v>
      </c>
      <c r="C629" s="9" t="str">
        <f>VLOOKUP(A629,'Sets (lua data)'!$A$3:$C$9838,2,FALSE)</f>
        <v>Nibenay Bay Battlereeve</v>
      </c>
      <c r="D629" t="s">
        <v>7</v>
      </c>
      <c r="E629" s="3" t="str">
        <f>IF(ISNA(VLOOKUP(D629,ConstDLCIds!$B$4:$C$1001,2,FALSE)),"",VLOOKUP(D629,ConstDLCIds!$B$4:$C$1001,2,FALSE))</f>
        <v>Included in base game</v>
      </c>
    </row>
    <row r="630" spans="1:5" x14ac:dyDescent="0.25">
      <c r="A630" s="1">
        <v>713</v>
      </c>
      <c r="B630" s="9" t="str">
        <f>VLOOKUP(A630,'Sets (lua data)'!$A$3:$C$9838,3,FALSE)</f>
        <v>Colovian Highlands General</v>
      </c>
      <c r="C630" s="9" t="str">
        <f>VLOOKUP(A630,'Sets (lua data)'!$A$3:$C$9838,2,FALSE)</f>
        <v>Colovian Highlands General</v>
      </c>
      <c r="D630" t="s">
        <v>7</v>
      </c>
      <c r="E630" s="3" t="str">
        <f>IF(ISNA(VLOOKUP(D630,ConstDLCIds!$B$4:$C$1001,2,FALSE)),"",VLOOKUP(D630,ConstDLCIds!$B$4:$C$1001,2,FALSE))</f>
        <v>Included in base game</v>
      </c>
    </row>
    <row r="631" spans="1:5" x14ac:dyDescent="0.25">
      <c r="A631" s="1">
        <v>722</v>
      </c>
      <c r="B631" s="9" t="str">
        <f>VLOOKUP(A631,'Sets (lua data)'!$A$3:$C$9838,3,FALSE)</f>
        <v>Reawakened Hierophant</v>
      </c>
      <c r="C631" s="9" t="str">
        <f>VLOOKUP(A631,'Sets (lua data)'!$A$3:$C$9838,2,FALSE)</f>
        <v>Reawakened Hierophant</v>
      </c>
      <c r="D631" t="s">
        <v>7</v>
      </c>
      <c r="E631" s="3" t="str">
        <f>IF(ISNA(VLOOKUP(D631,ConstDLCIds!$B$4:$C$1001,2,FALSE)),"",VLOOKUP(D631,ConstDLCIds!$B$4:$C$1001,2,FALSE))</f>
        <v>Included in base game</v>
      </c>
    </row>
    <row r="632" spans="1:5" x14ac:dyDescent="0.25">
      <c r="A632" s="1">
        <v>723</v>
      </c>
      <c r="B632" s="9" t="str">
        <f>VLOOKUP(A632,'Sets (lua data)'!$A$3:$C$9838,3,FALSE)</f>
        <v>Basalt-Blooded Warrior</v>
      </c>
      <c r="C632" s="9" t="str">
        <f>VLOOKUP(A632,'Sets (lua data)'!$A$3:$C$9838,2,FALSE)</f>
        <v>Basalt-Blooded Warrior</v>
      </c>
      <c r="D632" t="s">
        <v>7</v>
      </c>
      <c r="E632" s="3" t="str">
        <f>IF(ISNA(VLOOKUP(D632,ConstDLCIds!$B$4:$C$1001,2,FALSE)),"",VLOOKUP(D632,ConstDLCIds!$B$4:$C$1001,2,FALSE))</f>
        <v>Included in base game</v>
      </c>
    </row>
    <row r="633" spans="1:5" x14ac:dyDescent="0.25">
      <c r="A633" s="1">
        <v>724</v>
      </c>
      <c r="B633" s="9" t="str">
        <f>VLOOKUP(A633,'Sets (lua data)'!$A$3:$C$9838,3,FALSE)</f>
        <v>Nobility in Decay</v>
      </c>
      <c r="C633" s="9" t="str">
        <f>VLOOKUP(A633,'Sets (lua data)'!$A$3:$C$9838,2,FALSE)</f>
        <v>Adel im Verfall</v>
      </c>
      <c r="D633" t="s">
        <v>7</v>
      </c>
      <c r="E633" s="3" t="str">
        <f>IF(ISNA(VLOOKUP(D633,ConstDLCIds!$B$4:$C$1001,2,FALSE)),"",VLOOKUP(D633,ConstDLCIds!$B$4:$C$1001,2,FALSE))</f>
        <v>Included in base game</v>
      </c>
    </row>
    <row r="634" spans="1:5" x14ac:dyDescent="0.25">
      <c r="A634" s="1">
        <v>726</v>
      </c>
      <c r="B634" s="9" t="str">
        <f>VLOOKUP(A634,'Sets (lua data)'!$A$3:$C$9838,3,FALSE)</f>
        <v>Soulcleaver</v>
      </c>
      <c r="C634" s="9" t="str">
        <f>VLOOKUP(A634,'Sets (lua data)'!$A$3:$C$9838,2,FALSE)</f>
        <v>Seelenspalter</v>
      </c>
      <c r="D634" t="s">
        <v>7</v>
      </c>
      <c r="E634" s="3" t="str">
        <f>IF(ISNA(VLOOKUP(D634,ConstDLCIds!$B$4:$C$1001,2,FALSE)),"",VLOOKUP(D634,ConstDLCIds!$B$4:$C$1001,2,FALSE))</f>
        <v>Included in base game</v>
      </c>
    </row>
    <row r="635" spans="1:5" x14ac:dyDescent="0.25">
      <c r="A635" s="1">
        <v>727</v>
      </c>
      <c r="B635" s="9" t="str">
        <f>VLOOKUP(A635,'Sets (lua data)'!$A$3:$C$9838,3,FALSE)</f>
        <v>Monolith of Storms</v>
      </c>
      <c r="C635" s="9" t="str">
        <f>VLOOKUP(A635,'Sets (lua data)'!$A$3:$C$9838,2,FALSE)</f>
        <v>Monolith der Stürme</v>
      </c>
      <c r="D635" t="s">
        <v>7</v>
      </c>
      <c r="E635" s="3" t="str">
        <f>IF(ISNA(VLOOKUP(D635,ConstDLCIds!$B$4:$C$1001,2,FALSE)),"",VLOOKUP(D635,ConstDLCIds!$B$4:$C$1001,2,FALSE))</f>
        <v>Included in base game</v>
      </c>
    </row>
    <row r="636" spans="1:5" x14ac:dyDescent="0.25">
      <c r="A636" s="1">
        <v>728</v>
      </c>
      <c r="B636" s="9" t="str">
        <f>VLOOKUP(A636,'Sets (lua data)'!$A$3:$C$9838,3,FALSE)</f>
        <v>Wrathsun</v>
      </c>
      <c r="C636" s="9" t="str">
        <f>VLOOKUP(A636,'Sets (lua data)'!$A$3:$C$9838,2,FALSE)</f>
        <v>Wutsonne</v>
      </c>
      <c r="D636" t="s">
        <v>7</v>
      </c>
      <c r="E636" s="3" t="str">
        <f>IF(ISNA(VLOOKUP(D636,ConstDLCIds!$B$4:$C$1001,2,FALSE)),"",VLOOKUP(D636,ConstDLCIds!$B$4:$C$1001,2,FALSE))</f>
        <v>Included in base game</v>
      </c>
    </row>
    <row r="637" spans="1:5" x14ac:dyDescent="0.25">
      <c r="A637" s="1">
        <v>729</v>
      </c>
      <c r="B637" s="9" t="str">
        <f>VLOOKUP(A637,'Sets (lua data)'!$A$3:$C$9838,3,FALSE)</f>
        <v>Gardener of Seasons</v>
      </c>
      <c r="C637" s="9" t="str">
        <f>VLOOKUP(A637,'Sets (lua data)'!$A$3:$C$9838,2,FALSE)</f>
        <v>Gärtner der Jahreszeiten</v>
      </c>
      <c r="D637" t="s">
        <v>7</v>
      </c>
      <c r="E637" s="3" t="str">
        <f>IF(ISNA(VLOOKUP(D637,ConstDLCIds!$B$4:$C$1001,2,FALSE)),"",VLOOKUP(D637,ConstDLCIds!$B$4:$C$1001,2,FALSE))</f>
        <v>Included in base game</v>
      </c>
    </row>
    <row r="638" spans="1:5" x14ac:dyDescent="0.25">
      <c r="A638" s="1">
        <v>730</v>
      </c>
      <c r="B638" s="9" t="str">
        <f>VLOOKUP(A638,'Sets (lua data)'!$A$3:$C$9838,3,FALSE)</f>
        <v>Cinders of Anthelmir</v>
      </c>
      <c r="C638" s="9" t="str">
        <f>VLOOKUP(A638,'Sets (lua data)'!$A$3:$C$9838,2,FALSE)</f>
        <v>Cinders of Anthelmir</v>
      </c>
      <c r="D638" t="s">
        <v>104</v>
      </c>
      <c r="E638" s="3" t="str">
        <f>IF(ISNA(VLOOKUP(D638,ConstDLCIds!$B$4:$C$1001,2,FALSE)),"",VLOOKUP(D638,ConstDLCIds!$B$4:$C$1001,2,FALSE))</f>
        <v>Scions of Ithelia</v>
      </c>
    </row>
    <row r="639" spans="1:5" x14ac:dyDescent="0.25">
      <c r="A639" s="1">
        <v>731</v>
      </c>
      <c r="B639" s="9" t="str">
        <f>VLOOKUP(A639,'Sets (lua data)'!$A$3:$C$9838,3,FALSE)</f>
        <v>Sluthrug\'s Hunger</v>
      </c>
      <c r="C639" s="9" t="str">
        <f>VLOOKUP(A639,'Sets (lua data)'!$A$3:$C$9838,2,FALSE)</f>
        <v>Sluthrug\'s Hunger</v>
      </c>
      <c r="D639" t="s">
        <v>104</v>
      </c>
      <c r="E639" s="3" t="str">
        <f>IF(ISNA(VLOOKUP(D639,ConstDLCIds!$B$4:$C$1001,2,FALSE)),"",VLOOKUP(D639,ConstDLCIds!$B$4:$C$1001,2,FALSE))</f>
        <v>Scions of Ithelia</v>
      </c>
    </row>
    <row r="640" spans="1:5" x14ac:dyDescent="0.25">
      <c r="A640" s="1">
        <v>732</v>
      </c>
      <c r="B640" s="9" t="str">
        <f>VLOOKUP(A640,'Sets (lua data)'!$A$3:$C$9838,3,FALSE)</f>
        <v>Black-Grove Grounding</v>
      </c>
      <c r="C640" s="9" t="str">
        <f>VLOOKUP(A640,'Sets (lua data)'!$A$3:$C$9838,2,FALSE)</f>
        <v>Black-Grove Grounding</v>
      </c>
      <c r="D640" t="s">
        <v>104</v>
      </c>
      <c r="E640" s="3" t="str">
        <f>IF(ISNA(VLOOKUP(D640,ConstDLCIds!$B$4:$C$1001,2,FALSE)),"",VLOOKUP(D640,ConstDLCIds!$B$4:$C$1001,2,FALSE))</f>
        <v>Scions of Ithelia</v>
      </c>
    </row>
    <row r="641" spans="1:5" x14ac:dyDescent="0.25">
      <c r="A641" s="1">
        <v>734</v>
      </c>
      <c r="B641" s="9" t="str">
        <f>VLOOKUP(A641,'Sets (lua data)'!$A$3:$C$9838,3,FALSE)</f>
        <v>Anthelmir\'s Construct</v>
      </c>
      <c r="C641" s="9" t="str">
        <f>VLOOKUP(A641,'Sets (lua data)'!$A$3:$C$9838,2,FALSE)</f>
        <v>Anthelmirs Konstrukt</v>
      </c>
      <c r="D641" t="s">
        <v>104</v>
      </c>
      <c r="E641" s="3" t="str">
        <f>IF(ISNA(VLOOKUP(D641,ConstDLCIds!$B$4:$C$1001,2,FALSE)),"",VLOOKUP(D641,ConstDLCIds!$B$4:$C$1001,2,FALSE))</f>
        <v>Scions of Ithelia</v>
      </c>
    </row>
    <row r="642" spans="1:5" x14ac:dyDescent="0.25">
      <c r="A642" s="1">
        <v>735</v>
      </c>
      <c r="B642" s="9" t="str">
        <f>VLOOKUP(A642,'Sets (lua data)'!$A$3:$C$9838,3,FALSE)</f>
        <v>Blind Path Induction</v>
      </c>
      <c r="C642" s="9" t="str">
        <f>VLOOKUP(A642,'Sets (lua data)'!$A$3:$C$9838,2,FALSE)</f>
        <v>Blind Path Induction</v>
      </c>
      <c r="D642" t="s">
        <v>104</v>
      </c>
      <c r="E642" s="3" t="str">
        <f>IF(ISNA(VLOOKUP(D642,ConstDLCIds!$B$4:$C$1001,2,FALSE)),"",VLOOKUP(D642,ConstDLCIds!$B$4:$C$1001,2,FALSE))</f>
        <v>Scions of Ithelia</v>
      </c>
    </row>
    <row r="643" spans="1:5" x14ac:dyDescent="0.25">
      <c r="A643" s="1">
        <v>736</v>
      </c>
      <c r="B643" s="9" t="str">
        <f>VLOOKUP(A643,'Sets (lua data)'!$A$3:$C$9838,3,FALSE)</f>
        <v>Tarnished Nightmare</v>
      </c>
      <c r="C643" s="9" t="str">
        <f>VLOOKUP(A643,'Sets (lua data)'!$A$3:$C$9838,2,FALSE)</f>
        <v>Tarnished Nightmare</v>
      </c>
      <c r="D643" t="s">
        <v>104</v>
      </c>
      <c r="E643" s="3" t="str">
        <f>IF(ISNA(VLOOKUP(D643,ConstDLCIds!$B$4:$C$1001,2,FALSE)),"",VLOOKUP(D643,ConstDLCIds!$B$4:$C$1001,2,FALSE))</f>
        <v>Scions of Ithelia</v>
      </c>
    </row>
    <row r="644" spans="1:5" x14ac:dyDescent="0.25">
      <c r="A644" s="1">
        <v>737</v>
      </c>
      <c r="B644" s="9" t="str">
        <f>VLOOKUP(A644,'Sets (lua data)'!$A$3:$C$9838,3,FALSE)</f>
        <v>Reflected Fury</v>
      </c>
      <c r="C644" s="9" t="str">
        <f>VLOOKUP(A644,'Sets (lua data)'!$A$3:$C$9838,2,FALSE)</f>
        <v>Reflected Fury</v>
      </c>
      <c r="D644" t="s">
        <v>104</v>
      </c>
      <c r="E644" s="3" t="str">
        <f>IF(ISNA(VLOOKUP(D644,ConstDLCIds!$B$4:$C$1001,2,FALSE)),"",VLOOKUP(D644,ConstDLCIds!$B$4:$C$1001,2,FALSE))</f>
        <v>Scions of Ithelia</v>
      </c>
    </row>
    <row r="645" spans="1:5" x14ac:dyDescent="0.25">
      <c r="A645" s="1">
        <v>738</v>
      </c>
      <c r="B645" s="9" t="str">
        <f>VLOOKUP(A645,'Sets (lua data)'!$A$3:$C$9838,3,FALSE)</f>
        <v>The Blind</v>
      </c>
      <c r="C645" s="9" t="str">
        <f>VLOOKUP(A645,'Sets (lua data)'!$A$3:$C$9838,2,FALSE)</f>
        <v>Der Blinde</v>
      </c>
      <c r="D645" t="s">
        <v>104</v>
      </c>
      <c r="E645" s="3" t="str">
        <f>IF(ISNA(VLOOKUP(D645,ConstDLCIds!$B$4:$C$1001,2,FALSE)),"",VLOOKUP(D645,ConstDLCIds!$B$4:$C$1001,2,FALSE))</f>
        <v>Scions of Ithelia</v>
      </c>
    </row>
    <row r="646" spans="1:5" x14ac:dyDescent="0.25">
      <c r="A646" s="1">
        <v>754</v>
      </c>
      <c r="B646" s="9" t="str">
        <f>VLOOKUP(A646,'Sets (lua data)'!$A$3:$C$9838,3,FALSE)</f>
        <v>Oakfather\'s Retribution</v>
      </c>
      <c r="C646" s="9" t="str">
        <f>VLOOKUP(A646,'Sets (lua data)'!$A$3:$C$9838,2,FALSE)</f>
        <v>Oakfather\'s Retribution</v>
      </c>
      <c r="D646" t="s">
        <v>7</v>
      </c>
      <c r="E646" s="3" t="str">
        <f>IF(ISNA(VLOOKUP(D646,ConstDLCIds!$B$4:$C$1001,2,FALSE)),"",VLOOKUP(D646,ConstDLCIds!$B$4:$C$1001,2,FALSE))</f>
        <v>Included in base game</v>
      </c>
    </row>
    <row r="647" spans="1:5" x14ac:dyDescent="0.25">
      <c r="A647" s="1">
        <v>755</v>
      </c>
      <c r="B647" s="9" t="str">
        <f>VLOOKUP(A647,'Sets (lua data)'!$A$3:$C$9838,3,FALSE)</f>
        <v>Blunted Blades</v>
      </c>
      <c r="C647" s="9" t="str">
        <f>VLOOKUP(A647,'Sets (lua data)'!$A$3:$C$9838,2,FALSE)</f>
        <v>Blunted Blades</v>
      </c>
      <c r="D647" t="s">
        <v>7</v>
      </c>
      <c r="E647" s="3" t="str">
        <f>IF(ISNA(VLOOKUP(D647,ConstDLCIds!$B$4:$C$1001,2,FALSE)),"",VLOOKUP(D647,ConstDLCIds!$B$4:$C$1001,2,FALSE))</f>
        <v>Included in base game</v>
      </c>
    </row>
    <row r="648" spans="1:5" x14ac:dyDescent="0.25">
      <c r="A648" s="1">
        <v>756</v>
      </c>
      <c r="B648" s="9" t="str">
        <f>VLOOKUP(A648,'Sets (lua data)'!$A$3:$C$9838,3,FALSE)</f>
        <v>Baan Dar\'s Blessing</v>
      </c>
      <c r="C648" s="9" t="str">
        <f>VLOOKUP(A648,'Sets (lua data)'!$A$3:$C$9838,2,FALSE)</f>
        <v>Baan Dar\'s Blessing</v>
      </c>
      <c r="D648" t="s">
        <v>7</v>
      </c>
      <c r="E648" s="3" t="str">
        <f>IF(ISNA(VLOOKUP(D648,ConstDLCIds!$B$4:$C$1001,2,FALSE)),"",VLOOKUP(D648,ConstDLCIds!$B$4:$C$1001,2,FALSE))</f>
        <v>Included in base game</v>
      </c>
    </row>
    <row r="649" spans="1:5" x14ac:dyDescent="0.25">
      <c r="A649" s="1">
        <v>757</v>
      </c>
      <c r="B649" s="9" t="str">
        <f>VLOOKUP(A649,'Sets (lua data)'!$A$3:$C$9838,3,FALSE)</f>
        <v>Symmetry of the Weald</v>
      </c>
      <c r="C649" s="9" t="str">
        <f>VLOOKUP(A649,'Sets (lua data)'!$A$3:$C$9838,2,FALSE)</f>
        <v>Symmetry of the Weald</v>
      </c>
      <c r="D649" t="s">
        <v>107</v>
      </c>
      <c r="E649" s="3" t="str">
        <f>IF(ISNA(VLOOKUP(D649,ConstDLCIds!$B$4:$C$1001,2,FALSE)),"",VLOOKUP(D649,ConstDLCIds!$B$4:$C$1001,2,FALSE))</f>
        <v>Gold Road</v>
      </c>
    </row>
    <row r="650" spans="1:5" x14ac:dyDescent="0.25">
      <c r="A650" s="1">
        <v>758</v>
      </c>
      <c r="B650" s="9" t="str">
        <f>VLOOKUP(A650,'Sets (lua data)'!$A$3:$C$9838,3,FALSE)</f>
        <v>Macabre Vintage</v>
      </c>
      <c r="C650" s="9" t="str">
        <f>VLOOKUP(A650,'Sets (lua data)'!$A$3:$C$9838,2,FALSE)</f>
        <v>Macabre Vintage</v>
      </c>
      <c r="D650" t="s">
        <v>107</v>
      </c>
      <c r="E650" s="3" t="str">
        <f>IF(ISNA(VLOOKUP(D650,ConstDLCIds!$B$4:$C$1001,2,FALSE)),"",VLOOKUP(D650,ConstDLCIds!$B$4:$C$1001,2,FALSE))</f>
        <v>Gold Road</v>
      </c>
    </row>
    <row r="651" spans="1:5" x14ac:dyDescent="0.25">
      <c r="A651" s="1">
        <v>759</v>
      </c>
      <c r="B651" s="9" t="str">
        <f>VLOOKUP(A651,'Sets (lua data)'!$A$3:$C$9838,3,FALSE)</f>
        <v>Ayleid Rufuge</v>
      </c>
      <c r="C651" s="9" t="str">
        <f>VLOOKUP(A651,'Sets (lua data)'!$A$3:$C$9838,2,FALSE)</f>
        <v>Ayleid Rufuge</v>
      </c>
      <c r="D651" t="s">
        <v>107</v>
      </c>
      <c r="E651" s="3" t="str">
        <f>IF(ISNA(VLOOKUP(D651,ConstDLCIds!$B$4:$C$1001,2,FALSE)),"",VLOOKUP(D651,ConstDLCIds!$B$4:$C$1001,2,FALSE))</f>
        <v>Gold Road</v>
      </c>
    </row>
    <row r="652" spans="1:5" x14ac:dyDescent="0.25">
      <c r="A652" s="1">
        <v>760</v>
      </c>
      <c r="B652" s="9" t="str">
        <f>VLOOKUP(A652,'Sets (lua data)'!$A$3:$C$9838,3,FALSE)</f>
        <v>Rourken Steamguards</v>
      </c>
      <c r="C652" s="9" t="str">
        <f>VLOOKUP(A652,'Sets (lua data)'!$A$3:$C$9838,2,FALSE)</f>
        <v>Rourken Steamguards</v>
      </c>
      <c r="D652" t="s">
        <v>107</v>
      </c>
      <c r="E652" s="3" t="str">
        <f>IF(ISNA(VLOOKUP(D652,ConstDLCIds!$B$4:$C$1001,2,FALSE)),"",VLOOKUP(D652,ConstDLCIds!$B$4:$C$1001,2,FALSE))</f>
        <v>Gold Road</v>
      </c>
    </row>
    <row r="653" spans="1:5" x14ac:dyDescent="0.25">
      <c r="A653" s="1">
        <v>761</v>
      </c>
      <c r="B653" s="9" t="str">
        <f>VLOOKUP(A653,'Sets (lua data)'!$A$3:$C$9838,3,FALSE)</f>
        <v>The Shadow Queen\'s Cowl</v>
      </c>
      <c r="C653" s="9" t="str">
        <f>VLOOKUP(A653,'Sets (lua data)'!$A$3:$C$9838,2,FALSE)</f>
        <v>The Shadow Queen\'s Cowl</v>
      </c>
      <c r="D653" t="s">
        <v>107</v>
      </c>
      <c r="E653" s="3" t="str">
        <f>IF(ISNA(VLOOKUP(D653,ConstDLCIds!$B$4:$C$1001,2,FALSE)),"",VLOOKUP(D653,ConstDLCIds!$B$4:$C$1001,2,FALSE))</f>
        <v>Gold Road</v>
      </c>
    </row>
    <row r="654" spans="1:5" x14ac:dyDescent="0.25">
      <c r="A654" s="1">
        <v>762</v>
      </c>
      <c r="B654" s="9" t="str">
        <f>VLOOKUP(A654,'Sets (lua data)'!$A$3:$C$9838,3,FALSE)</f>
        <v>The Saint and the Seducer</v>
      </c>
      <c r="C654" s="9" t="str">
        <f>VLOOKUP(A654,'Sets (lua data)'!$A$3:$C$9838,2,FALSE)</f>
        <v>The Saint and the Seducer</v>
      </c>
      <c r="D654" t="s">
        <v>107</v>
      </c>
      <c r="E654" s="3" t="str">
        <f>IF(ISNA(VLOOKUP(D654,ConstDLCIds!$B$4:$C$1001,2,FALSE)),"",VLOOKUP(D654,ConstDLCIds!$B$4:$C$1001,2,FALSE))</f>
        <v>Gold Road</v>
      </c>
    </row>
    <row r="655" spans="1:5" x14ac:dyDescent="0.25">
      <c r="A655" s="1">
        <v>763</v>
      </c>
      <c r="B655" s="9" t="str">
        <f>VLOOKUP(A655,'Sets (lua data)'!$A$3:$C$9838,3,FALSE)</f>
        <v>Tharriker\'s Strike</v>
      </c>
      <c r="C655" s="9" t="str">
        <f>VLOOKUP(A655,'Sets (lua data)'!$A$3:$C$9838,2,FALSE)</f>
        <v>Tharriker\'s Strike</v>
      </c>
      <c r="D655" t="s">
        <v>107</v>
      </c>
      <c r="E655" s="3" t="str">
        <f>IF(ISNA(VLOOKUP(D655,ConstDLCIds!$B$4:$C$1001,2,FALSE)),"",VLOOKUP(D655,ConstDLCIds!$B$4:$C$1001,2,FALSE))</f>
        <v>Gold Road</v>
      </c>
    </row>
    <row r="656" spans="1:5" x14ac:dyDescent="0.25">
      <c r="A656" s="1">
        <v>764</v>
      </c>
      <c r="B656" s="9" t="str">
        <f>VLOOKUP(A656,'Sets (lua data)'!$A$3:$C$9838,3,FALSE)</f>
        <v>Highland Sentinel</v>
      </c>
      <c r="C656" s="9" t="str">
        <f>VLOOKUP(A656,'Sets (lua data)'!$A$3:$C$9838,2,FALSE)</f>
        <v>Highland Sentinel</v>
      </c>
      <c r="D656" t="s">
        <v>107</v>
      </c>
      <c r="E656" s="3" t="str">
        <f>IF(ISNA(VLOOKUP(D656,ConstDLCIds!$B$4:$C$1001,2,FALSE)),"",VLOOKUP(D656,ConstDLCIds!$B$4:$C$1001,2,FALSE))</f>
        <v>Gold Road</v>
      </c>
    </row>
    <row r="657" spans="1:5" x14ac:dyDescent="0.25">
      <c r="A657" s="1">
        <v>765</v>
      </c>
      <c r="B657" s="9" t="str">
        <f>VLOOKUP(A657,'Sets (lua data)'!$A$3:$C$9838,3,FALSE)</f>
        <v>Threads of War</v>
      </c>
      <c r="C657" s="9" t="str">
        <f>VLOOKUP(A657,'Sets (lua data)'!$A$3:$C$9838,2,FALSE)</f>
        <v>Threads of War</v>
      </c>
      <c r="D657" t="s">
        <v>107</v>
      </c>
      <c r="E657" s="3" t="str">
        <f>IF(ISNA(VLOOKUP(D657,ConstDLCIds!$B$4:$C$1001,2,FALSE)),"",VLOOKUP(D657,ConstDLCIds!$B$4:$C$1001,2,FALSE))</f>
        <v>Gold Road</v>
      </c>
    </row>
    <row r="658" spans="1:5" x14ac:dyDescent="0.25">
      <c r="A658" s="1">
        <v>766</v>
      </c>
      <c r="B658" s="9" t="str">
        <f>VLOOKUP(A658,'Sets (lua data)'!$A$3:$C$9838,3,FALSE)</f>
        <v>Mora Scribe\'s Thesis</v>
      </c>
      <c r="C658" s="9" t="str">
        <f>VLOOKUP(A658,'Sets (lua data)'!$A$3:$C$9838,2,FALSE)</f>
        <v>Mora Scribe\'s Thesis</v>
      </c>
      <c r="D658" t="s">
        <v>107</v>
      </c>
      <c r="E658" s="3" t="str">
        <f>IF(ISNA(VLOOKUP(D658,ConstDLCIds!$B$4:$C$1001,2,FALSE)),"",VLOOKUP(D658,ConstDLCIds!$B$4:$C$1001,2,FALSE))</f>
        <v>Gold Road</v>
      </c>
    </row>
    <row r="659" spans="1:5" x14ac:dyDescent="0.25">
      <c r="A659" s="1">
        <v>767</v>
      </c>
      <c r="B659" s="9" t="str">
        <f>VLOOKUP(A659,'Sets (lua data)'!$A$3:$C$9838,3,FALSE)</f>
        <v>Slivers of the Null Arca</v>
      </c>
      <c r="C659" s="9" t="str">
        <f>VLOOKUP(A659,'Sets (lua data)'!$A$3:$C$9838,2,FALSE)</f>
        <v>Slivers of the Null Arca</v>
      </c>
      <c r="D659" t="s">
        <v>107</v>
      </c>
      <c r="E659" s="3" t="str">
        <f>IF(ISNA(VLOOKUP(D659,ConstDLCIds!$B$4:$C$1001,2,FALSE)),"",VLOOKUP(D659,ConstDLCIds!$B$4:$C$1001,2,FALSE))</f>
        <v>Gold Road</v>
      </c>
    </row>
    <row r="660" spans="1:5" x14ac:dyDescent="0.25">
      <c r="A660" s="1">
        <v>768</v>
      </c>
      <c r="B660" s="9" t="str">
        <f>VLOOKUP(A660,'Sets (lua data)'!$A$3:$C$9838,3,FALSE)</f>
        <v>Lucent Echoes</v>
      </c>
      <c r="C660" s="9" t="str">
        <f>VLOOKUP(A660,'Sets (lua data)'!$A$3:$C$9838,2,FALSE)</f>
        <v>Lucent Echoes</v>
      </c>
      <c r="D660" t="s">
        <v>107</v>
      </c>
      <c r="E660" s="3" t="str">
        <f>IF(ISNA(VLOOKUP(D660,ConstDLCIds!$B$4:$C$1001,2,FALSE)),"",VLOOKUP(D660,ConstDLCIds!$B$4:$C$1001,2,FALSE))</f>
        <v>Gold Road</v>
      </c>
    </row>
    <row r="661" spans="1:5" x14ac:dyDescent="0.25">
      <c r="A661" s="1">
        <v>769</v>
      </c>
      <c r="B661" s="9" t="str">
        <f>VLOOKUP(A661,'Sets (lua data)'!$A$3:$C$9838,3,FALSE)</f>
        <v>Xoryn\'s Masterpiece</v>
      </c>
      <c r="C661" s="9" t="str">
        <f>VLOOKUP(A661,'Sets (lua data)'!$A$3:$C$9838,2,FALSE)</f>
        <v>Xoryn\'s Masterpiece</v>
      </c>
      <c r="D661" t="s">
        <v>107</v>
      </c>
      <c r="E661" s="3" t="str">
        <f>IF(ISNA(VLOOKUP(D661,ConstDLCIds!$B$4:$C$1001,2,FALSE)),"",VLOOKUP(D661,ConstDLCIds!$B$4:$C$1001,2,FALSE))</f>
        <v>Gold Road</v>
      </c>
    </row>
    <row r="662" spans="1:5" x14ac:dyDescent="0.25">
      <c r="A662" s="1">
        <v>770</v>
      </c>
      <c r="B662" s="9" t="str">
        <f>VLOOKUP(A662,'Sets (lua data)'!$A$3:$C$9838,3,FALSE)</f>
        <v>Perfected Xoryn\'s Masterpiece</v>
      </c>
      <c r="C662" s="9" t="str">
        <f>VLOOKUP(A662,'Sets (lua data)'!$A$3:$C$9838,2,FALSE)</f>
        <v>Perfected Xoryn\'s Masterpiece</v>
      </c>
      <c r="D662" t="s">
        <v>107</v>
      </c>
      <c r="E662" s="3" t="str">
        <f>IF(ISNA(VLOOKUP(D662,ConstDLCIds!$B$4:$C$1001,2,FALSE)),"",VLOOKUP(D662,ConstDLCIds!$B$4:$C$1001,2,FALSE))</f>
        <v>Gold Road</v>
      </c>
    </row>
    <row r="663" spans="1:5" x14ac:dyDescent="0.25">
      <c r="A663" s="1">
        <v>771</v>
      </c>
      <c r="B663" s="9" t="str">
        <f>VLOOKUP(A663,'Sets (lua data)'!$A$3:$C$9838,3,FALSE)</f>
        <v>Perfected Lucent Echoes</v>
      </c>
      <c r="C663" s="9" t="str">
        <f>VLOOKUP(A663,'Sets (lua data)'!$A$3:$C$9838,2,FALSE)</f>
        <v>Perfected Lucent Echoes</v>
      </c>
      <c r="D663" t="s">
        <v>107</v>
      </c>
      <c r="E663" s="3" t="str">
        <f>IF(ISNA(VLOOKUP(D663,ConstDLCIds!$B$4:$C$1001,2,FALSE)),"",VLOOKUP(D663,ConstDLCIds!$B$4:$C$1001,2,FALSE))</f>
        <v>Gold Road</v>
      </c>
    </row>
    <row r="664" spans="1:5" x14ac:dyDescent="0.25">
      <c r="A664" s="1">
        <v>772</v>
      </c>
      <c r="B664" s="9" t="str">
        <f>VLOOKUP(A664,'Sets (lua data)'!$A$3:$C$9838,3,FALSE)</f>
        <v>Perfected Slivers of the Null Arca</v>
      </c>
      <c r="C664" s="9" t="str">
        <f>VLOOKUP(A664,'Sets (lua data)'!$A$3:$C$9838,2,FALSE)</f>
        <v>Perfected Slivers of the Null Arca</v>
      </c>
      <c r="D664" t="s">
        <v>107</v>
      </c>
      <c r="E664" s="3" t="str">
        <f>IF(ISNA(VLOOKUP(D664,ConstDLCIds!$B$4:$C$1001,2,FALSE)),"",VLOOKUP(D664,ConstDLCIds!$B$4:$C$1001,2,FALSE))</f>
        <v>Gold Road</v>
      </c>
    </row>
    <row r="665" spans="1:5" x14ac:dyDescent="0.25">
      <c r="A665" s="1">
        <v>773</v>
      </c>
      <c r="B665" s="9" t="str">
        <f>VLOOKUP(A665,'Sets (lua data)'!$A$3:$C$9838,3,FALSE)</f>
        <v>Perfected Mora Scribe\'s Thesis</v>
      </c>
      <c r="C665" s="9" t="str">
        <f>VLOOKUP(A665,'Sets (lua data)'!$A$3:$C$9838,2,FALSE)</f>
        <v>Perfected Mora Scribe\'s Thesis</v>
      </c>
      <c r="D665" t="s">
        <v>107</v>
      </c>
      <c r="E665" s="3" t="str">
        <f>IF(ISNA(VLOOKUP(D665,ConstDLCIds!$B$4:$C$1001,2,FALSE)),"",VLOOKUP(D665,ConstDLCIds!$B$4:$C$1001,2,FALSE))</f>
        <v>Gold Road</v>
      </c>
    </row>
    <row r="666" spans="1:5" x14ac:dyDescent="0.25">
      <c r="A666" s="1">
        <v>775</v>
      </c>
      <c r="B666" s="9" t="str">
        <f>VLOOKUP(A666,'Sets (lua data)'!$A$3:$C$9838,3,FALSE)</f>
        <v>Spattering Disjunction</v>
      </c>
      <c r="C666" s="9" t="str">
        <f>VLOOKUP(A666,'Sets (lua data)'!$A$3:$C$9838,2,FALSE)</f>
        <v>Spattering Disjunction</v>
      </c>
      <c r="D666" t="s">
        <v>7</v>
      </c>
      <c r="E666" s="3" t="str">
        <f>IF(ISNA(VLOOKUP(D666,ConstDLCIds!$B$4:$C$1001,2,FALSE)),"",VLOOKUP(D666,ConstDLCIds!$B$4:$C$1001,2,FALSE))</f>
        <v>Included in base game</v>
      </c>
    </row>
    <row r="667" spans="1:5" x14ac:dyDescent="0.25">
      <c r="A667" s="1">
        <v>776</v>
      </c>
      <c r="B667" s="9" t="str">
        <f>VLOOKUP(A667,'Sets (lua data)'!$A$3:$C$9838,3,FALSE)</f>
        <v>Pyrebrand</v>
      </c>
      <c r="C667" s="9" t="str">
        <f>VLOOKUP(A667,'Sets (lua data)'!$A$3:$C$9838,2,FALSE)</f>
        <v>Pyrebrand</v>
      </c>
      <c r="D667" t="s">
        <v>7</v>
      </c>
      <c r="E667" s="3" t="str">
        <f>IF(ISNA(VLOOKUP(D667,ConstDLCIds!$B$4:$C$1001,2,FALSE)),"",VLOOKUP(D667,ConstDLCIds!$B$4:$C$1001,2,FALSE))</f>
        <v>Included in base game</v>
      </c>
    </row>
    <row r="668" spans="1:5" x14ac:dyDescent="0.25">
      <c r="A668" s="1">
        <v>777</v>
      </c>
      <c r="B668" s="9" t="str">
        <f>VLOOKUP(A668,'Sets (lua data)'!$A$3:$C$9838,3,FALSE)</f>
        <v>Corpseburster</v>
      </c>
      <c r="C668" s="9" t="str">
        <f>VLOOKUP(A668,'Sets (lua data)'!$A$3:$C$9838,2,FALSE)</f>
        <v>Corpseburster</v>
      </c>
      <c r="D668" t="s">
        <v>7</v>
      </c>
      <c r="E668" s="3" t="str">
        <f>IF(ISNA(VLOOKUP(D668,ConstDLCIds!$B$4:$C$1001,2,FALSE)),"",VLOOKUP(D668,ConstDLCIds!$B$4:$C$1001,2,FALSE))</f>
        <v>Included in base game</v>
      </c>
    </row>
    <row r="669" spans="1:5" x14ac:dyDescent="0.25">
      <c r="A669" s="1">
        <v>778</v>
      </c>
      <c r="B669" s="9" t="str">
        <f>VLOOKUP(A669,'Sets (lua data)'!$A$3:$C$9838,3,FALSE)</f>
        <v>Umbral Edge</v>
      </c>
      <c r="C669" s="9" t="str">
        <f>VLOOKUP(A669,'Sets (lua data)'!$A$3:$C$9838,2,FALSE)</f>
        <v>Umbral Edge</v>
      </c>
      <c r="D669" t="s">
        <v>7</v>
      </c>
      <c r="E669" s="3" t="str">
        <f>IF(ISNA(VLOOKUP(D669,ConstDLCIds!$B$4:$C$1001,2,FALSE)),"",VLOOKUP(D669,ConstDLCIds!$B$4:$C$1001,2,FALSE))</f>
        <v>Included in base game</v>
      </c>
    </row>
    <row r="670" spans="1:5" x14ac:dyDescent="0.25">
      <c r="A670" s="1">
        <v>779</v>
      </c>
      <c r="B670" s="9" t="str">
        <f>VLOOKUP(A670,'Sets (lua data)'!$A$3:$C$9838,3,FALSE)</f>
        <v>Beacon of Oblivion</v>
      </c>
      <c r="C670" s="9" t="str">
        <f>VLOOKUP(A670,'Sets (lua data)'!$A$3:$C$9838,2,FALSE)</f>
        <v>Beacon of Oblivion</v>
      </c>
      <c r="D670" t="s">
        <v>7</v>
      </c>
      <c r="E670" s="3" t="str">
        <f>IF(ISNA(VLOOKUP(D670,ConstDLCIds!$B$4:$C$1001,2,FALSE)),"",VLOOKUP(D670,ConstDLCIds!$B$4:$C$1001,2,FALSE))</f>
        <v>Included in base game</v>
      </c>
    </row>
    <row r="671" spans="1:5" x14ac:dyDescent="0.25">
      <c r="A671" s="1">
        <v>780</v>
      </c>
      <c r="B671" s="9" t="str">
        <f>VLOOKUP(A671,'Sets (lua data)'!$A$3:$C$9838,3,FALSE)</f>
        <v>Aetheric Lance</v>
      </c>
      <c r="C671" s="9" t="str">
        <f>VLOOKUP(A671,'Sets (lua data)'!$A$3:$C$9838,2,FALSE)</f>
        <v>Aetheric Lance</v>
      </c>
      <c r="D671" t="s">
        <v>7</v>
      </c>
      <c r="E671" s="3" t="str">
        <f>IF(ISNA(VLOOKUP(D671,ConstDLCIds!$B$4:$C$1001,2,FALSE)),"",VLOOKUP(D671,ConstDLCIds!$B$4:$C$1001,2,FALSE))</f>
        <v>Included in base game</v>
      </c>
    </row>
    <row r="672" spans="1:5" x14ac:dyDescent="0.25">
      <c r="A672" s="1">
        <v>781</v>
      </c>
      <c r="B672" s="9" t="str">
        <f>VLOOKUP(A672,'Sets (lua data)'!$A$3:$C$9838,3,FALSE)</f>
        <v>Aerie\'s Cry</v>
      </c>
      <c r="C672" s="9" t="str">
        <f>VLOOKUP(A672,'Sets (lua data)'!$A$3:$C$9838,2,FALSE)</f>
        <v>Aerie\'s Cry</v>
      </c>
      <c r="D672" t="s">
        <v>7</v>
      </c>
      <c r="E672" s="3" t="str">
        <f>IF(ISNA(VLOOKUP(D672,ConstDLCIds!$B$4:$C$1001,2,FALSE)),"",VLOOKUP(D672,ConstDLCIds!$B$4:$C$1001,2,FALSE))</f>
        <v>Included in base game</v>
      </c>
    </row>
    <row r="673" spans="1:5" x14ac:dyDescent="0.25">
      <c r="A673" s="1">
        <v>782</v>
      </c>
      <c r="B673" s="9" t="str">
        <f>VLOOKUP(A673,'Sets (lua data)'!$A$3:$C$9838,3,FALSE)</f>
        <v>Tracker\'s Lash</v>
      </c>
      <c r="C673" s="9" t="str">
        <f>VLOOKUP(A673,'Sets (lua data)'!$A$3:$C$9838,2,FALSE)</f>
        <v>Tracker\'s Lash</v>
      </c>
      <c r="D673" t="s">
        <v>7</v>
      </c>
      <c r="E673" s="3" t="str">
        <f>IF(ISNA(VLOOKUP(D673,ConstDLCIds!$B$4:$C$1001,2,FALSE)),"",VLOOKUP(D673,ConstDLCIds!$B$4:$C$1001,2,FALSE))</f>
        <v>Included in base game</v>
      </c>
    </row>
    <row r="674" spans="1:5" x14ac:dyDescent="0.25">
      <c r="A674" s="1">
        <v>783</v>
      </c>
      <c r="B674" s="9" t="str">
        <f>VLOOKUP(A674,'Sets (lua data)'!$A$3:$C$9838,3,FALSE)</f>
        <v>Shared Pain</v>
      </c>
      <c r="C674" s="9" t="str">
        <f>VLOOKUP(A674,'Sets (lua data)'!$A$3:$C$9838,2,FALSE)</f>
        <v>Shared Pain</v>
      </c>
      <c r="D674" t="s">
        <v>7</v>
      </c>
      <c r="E674" s="3" t="str">
        <f>IF(ISNA(VLOOKUP(D674,ConstDLCIds!$B$4:$C$1001,2,FALSE)),"",VLOOKUP(D674,ConstDLCIds!$B$4:$C$1001,2,FALSE))</f>
        <v>Included in base game</v>
      </c>
    </row>
    <row r="675" spans="1:5" x14ac:dyDescent="0.25">
      <c r="A675" s="1">
        <v>784</v>
      </c>
      <c r="B675" s="9" t="str">
        <f>VLOOKUP(A675,'Sets (lua data)'!$A$3:$C$9838,3,FALSE)</f>
        <v>Siegemaster'\s Focus</v>
      </c>
      <c r="C675" s="9" t="str">
        <f>VLOOKUP(A675,'Sets (lua data)'!$A$3:$C$9838,2,FALSE)</f>
        <v>Siegemaster'\s Focus</v>
      </c>
      <c r="D675" t="s">
        <v>7</v>
      </c>
      <c r="E675" s="3" t="str">
        <f>IF(ISNA(VLOOKUP(D675,ConstDLCIds!$B$4:$C$1001,2,FALSE)),"",VLOOKUP(D675,ConstDLCIds!$B$4:$C$1001,2,FALSE))</f>
        <v>Included in base game</v>
      </c>
    </row>
    <row r="676" spans="1:5" x14ac:dyDescent="0.25">
      <c r="A676" s="1">
        <v>791</v>
      </c>
      <c r="B676" s="9" t="str">
        <f>VLOOKUP(A676,'Sets (lua data)'!$A$3:$C$9838,3,FALSE)</f>
        <v>Bulwark Ruination</v>
      </c>
      <c r="C676" s="9" t="str">
        <f>VLOOKUP(A676,'Sets (lua data)'!$A$3:$C$9838,2,FALSE)</f>
        <v>Bulwark Ruination</v>
      </c>
      <c r="D676" t="s">
        <v>7</v>
      </c>
      <c r="E676" s="3" t="str">
        <f>IF(ISNA(VLOOKUP(D676,ConstDLCIds!$B$4:$C$1001,2,FALSE)),"",VLOOKUP(D676,ConstDLCIds!$B$4:$C$1001,2,FALSE))</f>
        <v>Included in base game</v>
      </c>
    </row>
    <row r="677" spans="1:5" x14ac:dyDescent="0.25">
      <c r="A677" s="1">
        <v>792</v>
      </c>
      <c r="B677" s="9" t="str">
        <f>VLOOKUP(A677,'Sets (lua data)'!$A$3:$C$9838,3,FALSE)</f>
        <v>Farstrider</v>
      </c>
      <c r="C677" s="9" t="str">
        <f>VLOOKUP(A677,'Sets (lua data)'!$A$3:$C$9838,2,FALSE)</f>
        <v>Farstrider</v>
      </c>
      <c r="D677" t="s">
        <v>7</v>
      </c>
      <c r="E677" s="3" t="str">
        <f>IF(ISNA(VLOOKUP(D677,ConstDLCIds!$B$4:$C$1001,2,FALSE)),"",VLOOKUP(D677,ConstDLCIds!$B$4:$C$1001,2,FALSE))</f>
        <v>Included in base game</v>
      </c>
    </row>
    <row r="678" spans="1:5" x14ac:dyDescent="0.25">
      <c r="A678" s="1">
        <v>793</v>
      </c>
      <c r="B678" s="9" t="str">
        <f>VLOOKUP(A678,'Sets (lua data)'!$A$3:$C$9838,3,FALSE)</f>
        <v>Netch Oil</v>
      </c>
      <c r="C678" s="9" t="str">
        <f>VLOOKUP(A678,'Sets (lua data)'!$A$3:$C$9838,2,FALSE)</f>
        <v>Netch Oil</v>
      </c>
      <c r="D678" t="s">
        <v>7</v>
      </c>
      <c r="E678" s="3" t="str">
        <f>IF(ISNA(VLOOKUP(D678,ConstDLCIds!$B$4:$C$1001,2,FALSE)),"",VLOOKUP(D678,ConstDLCIds!$B$4:$C$1001,2,FALSE))</f>
        <v>Included in base game</v>
      </c>
    </row>
    <row r="679" spans="1:5" x14ac:dyDescent="0.25">
      <c r="A679" s="1">
        <v>794</v>
      </c>
      <c r="B679" s="9" t="str">
        <f>VLOOKUP(A679,'Sets (lua data)'!$A$3:$C$9838,3,FALSE)</f>
        <v>Vandorallen\'s Resonance</v>
      </c>
      <c r="C679" s="9" t="str">
        <f>VLOOKUP(A679,'Sets (lua data)'!$A$3:$C$9838,2,FALSE)</f>
        <v>Vandorallen\'s Resonance</v>
      </c>
      <c r="D679" t="s">
        <v>114</v>
      </c>
      <c r="E679" s="3" t="str">
        <f>IF(ISNA(VLOOKUP(D679,ConstDLCIds!$B$4:$C$1001,2,FALSE)),"",VLOOKUP(D679,ConstDLCIds!$B$4:$C$1001,2,FALSE))</f>
        <v>Fallen Banners</v>
      </c>
    </row>
    <row r="680" spans="1:5" x14ac:dyDescent="0.25">
      <c r="A680" s="1">
        <v>795</v>
      </c>
      <c r="B680" s="9" t="str">
        <f>VLOOKUP(A680,'Sets (lua data)'!$A$3:$C$9838,3,FALSE)</f>
        <v>Jerensi\'s Bladestorm</v>
      </c>
      <c r="C680" s="9" t="str">
        <f>VLOOKUP(A680,'Sets (lua data)'!$A$3:$C$9838,2,FALSE)</f>
        <v>Jerensi\'s Bladestorm</v>
      </c>
      <c r="D680" t="s">
        <v>114</v>
      </c>
      <c r="E680" s="3" t="str">
        <f>IF(ISNA(VLOOKUP(D680,ConstDLCIds!$B$4:$C$1001,2,FALSE)),"",VLOOKUP(D680,ConstDLCIds!$B$4:$C$1001,2,FALSE))</f>
        <v>Fallen Banners</v>
      </c>
    </row>
    <row r="681" spans="1:5" x14ac:dyDescent="0.25">
      <c r="A681" s="1">
        <v>796</v>
      </c>
      <c r="B681" s="9" t="str">
        <f>VLOOKUP(A681,'Sets (lua data)'!$A$3:$C$9838,3,FALSE)</f>
        <v>Lucilla\'s Windshield</v>
      </c>
      <c r="C681" s="9" t="str">
        <f>VLOOKUP(A681,'Sets (lua data)'!$A$3:$C$9838,2,FALSE)</f>
        <v>Lucilla\'s Windshield</v>
      </c>
      <c r="D681" t="s">
        <v>114</v>
      </c>
      <c r="E681" s="3" t="str">
        <f>IF(ISNA(VLOOKUP(D681,ConstDLCIds!$B$4:$C$1001,2,FALSE)),"",VLOOKUP(D681,ConstDLCIds!$B$4:$C$1001,2,FALSE))</f>
        <v>Fallen Banners</v>
      </c>
    </row>
    <row r="682" spans="1:5" x14ac:dyDescent="0.25">
      <c r="A682" s="1">
        <v>797</v>
      </c>
      <c r="B682" s="9" t="str">
        <f>VLOOKUP(A682,'Sets (lua data)'!$A$3:$C$9838,3,FALSE)</f>
        <v>Squall of Retribution</v>
      </c>
      <c r="C682" s="9" t="str">
        <f>VLOOKUP(A682,'Sets (lua data)'!$A$3:$C$9838,2,FALSE)</f>
        <v>Squall of Retribution</v>
      </c>
      <c r="D682" t="s">
        <v>114</v>
      </c>
      <c r="E682" s="3" t="str">
        <f>IF(ISNA(VLOOKUP(D682,ConstDLCIds!$B$4:$C$1001,2,FALSE)),"",VLOOKUP(D682,ConstDLCIds!$B$4:$C$1001,2,FALSE))</f>
        <v>Fallen Banners</v>
      </c>
    </row>
    <row r="683" spans="1:5" x14ac:dyDescent="0.25">
      <c r="A683" s="1">
        <v>798</v>
      </c>
      <c r="B683" s="9" t="str">
        <f>VLOOKUP(A683,'Sets (lua data)'!$A$3:$C$9838,3,FALSE)</f>
        <v>Heroic Unity</v>
      </c>
      <c r="C683" s="9" t="str">
        <f>VLOOKUP(A683,'Sets (lua data)'!$A$3:$C$9838,2,FALSE)</f>
        <v>Heroic Unity</v>
      </c>
      <c r="D683" t="s">
        <v>114</v>
      </c>
      <c r="E683" s="3" t="str">
        <f>IF(ISNA(VLOOKUP(D683,ConstDLCIds!$B$4:$C$1001,2,FALSE)),"",VLOOKUP(D683,ConstDLCIds!$B$4:$C$1001,2,FALSE))</f>
        <v>Fallen Banners</v>
      </c>
    </row>
    <row r="684" spans="1:5" x14ac:dyDescent="0.25">
      <c r="A684" s="1">
        <v>799</v>
      </c>
      <c r="B684" s="9" t="str">
        <f>VLOOKUP(A684,'Sets (lua data)'!$A$3:$C$9838,3,FALSE)</f>
        <v>Fledgling\'s Nest</v>
      </c>
      <c r="C684" s="9" t="str">
        <f>VLOOKUP(A684,'Sets (lua data)'!$A$3:$C$9838,2,FALSE)</f>
        <v>Fledgling\'s Nest</v>
      </c>
      <c r="D684" t="s">
        <v>114</v>
      </c>
      <c r="E684" s="3" t="str">
        <f>IF(ISNA(VLOOKUP(D684,ConstDLCIds!$B$4:$C$1001,2,FALSE)),"",VLOOKUP(D684,ConstDLCIds!$B$4:$C$1001,2,FALSE))</f>
        <v>Fallen Banners</v>
      </c>
    </row>
    <row r="685" spans="1:5" x14ac:dyDescent="0.25">
      <c r="A685" s="1">
        <v>800</v>
      </c>
      <c r="B685" s="9" t="str">
        <f>VLOOKUP(A685,'Sets (lua data)'!$A$3:$C$9838,3,FALSE)</f>
        <v>Noxious Boulder</v>
      </c>
      <c r="C685" s="9" t="str">
        <f>VLOOKUP(A685,'Sets (lua data)'!$A$3:$C$9838,2,FALSE)</f>
        <v>Noxious Boulder</v>
      </c>
      <c r="D685" t="s">
        <v>114</v>
      </c>
      <c r="E685" s="3" t="str">
        <f>IF(ISNA(VLOOKUP(D685,ConstDLCIds!$B$4:$C$1001,2,FALSE)),"",VLOOKUP(D685,ConstDLCIds!$B$4:$C$1001,2,FALSE))</f>
        <v>Fallen Banners</v>
      </c>
    </row>
    <row r="686" spans="1:5" x14ac:dyDescent="0.25">
      <c r="A686" s="1">
        <v>801</v>
      </c>
      <c r="B686" s="9" t="str">
        <f>VLOOKUP(A686,'Sets (lua data)'!$A$3:$C$9838,3,FALSE)</f>
        <v>Orpheon the Tactician</v>
      </c>
      <c r="C686" s="9" t="str">
        <f>VLOOKUP(A686,'Sets (lua data)'!$A$3:$C$9838,2,FALSE)</f>
        <v>Orpheon the Tactician</v>
      </c>
      <c r="D686" t="s">
        <v>114</v>
      </c>
      <c r="E686" s="3" t="str">
        <f>IF(ISNA(VLOOKUP(D686,ConstDLCIds!$B$4:$C$1001,2,FALSE)),"",VLOOKUP(D686,ConstDLCIds!$B$4:$C$1001,2,FALSE))</f>
        <v>Fallen Banners</v>
      </c>
    </row>
    <row r="687" spans="1:5" x14ac:dyDescent="0.25">
      <c r="A687" s="1">
        <v>802</v>
      </c>
      <c r="B687" s="9" t="str">
        <f>VLOOKUP(A687,'Sets (lua data)'!$A$3:$C$9838,3,FALSE)</f>
        <v>Arkay\'s Charity</v>
      </c>
      <c r="C687" s="9" t="str">
        <f>VLOOKUP(A687,'Sets (lua data)'!$A$3:$C$9838,2,FALSE)</f>
        <v>Arkay\'s Charity</v>
      </c>
      <c r="D687" t="s">
        <v>7</v>
      </c>
      <c r="E687" s="3" t="str">
        <f>IF(ISNA(VLOOKUP(D687,ConstDLCIds!$B$4:$C$1001,2,FALSE)),"",VLOOKUP(D687,ConstDLCIds!$B$4:$C$1001,2,FALSE))</f>
        <v>Included in base game</v>
      </c>
    </row>
    <row r="688" spans="1:5" x14ac:dyDescent="0.25">
      <c r="A688" s="1">
        <v>803</v>
      </c>
      <c r="B688" s="9" t="str">
        <f>VLOOKUP(A688,'Sets (lua data)'!$A$3:$C$9838,3,FALSE)</f>
        <v xml:space="preserve">Lamp Knight\'s Art </v>
      </c>
      <c r="C688" s="9" t="str">
        <f>VLOOKUP(A688,'Sets (lua data)'!$A$3:$C$9838,2,FALSE)</f>
        <v xml:space="preserve">Lamp Knight\'s Art </v>
      </c>
      <c r="D688" t="s">
        <v>7</v>
      </c>
      <c r="E688" s="3" t="str">
        <f>IF(ISNA(VLOOKUP(D688,ConstDLCIds!$B$4:$C$1001,2,FALSE)),"",VLOOKUP(D688,ConstDLCIds!$B$4:$C$1001,2,FALSE))</f>
        <v>Included in base game</v>
      </c>
    </row>
    <row r="689" spans="1:5" x14ac:dyDescent="0.25">
      <c r="A689" s="1">
        <v>804</v>
      </c>
      <c r="B689" s="9" t="str">
        <f>VLOOKUP(A689,'Sets (lua data)'!$A$3:$C$9838,3,FALSE)</f>
        <v>Blackfeather Flight</v>
      </c>
      <c r="C689" s="9" t="str">
        <f>VLOOKUP(A689,'Sets (lua data)'!$A$3:$C$9838,2,FALSE)</f>
        <v>Blackfeather Flight</v>
      </c>
      <c r="D689" t="s">
        <v>7</v>
      </c>
      <c r="E689" s="3" t="str">
        <f>IF(ISNA(VLOOKUP(D689,ConstDLCIds!$B$4:$C$1001,2,FALSE)),"",VLOOKUP(D689,ConstDLCIds!$B$4:$C$1001,2,FALSE))</f>
        <v>Included in base game</v>
      </c>
    </row>
    <row r="690" spans="1:5" x14ac:dyDescent="0.25">
      <c r="A690" s="1">
        <v>805</v>
      </c>
      <c r="B690" s="9" t="str">
        <f>VLOOKUP(A690,'Sets (lua data)'!$A$3:$C$9838,3,FALSE)</f>
        <v>Three Queens Wellspring</v>
      </c>
      <c r="C690" s="9" t="str">
        <f>VLOOKUP(A690,'Sets (lua data)'!$A$3:$C$9838,2,FALSE)</f>
        <v>Three Queens Wellspring</v>
      </c>
      <c r="D690" t="s">
        <v>117</v>
      </c>
      <c r="E690" s="3" t="str">
        <f>IF(ISNA(VLOOKUP(D690,ConstDLCIds!$B$4:$C$1001,2,FALSE)),"",VLOOKUP(D690,ConstDLCIds!$B$4:$C$1001,2,FALSE))</f>
        <v>Seasons of the Wormcult Part 1</v>
      </c>
    </row>
    <row r="691" spans="1:5" x14ac:dyDescent="0.25">
      <c r="A691" s="1">
        <v>806</v>
      </c>
      <c r="B691" s="9" t="str">
        <f>VLOOKUP(A691,'Sets (lua data)'!$A$3:$C$9838,3,FALSE)</f>
        <v>Death-Dancer</v>
      </c>
      <c r="C691" s="9" t="str">
        <f>VLOOKUP(A691,'Sets (lua data)'!$A$3:$C$9838,2,FALSE)</f>
        <v>Death-Dancer</v>
      </c>
      <c r="D691" t="s">
        <v>117</v>
      </c>
      <c r="E691" s="3" t="str">
        <f>IF(ISNA(VLOOKUP(D691,ConstDLCIds!$B$4:$C$1001,2,FALSE)),"",VLOOKUP(D691,ConstDLCIds!$B$4:$C$1001,2,FALSE))</f>
        <v>Seasons of the Wormcult Part 1</v>
      </c>
    </row>
    <row r="692" spans="1:5" x14ac:dyDescent="0.25">
      <c r="A692" s="1">
        <v>807</v>
      </c>
      <c r="B692" s="9" t="str">
        <f>VLOOKUP(A692,'Sets (lua data)'!$A$3:$C$9838,3,FALSE)</f>
        <v>Full Belly Barricade</v>
      </c>
      <c r="C692" s="9" t="str">
        <f>VLOOKUP(A692,'Sets (lua data)'!$A$3:$C$9838,2,FALSE)</f>
        <v>Full Belly Barricade</v>
      </c>
      <c r="D692" t="s">
        <v>117</v>
      </c>
      <c r="E692" s="3" t="str">
        <f>IF(ISNA(VLOOKUP(D692,ConstDLCIds!$B$4:$C$1001,2,FALSE)),"",VLOOKUP(D692,ConstDLCIds!$B$4:$C$1001,2,FALSE))</f>
        <v>Seasons of the Wormcult Part 1</v>
      </c>
    </row>
    <row r="693" spans="1:5" x14ac:dyDescent="0.25">
      <c r="A693" s="1">
        <v>808</v>
      </c>
      <c r="B693" s="9" t="str">
        <f>VLOOKUP(A693,'Sets (lua data)'!$A$3:$C$9838,3,FALSE)</f>
        <v>Shared Burden</v>
      </c>
      <c r="C693" s="9" t="str">
        <f>VLOOKUP(A693,'Sets (lua data)'!$A$3:$C$9838,2,FALSE)</f>
        <v>Shared Burden</v>
      </c>
      <c r="D693" t="s">
        <v>123</v>
      </c>
      <c r="E693" s="3" t="str">
        <f>IF(ISNA(VLOOKUP(D693,ConstDLCIds!$B$4:$C$1001,2,FALSE)),"",VLOOKUP(D693,ConstDLCIds!$B$4:$C$1001,2,FALSE))</f>
        <v>Seasons of the Wormcult Part 2</v>
      </c>
    </row>
    <row r="694" spans="1:5" x14ac:dyDescent="0.25">
      <c r="A694" s="1">
        <v>809</v>
      </c>
      <c r="B694" s="9" t="str">
        <f>VLOOKUP(A694,'Sets (lua data)'!$A$3:$C$9838,3,FALSE)</f>
        <v>Tide-Born Wildstalker</v>
      </c>
      <c r="C694" s="9" t="str">
        <f>VLOOKUP(A694,'Sets (lua data)'!$A$3:$C$9838,2,FALSE)</f>
        <v>Tide-Born Wildstalker</v>
      </c>
      <c r="D694" t="s">
        <v>117</v>
      </c>
      <c r="E694" s="3" t="str">
        <f>IF(ISNA(VLOOKUP(D694,ConstDLCIds!$B$4:$C$1001,2,FALSE)),"",VLOOKUP(D694,ConstDLCIds!$B$4:$C$1001,2,FALSE))</f>
        <v>Seasons of the Wormcult Part 1</v>
      </c>
    </row>
    <row r="695" spans="1:5" x14ac:dyDescent="0.25">
      <c r="A695" s="1">
        <v>810</v>
      </c>
      <c r="B695" s="9" t="str">
        <f>VLOOKUP(A695,'Sets (lua data)'!$A$3:$C$9838,3,FALSE)</f>
        <v>Fellowship's Fortitude</v>
      </c>
      <c r="C695" s="9" t="str">
        <f>VLOOKUP(A695,'Sets (lua data)'!$A$3:$C$9838,2,FALSE)</f>
        <v>Fellowship's Fortitude</v>
      </c>
      <c r="D695" t="s">
        <v>123</v>
      </c>
      <c r="E695" s="3" t="str">
        <f>IF(ISNA(VLOOKUP(D695,ConstDLCIds!$B$4:$C$1001,2,FALSE)),"",VLOOKUP(D695,ConstDLCIds!$B$4:$C$1001,2,FALSE))</f>
        <v>Seasons of the Wormcult Part 2</v>
      </c>
    </row>
    <row r="696" spans="1:5" x14ac:dyDescent="0.25">
      <c r="A696" s="1">
        <v>811</v>
      </c>
      <c r="B696" s="9" t="str">
        <f>VLOOKUP(A696,'Sets (lua data)'!$A$3:$C$9838,3,FALSE)</f>
        <v>Mad God\'s Dancing Shoes</v>
      </c>
      <c r="C696" s="9" t="str">
        <f>VLOOKUP(A696,'Sets (lua data)'!$A$3:$C$9838,2,FALSE)</f>
        <v>Mad God\'s Dancing Shoes</v>
      </c>
      <c r="D696" t="s">
        <v>117</v>
      </c>
      <c r="E696" s="3" t="str">
        <f>IF(ISNA(VLOOKUP(D696,ConstDLCIds!$B$4:$C$1001,2,FALSE)),"",VLOOKUP(D696,ConstDLCIds!$B$4:$C$1001,2,FALSE))</f>
        <v>Seasons of the Wormcult Part 1</v>
      </c>
    </row>
    <row r="697" spans="1:5" x14ac:dyDescent="0.25">
      <c r="A697" s="1">
        <v>812</v>
      </c>
      <c r="B697" s="9" t="str">
        <f>VLOOKUP(A697,'Sets (lua data)'!$A$3:$C$9838,3,FALSE)</f>
        <v>Rakkhat\'s Voidmantle</v>
      </c>
      <c r="C697" s="9" t="str">
        <f>VLOOKUP(A697,'Sets (lua data)'!$A$3:$C$9838,2,FALSE)</f>
        <v>Rakkhat\'s Voidmantle</v>
      </c>
      <c r="D697" t="s">
        <v>117</v>
      </c>
      <c r="E697" s="3" t="str">
        <f>IF(ISNA(VLOOKUP(D697,ConstDLCIds!$B$4:$C$1001,2,FALSE)),"",VLOOKUP(D697,ConstDLCIds!$B$4:$C$1001,2,FALSE))</f>
        <v>Seasons of the Wormcult Part 1</v>
      </c>
    </row>
    <row r="698" spans="1:5" x14ac:dyDescent="0.25">
      <c r="A698" s="1">
        <v>813</v>
      </c>
      <c r="B698" s="9" t="str">
        <f>VLOOKUP(A698,'Sets (lua data)'!$A$3:$C$9838,3,FALSE)</f>
        <v>Monomyth Reforged</v>
      </c>
      <c r="C698" s="9" t="str">
        <f>VLOOKUP(A698,'Sets (lua data)'!$A$3:$C$9838,2,FALSE)</f>
        <v>Monomyth Reforged</v>
      </c>
      <c r="D698" t="s">
        <v>117</v>
      </c>
      <c r="E698" s="3" t="str">
        <f>IF(ISNA(VLOOKUP(D698,ConstDLCIds!$B$4:$C$1001,2,FALSE)),"",VLOOKUP(D698,ConstDLCIds!$B$4:$C$1001,2,FALSE))</f>
        <v>Seasons of the Wormcult Part 1</v>
      </c>
    </row>
    <row r="699" spans="1:5" x14ac:dyDescent="0.25">
      <c r="A699" s="1">
        <v>814</v>
      </c>
      <c r="B699" s="9" t="str">
        <f>VLOOKUP(A699,'Sets (lua data)'!$A$3:$C$9838,3,FALSE)</f>
        <v>Harmony in Chaos</v>
      </c>
      <c r="C699" s="9" t="str">
        <f>VLOOKUP(A699,'Sets (lua data)'!$A$3:$C$9838,2,FALSE)</f>
        <v>Harmony in Chaos</v>
      </c>
      <c r="D699" t="s">
        <v>117</v>
      </c>
      <c r="E699" s="3" t="str">
        <f>IF(ISNA(VLOOKUP(D699,ConstDLCIds!$B$4:$C$1001,2,FALSE)),"",VLOOKUP(D699,ConstDLCIds!$B$4:$C$1001,2,FALSE))</f>
        <v>Seasons of the Wormcult Part 1</v>
      </c>
    </row>
    <row r="700" spans="1:5" x14ac:dyDescent="0.25">
      <c r="A700" s="1">
        <v>815</v>
      </c>
      <c r="B700" s="9" t="str">
        <f>VLOOKUP(A700,'Sets (lua data)'!$A$3:$C$9838,3,FALSE)</f>
        <v>Kazpian\'s Cruel Signet</v>
      </c>
      <c r="C700" s="9" t="str">
        <f>VLOOKUP(A700,'Sets (lua data)'!$A$3:$C$9838,2,FALSE)</f>
        <v>Kazpian\'s Cruel Signet</v>
      </c>
      <c r="D700" t="s">
        <v>117</v>
      </c>
      <c r="E700" s="3" t="str">
        <f>IF(ISNA(VLOOKUP(D700,ConstDLCIds!$B$4:$C$1001,2,FALSE)),"",VLOOKUP(D700,ConstDLCIds!$B$4:$C$1001,2,FALSE))</f>
        <v>Seasons of the Wormcult Part 1</v>
      </c>
    </row>
    <row r="701" spans="1:5" x14ac:dyDescent="0.25">
      <c r="A701" s="1">
        <v>816</v>
      </c>
      <c r="B701" s="9" t="str">
        <f>VLOOKUP(A701,'Sets (lua data)'!$A$3:$C$9838,3,FALSE)</f>
        <v>Dolorous Arena</v>
      </c>
      <c r="C701" s="9" t="str">
        <f>VLOOKUP(A701,'Sets (lua data)'!$A$3:$C$9838,2,FALSE)</f>
        <v>Dolorous Arena</v>
      </c>
      <c r="D701" t="s">
        <v>117</v>
      </c>
      <c r="E701" s="3" t="str">
        <f>IF(ISNA(VLOOKUP(D701,ConstDLCIds!$B$4:$C$1001,2,FALSE)),"",VLOOKUP(D701,ConstDLCIds!$B$4:$C$1001,2,FALSE))</f>
        <v>Seasons of the Wormcult Part 1</v>
      </c>
    </row>
    <row r="702" spans="1:5" x14ac:dyDescent="0.25">
      <c r="A702" s="1">
        <v>817</v>
      </c>
      <c r="B702" s="9" t="str">
        <f>VLOOKUP(A702,'Sets (lua data)'!$A$3:$C$9838,3,FALSE)</f>
        <v>Recovery Convergence</v>
      </c>
      <c r="C702" s="9" t="str">
        <f>VLOOKUP(A702,'Sets (lua data)'!$A$3:$C$9838,2,FALSE)</f>
        <v>Recovery Convergence</v>
      </c>
      <c r="D702" t="s">
        <v>117</v>
      </c>
      <c r="E702" s="3" t="str">
        <f>IF(ISNA(VLOOKUP(D702,ConstDLCIds!$B$4:$C$1001,2,FALSE)),"",VLOOKUP(D702,ConstDLCIds!$B$4:$C$1001,2,FALSE))</f>
        <v>Seasons of the Wormcult Part 1</v>
      </c>
    </row>
    <row r="703" spans="1:5" x14ac:dyDescent="0.25">
      <c r="A703" s="1">
        <v>818</v>
      </c>
      <c r="B703" s="9" t="str">
        <f>VLOOKUP(A703,'Sets (lua data)'!$A$3:$C$9838,3,FALSE)</f>
        <v>Perfected Recovery Convergence</v>
      </c>
      <c r="C703" s="9" t="str">
        <f>VLOOKUP(A703,'Sets (lua data)'!$A$3:$C$9838,2,FALSE)</f>
        <v>Perfected Recovery Convergence</v>
      </c>
      <c r="D703" t="s">
        <v>117</v>
      </c>
      <c r="E703" s="3" t="str">
        <f>IF(ISNA(VLOOKUP(D703,ConstDLCIds!$B$4:$C$1001,2,FALSE)),"",VLOOKUP(D703,ConstDLCIds!$B$4:$C$1001,2,FALSE))</f>
        <v>Seasons of the Wormcult Part 1</v>
      </c>
    </row>
    <row r="704" spans="1:5" x14ac:dyDescent="0.25">
      <c r="A704" s="1">
        <v>819</v>
      </c>
      <c r="B704" s="9" t="str">
        <f>VLOOKUP(A704,'Sets (lua data)'!$A$3:$C$9838,3,FALSE)</f>
        <v>Perfected Dolorous Arena</v>
      </c>
      <c r="C704" s="9" t="str">
        <f>VLOOKUP(A704,'Sets (lua data)'!$A$3:$C$9838,2,FALSE)</f>
        <v>Perfected Dolorous Arena</v>
      </c>
      <c r="D704" t="s">
        <v>117</v>
      </c>
      <c r="E704" s="3" t="str">
        <f>IF(ISNA(VLOOKUP(D704,ConstDLCIds!$B$4:$C$1001,2,FALSE)),"",VLOOKUP(D704,ConstDLCIds!$B$4:$C$1001,2,FALSE))</f>
        <v>Seasons of the Wormcult Part 1</v>
      </c>
    </row>
    <row r="705" spans="1:5" x14ac:dyDescent="0.25">
      <c r="A705" s="1">
        <v>820</v>
      </c>
      <c r="B705" s="9" t="str">
        <f>VLOOKUP(A705,'Sets (lua data)'!$A$3:$C$9838,3,FALSE)</f>
        <v>Perfected Kazpian\'s Cruel Signet</v>
      </c>
      <c r="C705" s="9" t="str">
        <f>VLOOKUP(A705,'Sets (lua data)'!$A$3:$C$9838,2,FALSE)</f>
        <v>Perfected Kazpian\'s Cruel Signet</v>
      </c>
      <c r="D705" t="s">
        <v>117</v>
      </c>
      <c r="E705" s="3" t="str">
        <f>IF(ISNA(VLOOKUP(D705,ConstDLCIds!$B$4:$C$1001,2,FALSE)),"",VLOOKUP(D705,ConstDLCIds!$B$4:$C$1001,2,FALSE))</f>
        <v>Seasons of the Wormcult Part 1</v>
      </c>
    </row>
    <row r="706" spans="1:5" x14ac:dyDescent="0.25">
      <c r="A706" s="1">
        <v>821</v>
      </c>
      <c r="B706" s="9" t="str">
        <f>VLOOKUP(A706,'Sets (lua data)'!$A$3:$C$9838,3,FALSE)</f>
        <v>Perfected Harmony in Chaos</v>
      </c>
      <c r="C706" s="9" t="str">
        <f>VLOOKUP(A706,'Sets (lua data)'!$A$3:$C$9838,2,FALSE)</f>
        <v>Perfected Harmony in Chaos</v>
      </c>
      <c r="D706" t="s">
        <v>117</v>
      </c>
      <c r="E706" s="3" t="str">
        <f>IF(ISNA(VLOOKUP(D706,ConstDLCIds!$B$4:$C$1001,2,FALSE)),"",VLOOKUP(D706,ConstDLCIds!$B$4:$C$1001,2,FALSE))</f>
        <v>Seasons of the Wormcult Part 1</v>
      </c>
    </row>
    <row r="707" spans="1:5" x14ac:dyDescent="0.25">
      <c r="A707" s="1">
        <v>822</v>
      </c>
      <c r="B707" s="9" t="str">
        <f>VLOOKUP(A707,'Sets (lua data)'!$A$3:$C$9838,3,FALSE)</f>
        <v>Lustrous Soulwell</v>
      </c>
      <c r="C707" s="9" t="str">
        <f>VLOOKUP(A707,'Sets (lua data)'!$A$3:$C$9838,2,FALSE)</f>
        <v>Lustrous Soulwell</v>
      </c>
      <c r="D707" t="s">
        <v>120</v>
      </c>
      <c r="E707" s="3" t="str">
        <f>IF(ISNA(VLOOKUP(D707,ConstDLCIds!$B$4:$C$1001,2,FALSE)),"",VLOOKUP(D707,ConstDLCIds!$B$4:$C$1001,2,FALSE))</f>
        <v>Feast of Shadows</v>
      </c>
    </row>
    <row r="708" spans="1:5" x14ac:dyDescent="0.25">
      <c r="A708" s="1">
        <v>823</v>
      </c>
      <c r="B708" s="9" t="str">
        <f>VLOOKUP(A708,'Sets (lua data)'!$A$3:$C$9838,3,FALSE)</f>
        <v>Vykand\'s Soulfury</v>
      </c>
      <c r="C708" s="9" t="str">
        <f>VLOOKUP(A708,'Sets (lua data)'!$A$3:$C$9838,2,FALSE)</f>
        <v>Vykand\'s Soulfury</v>
      </c>
      <c r="D708" t="s">
        <v>120</v>
      </c>
      <c r="E708" s="3" t="str">
        <f>IF(ISNA(VLOOKUP(D708,ConstDLCIds!$B$4:$C$1001,2,FALSE)),"",VLOOKUP(D708,ConstDLCIds!$B$4:$C$1001,2,FALSE))</f>
        <v>Feast of Shadows</v>
      </c>
    </row>
    <row r="709" spans="1:5" x14ac:dyDescent="0.25">
      <c r="A709" s="1">
        <v>824</v>
      </c>
      <c r="B709" s="9" t="str">
        <f>VLOOKUP(A709,'Sets (lua data)'!$A$3:$C$9838,3,FALSE)</f>
        <v>Black Foundry Steel</v>
      </c>
      <c r="C709" s="9" t="str">
        <f>VLOOKUP(A709,'Sets (lua data)'!$A$3:$C$9838,2,FALSE)</f>
        <v>Black Foundry Steel</v>
      </c>
      <c r="D709" t="s">
        <v>120</v>
      </c>
      <c r="E709" s="3" t="str">
        <f>IF(ISNA(VLOOKUP(D709,ConstDLCIds!$B$4:$C$1001,2,FALSE)),"",VLOOKUP(D709,ConstDLCIds!$B$4:$C$1001,2,FALSE))</f>
        <v>Feast of Shadows</v>
      </c>
    </row>
    <row r="710" spans="1:5" x14ac:dyDescent="0.25">
      <c r="A710" s="1">
        <v>825</v>
      </c>
      <c r="B710" s="9" t="str">
        <f>VLOOKUP(A710,'Sets (lua data)'!$A$3:$C$9838,3,FALSE)</f>
        <v>Xanmeer Spellweaver</v>
      </c>
      <c r="C710" s="9" t="str">
        <f>VLOOKUP(A710,'Sets (lua data)'!$A$3:$C$9838,2,FALSE)</f>
        <v>Xanmeer Spellweaver</v>
      </c>
      <c r="D710" t="s">
        <v>120</v>
      </c>
      <c r="E710" s="3" t="str">
        <f>IF(ISNA(VLOOKUP(D710,ConstDLCIds!$B$4:$C$1001,2,FALSE)),"",VLOOKUP(D710,ConstDLCIds!$B$4:$C$1001,2,FALSE))</f>
        <v>Feast of Shadows</v>
      </c>
    </row>
    <row r="711" spans="1:5" x14ac:dyDescent="0.25">
      <c r="A711" s="1">
        <v>826</v>
      </c>
      <c r="B711" s="9" t="str">
        <f>VLOOKUP(A711,'Sets (lua data)'!$A$3:$C$9838,3,FALSE)</f>
        <v>Tools of the Trapmaster</v>
      </c>
      <c r="C711" s="9" t="str">
        <f>VLOOKUP(A711,'Sets (lua data)'!$A$3:$C$9838,2,FALSE)</f>
        <v>Tools of the Trapmaster</v>
      </c>
      <c r="D711" t="s">
        <v>120</v>
      </c>
      <c r="E711" s="3" t="str">
        <f>IF(ISNA(VLOOKUP(D711,ConstDLCIds!$B$4:$C$1001,2,FALSE)),"",VLOOKUP(D711,ConstDLCIds!$B$4:$C$1001,2,FALSE))</f>
        <v>Feast of Shadows</v>
      </c>
    </row>
    <row r="712" spans="1:5" x14ac:dyDescent="0.25">
      <c r="A712" s="1">
        <v>827</v>
      </c>
      <c r="B712" s="9" t="str">
        <f>VLOOKUP(A712,'Sets (lua data)'!$A$3:$C$9838,3,FALSE)</f>
        <v>Stonehulk Domination</v>
      </c>
      <c r="C712" s="9" t="str">
        <f>VLOOKUP(A712,'Sets (lua data)'!$A$3:$C$9838,2,FALSE)</f>
        <v>Stonehulk Domination</v>
      </c>
      <c r="D712" t="s">
        <v>120</v>
      </c>
      <c r="E712" s="3" t="str">
        <f>IF(ISNA(VLOOKUP(D712,ConstDLCIds!$B$4:$C$1001,2,FALSE)),"",VLOOKUP(D712,ConstDLCIds!$B$4:$C$1001,2,FALSE))</f>
        <v>Feast of Shadows</v>
      </c>
    </row>
    <row r="713" spans="1:5" x14ac:dyDescent="0.25">
      <c r="A713" s="1">
        <v>828</v>
      </c>
      <c r="B713" s="9" t="str">
        <f>VLOOKUP(A713,'Sets (lua data)'!$A$3:$C$9838,3,FALSE)</f>
        <v>Black Gem Monstrosity</v>
      </c>
      <c r="C713" s="9" t="str">
        <f>VLOOKUP(A713,'Sets (lua data)'!$A$3:$C$9838,2,FALSE)</f>
        <v>Black Gem Monstrosity</v>
      </c>
      <c r="D713" t="s">
        <v>120</v>
      </c>
      <c r="E713" s="3" t="str">
        <f>IF(ISNA(VLOOKUP(D713,ConstDLCIds!$B$4:$C$1001,2,FALSE)),"",VLOOKUP(D713,ConstDLCIds!$B$4:$C$1001,2,FALSE))</f>
        <v>Feast of Shadows</v>
      </c>
    </row>
    <row r="714" spans="1:5" x14ac:dyDescent="0.25">
      <c r="A714" s="1">
        <v>829</v>
      </c>
      <c r="B714" s="9" t="str">
        <f>VLOOKUP(A714,'Sets (lua data)'!$A$3:$C$9838,3,FALSE)</f>
        <v>Bar-Sakka</v>
      </c>
      <c r="C714" s="9" t="str">
        <f>VLOOKUP(A714,'Sets (lua data)'!$A$3:$C$9838,2,FALSE)</f>
        <v>Bar-Sakka</v>
      </c>
      <c r="D714" t="s">
        <v>120</v>
      </c>
      <c r="E714" s="3" t="str">
        <f>IF(ISNA(VLOOKUP(D714,ConstDLCIds!$B$4:$C$1001,2,FALSE)),"",VLOOKUP(D714,ConstDLCIds!$B$4:$C$1001,2,FALSE))</f>
        <v>Feast of Shadows</v>
      </c>
    </row>
    <row r="715" spans="1:5" x14ac:dyDescent="0.25">
      <c r="A715" s="1">
        <v>830</v>
      </c>
      <c r="B715" s="9" t="str">
        <f>VLOOKUP(A715,'Sets (lua data)'!$A$3:$C$9838,3,FALSE)</f>
        <v>Spellshredder</v>
      </c>
      <c r="C715" s="9" t="str">
        <f>VLOOKUP(A715,'Sets (lua data)'!$A$3:$C$9838,2,FALSE)</f>
        <v>Spellshredder</v>
      </c>
      <c r="D715" t="s">
        <v>120</v>
      </c>
      <c r="E715" s="3" t="str">
        <f>IF(ISNA(VLOOKUP(D715,ConstDLCIds!$B$4:$C$1001,2,FALSE)),"",VLOOKUP(D715,ConstDLCIds!$B$4:$C$1001,2,FALSE))</f>
        <v>Feast of Shadows</v>
      </c>
    </row>
    <row r="716" spans="1:5" x14ac:dyDescent="0.25">
      <c r="A716" s="1">
        <v>831</v>
      </c>
      <c r="B716" s="9" t="str">
        <f>VLOOKUP(A716,'Sets (lua data)'!$A$3:$C$9838,3,FALSE)</f>
        <v>Coup De Grâce</v>
      </c>
      <c r="C716" s="9" t="str">
        <f>VLOOKUP(A716,'Sets (lua data)'!$A$3:$C$9838,2,FALSE)</f>
        <v>Coup De Grâce</v>
      </c>
      <c r="D716" t="s">
        <v>120</v>
      </c>
      <c r="E716" s="3" t="str">
        <f>IF(ISNA(VLOOKUP(D716,ConstDLCIds!$B$4:$C$1001,2,FALSE)),"",VLOOKUP(D716,ConstDLCIds!$B$4:$C$1001,2,FALSE))</f>
        <v>Feast of Shadows</v>
      </c>
    </row>
    <row r="717" spans="1:5" x14ac:dyDescent="0.25">
      <c r="A717" s="1">
        <v>832</v>
      </c>
      <c r="B717" s="9" t="str">
        <f>VLOOKUP(A717,'Sets (lua data)'!$A$3:$C$9838,3,FALSE)</f>
        <v>Unflinching Ultimate</v>
      </c>
      <c r="C717" s="9" t="str">
        <f>VLOOKUP(A717,'Sets (lua data)'!$A$3:$C$9838,2,FALSE)</f>
        <v>Unflinching Ultimate</v>
      </c>
      <c r="D717" t="s">
        <v>120</v>
      </c>
      <c r="E717" s="3" t="str">
        <f>IF(ISNA(VLOOKUP(D717,ConstDLCIds!$B$4:$C$1001,2,FALSE)),"",VLOOKUP(D717,ConstDLCIds!$B$4:$C$1001,2,FALSE))</f>
        <v>Feast of Shadows</v>
      </c>
    </row>
    <row r="718" spans="1:5" x14ac:dyDescent="0.25">
      <c r="A718" s="1">
        <v>845</v>
      </c>
      <c r="B718" s="9" t="str">
        <f>VLOOKUP(A718,'Sets (lua data)'!$A$3:$C$9838,3,FALSE)</f>
        <v>Huntsman's Warmask</v>
      </c>
      <c r="C718" s="9" t="str">
        <f>VLOOKUP(A718,'Sets (lua data)'!$A$3:$C$9838,2,FALSE)</f>
        <v>Huntsman's Warmask</v>
      </c>
      <c r="D718" t="s">
        <v>123</v>
      </c>
      <c r="E718" s="3" t="str">
        <f>IF(ISNA(VLOOKUP(D718,ConstDLCIds!$B$4:$C$1001,2,FALSE)),"",VLOOKUP(D718,ConstDLCIds!$B$4:$C$1001,2,FALSE))</f>
        <v>Seasons of the Wormcult Part 2</v>
      </c>
    </row>
    <row r="719" spans="1:5" x14ac:dyDescent="0.25">
      <c r="A719" s="1">
        <v>846</v>
      </c>
      <c r="B719" s="9" t="str">
        <f>VLOOKUP(A719,'Sets (lua data)'!$A$3:$C$9838,3,FALSE)</f>
        <v>Xanmeer Genesis</v>
      </c>
      <c r="C719" s="9" t="str">
        <f>VLOOKUP(A719,'Sets (lua data)'!$A$3:$C$9838,2,FALSE)</f>
        <v>Xanmeer Genesis</v>
      </c>
      <c r="D719" t="s">
        <v>123</v>
      </c>
      <c r="E719" s="3" t="str">
        <f>IF(ISNA(VLOOKUP(D719,ConstDLCIds!$B$4:$C$1001,2,FALSE)),"",VLOOKUP(D719,ConstDLCIds!$B$4:$C$1001,2,FALSE))</f>
        <v>Seasons of the Wormcult Part 2</v>
      </c>
    </row>
    <row r="720" spans="1:5" x14ac:dyDescent="0.25">
      <c r="A720" s="1">
        <v>848</v>
      </c>
      <c r="B720" s="9" t="str">
        <f>VLOOKUP(A720,'Sets (lua data)'!$A$3:$C$9838,3,FALSE)</f>
        <v>Shattered Paths Signet</v>
      </c>
      <c r="C720" s="9" t="str">
        <f>VLOOKUP(A720,'Sets (lua data)'!$A$3:$C$9838,2,FALSE)</f>
        <v>Siegelring der zerschlagenen Pfade</v>
      </c>
      <c r="D720" t="s">
        <v>126</v>
      </c>
      <c r="E720" s="3" t="str">
        <f>IF(ISNA(VLOOKUP(D720,ConstDLCIds!$B$4:$C$1001,2,FALSE)),"",VLOOKUP(D720,ConstDLCIds!$B$4:$C$1001,2,FALSE))</f>
        <v>Season 0</v>
      </c>
    </row>
    <row r="721" spans="1:5" x14ac:dyDescent="0.25">
      <c r="A721" s="1">
        <v>849</v>
      </c>
      <c r="B721" s="9" t="str">
        <f>VLOOKUP(A721,'Sets (lua data)'!$A$3:$C$9838,3,FALSE)</f>
        <v>Glittering Goad</v>
      </c>
      <c r="C721" s="9" t="str">
        <f>VLOOKUP(A721,'Sets (lua data)'!$A$3:$C$9838,2,FALSE)</f>
        <v>Glanzvoller Ansporn</v>
      </c>
      <c r="D721" t="s">
        <v>126</v>
      </c>
      <c r="E721" s="3" t="str">
        <f>IF(ISNA(VLOOKUP(D721,ConstDLCIds!$B$4:$C$1001,2,FALSE)),"",VLOOKUP(D721,ConstDLCIds!$B$4:$C$1001,2,FALSE))</f>
        <v>Season 0</v>
      </c>
    </row>
    <row r="722" spans="1:5" x14ac:dyDescent="0.25">
      <c r="A722" s="1">
        <v>850</v>
      </c>
      <c r="B722" s="9" t="str">
        <f>VLOOKUP(A722,'Sets (lua data)'!$A$3:$C$9838,3,FALSE)</f>
        <v>Thousand Eyes</v>
      </c>
      <c r="C722" s="9" t="str">
        <f>VLOOKUP(A722,'Sets (lua data)'!$A$3:$C$9838,2,FALSE)</f>
        <v>Tausend Augen</v>
      </c>
      <c r="D722" t="s">
        <v>126</v>
      </c>
      <c r="E722" s="3" t="str">
        <f>IF(ISNA(VLOOKUP(D722,ConstDLCIds!$B$4:$C$1001,2,FALSE)),"",VLOOKUP(D722,ConstDLCIds!$B$4:$C$1001,2,FALSE))</f>
        <v>Season 0</v>
      </c>
    </row>
    <row r="723" spans="1:5" x14ac:dyDescent="0.25">
      <c r="A723" s="1">
        <v>851</v>
      </c>
      <c r="B723" s="9" t="str">
        <f>VLOOKUP(A723,'Sets (lua data)'!$A$3:$C$9838,3,FALSE)</f>
        <v>The Ruckus</v>
      </c>
      <c r="C723" s="9" t="str">
        <f>VLOOKUP(A723,'Sets (lua data)'!$A$3:$C$9838,2,FALSE)</f>
        <v>Der Krawall</v>
      </c>
      <c r="D723" t="s">
        <v>126</v>
      </c>
      <c r="E723" s="3" t="str">
        <f>IF(ISNA(VLOOKUP(D723,ConstDLCIds!$B$4:$C$1001,2,FALSE)),"",VLOOKUP(D723,ConstDLCIds!$B$4:$C$1001,2,FALSE))</f>
        <v>Season 0</v>
      </c>
    </row>
    <row r="724" spans="1:5" x14ac:dyDescent="0.25">
      <c r="A724" s="1">
        <v>855</v>
      </c>
      <c r="B724" s="9" t="str">
        <f>VLOOKUP(A724,'Sets (lua data)'!$A$3:$C$9838,3,FALSE)</f>
        <v>Gorethief</v>
      </c>
      <c r="C724" s="9" t="str">
        <f>VLOOKUP(A724,'Sets (lua data)'!$A$3:$C$9838,2,FALSE)</f>
        <v>Blutdieb</v>
      </c>
      <c r="D724" t="s">
        <v>126</v>
      </c>
      <c r="E724" s="3" t="str">
        <f>IF(ISNA(VLOOKUP(D724,ConstDLCIds!$B$4:$C$1001,2,FALSE)),"",VLOOKUP(D724,ConstDLCIds!$B$4:$C$1001,2,FALSE))</f>
        <v>Season 0</v>
      </c>
    </row>
    <row r="725" spans="1:5" x14ac:dyDescent="0.25">
      <c r="A725" s="1">
        <v>854</v>
      </c>
      <c r="B725" s="9" t="str">
        <f>VLOOKUP(A725,'Sets (lua data)'!$A$3:$C$9838,3,FALSE)</f>
        <v>The Prowler\'s Talisman</v>
      </c>
      <c r="C725" s="9" t="str">
        <f>VLOOKUP(A725,'Sets (lua data)'!$A$3:$C$9838,2,FALSE)</f>
        <v>Vagabundentalisman</v>
      </c>
      <c r="D725" t="s">
        <v>129</v>
      </c>
      <c r="E725" s="3" t="str">
        <f>IF(ISNA(VLOOKUP(D725,ConstDLCIds!$B$4:$C$1001,2,FALSE)),"",VLOOKUP(D725,ConstDLCIds!$B$4:$C$1001,2,FALSE))</f>
        <v>Season 0 - Part 2</v>
      </c>
    </row>
    <row r="726" spans="1:5" x14ac:dyDescent="0.25">
      <c r="A726" s="98">
        <v>876</v>
      </c>
      <c r="B726" s="9" t="str">
        <f>VLOOKUP(A726,'Sets (lua data)'!$A$3:$C$9838,3,FALSE)</f>
        <v>Tarcyr</v>
      </c>
      <c r="C726" s="9" t="str">
        <f>VLOOKUP(A726,'Sets (lua data)'!$A$3:$C$9838,2,FALSE)</f>
        <v>Tarcyr</v>
      </c>
      <c r="D726" t="s">
        <v>4307</v>
      </c>
      <c r="E726" s="3" t="str">
        <f>IF(ISNA(VLOOKUP(D726,ConstDLCIds!$B$4:$C$1001,2,FALSE)),"",VLOOKUP(D726,ConstDLCIds!$B$4:$C$1001,2,FALSE))</f>
        <v>Season 2 - Part 0</v>
      </c>
    </row>
    <row r="727" spans="1:5" x14ac:dyDescent="0.25">
      <c r="A727" s="98">
        <v>877</v>
      </c>
      <c r="B727" s="9" t="str">
        <f>VLOOKUP(A727,'Sets (lua data)'!$A$3:$C$9838,3,FALSE)</f>
        <v>Mylenne Moon-Caller</v>
      </c>
      <c r="C727" s="9" t="str">
        <f>VLOOKUP(A727,'Sets (lua data)'!$A$3:$C$9838,2,FALSE)</f>
        <v>Mylenne Mondruferin</v>
      </c>
      <c r="D727" t="s">
        <v>4307</v>
      </c>
      <c r="E727" s="3" t="str">
        <f>IF(ISNA(VLOOKUP(D727,ConstDLCIds!$B$4:$C$1001,2,FALSE)),"",VLOOKUP(D727,ConstDLCIds!$B$4:$C$1001,2,FALSE))</f>
        <v>Season 2 - Part 0</v>
      </c>
    </row>
  </sheetData>
  <autoFilter ref="A2:F719" xr:uid="{00000000-0009-0000-0000-000008000000}">
    <sortState xmlns:xlrd2="http://schemas.microsoft.com/office/spreadsheetml/2017/richdata2" ref="A3:A719">
      <sortCondition ref="A2:A719"/>
    </sortState>
  </autoFilter>
  <mergeCells count="1">
    <mergeCell ref="A1:C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C000"/>
  </sheetPr>
  <dimension ref="A1:BH75"/>
  <sheetViews>
    <sheetView workbookViewId="0">
      <pane xSplit="3" ySplit="2" topLeftCell="D33" activePane="bottomRight" state="frozen"/>
      <selection pane="topRight"/>
      <selection pane="bottomLeft"/>
      <selection pane="bottomRight" activeCell="F46" sqref="F46"/>
    </sheetView>
  </sheetViews>
  <sheetFormatPr defaultColWidth="11.5703125" defaultRowHeight="15" x14ac:dyDescent="0.25"/>
  <cols>
    <col min="1" max="1" width="27.28515625" style="7" customWidth="1"/>
    <col min="2" max="2" width="8.5703125" style="7" customWidth="1"/>
    <col min="3" max="3" width="29" customWidth="1"/>
    <col min="4" max="4" width="20.42578125" customWidth="1"/>
    <col min="5" max="5" width="14.140625" style="3" customWidth="1"/>
    <col min="6" max="6" width="20.7109375" style="3" customWidth="1"/>
    <col min="7" max="7" width="13" style="3" customWidth="1"/>
    <col min="8" max="8" width="20.7109375" style="3" customWidth="1"/>
    <col min="9" max="10" width="15" style="3" customWidth="1"/>
    <col min="11" max="12" width="15.140625" style="3" customWidth="1"/>
    <col min="13" max="13" width="9.85546875" style="3" customWidth="1"/>
    <col min="14" max="14" width="8.5703125" style="3" customWidth="1"/>
    <col min="15" max="15" width="8.85546875" style="3" customWidth="1"/>
    <col min="16" max="16" width="8.5703125" style="3" customWidth="1"/>
    <col min="17" max="18" width="8.7109375" style="3" customWidth="1"/>
    <col min="19" max="19" width="198.28515625" customWidth="1"/>
  </cols>
  <sheetData>
    <row r="1" spans="1:60" s="28" customFormat="1" ht="21" x14ac:dyDescent="0.35">
      <c r="A1" s="106" t="s">
        <v>2129</v>
      </c>
      <c r="B1" s="106"/>
      <c r="C1" s="106"/>
      <c r="D1" s="106"/>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42"/>
    </row>
    <row r="2" spans="1:60" ht="45" x14ac:dyDescent="0.25">
      <c r="A2" s="10" t="s">
        <v>2130</v>
      </c>
      <c r="B2" s="6" t="s">
        <v>2131</v>
      </c>
      <c r="C2" s="25" t="s">
        <v>2132</v>
      </c>
      <c r="D2" s="3" t="s">
        <v>2133</v>
      </c>
      <c r="E2" s="13" t="s">
        <v>2134</v>
      </c>
      <c r="F2" s="3" t="s">
        <v>2135</v>
      </c>
      <c r="G2" s="13" t="s">
        <v>2136</v>
      </c>
      <c r="H2" s="3" t="s">
        <v>2137</v>
      </c>
      <c r="I2" s="13" t="s">
        <v>2138</v>
      </c>
      <c r="J2" s="13" t="s">
        <v>2139</v>
      </c>
      <c r="K2" s="13" t="s">
        <v>2140</v>
      </c>
      <c r="L2" s="13" t="s">
        <v>2141</v>
      </c>
      <c r="M2" s="13" t="s">
        <v>2142</v>
      </c>
      <c r="N2" s="13" t="s">
        <v>2143</v>
      </c>
      <c r="O2" s="13" t="s">
        <v>2144</v>
      </c>
      <c r="P2" s="13" t="s">
        <v>2145</v>
      </c>
      <c r="Q2" s="13" t="s">
        <v>2146</v>
      </c>
      <c r="R2" s="13" t="s">
        <v>2147</v>
      </c>
      <c r="S2" s="18" t="s">
        <v>2148</v>
      </c>
    </row>
    <row r="3" spans="1:60" x14ac:dyDescent="0.25">
      <c r="A3" s="7" t="s">
        <v>669</v>
      </c>
      <c r="B3" t="s">
        <v>1120</v>
      </c>
      <c r="C3" s="4" t="s">
        <v>7</v>
      </c>
      <c r="D3" s="3" t="str">
        <f>VLOOKUP(C3,ConstDLCIds!$B$3:$C$1000,2,FALSE)</f>
        <v>Included in base game</v>
      </c>
      <c r="E3" s="3">
        <f>IF(ISERROR(VLOOKUP(A3,'ESO zones'!$D$5:$I$9956,5,FALSE)),"",VLOOKUP(A3,'ESO zones'!$D$5:$I$9956,5,FALSE))</f>
        <v>638</v>
      </c>
      <c r="F3" s="3" t="str">
        <f>VLOOKUP(E3,'ESO zones'!$A$5:$D$9991,4,FALSE)</f>
        <v>Aetherian Archive</v>
      </c>
      <c r="G3" s="3">
        <f>VLOOKUP(E3,'ESO zones'!$A$5:$C$9956,3,FALSE)</f>
        <v>888</v>
      </c>
      <c r="H3" s="3" t="str">
        <f>VLOOKUP(G3,'ESO zones'!$A$5:$D$9991,4,FALSE)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 t="shared" ref="S3:S34" si="0">"["&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7" t="s">
        <v>697</v>
      </c>
      <c r="B4" t="s">
        <v>401</v>
      </c>
      <c r="C4" s="4" t="s">
        <v>7</v>
      </c>
      <c r="D4" s="3" t="str">
        <f>VLOOKUP(C4,ConstDLCIds!$B$3:$C$1000,2,FALSE)</f>
        <v>Included in base game</v>
      </c>
      <c r="E4" s="3">
        <f>IF(ISERROR(VLOOKUP(A4,'ESO zones'!$D$5:$I$9956,5,FALSE)),"",VLOOKUP(A4,'ESO zones'!$D$5:$I$9956,5,FALSE))</f>
        <v>148</v>
      </c>
      <c r="F4" s="3" t="str">
        <f>VLOOKUP(E4,'ESO zones'!$A$5:$D$9991,4,FALSE)</f>
        <v>Arx Corinium</v>
      </c>
      <c r="G4" s="3">
        <f>VLOOKUP(E4,'ESO zones'!$A$5:$C$9956,3,FALSE)</f>
        <v>117</v>
      </c>
      <c r="H4" s="3" t="str">
        <f>VLOOKUP(G4,'ESO zones'!$A$5:$D$9991,4,FALSE)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si="0"/>
        <v>[148]={parentZoneId=117,dungeonFinderId={[false]=8,[true]=305},achievementId={[false]=272,[true]=1604},hardMode=1609,speedRun=1607,noDeath=1608,wayshrine=192},   --Arx Corinium</v>
      </c>
    </row>
    <row r="5" spans="1:60" x14ac:dyDescent="0.25">
      <c r="A5" s="7" t="s">
        <v>1121</v>
      </c>
      <c r="B5" t="s">
        <v>1120</v>
      </c>
      <c r="C5" s="4" t="s">
        <v>31</v>
      </c>
      <c r="D5" s="3" t="str">
        <f>VLOOKUP(C5,ConstDLCIds!$B$3:$C$1000,2,FALSE)</f>
        <v>Clockwork City</v>
      </c>
      <c r="E5" s="3">
        <f>IF(ISERROR(VLOOKUP(A5,'ESO zones'!$D$5:$I$9956,5,FALSE)),"",VLOOKUP(A5,'ESO zones'!$D$5:$I$9956,5,FALSE))</f>
        <v>1000</v>
      </c>
      <c r="F5" s="3" t="str">
        <f>VLOOKUP(E5,'ESO zones'!$A$5:$D$9991,4,FALSE)</f>
        <v>Asylum Sanctorium</v>
      </c>
      <c r="G5" s="3">
        <f>VLOOKUP(E5,'ESO zones'!$A$5:$C$9956,3,FALSE)</f>
        <v>980</v>
      </c>
      <c r="H5" s="3" t="str">
        <f>VLOOKUP(G5,'ESO zones'!$A$5:$D$9991,4,FALSE)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 t="s">
        <v>1854</v>
      </c>
      <c r="B6" s="7" t="s">
        <v>1120</v>
      </c>
      <c r="C6" s="4" t="s">
        <v>94</v>
      </c>
      <c r="D6" s="3" t="str">
        <f>VLOOKUP(C6,ConstDLCIds!$B$3:$C$1000,2,FALSE)</f>
        <v>Scribes of Fate</v>
      </c>
      <c r="E6" s="3">
        <f>IF(ISERROR(VLOOKUP(A6,'ESO zones'!$D$5:$I$9956,5,FALSE)),"",VLOOKUP(A6,'ESO zones'!$D$5:$I$9956,5,FALSE))</f>
        <v>1389</v>
      </c>
      <c r="F6" s="3" t="str">
        <f>VLOOKUP(E6,'ESO zones'!$A$5:$D$9991,4,FALSE)</f>
        <v>Bal Sunnar</v>
      </c>
      <c r="G6" s="3">
        <f>VLOOKUP(E6,'ESO zones'!$A$5:$C$9956,3,FALSE)</f>
        <v>41</v>
      </c>
      <c r="H6" s="3" t="str">
        <f>VLOOKUP(G6,'ESO zones'!$A$5:$D$9991,4,FALSE)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 t="s">
        <v>1962</v>
      </c>
      <c r="B7" s="7" t="s">
        <v>401</v>
      </c>
      <c r="C7" s="4" t="s">
        <v>104</v>
      </c>
      <c r="D7" s="3" t="str">
        <f>VLOOKUP(C7,ConstDLCIds!$B$3:$C$1000,2,FALSE)</f>
        <v>Scions of Ithelia</v>
      </c>
      <c r="E7" s="3">
        <f>IF(ISERROR(VLOOKUP(A7,'ESO zones'!$D$5:$I$9956,5,FALSE)),"",VLOOKUP(A7,'ESO zones'!$D$5:$I$9956,5,FALSE))</f>
        <v>1471</v>
      </c>
      <c r="F7" s="3" t="str">
        <f>VLOOKUP(E7,'ESO zones'!$A$5:$D$9991,4,FALSE)</f>
        <v>Bedlam Veil</v>
      </c>
      <c r="G7" s="3">
        <f>VLOOKUP(E7,'ESO zones'!$A$5:$C$9956,3,FALSE)</f>
        <v>684</v>
      </c>
      <c r="H7" s="3" t="str">
        <f>VLOOKUP(G7,'ESO zones'!$A$5:$D$9991,4,FALSE)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7" t="s">
        <v>1536</v>
      </c>
      <c r="B8" s="7" t="s">
        <v>401</v>
      </c>
      <c r="C8" s="4" t="s">
        <v>70</v>
      </c>
      <c r="D8" s="3" t="str">
        <f>VLOOKUP(C8,ConstDLCIds!$B$3:$C$1000,2,FALSE)</f>
        <v>Flames of Ambition</v>
      </c>
      <c r="E8" s="3">
        <f>IF(ISERROR(VLOOKUP(A8,'ESO zones'!$D$5:$I$9956,5,FALSE)),"",VLOOKUP(A8,'ESO zones'!$D$5:$I$9956,5,FALSE))</f>
        <v>1228</v>
      </c>
      <c r="F8" s="3" t="str">
        <f>VLOOKUP(E8,'ESO zones'!$A$5:$D$9991,4,FALSE)</f>
        <v>Black Drake Villa</v>
      </c>
      <c r="G8" s="3">
        <f>VLOOKUP(E8,'ESO zones'!$A$5:$C$9956,3,FALSE)</f>
        <v>823</v>
      </c>
      <c r="H8" s="3" t="str">
        <f>VLOOKUP(G8,'ESO zones'!$A$5:$D$9991,4,FALSE)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2073</v>
      </c>
      <c r="B9" t="s">
        <v>401</v>
      </c>
      <c r="C9" s="4" t="s">
        <v>120</v>
      </c>
      <c r="D9" s="3" t="str">
        <f>VLOOKUP(C9,ConstDLCIds!$B$3:$C$1000,2,FALSE)</f>
        <v>Feast of Shadows</v>
      </c>
      <c r="E9" s="3">
        <f>IF(ISERROR(VLOOKUP(A9,'ESO zones'!$D$5:$I$9956,5,FALSE)),"",VLOOKUP(A9,'ESO zones'!$D$5:$I$9956,5,FALSE))</f>
        <v>1552</v>
      </c>
      <c r="F9" s="3" t="str">
        <f>VLOOKUP(E9,'ESO zones'!$A$5:$D$9991,4,FALSE)</f>
        <v>Black Gem Foundry</v>
      </c>
      <c r="G9" s="3">
        <f>VLOOKUP(E9,'ESO zones'!$A$5:$C$9956,3,FALSE)</f>
        <v>1502</v>
      </c>
      <c r="H9" s="3" t="str">
        <f>VLOOKUP(G9,'ESO zones'!$A$5:$D$9991,4,FALSE)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7" t="s">
        <v>700</v>
      </c>
      <c r="B10" t="s">
        <v>401</v>
      </c>
      <c r="C10" s="4" t="s">
        <v>7</v>
      </c>
      <c r="D10" s="3" t="str">
        <f>VLOOKUP(C10,ConstDLCIds!$B$3:$C$1000,2,FALSE)</f>
        <v>Included in base game</v>
      </c>
      <c r="E10" s="3">
        <f>IF(ISERROR(VLOOKUP(A10,'ESO zones'!$D$5:$I$9956,5,FALSE)),"",VLOOKUP(A10,'ESO zones'!$D$5:$I$9956,5,FALSE))</f>
        <v>38</v>
      </c>
      <c r="F10" s="3" t="str">
        <f>VLOOKUP(E10,'ESO zones'!$A$5:$D$9991,4,FALSE)</f>
        <v>Blackheart Haven</v>
      </c>
      <c r="G10" s="3">
        <f>VLOOKUP(E10,'ESO zones'!$A$5:$C$9956,3,FALSE)</f>
        <v>92</v>
      </c>
      <c r="H10" s="3" t="str">
        <f>VLOOKUP(G10,'ESO zones'!$A$5:$D$9991,4,FALSE)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7" t="s">
        <v>470</v>
      </c>
      <c r="B11" t="s">
        <v>401</v>
      </c>
      <c r="C11" s="4" t="s">
        <v>7</v>
      </c>
      <c r="D11" s="3" t="str">
        <f>VLOOKUP(C11,ConstDLCIds!$B$3:$C$1000,2,FALSE)</f>
        <v>Included in base game</v>
      </c>
      <c r="E11" s="3">
        <f>IF(ISERROR(VLOOKUP(A11,'ESO zones'!$D$5:$I$9956,5,FALSE)),"",VLOOKUP(A11,'ESO zones'!$D$5:$I$9956,5,FALSE))</f>
        <v>64</v>
      </c>
      <c r="F11" s="3" t="str">
        <f>VLOOKUP(E11,'ESO zones'!$A$5:$D$9991,4,FALSE)</f>
        <v>Blessed Crucible</v>
      </c>
      <c r="G11" s="3">
        <f>VLOOKUP(E11,'ESO zones'!$A$5:$C$9956,3,FALSE)</f>
        <v>103</v>
      </c>
      <c r="H11" s="3" t="str">
        <f>VLOOKUP(G11,'ESO zones'!$A$5:$D$9991,4,FALSE)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7" t="s">
        <v>1078</v>
      </c>
      <c r="B12" t="s">
        <v>401</v>
      </c>
      <c r="C12" s="4" t="s">
        <v>28</v>
      </c>
      <c r="D12" s="3" t="str">
        <f>VLOOKUP(C12,ConstDLCIds!$B$3:$C$1000,2,FALSE)</f>
        <v>Horns of the Reach</v>
      </c>
      <c r="E12" s="3">
        <f>IF(ISERROR(VLOOKUP(A12,'ESO zones'!$D$5:$I$9956,5,FALSE)),"",VLOOKUP(A12,'ESO zones'!$D$5:$I$9956,5,FALSE))</f>
        <v>973</v>
      </c>
      <c r="F12" s="3" t="str">
        <f>VLOOKUP(E12,'ESO zones'!$A$5:$D$9991,4,FALSE)</f>
        <v>Bloodroot Forge</v>
      </c>
      <c r="G12" s="3">
        <f>VLOOKUP(E12,'ESO zones'!$A$5:$C$9956,3,FALSE)</f>
        <v>888</v>
      </c>
      <c r="H12" s="3" t="str">
        <f>VLOOKUP(G12,'ESO zones'!$A$5:$D$9991,4,FALSE)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7" t="s">
        <v>1429</v>
      </c>
      <c r="B13" s="7" t="s">
        <v>401</v>
      </c>
      <c r="C13" s="4" t="s">
        <v>64</v>
      </c>
      <c r="D13" s="3" t="str">
        <f>VLOOKUP(C13,ConstDLCIds!$B$3:$C$1000,2,FALSE)</f>
        <v>Stonethorn</v>
      </c>
      <c r="E13" s="3">
        <f>IF(ISERROR(VLOOKUP(A13,'ESO zones'!$D$5:$I$9956,5,FALSE)),"",VLOOKUP(A13,'ESO zones'!$D$5:$I$9956,5,FALSE))</f>
        <v>1201</v>
      </c>
      <c r="F13" s="3" t="str">
        <f>VLOOKUP(E13,'ESO zones'!$A$5:$D$9991,4,FALSE)</f>
        <v>Castle Thorn</v>
      </c>
      <c r="G13" s="3">
        <f>VLOOKUP(E13,'ESO zones'!$A$5:$C$9956,3,FALSE)</f>
        <v>1160</v>
      </c>
      <c r="H13" s="3" t="str">
        <f>VLOOKUP(G13,'ESO zones'!$A$5:$D$9991,4,FALSE)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7" t="s">
        <v>703</v>
      </c>
      <c r="B14" t="s">
        <v>401</v>
      </c>
      <c r="C14" s="4" t="s">
        <v>7</v>
      </c>
      <c r="D14" s="3" t="str">
        <f>VLOOKUP(C14,ConstDLCIds!$B$3:$C$1000,2,FALSE)</f>
        <v>Included in base game</v>
      </c>
      <c r="E14" s="3">
        <f>IF(ISERROR(VLOOKUP(A14,'ESO zones'!$D$5:$I$9956,5,FALSE)),"",VLOOKUP(A14,'ESO zones'!$D$5:$I$9956,5,FALSE))</f>
        <v>176</v>
      </c>
      <c r="F14" s="3" t="str">
        <f>VLOOKUP(E14,'ESO zones'!$A$5:$D$9991,4,FALSE)</f>
        <v>City of Ash I</v>
      </c>
      <c r="G14" s="3">
        <f>VLOOKUP(E14,'ESO zones'!$A$5:$C$9956,3,FALSE)</f>
        <v>108</v>
      </c>
      <c r="H14" s="3" t="str">
        <f>VLOOKUP(G14,'ESO zones'!$A$5:$D$9991,4,FALSE)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7" t="s">
        <v>744</v>
      </c>
      <c r="B15" t="s">
        <v>401</v>
      </c>
      <c r="C15" s="4" t="s">
        <v>7</v>
      </c>
      <c r="D15" s="3" t="str">
        <f>VLOOKUP(C15,ConstDLCIds!$B$3:$C$1000,2,FALSE)</f>
        <v>Included in base game</v>
      </c>
      <c r="E15" s="3">
        <f>IF(ISERROR(VLOOKUP(A15,'ESO zones'!$D$5:$I$9956,5,FALSE)),"",VLOOKUP(A15,'ESO zones'!$D$5:$I$9956,5,FALSE))</f>
        <v>681</v>
      </c>
      <c r="F15" s="3" t="str">
        <f>VLOOKUP(E15,'ESO zones'!$A$5:$D$9991,4,FALSE)</f>
        <v>City of Ash II</v>
      </c>
      <c r="G15" s="3">
        <f>VLOOKUP(E15,'ESO zones'!$A$5:$C$9956,3,FALSE)</f>
        <v>108</v>
      </c>
      <c r="H15" s="3" t="str">
        <f>VLOOKUP(G15,'ESO zones'!$A$5:$D$9991,4,FALSE)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7" t="s">
        <v>1179</v>
      </c>
      <c r="B16" t="s">
        <v>1120</v>
      </c>
      <c r="C16" s="4" t="s">
        <v>37</v>
      </c>
      <c r="D16" s="3" t="str">
        <f>VLOOKUP(C16,ConstDLCIds!$B$3:$C$1000,2,FALSE)</f>
        <v>Summerset</v>
      </c>
      <c r="E16" s="3">
        <f>IF(ISERROR(VLOOKUP(A16,'ESO zones'!$D$5:$I$9956,5,FALSE)),"",VLOOKUP(A16,'ESO zones'!$D$5:$I$9956,5,FALSE))</f>
        <v>1051</v>
      </c>
      <c r="F16" s="3" t="str">
        <f>VLOOKUP(E16,'ESO zones'!$A$5:$D$9991,4,FALSE)</f>
        <v>Cloudrest</v>
      </c>
      <c r="G16" s="3">
        <f>VLOOKUP(E16,'ESO zones'!$A$5:$C$9956,3,FALSE)</f>
        <v>1011</v>
      </c>
      <c r="H16" s="3" t="str">
        <f>VLOOKUP(G16,'ESO zones'!$A$5:$D$9991,4,FALSE)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 t="s">
        <v>1658</v>
      </c>
      <c r="B17" s="7" t="s">
        <v>401</v>
      </c>
      <c r="C17" s="4" t="s">
        <v>82</v>
      </c>
      <c r="D17" s="3" t="str">
        <f>VLOOKUP(C17,ConstDLCIds!$B$3:$C$1000,2,FALSE)</f>
        <v>Ascending Tide</v>
      </c>
      <c r="E17" s="3">
        <f>IF(ISERROR(VLOOKUP(A17,'ESO zones'!$D$5:$I$9956,5,FALSE)),"",VLOOKUP(A17,'ESO zones'!$D$5:$I$9956,5,FALSE))</f>
        <v>1301</v>
      </c>
      <c r="F17" s="3" t="str">
        <f>VLOOKUP(E17,'ESO zones'!$A$5:$D$9991,4,FALSE)</f>
        <v>Coral Aerie</v>
      </c>
      <c r="G17" s="3">
        <f>VLOOKUP(E17,'ESO zones'!$A$5:$C$9956,3,FALSE)</f>
        <v>1011</v>
      </c>
      <c r="H17" s="3" t="str">
        <f>VLOOKUP(G17,'ESO zones'!$A$5:$D$9991,4,FALSE)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7" t="s">
        <v>894</v>
      </c>
      <c r="B18" t="s">
        <v>401</v>
      </c>
      <c r="C18" s="4" t="s">
        <v>22</v>
      </c>
      <c r="D18" s="3" t="str">
        <f>VLOOKUP(C18,ConstDLCIds!$B$3:$C$1000,2,FALSE)</f>
        <v>Shadows of the Hist</v>
      </c>
      <c r="E18" s="3">
        <f>IF(ISERROR(VLOOKUP(A18,'ESO zones'!$D$5:$I$9956,5,FALSE)),"",VLOOKUP(A18,'ESO zones'!$D$5:$I$9956,5,FALSE))</f>
        <v>848</v>
      </c>
      <c r="F18" s="3" t="str">
        <f>VLOOKUP(E18,'ESO zones'!$A$5:$D$9991,4,FALSE)</f>
        <v>Cradle of Shadows</v>
      </c>
      <c r="G18" s="3">
        <f>VLOOKUP(E18,'ESO zones'!$A$5:$C$9956,3,FALSE)</f>
        <v>117</v>
      </c>
      <c r="H18" s="3" t="str">
        <f>VLOOKUP(G18,'ESO zones'!$A$5:$D$9991,4,FALSE)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7" t="s">
        <v>634</v>
      </c>
      <c r="B19" t="s">
        <v>401</v>
      </c>
      <c r="C19" s="4" t="s">
        <v>7</v>
      </c>
      <c r="D19" s="3" t="str">
        <f>VLOOKUP(C19,ConstDLCIds!$B$3:$C$1000,2,FALSE)</f>
        <v>Included in base game</v>
      </c>
      <c r="E19" s="3">
        <f>IF(ISERROR(VLOOKUP(A19,'ESO zones'!$D$5:$I$9956,5,FALSE)),"",VLOOKUP(A19,'ESO zones'!$D$5:$I$9956,5,FALSE))</f>
        <v>130</v>
      </c>
      <c r="F19" s="3" t="str">
        <f>VLOOKUP(E19,'ESO zones'!$A$5:$D$9991,4,FALSE)</f>
        <v>Crypt of Hearts I</v>
      </c>
      <c r="G19" s="3">
        <f>VLOOKUP(E19,'ESO zones'!$A$5:$C$9956,3,FALSE)</f>
        <v>20</v>
      </c>
      <c r="H19" s="3" t="str">
        <f>VLOOKUP(G19,'ESO zones'!$A$5:$D$9991,4,FALSE)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7" t="s">
        <v>742</v>
      </c>
      <c r="B20" t="s">
        <v>401</v>
      </c>
      <c r="C20" s="4" t="s">
        <v>7</v>
      </c>
      <c r="D20" s="3" t="str">
        <f>VLOOKUP(C20,ConstDLCIds!$B$3:$C$1000,2,FALSE)</f>
        <v>Included in base game</v>
      </c>
      <c r="E20" s="3">
        <f>IF(ISERROR(VLOOKUP(A20,'ESO zones'!$D$5:$I$9956,5,FALSE)),"",VLOOKUP(A20,'ESO zones'!$D$5:$I$9956,5,FALSE))</f>
        <v>932</v>
      </c>
      <c r="F20" s="3" t="str">
        <f>VLOOKUP(E20,'ESO zones'!$A$5:$D$9991,4,FALSE)</f>
        <v>Crypt of Hearts II</v>
      </c>
      <c r="G20" s="3">
        <f>VLOOKUP(E20,'ESO zones'!$A$5:$C$9956,3,FALSE)</f>
        <v>20</v>
      </c>
      <c r="H20" s="3" t="str">
        <f>VLOOKUP(G20,'ESO zones'!$A$5:$D$9991,4,FALSE)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7" t="s">
        <v>582</v>
      </c>
      <c r="B21" t="s">
        <v>401</v>
      </c>
      <c r="C21" s="4" t="s">
        <v>7</v>
      </c>
      <c r="D21" s="3" t="str">
        <f>VLOOKUP(C21,ConstDLCIds!$B$3:$C$1000,2,FALSE)</f>
        <v>Included in base game</v>
      </c>
      <c r="E21" s="3">
        <f>IF(ISERROR(VLOOKUP(A21,'ESO zones'!$D$5:$I$9956,5,FALSE)),"",VLOOKUP(A21,'ESO zones'!$D$5:$I$9956,5,FALSE))</f>
        <v>63</v>
      </c>
      <c r="F21" s="3" t="str">
        <f>VLOOKUP(E21,'ESO zones'!$A$5:$D$9991,4,FALSE)</f>
        <v>Darkshade Caverns I</v>
      </c>
      <c r="G21" s="3">
        <f>VLOOKUP(E21,'ESO zones'!$A$5:$C$9956,3,FALSE)</f>
        <v>57</v>
      </c>
      <c r="H21" s="3" t="str">
        <f>VLOOKUP(G21,'ESO zones'!$A$5:$D$9991,4,FALSE)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7" t="s">
        <v>732</v>
      </c>
      <c r="B22" t="s">
        <v>401</v>
      </c>
      <c r="C22" s="4" t="s">
        <v>7</v>
      </c>
      <c r="D22" s="3" t="str">
        <f>VLOOKUP(C22,ConstDLCIds!$B$3:$C$1000,2,FALSE)</f>
        <v>Included in base game</v>
      </c>
      <c r="E22" s="3">
        <f>IF(ISERROR(VLOOKUP(A22,'ESO zones'!$D$5:$I$9956,5,FALSE)),"",VLOOKUP(A22,'ESO zones'!$D$5:$I$9956,5,FALSE))</f>
        <v>930</v>
      </c>
      <c r="F22" s="3" t="str">
        <f>VLOOKUP(E22,'ESO zones'!$A$5:$D$9991,4,FALSE)</f>
        <v>Darkshade Caverns II</v>
      </c>
      <c r="G22" s="3">
        <f>VLOOKUP(E22,'ESO zones'!$A$5:$C$9956,3,FALSE)</f>
        <v>57</v>
      </c>
      <c r="H22" s="3" t="str">
        <f>VLOOKUP(G22,'ESO zones'!$A$5:$D$9991,4,FALSE)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7" t="s">
        <v>1272</v>
      </c>
      <c r="B23" t="s">
        <v>401</v>
      </c>
      <c r="C23" s="4" t="s">
        <v>46</v>
      </c>
      <c r="D23" s="3" t="str">
        <f>VLOOKUP(C23,ConstDLCIds!$B$3:$C$1000,2,FALSE)</f>
        <v>Wrathstone</v>
      </c>
      <c r="E23" s="3">
        <f>IF(ISERROR(VLOOKUP(A23,'ESO zones'!$D$5:$I$9956,5,FALSE)),"",VLOOKUP(A23,'ESO zones'!$D$5:$I$9956,5,FALSE))</f>
        <v>1081</v>
      </c>
      <c r="F23" s="3" t="str">
        <f>VLOOKUP(E23,'ESO zones'!$A$5:$D$9991,4,FALSE)</f>
        <v>Depths of Malatar</v>
      </c>
      <c r="G23" s="3">
        <f>VLOOKUP(E23,'ESO zones'!$A$5:$C$9956,3,FALSE)</f>
        <v>823</v>
      </c>
      <c r="H23" s="3" t="str">
        <f>VLOOKUP(G23,'ESO zones'!$A$5:$D$9991,4,FALSE)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7" t="s">
        <v>485</v>
      </c>
      <c r="B24" t="s">
        <v>401</v>
      </c>
      <c r="C24" s="4" t="s">
        <v>7</v>
      </c>
      <c r="D24" s="3" t="str">
        <f>VLOOKUP(C24,ConstDLCIds!$B$3:$C$1000,2,FALSE)</f>
        <v>Included in base game</v>
      </c>
      <c r="E24" s="3">
        <f>IF(ISERROR(VLOOKUP(A24,'ESO zones'!$D$5:$I$9956,5,FALSE)),"",VLOOKUP(A24,'ESO zones'!$D$5:$I$9956,5,FALSE))</f>
        <v>449</v>
      </c>
      <c r="F24" s="3" t="str">
        <f>VLOOKUP(E24,'ESO zones'!$A$5:$D$9991,4,FALSE)</f>
        <v>Direfrost Keep</v>
      </c>
      <c r="G24" s="3">
        <f>VLOOKUP(E24,'ESO zones'!$A$5:$C$9956,3,FALSE)</f>
        <v>101</v>
      </c>
      <c r="H24" s="3" t="str">
        <f>VLOOKUP(G24,'ESO zones'!$A$5:$D$9991,4,FALSE)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7" t="s">
        <v>1621</v>
      </c>
      <c r="B25" s="7" t="s">
        <v>401</v>
      </c>
      <c r="C25" s="4" t="s">
        <v>76</v>
      </c>
      <c r="D25" s="3" t="str">
        <f>VLOOKUP(C25,ConstDLCIds!$B$3:$C$1000,2,FALSE)</f>
        <v>Waking Flame</v>
      </c>
      <c r="E25" s="3">
        <f>IF(ISERROR(VLOOKUP(A25,'ESO zones'!$D$5:$I$9956,5,FALSE)),"",VLOOKUP(A25,'ESO zones'!$D$5:$I$9956,5,FALSE))</f>
        <v>1268</v>
      </c>
      <c r="F25" s="3" t="str">
        <f>VLOOKUP(E25,'ESO zones'!$A$5:$D$9991,4,FALSE)</f>
        <v>The Dread Cellar</v>
      </c>
      <c r="G25" s="3">
        <f>VLOOKUP(E25,'ESO zones'!$A$5:$C$9956,3,FALSE)</f>
        <v>1261</v>
      </c>
      <c r="H25" s="3" t="str">
        <f>VLOOKUP(G25,'ESO zones'!$A$5:$D$9991,4,FALSE)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1723</v>
      </c>
      <c r="B26" s="7" t="s">
        <v>1120</v>
      </c>
      <c r="C26" s="4" t="s">
        <v>85</v>
      </c>
      <c r="D26" s="3" t="str">
        <f>VLOOKUP(C26,ConstDLCIds!$B$3:$C$1000,2,FALSE)</f>
        <v>High Isle</v>
      </c>
      <c r="E26" s="3">
        <f>IF(ISERROR(VLOOKUP(A26,'ESO zones'!$D$5:$I$9956,5,FALSE)),"",VLOOKUP(A26,'ESO zones'!$D$5:$I$9956,5,FALSE))</f>
        <v>1344</v>
      </c>
      <c r="F26" s="3" t="str">
        <f>VLOOKUP(E26,'ESO zones'!$A$5:$D$9991,4,FALSE)</f>
        <v>Dreadsail Reef</v>
      </c>
      <c r="G26" s="3">
        <f>VLOOKUP(E26,'ESO zones'!$A$5:$C$9956,3,FALSE)</f>
        <v>1318</v>
      </c>
      <c r="H26" s="3" t="str">
        <f>VLOOKUP(G26,'ESO zones'!$A$5:$D$9991,4,FALSE)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 t="s">
        <v>1789</v>
      </c>
      <c r="B27" s="7" t="s">
        <v>401</v>
      </c>
      <c r="C27" s="4" t="s">
        <v>88</v>
      </c>
      <c r="D27" s="3" t="str">
        <f>VLOOKUP(C27,ConstDLCIds!$B$3:$C$1000,2,FALSE)</f>
        <v>Lost Depths</v>
      </c>
      <c r="E27" s="3">
        <f>IF(ISERROR(VLOOKUP(A27,'ESO zones'!$D$5:$I$9956,5,FALSE)),"",VLOOKUP(A27,'ESO zones'!$D$5:$I$9956,5,FALSE))</f>
        <v>1360</v>
      </c>
      <c r="F27" s="3" t="str">
        <f>VLOOKUP(E27,'ESO zones'!$A$5:$D$9991,4,FALSE)</f>
        <v>Earthen Root Enclave</v>
      </c>
      <c r="G27" s="3">
        <f>VLOOKUP(E27,'ESO zones'!$A$5:$C$9956,3,FALSE)</f>
        <v>1318</v>
      </c>
      <c r="H27" s="3" t="str">
        <f>VLOOKUP(G27,'ESO zones'!$A$5:$D$9991,4,FALSE)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7" t="s">
        <v>428</v>
      </c>
      <c r="B28" t="s">
        <v>401</v>
      </c>
      <c r="C28" s="4" t="s">
        <v>7</v>
      </c>
      <c r="D28" s="3" t="str">
        <f>VLOOKUP(C28,ConstDLCIds!$B$3:$C$1000,2,FALSE)</f>
        <v>Included in base game</v>
      </c>
      <c r="E28" s="3">
        <f>IF(ISERROR(VLOOKUP(A28,'ESO zones'!$D$5:$I$9956,5,FALSE)),"",VLOOKUP(A28,'ESO zones'!$D$5:$I$9956,5,FALSE))</f>
        <v>126</v>
      </c>
      <c r="F28" s="3" t="str">
        <f>VLOOKUP(E28,'ESO zones'!$A$5:$D$9991,4,FALSE)</f>
        <v>Elden Hollow I</v>
      </c>
      <c r="G28" s="3">
        <f>VLOOKUP(E28,'ESO zones'!$A$5:$C$9956,3,FALSE)</f>
        <v>383</v>
      </c>
      <c r="H28" s="3" t="str">
        <f>VLOOKUP(G28,'ESO zones'!$A$5:$D$9991,4,FALSE)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7" t="s">
        <v>737</v>
      </c>
      <c r="B29" t="s">
        <v>401</v>
      </c>
      <c r="C29" s="4" t="s">
        <v>7</v>
      </c>
      <c r="D29" s="3" t="str">
        <f>VLOOKUP(C29,ConstDLCIds!$B$3:$C$1000,2,FALSE)</f>
        <v>Included in base game</v>
      </c>
      <c r="E29" s="3">
        <f>IF(ISERROR(VLOOKUP(A29,'ESO zones'!$D$5:$I$9956,5,FALSE)),"",VLOOKUP(A29,'ESO zones'!$D$5:$I$9956,5,FALSE))</f>
        <v>931</v>
      </c>
      <c r="F29" s="3" t="str">
        <f>VLOOKUP(E29,'ESO zones'!$A$5:$D$9991,4,FALSE)</f>
        <v>Elden Hollow II</v>
      </c>
      <c r="G29" s="3">
        <f>VLOOKUP(E29,'ESO zones'!$A$5:$C$9956,3,FALSE)</f>
        <v>383</v>
      </c>
      <c r="H29" s="3" t="str">
        <f>VLOOKUP(G29,'ESO zones'!$A$5:$D$9991,4,FALSE)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7" t="s">
        <v>1930</v>
      </c>
      <c r="B30" s="7" t="s">
        <v>401</v>
      </c>
      <c r="C30" s="4" t="s">
        <v>94</v>
      </c>
      <c r="D30" s="3" t="str">
        <f>VLOOKUP(C30,ConstDLCIds!$B$3:$C$1000,2,FALSE)</f>
        <v>Scribes of Fate</v>
      </c>
      <c r="E30" s="3">
        <f>IF(ISERROR(VLOOKUP(A30,'ESO zones'!$D$5:$I$9956,5,FALSE)),"",VLOOKUP(A30,'ESO zones'!$D$5:$I$9956,5,FALSE))</f>
        <v>1436</v>
      </c>
      <c r="F30" s="3" t="str">
        <f>VLOOKUP(E30,'ESO zones'!$A$5:$D$9991,4,FALSE)</f>
        <v>Infinite Archive</v>
      </c>
      <c r="G30" s="3">
        <f>VLOOKUP(E30,'ESO zones'!$A$5:$C$9956,3,FALSE)</f>
        <v>1413</v>
      </c>
      <c r="H30" s="3" t="str">
        <f>VLOOKUP(G30,'ESO zones'!$A$5:$D$9991,4,FALSE)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t="s">
        <v>2149</v>
      </c>
      <c r="B31" t="s">
        <v>401</v>
      </c>
      <c r="C31" s="4" t="s">
        <v>114</v>
      </c>
      <c r="D31" s="3" t="str">
        <f>VLOOKUP(C31,ConstDLCIds!$B$3:$C$1000,2,FALSE)</f>
        <v>Fallen Banners</v>
      </c>
      <c r="E31" s="3">
        <f>IF(ISERROR(VLOOKUP(A31,'ESO zones'!$D$5:$I$9956,5,FALSE)),"",VLOOKUP(A31,'ESO zones'!$D$5:$I$9956,5,FALSE))</f>
        <v>1496</v>
      </c>
      <c r="F31" s="3" t="str">
        <f>VLOOKUP(E31,'ESO zones'!$A$5:$D$9991,4,FALSE)</f>
        <v>Exiled Redoubt</v>
      </c>
      <c r="G31" s="3">
        <f>VLOOKUP(E31,'ESO zones'!$A$5:$C$9956,3,FALSE)</f>
        <v>1443</v>
      </c>
      <c r="H31" s="3" t="str">
        <f>VLOOKUP(G31,'ESO zones'!$A$5:$D$9991,4,FALSE)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7" t="s">
        <v>1071</v>
      </c>
      <c r="B32" t="s">
        <v>401</v>
      </c>
      <c r="C32" s="4" t="s">
        <v>28</v>
      </c>
      <c r="D32" s="3" t="str">
        <f>VLOOKUP(C32,ConstDLCIds!$B$3:$C$1000,2,FALSE)</f>
        <v>Horns of the Reach</v>
      </c>
      <c r="E32" s="3">
        <f>IF(ISERROR(VLOOKUP(A32,'ESO zones'!$D$5:$I$9956,5,FALSE)),"",VLOOKUP(A32,'ESO zones'!$D$5:$I$9956,5,FALSE))</f>
        <v>974</v>
      </c>
      <c r="F32" s="3" t="str">
        <f>VLOOKUP(E32,'ESO zones'!$A$5:$D$9991,4,FALSE)</f>
        <v>Falkreath Hold</v>
      </c>
      <c r="G32" s="3">
        <f>VLOOKUP(E32,'ESO zones'!$A$5:$C$9956,3,FALSE)</f>
        <v>888</v>
      </c>
      <c r="H32" s="3" t="str">
        <f>VLOOKUP(G32,'ESO zones'!$A$5:$D$9991,4,FALSE)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7" t="s">
        <v>1092</v>
      </c>
      <c r="B33" t="s">
        <v>401</v>
      </c>
      <c r="C33" s="4" t="s">
        <v>34</v>
      </c>
      <c r="D33" s="3" t="str">
        <f>VLOOKUP(C33,ConstDLCIds!$B$3:$C$1000,2,FALSE)</f>
        <v>Dragon Bones</v>
      </c>
      <c r="E33" s="3">
        <f>IF(ISERROR(VLOOKUP(A33,'ESO zones'!$D$5:$I$9956,5,FALSE)),"",VLOOKUP(A33,'ESO zones'!$D$5:$I$9956,5,FALSE))</f>
        <v>1009</v>
      </c>
      <c r="F33" s="3" t="str">
        <f>VLOOKUP(E33,'ESO zones'!$A$5:$D$9991,4,FALSE)</f>
        <v>Fang Lair</v>
      </c>
      <c r="G33" s="3">
        <f>VLOOKUP(E33,'ESO zones'!$A$5:$C$9956,3,FALSE)</f>
        <v>92</v>
      </c>
      <c r="H33" s="3" t="str">
        <f>VLOOKUP(G33,'ESO zones'!$A$5:$D$9991,4,FALSE)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7" t="s">
        <v>1261</v>
      </c>
      <c r="B34" t="s">
        <v>401</v>
      </c>
      <c r="C34" s="4" t="s">
        <v>46</v>
      </c>
      <c r="D34" s="3" t="str">
        <f>VLOOKUP(C34,ConstDLCIds!$B$3:$C$1000,2,FALSE)</f>
        <v>Wrathstone</v>
      </c>
      <c r="E34" s="3">
        <f>IF(ISERROR(VLOOKUP(A34,'ESO zones'!$D$5:$I$9956,5,FALSE)),"",VLOOKUP(A34,'ESO zones'!$D$5:$I$9956,5,FALSE))</f>
        <v>1080</v>
      </c>
      <c r="F34" s="3" t="str">
        <f>VLOOKUP(E34,'ESO zones'!$A$5:$D$9991,4,FALSE)</f>
        <v>Frostvault</v>
      </c>
      <c r="G34" s="3">
        <f>VLOOKUP(E34,'ESO zones'!$A$5:$C$9956,3,FALSE)</f>
        <v>101</v>
      </c>
      <c r="H34" s="3" t="str">
        <f>VLOOKUP(G34,'ESO zones'!$A$5:$D$9991,4,FALSE)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7" t="s">
        <v>445</v>
      </c>
      <c r="B35" t="s">
        <v>401</v>
      </c>
      <c r="C35" s="4" t="s">
        <v>7</v>
      </c>
      <c r="D35" s="3" t="str">
        <f>VLOOKUP(C35,ConstDLCIds!$B$3:$C$1000,2,FALSE)</f>
        <v>Included in base game</v>
      </c>
      <c r="E35" s="3">
        <f>IF(ISERROR(VLOOKUP(A35,'ESO zones'!$D$5:$I$9956,5,FALSE)),"",VLOOKUP(A35,'ESO zones'!$D$5:$I$9956,5,FALSE))</f>
        <v>283</v>
      </c>
      <c r="F35" s="3" t="str">
        <f>VLOOKUP(E35,'ESO zones'!$A$5:$D$9991,4,FALSE)</f>
        <v>Fungal Grotto I</v>
      </c>
      <c r="G35" s="3">
        <f>VLOOKUP(E35,'ESO zones'!$A$5:$C$9956,3,FALSE)</f>
        <v>41</v>
      </c>
      <c r="H35" s="3" t="str">
        <f>VLOOKUP(G35,'ESO zones'!$A$5:$D$9991,4,FALSE)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ref="S35:S66" si="1">"["&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x14ac:dyDescent="0.25">
      <c r="A36" s="7" t="s">
        <v>713</v>
      </c>
      <c r="B36" t="s">
        <v>401</v>
      </c>
      <c r="C36" s="4" t="s">
        <v>7</v>
      </c>
      <c r="D36" s="3" t="str">
        <f>VLOOKUP(C36,ConstDLCIds!$B$3:$C$1000,2,FALSE)</f>
        <v>Included in base game</v>
      </c>
      <c r="E36" s="3">
        <f>IF(ISERROR(VLOOKUP(A36,'ESO zones'!$D$5:$I$9956,5,FALSE)),"",VLOOKUP(A36,'ESO zones'!$D$5:$I$9956,5,FALSE))</f>
        <v>934</v>
      </c>
      <c r="F36" s="3" t="str">
        <f>VLOOKUP(E36,'ESO zones'!$A$5:$D$9991,4,FALSE)</f>
        <v>Fungal Grotto II</v>
      </c>
      <c r="G36" s="3">
        <f>VLOOKUP(E36,'ESO zones'!$A$5:$C$9956,3,FALSE)</f>
        <v>41</v>
      </c>
      <c r="H36" s="3" t="str">
        <f>VLOOKUP(G36,'ESO zones'!$A$5:$D$9991,4,FALSE)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1"/>
        <v>[934]={parentZoneId=41,dungeonFinderId={[false]=18,[true]=312},achievementId={[false]=1562,[true]=343},hardMode=342,speedRun=340,noDeath=1563,wayshrine=266},   --Fungal Grotto II</v>
      </c>
    </row>
    <row r="37" spans="1:19" x14ac:dyDescent="0.25">
      <c r="A37" s="7" t="s">
        <v>1796</v>
      </c>
      <c r="B37" s="7" t="s">
        <v>401</v>
      </c>
      <c r="C37" s="4" t="s">
        <v>88</v>
      </c>
      <c r="D37" s="3" t="str">
        <f>VLOOKUP(C37,ConstDLCIds!$B$3:$C$1000,2,FALSE)</f>
        <v>Lost Depths</v>
      </c>
      <c r="E37" s="3">
        <f>IF(ISERROR(VLOOKUP(A37,'ESO zones'!$D$5:$I$9956,5,FALSE)),"",VLOOKUP(A37,'ESO zones'!$D$5:$I$9956,5,FALSE))</f>
        <v>1361</v>
      </c>
      <c r="F37" s="3" t="str">
        <f>VLOOKUP(E37,'ESO zones'!$A$5:$D$9991,4,FALSE)</f>
        <v>Graven Deep</v>
      </c>
      <c r="G37" s="3">
        <f>VLOOKUP(E37,'ESO zones'!$A$5:$C$9956,3,FALSE)</f>
        <v>1318</v>
      </c>
      <c r="H37" s="3" t="str">
        <f>VLOOKUP(G37,'ESO zones'!$A$5:$D$9991,4,FALSE)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1"/>
        <v>[1361]={parentZoneId=1318,dungeonFinderId={[false]=610,[true]=611},achievementId={[false]=3394,[true]=3395},motif=3423,hardMode=3396,speedRun=3397,noDeath=3398,trifecta=3400,wayshrine=521},   --Graven Deep</v>
      </c>
    </row>
    <row r="38" spans="1:19" x14ac:dyDescent="0.25">
      <c r="A38" s="7" t="s">
        <v>1060</v>
      </c>
      <c r="B38" t="s">
        <v>1120</v>
      </c>
      <c r="C38" s="4" t="s">
        <v>31</v>
      </c>
      <c r="D38" s="3" t="str">
        <f>VLOOKUP(C38,ConstDLCIds!$B$3:$C$1000,2,FALSE)</f>
        <v>Clockwork City</v>
      </c>
      <c r="E38" s="3">
        <f>IF(ISERROR(VLOOKUP(A38,'ESO zones'!$D$5:$I$9956,5,FALSE)),"",VLOOKUP(A38,'ESO zones'!$D$5:$I$9956,5,FALSE))</f>
        <v>975</v>
      </c>
      <c r="F38" s="3" t="str">
        <f>VLOOKUP(E38,'ESO zones'!$A$5:$D$9991,4,FALSE)</f>
        <v>Halls of Fabrication</v>
      </c>
      <c r="G38" s="3">
        <f>VLOOKUP(E38,'ESO zones'!$A$5:$C$9956,3,FALSE)</f>
        <v>849</v>
      </c>
      <c r="H38" s="3" t="str">
        <f>VLOOKUP(G38,'ESO zones'!$A$5:$D$9991,4,FALSE)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1"/>
        <v>[975]={parentZoneId=849,isTrial=true},   --Halls of Fabrication</v>
      </c>
    </row>
    <row r="39" spans="1:19" x14ac:dyDescent="0.25">
      <c r="A39" s="7" t="s">
        <v>666</v>
      </c>
      <c r="B39" t="s">
        <v>1120</v>
      </c>
      <c r="C39" s="4" t="s">
        <v>7</v>
      </c>
      <c r="D39" s="3" t="str">
        <f>VLOOKUP(C39,ConstDLCIds!$B$3:$C$1000,2,FALSE)</f>
        <v>Included in base game</v>
      </c>
      <c r="E39" s="3">
        <f>IF(ISERROR(VLOOKUP(A39,'ESO zones'!$D$5:$I$9956,5,FALSE)),"",VLOOKUP(A39,'ESO zones'!$D$5:$I$9956,5,FALSE))</f>
        <v>636</v>
      </c>
      <c r="F39" s="3" t="str">
        <f>VLOOKUP(E39,'ESO zones'!$A$5:$D$9991,4,FALSE)</f>
        <v>Hel Ra Citadel</v>
      </c>
      <c r="G39" s="3">
        <f>VLOOKUP(E39,'ESO zones'!$A$5:$C$9956,3,FALSE)</f>
        <v>888</v>
      </c>
      <c r="H39" s="3" t="str">
        <f>VLOOKUP(G39,'ESO zones'!$A$5:$D$9991,4,FALSE)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1"/>
        <v>[636]={parentZoneId=888,isTrial=true},   --Hel Ra Citadel</v>
      </c>
    </row>
    <row r="40" spans="1:19" x14ac:dyDescent="0.25">
      <c r="A40" s="7" t="s">
        <v>1342</v>
      </c>
      <c r="B40" s="7" t="s">
        <v>401</v>
      </c>
      <c r="C40" s="4" t="s">
        <v>58</v>
      </c>
      <c r="D40" s="3" t="str">
        <f>VLOOKUP(C40,ConstDLCIds!$B$3:$C$1000,2,FALSE)</f>
        <v>Harrowstorm</v>
      </c>
      <c r="E40" s="3">
        <f>IF(ISERROR(VLOOKUP(A40,'ESO zones'!$D$5:$I$9956,5,FALSE)),"",VLOOKUP(A40,'ESO zones'!$D$5:$I$9956,5,FALSE))</f>
        <v>1152</v>
      </c>
      <c r="F40" s="3" t="str">
        <f>VLOOKUP(E40,'ESO zones'!$A$5:$D$9991,4,FALSE)</f>
        <v>Icereach</v>
      </c>
      <c r="G40" s="3">
        <f>VLOOKUP(E40,'ESO zones'!$A$5:$C$9956,3,FALSE)</f>
        <v>684</v>
      </c>
      <c r="H40" s="3" t="str">
        <f>VLOOKUP(G40,'ESO zones'!$A$5:$D$9991,4,FALSE)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1"/>
        <v>[1152]={parentZoneId=684,dungeonFinderId={[false]=503,[true]=504},achievementId={[false]=2539,[true]=2540},motif=2747,hardMode=2541,speedRun=2542,noDeath=2543,trifecta=2546,wayshrine=424},   --Icereach</v>
      </c>
    </row>
    <row r="41" spans="1:19" x14ac:dyDescent="0.25">
      <c r="A41" s="7" t="s">
        <v>722</v>
      </c>
      <c r="B41" t="s">
        <v>401</v>
      </c>
      <c r="C41" s="4" t="s">
        <v>10</v>
      </c>
      <c r="D41" s="3" t="str">
        <f>VLOOKUP(C41,ConstDLCIds!$B$3:$C$1000,2,FALSE)</f>
        <v>Imperial City</v>
      </c>
      <c r="E41" s="3">
        <f>IF(ISERROR(VLOOKUP(A41,'ESO zones'!$D$5:$I$9956,5,FALSE)),"",VLOOKUP(A41,'ESO zones'!$D$5:$I$9956,5,FALSE))</f>
        <v>678</v>
      </c>
      <c r="F41" s="3" t="str">
        <f>VLOOKUP(E41,'ESO zones'!$A$5:$D$9991,4,FALSE)</f>
        <v>Imperial City Prison</v>
      </c>
      <c r="G41" s="3">
        <f>VLOOKUP(E41,'ESO zones'!$A$5:$C$9956,3,FALSE)</f>
        <v>584</v>
      </c>
      <c r="H41" s="3" t="str">
        <f>VLOOKUP(G41,'ESO zones'!$A$5:$D$9991,4,FALSE)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1"/>
        <v>[678]={parentZoneId=584,dungeonFinderId={[false]=289,[true]=268},achievementId={[false]=1345,[true]=880},hardMode=1303,speedRun=1128,noDeath=1129,wayshrine=236},   --Imperial City Prison</v>
      </c>
    </row>
    <row r="42" spans="1:19" x14ac:dyDescent="0.25">
      <c r="A42" s="7" t="s">
        <v>1383</v>
      </c>
      <c r="B42" s="7" t="s">
        <v>401</v>
      </c>
      <c r="C42" s="4" t="s">
        <v>61</v>
      </c>
      <c r="D42" s="3" t="str">
        <f>VLOOKUP(C42,ConstDLCIds!$B$3:$C$1000,2,FALSE)</f>
        <v>Greymoor</v>
      </c>
      <c r="E42" s="3">
        <f>IF(ISERROR(VLOOKUP(A42,'ESO zones'!$D$5:$I$9956,5,FALSE)),"",VLOOKUP(A42,'ESO zones'!$D$5:$I$9956,5,FALSE))</f>
        <v>1196</v>
      </c>
      <c r="F42" s="3" t="str">
        <f>VLOOKUP(E42,'ESO zones'!$A$5:$D$9991,4,FALSE)</f>
        <v>Kyne's Aegis</v>
      </c>
      <c r="G42" s="3">
        <f>VLOOKUP(E42,'ESO zones'!$A$5:$C$9956,3,FALSE)</f>
        <v>1160</v>
      </c>
      <c r="H42" s="3" t="str">
        <f>VLOOKUP(G42,'ESO zones'!$A$5:$D$9991,4,FALSE)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1"/>
        <v>[1196]={parentZoneId=1160},   --Kyne's Aegis</v>
      </c>
    </row>
    <row r="43" spans="1:19" x14ac:dyDescent="0.25">
      <c r="A43" s="7" t="s">
        <v>1320</v>
      </c>
      <c r="B43" s="7" t="s">
        <v>401</v>
      </c>
      <c r="C43" s="4" t="s">
        <v>52</v>
      </c>
      <c r="D43" s="3" t="str">
        <f>VLOOKUP(C43,ConstDLCIds!$B$3:$C$1000,2,FALSE)</f>
        <v>Scalebraker</v>
      </c>
      <c r="E43" s="3">
        <f>IF(ISERROR(VLOOKUP(A43,'ESO zones'!$D$5:$I$9956,5,FALSE)),"",VLOOKUP(A43,'ESO zones'!$D$5:$I$9956,5,FALSE))</f>
        <v>1123</v>
      </c>
      <c r="F43" s="3" t="str">
        <f>VLOOKUP(E43,'ESO zones'!$A$5:$D$9991,4,FALSE)</f>
        <v>Lair of Maarselok</v>
      </c>
      <c r="G43" s="3">
        <f>VLOOKUP(E43,'ESO zones'!$A$5:$C$9956,3,FALSE)</f>
        <v>383</v>
      </c>
      <c r="H43" s="3" t="str">
        <f>VLOOKUP(G43,'ESO zones'!$A$5:$D$9991,4,FALSE)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1"/>
        <v>[1123]={parentZoneId=383,dungeonFinderId={[false]=496,[true]=497},achievementId={[false]=2425,[true]=2426},motif=2629,hardMode=2427,speedRun=2428,noDeath=2429,trifecta=2431,wayshrine=398},   --Lair of Maarselok</v>
      </c>
    </row>
    <row r="44" spans="1:19" x14ac:dyDescent="0.25">
      <c r="A44" t="s">
        <v>2150</v>
      </c>
      <c r="B44" t="s">
        <v>401</v>
      </c>
      <c r="C44" s="4" t="s">
        <v>114</v>
      </c>
      <c r="D44" s="3" t="str">
        <f>VLOOKUP(C44,ConstDLCIds!$B$3:$C$1000,2,FALSE)</f>
        <v>Fallen Banners</v>
      </c>
      <c r="E44" s="3">
        <f>IF(ISERROR(VLOOKUP(A44,'ESO zones'!$D$5:$I$9956,5,FALSE)),"",VLOOKUP(A44,'ESO zones'!$D$5:$I$9956,5,FALSE))</f>
        <v>1497</v>
      </c>
      <c r="F44" s="3" t="str">
        <f>VLOOKUP(E44,'ESO zones'!$A$5:$D$9991,4,FALSE)</f>
        <v>Lep Seclusa</v>
      </c>
      <c r="G44" s="3">
        <f>VLOOKUP(E44,'ESO zones'!$A$5:$C$9956,3,FALSE)</f>
        <v>816</v>
      </c>
      <c r="H44" s="3" t="str">
        <f>VLOOKUP(G44,'ESO zones'!$A$5:$D$9991,4,FALSE)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1"/>
        <v>[1497]={parentZoneId=816,dungeonFinderId={[false]=857,[true]=858},achievementId={[false]=4128,[true]=4129},motif=4160,hardMode=4130,speedRun=4131,noDeath=4132,trifecta=4134,wayshrine=582},   --Lep Seclusa</v>
      </c>
    </row>
    <row r="45" spans="1:19" x14ac:dyDescent="0.25">
      <c r="A45" t="s">
        <v>2002</v>
      </c>
      <c r="B45" t="s">
        <v>1120</v>
      </c>
      <c r="C45" s="4" t="s">
        <v>107</v>
      </c>
      <c r="D45" s="3" t="str">
        <f>VLOOKUP(C45,ConstDLCIds!$B$3:$C$1000,2,FALSE)</f>
        <v>Gold Road</v>
      </c>
      <c r="E45" s="3">
        <f>IF(ISERROR(VLOOKUP(A45,'ESO zones'!$D$5:$I$9956,5,FALSE)),"",VLOOKUP(A45,'ESO zones'!$D$5:$I$9956,5,FALSE))</f>
        <v>1478</v>
      </c>
      <c r="F45" s="3" t="str">
        <f>VLOOKUP(E45,'ESO zones'!$A$5:$D$9991,4,FALSE)</f>
        <v>Lucent Citadel</v>
      </c>
      <c r="G45" s="3">
        <f>VLOOKUP(E45,'ESO zones'!$A$5:$C$9956,3,FALSE)</f>
        <v>1443</v>
      </c>
      <c r="H45" s="3" t="str">
        <f>VLOOKUP(G45,'ESO zones'!$A$5:$D$9991,4,FALSE)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1"/>
        <v>[1478]={parentZoneId=1443,isTrial=true},   --Lucent Citadel</v>
      </c>
    </row>
    <row r="46" spans="1:19" x14ac:dyDescent="0.25">
      <c r="A46" s="7" t="s">
        <v>1195</v>
      </c>
      <c r="B46" t="s">
        <v>401</v>
      </c>
      <c r="C46" s="4" t="s">
        <v>40</v>
      </c>
      <c r="D46" s="3" t="str">
        <f>VLOOKUP(C46,ConstDLCIds!$B$3:$C$1000,2,FALSE)</f>
        <v>Wolfhunter</v>
      </c>
      <c r="E46" s="3">
        <f>IF(ISERROR(VLOOKUP(A46,'ESO zones'!$D$5:$I$9956,5,FALSE)),"",VLOOKUP(A46,'ESO zones'!$D$5:$I$9956,5,FALSE))</f>
        <v>1055</v>
      </c>
      <c r="F46" s="3" t="str">
        <f>VLOOKUP(E46,'ESO zones'!$A$5:$D$9991,4,FALSE)</f>
        <v>March of Sacrifices</v>
      </c>
      <c r="G46" s="3">
        <f>VLOOKUP(E46,'ESO zones'!$A$5:$C$9956,3,FALSE)</f>
        <v>108</v>
      </c>
      <c r="H46" s="3" t="str">
        <f>VLOOKUP(G46,'ESO zones'!$A$5:$D$9991,4,FALSE)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1"/>
        <v>[1055]={parentZoneId=108,dungeonFinderId={[false]=428,[true]=429},achievementId={[false]=2162,[true]=2163},motif=2317,hardMode=2164,speedRun=2165,noDeath=2166,trifecta=2168,wayshrine=370},   --March of Sacrifices</v>
      </c>
    </row>
    <row r="47" spans="1:19" x14ac:dyDescent="0.25">
      <c r="A47" s="7" t="s">
        <v>846</v>
      </c>
      <c r="B47" t="s">
        <v>1120</v>
      </c>
      <c r="C47" s="4" t="s">
        <v>16</v>
      </c>
      <c r="D47" s="3" t="str">
        <f>VLOOKUP(C47,ConstDLCIds!$B$3:$C$1000,2,FALSE)</f>
        <v>Thieves Guild</v>
      </c>
      <c r="E47" s="3">
        <f>IF(ISERROR(VLOOKUP(A47,'ESO zones'!$D$5:$I$9956,5,FALSE)),"",VLOOKUP(A47,'ESO zones'!$D$5:$I$9956,5,FALSE))</f>
        <v>725</v>
      </c>
      <c r="F47" s="3" t="str">
        <f>VLOOKUP(E47,'ESO zones'!$A$5:$D$9991,4,FALSE)</f>
        <v>Maw of Lorkhaj</v>
      </c>
      <c r="G47" s="3">
        <f>VLOOKUP(E47,'ESO zones'!$A$5:$C$9956,3,FALSE)</f>
        <v>816</v>
      </c>
      <c r="H47" s="3" t="str">
        <f>VLOOKUP(G47,'ESO zones'!$A$5:$D$9991,4,FALSE)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1"/>
        <v>[725]={parentZoneId=816,isTrial=true},   --Maw of Lorkhaj</v>
      </c>
    </row>
    <row r="48" spans="1:19" x14ac:dyDescent="0.25">
      <c r="A48" s="7" t="s">
        <v>1197</v>
      </c>
      <c r="B48" t="s">
        <v>401</v>
      </c>
      <c r="C48" s="4" t="s">
        <v>40</v>
      </c>
      <c r="D48" s="3" t="str">
        <f>VLOOKUP(C48,ConstDLCIds!$B$3:$C$1000,2,FALSE)</f>
        <v>Wolfhunter</v>
      </c>
      <c r="E48" s="3">
        <f>IF(ISERROR(VLOOKUP(A48,'ESO zones'!$D$5:$I$9956,5,FALSE)),"",VLOOKUP(A48,'ESO zones'!$D$5:$I$9956,5,FALSE))</f>
        <v>1052</v>
      </c>
      <c r="F48" s="3" t="str">
        <f>VLOOKUP(E48,'ESO zones'!$A$5:$D$9991,4,FALSE)</f>
        <v>Moon Hunter Keep</v>
      </c>
      <c r="G48" s="3">
        <f>VLOOKUP(E48,'ESO zones'!$A$5:$C$9956,3,FALSE)</f>
        <v>382</v>
      </c>
      <c r="H48" s="3" t="str">
        <f>VLOOKUP(G48,'ESO zones'!$A$5:$D$9991,4,FALSE)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1"/>
        <v>[1052]={parentZoneId=382,dungeonFinderId={[false]=426,[true]=427},achievementId={[false]=2152,[true]=2153},motif=2318,hardMode=2154,speedRun=2155,noDeath=2156,trifecta=2159,wayshrine=371},   --Moon Hunter Keep</v>
      </c>
    </row>
    <row r="49" spans="1:19" x14ac:dyDescent="0.25">
      <c r="A49" s="7" t="s">
        <v>1313</v>
      </c>
      <c r="B49" s="7" t="s">
        <v>401</v>
      </c>
      <c r="C49" s="4" t="s">
        <v>52</v>
      </c>
      <c r="D49" s="3" t="str">
        <f>VLOOKUP(C49,ConstDLCIds!$B$3:$C$1000,2,FALSE)</f>
        <v>Scalebraker</v>
      </c>
      <c r="E49" s="3">
        <f>IF(ISERROR(VLOOKUP(A49,'ESO zones'!$D$5:$I$9956,5,FALSE)),"",VLOOKUP(A49,'ESO zones'!$D$5:$I$9956,5,FALSE))</f>
        <v>1122</v>
      </c>
      <c r="F49" s="3" t="str">
        <f>VLOOKUP(E49,'ESO zones'!$A$5:$D$9991,4,FALSE)</f>
        <v>Moongrave Fane</v>
      </c>
      <c r="G49" s="3">
        <f>VLOOKUP(E49,'ESO zones'!$A$5:$C$9956,3,FALSE)</f>
        <v>1086</v>
      </c>
      <c r="H49" s="3" t="str">
        <f>VLOOKUP(G49,'ESO zones'!$A$5:$D$9991,4,FALSE)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1"/>
        <v>[1122]={parentZoneId=1086,dungeonFinderId={[false]=494,[true]=495},achievementId={[false]=2415,[true]=2416},motif=2628,hardMode=2417,speedRun=2418,noDeath=2419,trifecta=2422,wayshrine=391},   --Moongrave Fane</v>
      </c>
    </row>
    <row r="50" spans="1:19" x14ac:dyDescent="0.25">
      <c r="A50" t="s">
        <v>2077</v>
      </c>
      <c r="B50" t="s">
        <v>401</v>
      </c>
      <c r="C50" s="4" t="s">
        <v>120</v>
      </c>
      <c r="D50" s="3" t="str">
        <f>VLOOKUP(C50,ConstDLCIds!$B$3:$C$1000,2,FALSE)</f>
        <v>Feast of Shadows</v>
      </c>
      <c r="E50" s="3">
        <f>IF(ISERROR(VLOOKUP(A50,'ESO zones'!$D$5:$I$9956,5,FALSE)),"",VLOOKUP(A50,'ESO zones'!$D$5:$I$9956,5,FALSE))</f>
        <v>1551</v>
      </c>
      <c r="F50" s="3" t="str">
        <f>VLOOKUP(E50,'ESO zones'!$A$5:$D$9991,4,FALSE)</f>
        <v>Naj-Caldeesh</v>
      </c>
      <c r="G50" s="3">
        <f>VLOOKUP(E50,'ESO zones'!$A$5:$C$9956,3,FALSE)</f>
        <v>1502</v>
      </c>
      <c r="H50" s="3" t="str">
        <f>VLOOKUP(G50,'ESO zones'!$A$5:$D$9991,4,FALSE)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1"/>
        <v>[1551]={parentZoneId=1502,dungeonFinderId={[false]=1037,[true]=1038},achievementId={[false]=4311,[true]=4312},hardMode=4313,speedRun=4314,noDeath=4315,trifecta=4317,wayshrine=606},   --Naj-Caldeesh</v>
      </c>
    </row>
    <row r="51" spans="1:19" x14ac:dyDescent="0.25">
      <c r="A51" s="7" t="s">
        <v>1956</v>
      </c>
      <c r="B51" s="7" t="s">
        <v>401</v>
      </c>
      <c r="C51" s="4" t="s">
        <v>104</v>
      </c>
      <c r="D51" s="3" t="str">
        <f>VLOOKUP(C51,ConstDLCIds!$B$3:$C$1000,2,FALSE)</f>
        <v>Scions of Ithelia</v>
      </c>
      <c r="E51" s="3">
        <f>IF(ISERROR(VLOOKUP(A51,'ESO zones'!$D$5:$I$9956,5,FALSE)),"",VLOOKUP(A51,'ESO zones'!$D$5:$I$9956,5,FALSE))</f>
        <v>1470</v>
      </c>
      <c r="F51" s="3" t="str">
        <f>VLOOKUP(E51,'ESO zones'!$A$5:$D$9991,4,FALSE)</f>
        <v>Oathsworn Pit</v>
      </c>
      <c r="G51" s="3">
        <f>VLOOKUP(E51,'ESO zones'!$A$5:$C$9956,3,FALSE)</f>
        <v>1207</v>
      </c>
      <c r="H51" s="3" t="str">
        <f>VLOOKUP(G51,'ESO zones'!$A$5:$D$9991,4,FALSE)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1"/>
        <v>[1470]={parentZoneId=1207,dungeonFinderId={[false]=638,[true]=639},achievementId={[false]=3810,[true]=3811},motif=3921,hardMode=3812,speedRun=3813,noDeath=3814,trifecta=3816,wayshrine=556},   --Oathsworn Pit</v>
      </c>
    </row>
    <row r="52" spans="1:19" x14ac:dyDescent="0.25">
      <c r="A52" s="7" t="s">
        <v>2064</v>
      </c>
      <c r="B52" t="s">
        <v>1120</v>
      </c>
      <c r="C52" s="4" t="s">
        <v>117</v>
      </c>
      <c r="D52" s="3" t="str">
        <f>VLOOKUP(C52,ConstDLCIds!$B$3:$C$1000,2,FALSE)</f>
        <v>Seasons of the Wormcult Part 1</v>
      </c>
      <c r="E52" s="3">
        <f>IF(ISERROR(VLOOKUP(A52,'ESO zones'!$D$5:$I$9956,5,FALSE)),"",VLOOKUP(A52,'ESO zones'!$D$5:$I$9956,5,FALSE))</f>
        <v>1548</v>
      </c>
      <c r="F52" s="3" t="str">
        <f>VLOOKUP(E52,'ESO zones'!$A$5:$D$9991,4,FALSE)</f>
        <v>Ossein Cage</v>
      </c>
      <c r="G52" s="3">
        <f>VLOOKUP(E52,'ESO zones'!$A$5:$C$9956,3,FALSE)</f>
        <v>1502</v>
      </c>
      <c r="H52" s="3" t="str">
        <f>VLOOKUP(G52,'ESO zones'!$A$5:$D$9991,4,FALSE)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1"/>
        <v>[1548]={parentZoneId=1502,isTrial=true},   --Ossein Cage</v>
      </c>
    </row>
    <row r="53" spans="1:19" x14ac:dyDescent="0.25">
      <c r="A53" s="7" t="s">
        <v>1628</v>
      </c>
      <c r="B53" s="7" t="s">
        <v>401</v>
      </c>
      <c r="C53" s="4" t="s">
        <v>76</v>
      </c>
      <c r="D53" s="3" t="str">
        <f>VLOOKUP(C53,ConstDLCIds!$B$3:$C$1000,2,FALSE)</f>
        <v>Waking Flame</v>
      </c>
      <c r="E53" s="3">
        <f>IF(ISERROR(VLOOKUP(A53,'ESO zones'!$D$5:$I$9956,5,FALSE)),"",VLOOKUP(A53,'ESO zones'!$D$5:$I$9956,5,FALSE))</f>
        <v>1267</v>
      </c>
      <c r="F53" s="3" t="str">
        <f>VLOOKUP(E53,'ESO zones'!$A$5:$D$9991,4,FALSE)</f>
        <v>Red Petal Bastion</v>
      </c>
      <c r="G53" s="3">
        <f>VLOOKUP(E53,'ESO zones'!$A$5:$C$9956,3,FALSE)</f>
        <v>3</v>
      </c>
      <c r="H53" s="3" t="str">
        <f>VLOOKUP(G53,'ESO zones'!$A$5:$D$9991,4,FALSE)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1"/>
        <v>[1267]={parentZoneId=3,dungeonFinderId={[false]=595,[true]=596},achievementId={[false]=3016,[true]=3017},motif=3097,hardMode=3018,speedRun=3019,noDeath=3020,trifecta=3023,wayshrine=470},   --Red Petal Bastion</v>
      </c>
    </row>
    <row r="54" spans="1:19" x14ac:dyDescent="0.25">
      <c r="A54" s="7" t="s">
        <v>890</v>
      </c>
      <c r="B54" t="s">
        <v>401</v>
      </c>
      <c r="C54" s="4" t="s">
        <v>22</v>
      </c>
      <c r="D54" s="3" t="str">
        <f>VLOOKUP(C54,ConstDLCIds!$B$3:$C$1000,2,FALSE)</f>
        <v>Shadows of the Hist</v>
      </c>
      <c r="E54" s="3">
        <f>IF(ISERROR(VLOOKUP(A54,'ESO zones'!$D$5:$I$9956,5,FALSE)),"",VLOOKUP(A54,'ESO zones'!$D$5:$I$9956,5,FALSE))</f>
        <v>843</v>
      </c>
      <c r="F54" s="3" t="str">
        <f>VLOOKUP(E54,'ESO zones'!$A$5:$D$9991,4,FALSE)</f>
        <v>Ruins of Mazzatun</v>
      </c>
      <c r="G54" s="3">
        <f>VLOOKUP(E54,'ESO zones'!$A$5:$C$9956,3,FALSE)</f>
        <v>117</v>
      </c>
      <c r="H54" s="3" t="str">
        <f>VLOOKUP(G54,'ESO zones'!$A$5:$D$9991,4,FALSE)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1"/>
        <v>[843]={parentZoneId=117,dungeonFinderId={[false]=293,[true]=294},achievementId={[false]=1504,[true]=1505},motif=1795,hardMode=1506,speedRun=1507,noDeath=1508,wayshrine=260},   --Ruins of Mazzatun</v>
      </c>
    </row>
    <row r="55" spans="1:19" x14ac:dyDescent="0.25">
      <c r="A55" s="7" t="s">
        <v>663</v>
      </c>
      <c r="B55" t="s">
        <v>1120</v>
      </c>
      <c r="C55" s="4" t="s">
        <v>7</v>
      </c>
      <c r="D55" s="3" t="str">
        <f>VLOOKUP(C55,ConstDLCIds!$B$3:$C$1000,2,FALSE)</f>
        <v>Included in base game</v>
      </c>
      <c r="E55" s="3">
        <f>IF(ISERROR(VLOOKUP(A55,'ESO zones'!$D$5:$I$9956,5,FALSE)),"",VLOOKUP(A55,'ESO zones'!$D$5:$I$9956,5,FALSE))</f>
        <v>639</v>
      </c>
      <c r="F55" s="3" t="str">
        <f>VLOOKUP(E55,'ESO zones'!$A$5:$D$9991,4,FALSE)</f>
        <v>Sanctum Ophidia</v>
      </c>
      <c r="G55" s="3">
        <f>VLOOKUP(E55,'ESO zones'!$A$5:$C$9956,3,FALSE)</f>
        <v>888</v>
      </c>
      <c r="H55" s="3" t="str">
        <f>VLOOKUP(G55,'ESO zones'!$A$5:$D$9991,4,FALSE)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1"/>
        <v>[639]={parentZoneId=888,isTrial=true},   --Sanctum Ophidia</v>
      </c>
    </row>
    <row r="56" spans="1:19" x14ac:dyDescent="0.25">
      <c r="A56" s="7" t="s">
        <v>1915</v>
      </c>
      <c r="B56" s="7" t="s">
        <v>1120</v>
      </c>
      <c r="C56" s="4" t="s">
        <v>94</v>
      </c>
      <c r="D56" s="3" t="str">
        <f>VLOOKUP(C56,ConstDLCIds!$B$3:$C$1000,2,FALSE)</f>
        <v>Scribes of Fate</v>
      </c>
      <c r="E56" s="3">
        <f>IF(ISERROR(VLOOKUP(A56,'ESO zones'!$D$5:$I$9956,5,FALSE)),"",VLOOKUP(A56,'ESO zones'!$D$5:$I$9956,5,FALSE))</f>
        <v>1427</v>
      </c>
      <c r="F56" s="3" t="str">
        <f>VLOOKUP(E56,'ESO zones'!$A$5:$D$9991,4,FALSE)</f>
        <v>Sanity's Edge</v>
      </c>
      <c r="G56" s="3">
        <f>VLOOKUP(E56,'ESO zones'!$A$5:$C$9956,3,FALSE)</f>
        <v>1414</v>
      </c>
      <c r="H56" s="3" t="str">
        <f>VLOOKUP(G56,'ESO zones'!$A$5:$D$9991,4,FALSE)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1"/>
        <v>[1427]={parentZoneId=1414,isTrial=true},   --Sanity's Edge</v>
      </c>
    </row>
    <row r="57" spans="1:19" x14ac:dyDescent="0.25">
      <c r="A57" s="7" t="s">
        <v>1099</v>
      </c>
      <c r="B57" t="s">
        <v>401</v>
      </c>
      <c r="C57" s="4" t="s">
        <v>34</v>
      </c>
      <c r="D57" s="3" t="str">
        <f>VLOOKUP(C57,ConstDLCIds!$B$3:$C$1000,2,FALSE)</f>
        <v>Dragon Bones</v>
      </c>
      <c r="E57" s="3">
        <f>IF(ISERROR(VLOOKUP(A57,'ESO zones'!$D$5:$I$9956,5,FALSE)),"",VLOOKUP(A57,'ESO zones'!$D$5:$I$9956,5,FALSE))</f>
        <v>1010</v>
      </c>
      <c r="F57" s="3" t="str">
        <f>VLOOKUP(E57,'ESO zones'!$A$5:$D$9991,4,FALSE)</f>
        <v>Scalecaller Peak</v>
      </c>
      <c r="G57" s="3">
        <f>VLOOKUP(E57,'ESO zones'!$A$5:$C$9956,3,FALSE)</f>
        <v>19</v>
      </c>
      <c r="H57" s="3" t="str">
        <f>VLOOKUP(G57,'ESO zones'!$A$5:$D$9991,4,FALSE)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1"/>
        <v>[1010]={parentZoneId=19,dungeonFinderId={[false]=418,[true]=419},achievementId={[false]=1975,[true]=1976},motif=2189,hardMode=1981,speedRun=1979,noDeath=1980,trifecta=1983,wayshrine=363},   --Scalecaller Peak</v>
      </c>
    </row>
    <row r="58" spans="1:19" x14ac:dyDescent="0.25">
      <c r="A58" s="7" t="s">
        <v>1864</v>
      </c>
      <c r="B58" t="s">
        <v>401</v>
      </c>
      <c r="C58" s="4" t="s">
        <v>94</v>
      </c>
      <c r="D58" s="3" t="str">
        <f>VLOOKUP(C58,ConstDLCIds!$B$3:$C$1000,2,FALSE)</f>
        <v>Scribes of Fate</v>
      </c>
      <c r="E58" s="3">
        <f>IF(ISERROR(VLOOKUP(A58,'ESO zones'!$D$5:$I$9956,5,FALSE)),"",VLOOKUP(A58,'ESO zones'!$D$5:$I$9956,5,FALSE))</f>
        <v>1390</v>
      </c>
      <c r="F58" s="3" t="str">
        <f>VLOOKUP(E58,'ESO zones'!$A$5:$D$9991,4,FALSE)</f>
        <v>Scrivener's Hall</v>
      </c>
      <c r="G58" s="3">
        <f>VLOOKUP(E58,'ESO zones'!$A$5:$C$9956,3,FALSE)</f>
        <v>103</v>
      </c>
      <c r="H58" s="3" t="str">
        <f>VLOOKUP(G58,'ESO zones'!$A$5:$D$9991,4,FALSE)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1"/>
        <v>[1390]={parentZoneId=103,dungeonFinderId={[false]=615,[true]=616},achievementId={[false]=3529,[true]=3530},motif=3546,hardMode=3531,speedRun=3532,noDeath=3533,trifecta=3535,wayshrine=532},   --Scrivener's Hall</v>
      </c>
    </row>
    <row r="59" spans="1:19" x14ac:dyDescent="0.25">
      <c r="A59" s="7" t="s">
        <v>402</v>
      </c>
      <c r="B59" t="s">
        <v>401</v>
      </c>
      <c r="C59" s="4" t="s">
        <v>7</v>
      </c>
      <c r="D59" s="3" t="str">
        <f>VLOOKUP(C59,ConstDLCIds!$B$3:$C$1000,2,FALSE)</f>
        <v>Included in base game</v>
      </c>
      <c r="E59" s="3">
        <f>IF(ISERROR(VLOOKUP(A59,'ESO zones'!$D$5:$I$9956,5,FALSE)),"",VLOOKUP(A59,'ESO zones'!$D$5:$I$9956,5,FALSE))</f>
        <v>31</v>
      </c>
      <c r="F59" s="3" t="str">
        <f>VLOOKUP(E59,'ESO zones'!$A$5:$D$9991,4,FALSE)</f>
        <v>Selene's Web</v>
      </c>
      <c r="G59" s="3">
        <f>VLOOKUP(E59,'ESO zones'!$A$5:$C$9956,3,FALSE)</f>
        <v>382</v>
      </c>
      <c r="H59" s="3" t="str">
        <f>VLOOKUP(G59,'ESO zones'!$A$5:$D$9991,4,FALSE)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1"/>
        <v>[31]={parentZoneId=382,dungeonFinderId={[false]=16,[true]=313},achievementId={[false]=417,[true]=1635},hardMode=1640,speedRun=1638,noDeath=1639,wayshrine=185},   --Selene's Web</v>
      </c>
    </row>
    <row r="60" spans="1:19" x14ac:dyDescent="0.25">
      <c r="A60" s="7" t="s">
        <v>1665</v>
      </c>
      <c r="B60" s="7" t="s">
        <v>401</v>
      </c>
      <c r="C60" s="4" t="s">
        <v>82</v>
      </c>
      <c r="D60" s="3" t="str">
        <f>VLOOKUP(C60,ConstDLCIds!$B$3:$C$1000,2,FALSE)</f>
        <v>Ascending Tide</v>
      </c>
      <c r="E60" s="3">
        <f>IF(ISERROR(VLOOKUP(A60,'ESO zones'!$D$5:$I$9956,5,FALSE)),"",VLOOKUP(A60,'ESO zones'!$D$5:$I$9956,5,FALSE))</f>
        <v>1302</v>
      </c>
      <c r="F60" s="3" t="str">
        <f>VLOOKUP(E60,'ESO zones'!$A$5:$D$9991,4,FALSE)</f>
        <v>Shipwright's Regret</v>
      </c>
      <c r="G60" s="3">
        <f>VLOOKUP(E60,'ESO zones'!$A$5:$C$9956,3,FALSE)</f>
        <v>20</v>
      </c>
      <c r="H60" s="3" t="str">
        <f>VLOOKUP(G60,'ESO zones'!$A$5:$D$9991,4,FALSE)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1"/>
        <v>[1302]={parentZoneId=20,dungeonFinderId={[false]=601,[true]=602},achievementId={[false]=3114,[true]=3115},motif=3228,hardMode=3154,speedRun=3117,noDeath=3118,trifecta=3120,wayshrine=498},   --Shipwright's Regret</v>
      </c>
    </row>
    <row r="61" spans="1:19" x14ac:dyDescent="0.25">
      <c r="A61" s="7" t="s">
        <v>450</v>
      </c>
      <c r="B61" t="s">
        <v>401</v>
      </c>
      <c r="C61" s="4" t="s">
        <v>7</v>
      </c>
      <c r="D61" s="3" t="str">
        <f>VLOOKUP(C61,ConstDLCIds!$B$3:$C$1000,2,FALSE)</f>
        <v>Included in base game</v>
      </c>
      <c r="E61" s="3">
        <f>IF(ISERROR(VLOOKUP(A61,'ESO zones'!$D$5:$I$9956,5,FALSE)),"",VLOOKUP(A61,'ESO zones'!$D$5:$I$9956,5,FALSE))</f>
        <v>144</v>
      </c>
      <c r="F61" s="3" t="str">
        <f>VLOOKUP(E61,'ESO zones'!$A$5:$D$9991,4,FALSE)</f>
        <v>Spindleclutch I</v>
      </c>
      <c r="G61" s="3">
        <f>VLOOKUP(E61,'ESO zones'!$A$5:$C$9956,3,FALSE)</f>
        <v>3</v>
      </c>
      <c r="H61" s="3" t="str">
        <f>VLOOKUP(G61,'ESO zones'!$A$5:$D$9991,4,FALSE)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1"/>
        <v>[144]={parentZoneId=3,dungeonFinderId={[false]=3,[true]=315},achievementId={[false]=301,[true]=1565},hardMode=1570,speedRun=1568,noDeath=1569,wayshrine=193},   --Spindleclutch I</v>
      </c>
    </row>
    <row r="62" spans="1:19" x14ac:dyDescent="0.25">
      <c r="A62" s="7" t="s">
        <v>717</v>
      </c>
      <c r="B62" t="s">
        <v>401</v>
      </c>
      <c r="C62" s="4" t="s">
        <v>7</v>
      </c>
      <c r="D62" s="3" t="str">
        <f>VLOOKUP(C62,ConstDLCIds!$B$3:$C$1000,2,FALSE)</f>
        <v>Included in base game</v>
      </c>
      <c r="E62" s="3">
        <f>IF(ISERROR(VLOOKUP(A62,'ESO zones'!$D$5:$I$9956,5,FALSE)),"",VLOOKUP(A62,'ESO zones'!$D$5:$I$9956,5,FALSE))</f>
        <v>936</v>
      </c>
      <c r="F62" s="3" t="str">
        <f>VLOOKUP(E62,'ESO zones'!$A$5:$D$9991,4,FALSE)</f>
        <v>Spindleclutch II</v>
      </c>
      <c r="G62" s="3">
        <f>VLOOKUP(E62,'ESO zones'!$A$5:$C$9956,3,FALSE)</f>
        <v>3</v>
      </c>
      <c r="H62" s="3" t="str">
        <f>VLOOKUP(G62,'ESO zones'!$A$5:$D$9991,4,FALSE)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1"/>
        <v>[936]={parentZoneId=3,dungeonFinderId={[false]=316,[true]=19},achievementId={[false]=1571,[true]=421},hardMode=448,speedRun=446,noDeath=1572,wayshrine=267},   --Spindleclutch II</v>
      </c>
    </row>
    <row r="63" spans="1:19" x14ac:dyDescent="0.25">
      <c r="A63" s="7" t="s">
        <v>1436</v>
      </c>
      <c r="B63" s="7" t="s">
        <v>401</v>
      </c>
      <c r="C63" s="4" t="s">
        <v>64</v>
      </c>
      <c r="D63" s="3" t="str">
        <f>VLOOKUP(C63,ConstDLCIds!$B$3:$C$1000,2,FALSE)</f>
        <v>Stonethorn</v>
      </c>
      <c r="E63" s="3">
        <f>IF(ISERROR(VLOOKUP(A63,'ESO zones'!$D$5:$I$9956,5,FALSE)),"",VLOOKUP(A63,'ESO zones'!$D$5:$I$9956,5,FALSE))</f>
        <v>1197</v>
      </c>
      <c r="F63" s="3" t="str">
        <f>VLOOKUP(E63,'ESO zones'!$A$5:$D$9991,4,FALSE)</f>
        <v>Stone Garden</v>
      </c>
      <c r="G63" s="3">
        <f>VLOOKUP(E63,'ESO zones'!$A$5:$C$9956,3,FALSE)</f>
        <v>1161</v>
      </c>
      <c r="H63" s="3" t="str">
        <f>VLOOKUP(G63,'ESO zones'!$A$5:$D$9991,4,FALSE)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1"/>
        <v>[1197]={parentZoneId=1161,dungeonFinderId={[false]=507,[true]=508},achievementId={[false]=2694,[true]=2695},motif=2850,hardMode=2755,speedRun=2697,noDeath=2698,trifecta=2701,wayshrine=435},   --Stone Garden</v>
      </c>
    </row>
    <row r="64" spans="1:19" x14ac:dyDescent="0.25">
      <c r="A64" s="7" t="s">
        <v>1296</v>
      </c>
      <c r="B64" t="s">
        <v>1120</v>
      </c>
      <c r="C64" s="4" t="s">
        <v>49</v>
      </c>
      <c r="D64" s="3" t="str">
        <f>VLOOKUP(C64,ConstDLCIds!$B$3:$C$1000,2,FALSE)</f>
        <v>Elsweyr</v>
      </c>
      <c r="E64" s="3">
        <f>IF(ISERROR(VLOOKUP(A64,'ESO zones'!$D$5:$I$9956,5,FALSE)),"",VLOOKUP(A64,'ESO zones'!$D$5:$I$9956,5,FALSE))</f>
        <v>1121</v>
      </c>
      <c r="F64" s="3" t="str">
        <f>VLOOKUP(E64,'ESO zones'!$A$5:$D$9991,4,FALSE)</f>
        <v>Sunspire</v>
      </c>
      <c r="G64" s="3">
        <f>VLOOKUP(E64,'ESO zones'!$A$5:$C$9956,3,FALSE)</f>
        <v>1086</v>
      </c>
      <c r="H64" s="3" t="str">
        <f>VLOOKUP(G64,'ESO zones'!$A$5:$D$9991,4,FALSE)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1"/>
        <v>[1121]={parentZoneId=1086,isTrial=true},   --Sunspire</v>
      </c>
    </row>
    <row r="65" spans="1:19" x14ac:dyDescent="0.25">
      <c r="A65" s="7" t="s">
        <v>777</v>
      </c>
      <c r="B65" t="s">
        <v>401</v>
      </c>
      <c r="C65" s="4" t="s">
        <v>7</v>
      </c>
      <c r="D65" s="3" t="str">
        <f>VLOOKUP(C65,ConstDLCIds!$B$3:$C$1000,2,FALSE)</f>
        <v>Included in base game</v>
      </c>
      <c r="E65" s="3">
        <f>IF(ISERROR(VLOOKUP(A65,'ESO zones'!$D$5:$I$9956,5,FALSE)),"",VLOOKUP(A65,'ESO zones'!$D$5:$I$9956,5,FALSE))</f>
        <v>131</v>
      </c>
      <c r="F65" s="3" t="str">
        <f>VLOOKUP(E65,'ESO zones'!$A$5:$D$9991,4,FALSE)</f>
        <v>Tempest Island</v>
      </c>
      <c r="G65" s="3">
        <f>VLOOKUP(E65,'ESO zones'!$A$5:$C$9956,3,FALSE)</f>
        <v>58</v>
      </c>
      <c r="H65" s="3" t="str">
        <f>VLOOKUP(G65,'ESO zones'!$A$5:$D$9991,4,FALSE)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1"/>
        <v>[131]={parentZoneId=58,dungeonFinderId={[false]=13,[true]=311},achievementId={[false]=81,[true]=1617},hardMode=1622,speedRun=1620,noDeath=1621,wayshrine=188},   --Tempest Island</v>
      </c>
    </row>
    <row r="66" spans="1:19" x14ac:dyDescent="0.25">
      <c r="A66" s="7" t="s">
        <v>611</v>
      </c>
      <c r="B66" t="s">
        <v>401</v>
      </c>
      <c r="C66" s="4" t="s">
        <v>7</v>
      </c>
      <c r="D66" s="3" t="str">
        <f>VLOOKUP(C66,ConstDLCIds!$B$3:$C$1000,2,FALSE)</f>
        <v>Included in base game</v>
      </c>
      <c r="E66" s="3">
        <f>IF(ISERROR(VLOOKUP(A66,'ESO zones'!$D$5:$I$9956,5,FALSE)),"",VLOOKUP(A66,'ESO zones'!$D$5:$I$9956,5,FALSE))</f>
        <v>380</v>
      </c>
      <c r="F66" s="3" t="str">
        <f>VLOOKUP(E66,'ESO zones'!$A$5:$D$9991,4,FALSE)</f>
        <v>The Banished Cells I</v>
      </c>
      <c r="G66" s="3">
        <f>VLOOKUP(E66,'ESO zones'!$A$5:$C$9956,3,FALSE)</f>
        <v>381</v>
      </c>
      <c r="H66" s="3" t="str">
        <f>VLOOKUP(G66,'ESO zones'!$A$5:$D$9991,4,FALSE)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1"/>
        <v>[380]={parentZoneId=381,dungeonFinderId={[false]=4,[true]=20},achievementId={[false]=325,[true]=1549},hardMode=1554,speedRun=1552,noDeath=1553,wayshrine=198},   --The Banished Cells I</v>
      </c>
    </row>
    <row r="67" spans="1:19" x14ac:dyDescent="0.25">
      <c r="A67" s="7" t="s">
        <v>747</v>
      </c>
      <c r="B67" t="s">
        <v>401</v>
      </c>
      <c r="C67" s="4" t="s">
        <v>7</v>
      </c>
      <c r="D67" s="3" t="str">
        <f>VLOOKUP(C67,ConstDLCIds!$B$3:$C$1000,2,FALSE)</f>
        <v>Included in base game</v>
      </c>
      <c r="E67" s="3">
        <f>IF(ISERROR(VLOOKUP(A67,'ESO zones'!$D$5:$I$9956,5,FALSE)),"",VLOOKUP(A67,'ESO zones'!$D$5:$I$9956,5,FALSE))</f>
        <v>935</v>
      </c>
      <c r="F67" s="3" t="str">
        <f>VLOOKUP(E67,'ESO zones'!$A$5:$D$9991,4,FALSE)</f>
        <v>The Banished Cells II</v>
      </c>
      <c r="G67" s="3">
        <f>VLOOKUP(E67,'ESO zones'!$A$5:$C$9956,3,FALSE)</f>
        <v>381</v>
      </c>
      <c r="H67" s="3" t="str">
        <f>VLOOKUP(G67,'ESO zones'!$A$5:$D$9991,4,FALSE)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ref="S67:S75" si="2">"["&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x14ac:dyDescent="0.25">
      <c r="A68" s="7" t="s">
        <v>1543</v>
      </c>
      <c r="B68" s="7" t="s">
        <v>401</v>
      </c>
      <c r="C68" s="4" t="s">
        <v>70</v>
      </c>
      <c r="D68" s="3" t="str">
        <f>VLOOKUP(C68,ConstDLCIds!$B$3:$C$1000,2,FALSE)</f>
        <v>Flames of Ambition</v>
      </c>
      <c r="E68" s="3">
        <f>IF(ISERROR(VLOOKUP(A68,'ESO zones'!$D$5:$I$9956,5,FALSE)),"",VLOOKUP(A68,'ESO zones'!$D$5:$I$9956,5,FALSE))</f>
        <v>1229</v>
      </c>
      <c r="F68" s="3" t="str">
        <f>VLOOKUP(E68,'ESO zones'!$A$5:$D$9991,4,FALSE)</f>
        <v>The Cauldron</v>
      </c>
      <c r="G68" s="3">
        <f>VLOOKUP(E68,'ESO zones'!$A$5:$C$9956,3,FALSE)</f>
        <v>57</v>
      </c>
      <c r="H68" s="3" t="str">
        <f>VLOOKUP(G68,'ESO zones'!$A$5:$D$9991,4,FALSE)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si="2"/>
        <v>[1229]={parentZoneId=57,dungeonFinderId={[false]=593,[true]=594},achievementId={[false]=2841,[true]=2842},motif=2991,hardMode=2843,speedRun=2844,noDeath=2845,trifecta=2847,wayshrine=454},   --The Cauldron</v>
      </c>
    </row>
    <row r="69" spans="1:19" x14ac:dyDescent="0.25">
      <c r="A69" s="7" t="s">
        <v>1349</v>
      </c>
      <c r="B69" s="7" t="s">
        <v>401</v>
      </c>
      <c r="C69" s="4" t="s">
        <v>58</v>
      </c>
      <c r="D69" s="3" t="str">
        <f>VLOOKUP(C69,ConstDLCIds!$B$3:$C$1000,2,FALSE)</f>
        <v>Harrowstorm</v>
      </c>
      <c r="E69" s="3">
        <f>IF(ISERROR(VLOOKUP(A69,'ESO zones'!$D$5:$I$9956,5,FALSE)),"",VLOOKUP(A69,'ESO zones'!$D$5:$I$9956,5,FALSE))</f>
        <v>1153</v>
      </c>
      <c r="F69" s="3" t="str">
        <f>VLOOKUP(E69,'ESO zones'!$A$5:$D$9991,4,FALSE)</f>
        <v>Unhallowed Grave</v>
      </c>
      <c r="G69" s="3">
        <f>VLOOKUP(E69,'ESO zones'!$A$5:$C$9956,3,FALSE)</f>
        <v>92</v>
      </c>
      <c r="H69" s="3" t="str">
        <f>VLOOKUP(G69,'ESO zones'!$A$5:$D$9991,4,FALSE)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2"/>
        <v>[1153]={parentZoneId=92,dungeonFinderId={[false]=505,[true]=506},achievementId={[false]=2549,[true]=2550},motif=2749,hardMode=2551,speedRun=2552,noDeath=2553,trifecta=2555,wayshrine=425},   --Unhallowed Grave</v>
      </c>
    </row>
    <row r="70" spans="1:19" x14ac:dyDescent="0.25">
      <c r="A70" s="7" t="s">
        <v>571</v>
      </c>
      <c r="B70" t="s">
        <v>401</v>
      </c>
      <c r="C70" s="4" t="s">
        <v>7</v>
      </c>
      <c r="D70" s="3" t="str">
        <f>VLOOKUP(C70,ConstDLCIds!$B$3:$C$1000,2,FALSE)</f>
        <v>Included in base game</v>
      </c>
      <c r="E70" s="3">
        <f>IF(ISERROR(VLOOKUP(A70,'ESO zones'!$D$5:$I$9956,5,FALSE)),"",VLOOKUP(A70,'ESO zones'!$D$5:$I$9956,5,FALSE))</f>
        <v>11</v>
      </c>
      <c r="F70" s="3" t="str">
        <f>VLOOKUP(E70,'ESO zones'!$A$5:$D$9991,4,FALSE)</f>
        <v>Vaults of Madness</v>
      </c>
      <c r="G70" s="3">
        <f>VLOOKUP(E70,'ESO zones'!$A$5:$C$9956,3,FALSE)</f>
        <v>347</v>
      </c>
      <c r="H70" s="3" t="str">
        <f>VLOOKUP(G70,'ESO zones'!$A$5:$D$9991,4,FALSE)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2"/>
        <v>[11]={parentZoneId=347,dungeonFinderId={[false]=17,[true]=314},achievementId={[false]=570,[true]=1653},hardMode=1658,speedRun=1656,noDeath=1657,wayshrine=184},   --Vaults of Madness</v>
      </c>
    </row>
    <row r="71" spans="1:19" x14ac:dyDescent="0.25">
      <c r="A71" s="7" t="s">
        <v>539</v>
      </c>
      <c r="B71" t="s">
        <v>401</v>
      </c>
      <c r="C71" s="4" t="s">
        <v>7</v>
      </c>
      <c r="D71" s="3" t="str">
        <f>VLOOKUP(C71,ConstDLCIds!$B$3:$C$1000,2,FALSE)</f>
        <v>Included in base game</v>
      </c>
      <c r="E71" s="3">
        <f>IF(ISERROR(VLOOKUP(A71,'ESO zones'!$D$5:$I$9956,5,FALSE)),"",VLOOKUP(A71,'ESO zones'!$D$5:$I$9956,5,FALSE))</f>
        <v>22</v>
      </c>
      <c r="F71" s="3" t="str">
        <f>VLOOKUP(E71,'ESO zones'!$A$5:$D$9991,4,FALSE)</f>
        <v>Volenfell</v>
      </c>
      <c r="G71" s="3">
        <f>VLOOKUP(E71,'ESO zones'!$A$5:$C$9956,3,FALSE)</f>
        <v>104</v>
      </c>
      <c r="H71" s="3" t="str">
        <f>VLOOKUP(G71,'ESO zones'!$A$5:$D$9991,4,FALSE)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2"/>
        <v>[22]={parentZoneId=104,dungeonFinderId={[false]=12,[true]=304},achievementId={[false]=391,[true]=1629},hardMode=1634,speedRun=1632,noDeath=1633,wayshrine=196},   --Volenfell</v>
      </c>
    </row>
    <row r="72" spans="1:19" x14ac:dyDescent="0.25">
      <c r="A72" s="7" t="s">
        <v>432</v>
      </c>
      <c r="B72" t="s">
        <v>401</v>
      </c>
      <c r="C72" s="4" t="s">
        <v>7</v>
      </c>
      <c r="D72" s="3" t="str">
        <f>VLOOKUP(C72,ConstDLCIds!$B$3:$C$1000,2,FALSE)</f>
        <v>Included in base game</v>
      </c>
      <c r="E72" s="3">
        <f>IF(ISERROR(VLOOKUP(A72,'ESO zones'!$D$5:$I$9956,5,FALSE)),"",VLOOKUP(A72,'ESO zones'!$D$5:$I$9956,5,FALSE))</f>
        <v>146</v>
      </c>
      <c r="F72" s="3" t="str">
        <f>VLOOKUP(E72,'ESO zones'!$A$5:$D$9991,4,FALSE)</f>
        <v>Wayrest Sewers I</v>
      </c>
      <c r="G72" s="3">
        <f>VLOOKUP(E72,'ESO zones'!$A$5:$C$9956,3,FALSE)</f>
        <v>19</v>
      </c>
      <c r="H72" s="3" t="str">
        <f>VLOOKUP(G72,'ESO zones'!$A$5:$D$9991,4,FALSE)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2"/>
        <v>[146]={parentZoneId=19,dungeonFinderId={[false]=6,[true]=306},achievementId={[false]=79,[true]=1589},hardMode=1594,speedRun=1592,noDeath=1593,wayshrine=189},   --Wayrest Sewers I</v>
      </c>
    </row>
    <row r="73" spans="1:19" x14ac:dyDescent="0.25">
      <c r="A73" s="7" t="s">
        <v>727</v>
      </c>
      <c r="B73" t="s">
        <v>401</v>
      </c>
      <c r="C73" s="4" t="s">
        <v>7</v>
      </c>
      <c r="D73" s="3" t="str">
        <f>VLOOKUP(C73,ConstDLCIds!$B$3:$C$1000,2,FALSE)</f>
        <v>Included in base game</v>
      </c>
      <c r="E73" s="3">
        <f>IF(ISERROR(VLOOKUP(A73,'ESO zones'!$D$5:$I$9956,5,FALSE)),"",VLOOKUP(A73,'ESO zones'!$D$5:$I$9956,5,FALSE))</f>
        <v>933</v>
      </c>
      <c r="F73" s="3" t="str">
        <f>VLOOKUP(E73,'ESO zones'!$A$5:$D$9991,4,FALSE)</f>
        <v>Wayrest Sewers II</v>
      </c>
      <c r="G73" s="3">
        <f>VLOOKUP(E73,'ESO zones'!$A$5:$C$9956,3,FALSE)</f>
        <v>19</v>
      </c>
      <c r="H73" s="3" t="str">
        <f>VLOOKUP(G73,'ESO zones'!$A$5:$D$9991,4,FALSE)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2"/>
        <v>[933]={parentZoneId=19,dungeonFinderId={[false]=22,[true]=307},achievementId={[false]=1595,[true]=678},hardMode=681,speedRun=679,noDeath=1596,wayshrine=263},   --Wayrest Sewers II</v>
      </c>
    </row>
    <row r="74" spans="1:19" x14ac:dyDescent="0.25">
      <c r="A74" s="7" t="s">
        <v>770</v>
      </c>
      <c r="B74" t="s">
        <v>401</v>
      </c>
      <c r="C74" s="4" t="s">
        <v>10</v>
      </c>
      <c r="D74" s="3" t="str">
        <f>VLOOKUP(C74,ConstDLCIds!$B$3:$C$1000,2,FALSE)</f>
        <v>Imperial City</v>
      </c>
      <c r="E74" s="3">
        <f>IF(ISERROR(VLOOKUP(A74,'ESO zones'!$D$5:$I$9956,5,FALSE)),"",VLOOKUP(A74,'ESO zones'!$D$5:$I$9956,5,FALSE))</f>
        <v>688</v>
      </c>
      <c r="F74" s="3" t="str">
        <f>VLOOKUP(E74,'ESO zones'!$A$5:$D$9991,4,FALSE)</f>
        <v>White-Gold Tower</v>
      </c>
      <c r="G74" s="3">
        <f>VLOOKUP(E74,'ESO zones'!$A$5:$C$9956,3,FALSE)</f>
        <v>584</v>
      </c>
      <c r="H74" s="3" t="str">
        <f>VLOOKUP(G74,'ESO zones'!$A$5:$D$9991,4,FALSE)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2"/>
        <v>[688]={parentZoneId=584,dungeonFinderId={[false]=288,[true]=287},achievementId={[false]=1346,[true]=1120},hardMode=1279,speedRun=1275,noDeath=1276,wayshrine=247},   --White-Gold Tower</v>
      </c>
    </row>
    <row r="75" spans="1:19" x14ac:dyDescent="0.25">
      <c r="A75" s="79" t="s">
        <v>311</v>
      </c>
      <c r="B75" s="7" t="s">
        <v>401</v>
      </c>
      <c r="C75" s="90" t="s">
        <v>126</v>
      </c>
      <c r="D75" s="3" t="str">
        <f>VLOOKUP(C75,ConstDLCIds!$B$3:$C$1000,2,FALSE)</f>
        <v>Season 0</v>
      </c>
      <c r="E75" s="3">
        <f>IF(ISERROR(VLOOKUP(A75,'ESO zones'!$D$5:$I$9956,5,FALSE)),"",VLOOKUP(A75,'ESO zones'!$D$5:$I$9956,5,FALSE))</f>
        <v>1559</v>
      </c>
      <c r="F75" s="3" t="str">
        <f>VLOOKUP(E75,'ESO zones'!$A$5:$D$9991,4,FALSE)</f>
        <v>Night Market</v>
      </c>
      <c r="G75" s="3">
        <f>VLOOKUP(E75,'ESO zones'!$A$5:$C$9956,3,FALSE)</f>
        <v>1283</v>
      </c>
      <c r="H75" s="3" t="str">
        <f>VLOOKUP(G75,'ESO zones'!$A$5:$D$9991,4,FALSE)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8" t="str">
        <f t="shared" si="2"/>
        <v>[1559]={parentZoneId=1283,dungeonFinderId={[false]=???,[true]=???},achievementId={[false]=???,[true]=???},motif=???,hardMode=???,speedRun=???,noDeath=???,trifecta=???,wayshrine=616},   --Night Market</v>
      </c>
    </row>
  </sheetData>
  <autoFilter ref="A2:S74" xr:uid="{00000000-0009-0000-0000-000009000000}">
    <sortState xmlns:xlrd2="http://schemas.microsoft.com/office/spreadsheetml/2017/richdata2" ref="A3:A74">
      <sortCondition ref="A2:A74"/>
    </sortState>
  </autoFilter>
  <mergeCells count="1">
    <mergeCell ref="A1:D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eneric011">
    <tabColor rgb="FFFFC000"/>
  </sheetPr>
  <dimension ref="A1:K61"/>
  <sheetViews>
    <sheetView workbookViewId="0">
      <pane xSplit="1" ySplit="1" topLeftCell="B47" activePane="bottomRight" state="frozen"/>
      <selection pane="topRight"/>
      <selection pane="bottomLeft"/>
      <selection pane="bottomRight" activeCell="K61" sqref="K61"/>
    </sheetView>
  </sheetViews>
  <sheetFormatPr defaultColWidth="10.7109375" defaultRowHeight="15" x14ac:dyDescent="0.25"/>
  <cols>
    <col min="1" max="1" width="19.7109375" customWidth="1"/>
    <col min="2" max="3" width="18.85546875" customWidth="1"/>
    <col min="4" max="4" width="11.85546875" customWidth="1"/>
    <col min="5" max="5" width="12" customWidth="1"/>
    <col min="6" max="6" width="10" customWidth="1"/>
    <col min="7" max="7" width="12.7109375" customWidth="1"/>
    <col min="8" max="8" width="11.85546875" customWidth="1"/>
    <col min="9" max="9" width="11.140625" customWidth="1"/>
    <col min="10" max="10" width="10" customWidth="1"/>
    <col min="11" max="11" width="22.85546875" customWidth="1"/>
  </cols>
  <sheetData>
    <row r="1" spans="1:11" ht="60" x14ac:dyDescent="0.25">
      <c r="A1" s="6" t="s">
        <v>2151</v>
      </c>
      <c r="B1" s="11" t="s">
        <v>2152</v>
      </c>
      <c r="C1" s="11" t="s">
        <v>2153</v>
      </c>
      <c r="D1" s="11" t="s">
        <v>2154</v>
      </c>
      <c r="E1" s="11" t="s">
        <v>2155</v>
      </c>
      <c r="F1" s="11" t="s">
        <v>2156</v>
      </c>
      <c r="G1" s="11" t="s">
        <v>2157</v>
      </c>
      <c r="H1" s="11" t="s">
        <v>2158</v>
      </c>
      <c r="I1" s="11" t="s">
        <v>2159</v>
      </c>
      <c r="J1" s="11" t="s">
        <v>2160</v>
      </c>
      <c r="K1" s="11" t="s">
        <v>2161</v>
      </c>
    </row>
    <row r="2" spans="1:11" x14ac:dyDescent="0.25">
      <c r="A2" t="s">
        <v>697</v>
      </c>
      <c r="B2">
        <v>8</v>
      </c>
      <c r="C2">
        <v>305</v>
      </c>
      <c r="D2">
        <v>272</v>
      </c>
      <c r="E2">
        <v>1604</v>
      </c>
      <c r="G2">
        <v>1609</v>
      </c>
      <c r="H2">
        <v>1607</v>
      </c>
      <c r="I2">
        <v>1608</v>
      </c>
      <c r="K2">
        <v>192</v>
      </c>
    </row>
    <row r="3" spans="1:11" x14ac:dyDescent="0.25">
      <c r="A3" t="s">
        <v>1854</v>
      </c>
      <c r="B3">
        <v>613</v>
      </c>
      <c r="C3">
        <v>614</v>
      </c>
      <c r="D3">
        <v>3468</v>
      </c>
      <c r="E3">
        <v>3469</v>
      </c>
      <c r="F3">
        <v>3547</v>
      </c>
      <c r="G3">
        <v>3470</v>
      </c>
      <c r="H3">
        <v>3471</v>
      </c>
      <c r="I3">
        <v>3472</v>
      </c>
      <c r="J3">
        <v>3474</v>
      </c>
      <c r="K3">
        <v>531</v>
      </c>
    </row>
    <row r="4" spans="1:11" x14ac:dyDescent="0.25">
      <c r="A4" t="s">
        <v>1962</v>
      </c>
      <c r="B4">
        <v>640</v>
      </c>
      <c r="C4">
        <v>641</v>
      </c>
      <c r="D4">
        <v>3851</v>
      </c>
      <c r="E4">
        <v>3852</v>
      </c>
      <c r="F4">
        <v>3922</v>
      </c>
      <c r="G4">
        <v>3853</v>
      </c>
      <c r="H4">
        <v>3854</v>
      </c>
      <c r="I4">
        <v>3855</v>
      </c>
      <c r="J4">
        <v>3857</v>
      </c>
      <c r="K4">
        <v>565</v>
      </c>
    </row>
    <row r="5" spans="1:11" x14ac:dyDescent="0.25">
      <c r="A5" t="s">
        <v>1536</v>
      </c>
      <c r="B5">
        <v>591</v>
      </c>
      <c r="C5">
        <v>592</v>
      </c>
      <c r="D5">
        <v>2831</v>
      </c>
      <c r="E5">
        <v>2832</v>
      </c>
      <c r="F5">
        <v>2984</v>
      </c>
      <c r="G5">
        <v>2833</v>
      </c>
      <c r="H5">
        <v>2834</v>
      </c>
      <c r="I5">
        <v>2835</v>
      </c>
      <c r="J5">
        <v>2838</v>
      </c>
      <c r="K5">
        <v>437</v>
      </c>
    </row>
    <row r="6" spans="1:11" x14ac:dyDescent="0.25">
      <c r="A6" t="s">
        <v>2073</v>
      </c>
      <c r="B6">
        <v>1039</v>
      </c>
      <c r="C6">
        <v>1040</v>
      </c>
      <c r="D6">
        <v>4334</v>
      </c>
      <c r="E6">
        <v>4335</v>
      </c>
      <c r="G6">
        <v>4336</v>
      </c>
      <c r="H6">
        <v>4337</v>
      </c>
      <c r="I6">
        <v>4338</v>
      </c>
      <c r="J6">
        <v>4340</v>
      </c>
      <c r="K6">
        <v>605</v>
      </c>
    </row>
    <row r="7" spans="1:11" x14ac:dyDescent="0.25">
      <c r="A7" t="s">
        <v>700</v>
      </c>
      <c r="B7">
        <v>15</v>
      </c>
      <c r="C7">
        <v>321</v>
      </c>
      <c r="D7">
        <v>410</v>
      </c>
      <c r="E7">
        <v>1647</v>
      </c>
      <c r="G7">
        <v>1652</v>
      </c>
      <c r="H7">
        <v>1650</v>
      </c>
      <c r="I7">
        <v>1651</v>
      </c>
      <c r="K7">
        <v>186</v>
      </c>
    </row>
    <row r="8" spans="1:11" x14ac:dyDescent="0.25">
      <c r="A8" t="s">
        <v>470</v>
      </c>
      <c r="B8">
        <v>14</v>
      </c>
      <c r="C8">
        <v>320</v>
      </c>
      <c r="D8">
        <v>393</v>
      </c>
      <c r="E8">
        <v>1641</v>
      </c>
      <c r="G8">
        <v>1646</v>
      </c>
      <c r="H8">
        <v>1644</v>
      </c>
      <c r="I8">
        <v>1645</v>
      </c>
      <c r="K8">
        <v>187</v>
      </c>
    </row>
    <row r="9" spans="1:11" x14ac:dyDescent="0.25">
      <c r="A9" t="s">
        <v>1078</v>
      </c>
      <c r="B9">
        <v>324</v>
      </c>
      <c r="C9">
        <v>325</v>
      </c>
      <c r="D9">
        <v>1690</v>
      </c>
      <c r="E9">
        <v>1691</v>
      </c>
      <c r="F9">
        <v>2098</v>
      </c>
      <c r="G9">
        <v>1696</v>
      </c>
      <c r="H9">
        <v>1694</v>
      </c>
      <c r="I9">
        <v>1695</v>
      </c>
      <c r="K9">
        <v>326</v>
      </c>
    </row>
    <row r="10" spans="1:11" x14ac:dyDescent="0.25">
      <c r="A10" t="s">
        <v>1429</v>
      </c>
      <c r="B10">
        <v>509</v>
      </c>
      <c r="C10">
        <v>510</v>
      </c>
      <c r="D10">
        <v>2704</v>
      </c>
      <c r="E10">
        <v>2705</v>
      </c>
      <c r="F10">
        <v>2849</v>
      </c>
      <c r="G10">
        <v>2706</v>
      </c>
      <c r="H10">
        <v>2707</v>
      </c>
      <c r="I10">
        <v>2708</v>
      </c>
      <c r="J10">
        <v>2710</v>
      </c>
      <c r="K10">
        <v>436</v>
      </c>
    </row>
    <row r="11" spans="1:11" x14ac:dyDescent="0.25">
      <c r="A11" t="s">
        <v>703</v>
      </c>
      <c r="B11">
        <v>10</v>
      </c>
      <c r="C11">
        <v>310</v>
      </c>
      <c r="D11">
        <v>551</v>
      </c>
      <c r="E11">
        <v>1597</v>
      </c>
      <c r="G11">
        <v>1602</v>
      </c>
      <c r="H11">
        <v>1600</v>
      </c>
      <c r="I11">
        <v>1601</v>
      </c>
      <c r="K11">
        <v>197</v>
      </c>
    </row>
    <row r="12" spans="1:11" x14ac:dyDescent="0.25">
      <c r="A12" t="s">
        <v>744</v>
      </c>
      <c r="B12">
        <v>322</v>
      </c>
      <c r="C12">
        <v>267</v>
      </c>
      <c r="D12">
        <v>1603</v>
      </c>
      <c r="E12">
        <v>878</v>
      </c>
      <c r="G12">
        <v>1114</v>
      </c>
      <c r="H12">
        <v>1108</v>
      </c>
      <c r="I12">
        <v>1107</v>
      </c>
      <c r="K12">
        <v>268</v>
      </c>
    </row>
    <row r="13" spans="1:11" x14ac:dyDescent="0.25">
      <c r="A13" t="s">
        <v>1658</v>
      </c>
      <c r="B13">
        <v>599</v>
      </c>
      <c r="C13">
        <v>600</v>
      </c>
      <c r="D13">
        <v>3104</v>
      </c>
      <c r="E13">
        <v>3105</v>
      </c>
      <c r="F13">
        <v>3229</v>
      </c>
      <c r="G13">
        <v>3153</v>
      </c>
      <c r="H13">
        <v>3107</v>
      </c>
      <c r="I13">
        <v>3108</v>
      </c>
      <c r="J13">
        <v>3111</v>
      </c>
      <c r="K13">
        <v>497</v>
      </c>
    </row>
    <row r="14" spans="1:11" x14ac:dyDescent="0.25">
      <c r="A14" t="s">
        <v>894</v>
      </c>
      <c r="B14">
        <v>295</v>
      </c>
      <c r="C14">
        <v>296</v>
      </c>
      <c r="D14">
        <v>1522</v>
      </c>
      <c r="E14">
        <v>1523</v>
      </c>
      <c r="F14">
        <v>1796</v>
      </c>
      <c r="G14">
        <v>1524</v>
      </c>
      <c r="H14">
        <v>1525</v>
      </c>
      <c r="I14">
        <v>1526</v>
      </c>
      <c r="K14">
        <v>261</v>
      </c>
    </row>
    <row r="15" spans="1:11" x14ac:dyDescent="0.25">
      <c r="A15" t="s">
        <v>634</v>
      </c>
      <c r="B15">
        <v>9</v>
      </c>
      <c r="C15">
        <v>261</v>
      </c>
      <c r="D15">
        <v>80</v>
      </c>
      <c r="E15">
        <v>1610</v>
      </c>
      <c r="G15">
        <v>1615</v>
      </c>
      <c r="H15">
        <v>1613</v>
      </c>
      <c r="I15">
        <v>1614</v>
      </c>
      <c r="K15">
        <v>190</v>
      </c>
    </row>
    <row r="16" spans="1:11" x14ac:dyDescent="0.25">
      <c r="A16" t="s">
        <v>742</v>
      </c>
      <c r="B16">
        <v>317</v>
      </c>
      <c r="C16">
        <v>318</v>
      </c>
      <c r="D16">
        <v>1616</v>
      </c>
      <c r="E16">
        <v>876</v>
      </c>
      <c r="G16">
        <v>1084</v>
      </c>
      <c r="H16">
        <v>941</v>
      </c>
      <c r="I16">
        <v>942</v>
      </c>
      <c r="K16">
        <v>269</v>
      </c>
    </row>
    <row r="17" spans="1:11" x14ac:dyDescent="0.25">
      <c r="A17" t="s">
        <v>582</v>
      </c>
      <c r="B17">
        <v>5</v>
      </c>
      <c r="C17">
        <v>309</v>
      </c>
      <c r="D17">
        <v>78</v>
      </c>
      <c r="E17">
        <v>1581</v>
      </c>
      <c r="G17">
        <v>1586</v>
      </c>
      <c r="H17">
        <v>1584</v>
      </c>
      <c r="I17">
        <v>1585</v>
      </c>
      <c r="K17">
        <v>198</v>
      </c>
    </row>
    <row r="18" spans="1:11" x14ac:dyDescent="0.25">
      <c r="A18" t="s">
        <v>732</v>
      </c>
      <c r="B18">
        <v>308</v>
      </c>
      <c r="C18">
        <v>21</v>
      </c>
      <c r="D18">
        <v>1587</v>
      </c>
      <c r="E18">
        <v>464</v>
      </c>
      <c r="G18">
        <v>467</v>
      </c>
      <c r="H18">
        <v>465</v>
      </c>
      <c r="I18">
        <v>1588</v>
      </c>
      <c r="K18">
        <v>264</v>
      </c>
    </row>
    <row r="19" spans="1:11" x14ac:dyDescent="0.25">
      <c r="A19" t="s">
        <v>1272</v>
      </c>
      <c r="B19">
        <v>435</v>
      </c>
      <c r="C19">
        <v>436</v>
      </c>
      <c r="D19">
        <v>2270</v>
      </c>
      <c r="E19">
        <v>2271</v>
      </c>
      <c r="F19">
        <v>2504</v>
      </c>
      <c r="G19">
        <v>2272</v>
      </c>
      <c r="H19">
        <v>2273</v>
      </c>
      <c r="I19">
        <v>2274</v>
      </c>
      <c r="J19">
        <v>2276</v>
      </c>
      <c r="K19">
        <v>390</v>
      </c>
    </row>
    <row r="20" spans="1:11" x14ac:dyDescent="0.25">
      <c r="A20" t="s">
        <v>485</v>
      </c>
      <c r="B20">
        <v>11</v>
      </c>
      <c r="C20">
        <v>319</v>
      </c>
      <c r="D20">
        <v>357</v>
      </c>
      <c r="E20">
        <v>1623</v>
      </c>
      <c r="G20">
        <v>1628</v>
      </c>
      <c r="H20">
        <v>1626</v>
      </c>
      <c r="I20">
        <v>1627</v>
      </c>
      <c r="K20">
        <v>195</v>
      </c>
    </row>
    <row r="21" spans="1:11" x14ac:dyDescent="0.25">
      <c r="A21" s="39" t="s">
        <v>1723</v>
      </c>
    </row>
    <row r="22" spans="1:11" x14ac:dyDescent="0.25">
      <c r="A22" t="s">
        <v>1789</v>
      </c>
      <c r="B22">
        <v>608</v>
      </c>
      <c r="C22">
        <v>609</v>
      </c>
      <c r="D22">
        <v>3375</v>
      </c>
      <c r="E22">
        <v>3376</v>
      </c>
      <c r="F22">
        <v>3422</v>
      </c>
      <c r="G22">
        <v>3377</v>
      </c>
      <c r="H22">
        <v>3378</v>
      </c>
      <c r="I22">
        <v>3379</v>
      </c>
      <c r="J22">
        <v>3381</v>
      </c>
      <c r="K22">
        <v>520</v>
      </c>
    </row>
    <row r="23" spans="1:11" x14ac:dyDescent="0.25">
      <c r="A23" t="s">
        <v>428</v>
      </c>
      <c r="B23">
        <v>7</v>
      </c>
      <c r="C23">
        <v>23</v>
      </c>
      <c r="D23">
        <v>11</v>
      </c>
      <c r="E23">
        <v>1573</v>
      </c>
      <c r="G23">
        <v>1578</v>
      </c>
      <c r="H23">
        <v>1576</v>
      </c>
      <c r="I23">
        <v>1577</v>
      </c>
      <c r="K23">
        <v>191</v>
      </c>
    </row>
    <row r="24" spans="1:11" x14ac:dyDescent="0.25">
      <c r="A24" t="s">
        <v>737</v>
      </c>
      <c r="B24">
        <v>303</v>
      </c>
      <c r="C24">
        <v>302</v>
      </c>
      <c r="D24">
        <v>1579</v>
      </c>
      <c r="E24">
        <v>459</v>
      </c>
      <c r="G24">
        <v>463</v>
      </c>
      <c r="H24">
        <v>461</v>
      </c>
      <c r="I24">
        <v>1580</v>
      </c>
      <c r="K24">
        <v>265</v>
      </c>
    </row>
    <row r="25" spans="1:11" x14ac:dyDescent="0.25">
      <c r="A25" t="s">
        <v>2149</v>
      </c>
      <c r="B25">
        <v>855</v>
      </c>
      <c r="C25">
        <v>856</v>
      </c>
      <c r="D25">
        <v>4109</v>
      </c>
      <c r="E25">
        <v>4110</v>
      </c>
      <c r="F25">
        <v>4159</v>
      </c>
      <c r="G25">
        <v>4111</v>
      </c>
      <c r="H25">
        <v>4112</v>
      </c>
      <c r="I25">
        <v>4113</v>
      </c>
      <c r="J25">
        <v>4115</v>
      </c>
      <c r="K25">
        <v>581</v>
      </c>
    </row>
    <row r="26" spans="1:11" x14ac:dyDescent="0.25">
      <c r="A26" t="s">
        <v>1071</v>
      </c>
      <c r="B26">
        <v>368</v>
      </c>
      <c r="C26">
        <v>369</v>
      </c>
      <c r="D26">
        <v>1698</v>
      </c>
      <c r="E26">
        <v>1699</v>
      </c>
      <c r="F26">
        <v>2097</v>
      </c>
      <c r="G26">
        <v>1704</v>
      </c>
      <c r="H26">
        <v>1702</v>
      </c>
      <c r="I26">
        <v>1703</v>
      </c>
      <c r="K26">
        <v>332</v>
      </c>
    </row>
    <row r="27" spans="1:11" x14ac:dyDescent="0.25">
      <c r="A27" t="s">
        <v>1092</v>
      </c>
      <c r="B27">
        <v>420</v>
      </c>
      <c r="C27">
        <v>421</v>
      </c>
      <c r="D27">
        <v>1959</v>
      </c>
      <c r="E27">
        <v>1960</v>
      </c>
      <c r="F27">
        <v>2190</v>
      </c>
      <c r="G27">
        <v>1965</v>
      </c>
      <c r="H27">
        <v>1963</v>
      </c>
      <c r="I27">
        <v>1964</v>
      </c>
      <c r="J27">
        <v>2102</v>
      </c>
      <c r="K27">
        <v>341</v>
      </c>
    </row>
    <row r="28" spans="1:11" x14ac:dyDescent="0.25">
      <c r="A28" t="s">
        <v>1261</v>
      </c>
      <c r="B28">
        <v>433</v>
      </c>
      <c r="C28">
        <v>434</v>
      </c>
      <c r="D28">
        <v>2260</v>
      </c>
      <c r="E28">
        <v>2261</v>
      </c>
      <c r="F28">
        <v>2503</v>
      </c>
      <c r="G28">
        <v>2262</v>
      </c>
      <c r="H28">
        <v>2263</v>
      </c>
      <c r="I28">
        <v>2264</v>
      </c>
      <c r="J28">
        <v>2267</v>
      </c>
      <c r="K28">
        <v>389</v>
      </c>
    </row>
    <row r="29" spans="1:11" x14ac:dyDescent="0.25">
      <c r="A29" t="s">
        <v>445</v>
      </c>
      <c r="B29">
        <v>2</v>
      </c>
      <c r="C29">
        <v>299</v>
      </c>
      <c r="D29">
        <v>294</v>
      </c>
      <c r="E29">
        <v>1556</v>
      </c>
      <c r="G29">
        <v>1561</v>
      </c>
      <c r="H29">
        <v>1559</v>
      </c>
      <c r="I29">
        <v>1560</v>
      </c>
      <c r="K29">
        <v>98</v>
      </c>
    </row>
    <row r="30" spans="1:11" x14ac:dyDescent="0.25">
      <c r="A30" t="s">
        <v>713</v>
      </c>
      <c r="B30">
        <v>18</v>
      </c>
      <c r="C30">
        <v>312</v>
      </c>
      <c r="D30">
        <v>1562</v>
      </c>
      <c r="E30">
        <v>343</v>
      </c>
      <c r="G30">
        <v>342</v>
      </c>
      <c r="H30">
        <v>340</v>
      </c>
      <c r="I30">
        <v>1563</v>
      </c>
      <c r="K30">
        <v>266</v>
      </c>
    </row>
    <row r="31" spans="1:11" x14ac:dyDescent="0.25">
      <c r="A31" t="s">
        <v>1796</v>
      </c>
      <c r="B31">
        <v>610</v>
      </c>
      <c r="C31">
        <v>611</v>
      </c>
      <c r="D31">
        <v>3394</v>
      </c>
      <c r="E31">
        <v>3395</v>
      </c>
      <c r="F31">
        <v>3423</v>
      </c>
      <c r="G31">
        <v>3396</v>
      </c>
      <c r="H31">
        <v>3397</v>
      </c>
      <c r="I31">
        <v>3398</v>
      </c>
      <c r="J31">
        <v>3400</v>
      </c>
      <c r="K31">
        <v>521</v>
      </c>
    </row>
    <row r="32" spans="1:11" x14ac:dyDescent="0.25">
      <c r="A32" t="s">
        <v>1342</v>
      </c>
      <c r="B32">
        <v>503</v>
      </c>
      <c r="C32">
        <v>504</v>
      </c>
      <c r="D32">
        <v>2539</v>
      </c>
      <c r="E32">
        <v>2540</v>
      </c>
      <c r="F32">
        <v>2747</v>
      </c>
      <c r="G32">
        <v>2541</v>
      </c>
      <c r="H32">
        <v>2542</v>
      </c>
      <c r="I32">
        <v>2543</v>
      </c>
      <c r="J32">
        <v>2546</v>
      </c>
      <c r="K32">
        <v>424</v>
      </c>
    </row>
    <row r="33" spans="1:11" x14ac:dyDescent="0.25">
      <c r="A33" t="s">
        <v>722</v>
      </c>
      <c r="B33">
        <v>289</v>
      </c>
      <c r="C33">
        <v>268</v>
      </c>
      <c r="D33">
        <v>1345</v>
      </c>
      <c r="E33">
        <v>880</v>
      </c>
      <c r="G33">
        <v>1303</v>
      </c>
      <c r="H33">
        <v>1128</v>
      </c>
      <c r="I33">
        <v>1129</v>
      </c>
      <c r="K33">
        <v>236</v>
      </c>
    </row>
    <row r="34" spans="1:11" x14ac:dyDescent="0.25">
      <c r="A34" t="s">
        <v>1320</v>
      </c>
      <c r="B34">
        <v>496</v>
      </c>
      <c r="C34">
        <v>497</v>
      </c>
      <c r="D34">
        <v>2425</v>
      </c>
      <c r="E34">
        <v>2426</v>
      </c>
      <c r="F34">
        <v>2629</v>
      </c>
      <c r="G34">
        <v>2427</v>
      </c>
      <c r="H34">
        <v>2428</v>
      </c>
      <c r="I34">
        <v>2429</v>
      </c>
      <c r="J34">
        <v>2431</v>
      </c>
      <c r="K34">
        <v>398</v>
      </c>
    </row>
    <row r="35" spans="1:11" x14ac:dyDescent="0.25">
      <c r="A35" t="s">
        <v>2150</v>
      </c>
      <c r="B35">
        <v>857</v>
      </c>
      <c r="C35">
        <v>858</v>
      </c>
      <c r="D35">
        <v>4128</v>
      </c>
      <c r="E35">
        <v>4129</v>
      </c>
      <c r="F35">
        <v>4160</v>
      </c>
      <c r="G35">
        <v>4130</v>
      </c>
      <c r="H35">
        <v>4131</v>
      </c>
      <c r="I35">
        <v>4132</v>
      </c>
      <c r="J35">
        <v>4134</v>
      </c>
      <c r="K35">
        <v>582</v>
      </c>
    </row>
    <row r="36" spans="1:11" x14ac:dyDescent="0.25">
      <c r="A36" t="s">
        <v>1195</v>
      </c>
      <c r="B36">
        <v>428</v>
      </c>
      <c r="C36">
        <v>429</v>
      </c>
      <c r="D36">
        <v>2162</v>
      </c>
      <c r="E36">
        <v>2163</v>
      </c>
      <c r="F36">
        <v>2317</v>
      </c>
      <c r="G36">
        <v>2164</v>
      </c>
      <c r="H36">
        <v>2165</v>
      </c>
      <c r="I36">
        <v>2166</v>
      </c>
      <c r="J36">
        <v>2168</v>
      </c>
      <c r="K36">
        <v>370</v>
      </c>
    </row>
    <row r="37" spans="1:11" x14ac:dyDescent="0.25">
      <c r="A37" t="s">
        <v>1197</v>
      </c>
      <c r="B37">
        <v>426</v>
      </c>
      <c r="C37">
        <v>427</v>
      </c>
      <c r="D37">
        <v>2152</v>
      </c>
      <c r="E37">
        <v>2153</v>
      </c>
      <c r="F37">
        <v>2318</v>
      </c>
      <c r="G37">
        <v>2154</v>
      </c>
      <c r="H37">
        <v>2155</v>
      </c>
      <c r="I37">
        <v>2156</v>
      </c>
      <c r="J37">
        <v>2159</v>
      </c>
      <c r="K37">
        <v>371</v>
      </c>
    </row>
    <row r="38" spans="1:11" x14ac:dyDescent="0.25">
      <c r="A38" t="s">
        <v>1313</v>
      </c>
      <c r="B38">
        <v>494</v>
      </c>
      <c r="C38">
        <v>495</v>
      </c>
      <c r="D38">
        <v>2415</v>
      </c>
      <c r="E38">
        <v>2416</v>
      </c>
      <c r="F38">
        <v>2628</v>
      </c>
      <c r="G38">
        <v>2417</v>
      </c>
      <c r="H38">
        <v>2418</v>
      </c>
      <c r="I38">
        <v>2419</v>
      </c>
      <c r="J38">
        <v>2422</v>
      </c>
      <c r="K38">
        <v>391</v>
      </c>
    </row>
    <row r="39" spans="1:11" x14ac:dyDescent="0.25">
      <c r="A39" t="s">
        <v>2077</v>
      </c>
      <c r="B39">
        <v>1037</v>
      </c>
      <c r="C39">
        <v>1038</v>
      </c>
      <c r="D39">
        <v>4311</v>
      </c>
      <c r="E39">
        <v>4312</v>
      </c>
      <c r="G39">
        <v>4313</v>
      </c>
      <c r="H39">
        <v>4314</v>
      </c>
      <c r="I39">
        <v>4315</v>
      </c>
      <c r="J39">
        <v>4317</v>
      </c>
      <c r="K39">
        <v>606</v>
      </c>
    </row>
    <row r="40" spans="1:11" x14ac:dyDescent="0.25">
      <c r="A40" t="s">
        <v>1956</v>
      </c>
      <c r="B40">
        <v>638</v>
      </c>
      <c r="C40">
        <v>639</v>
      </c>
      <c r="D40">
        <v>3810</v>
      </c>
      <c r="E40">
        <v>3811</v>
      </c>
      <c r="F40">
        <v>3921</v>
      </c>
      <c r="G40">
        <v>3812</v>
      </c>
      <c r="H40">
        <v>3813</v>
      </c>
      <c r="I40">
        <v>3814</v>
      </c>
      <c r="J40">
        <v>3816</v>
      </c>
      <c r="K40">
        <v>556</v>
      </c>
    </row>
    <row r="41" spans="1:11" x14ac:dyDescent="0.25">
      <c r="A41" t="s">
        <v>1628</v>
      </c>
      <c r="B41">
        <v>595</v>
      </c>
      <c r="C41">
        <v>596</v>
      </c>
      <c r="D41">
        <v>3016</v>
      </c>
      <c r="E41">
        <v>3017</v>
      </c>
      <c r="F41">
        <v>3097</v>
      </c>
      <c r="G41">
        <v>3018</v>
      </c>
      <c r="H41">
        <v>3019</v>
      </c>
      <c r="I41">
        <v>3020</v>
      </c>
      <c r="J41">
        <v>3023</v>
      </c>
      <c r="K41">
        <v>470</v>
      </c>
    </row>
    <row r="42" spans="1:11" x14ac:dyDescent="0.25">
      <c r="A42" t="s">
        <v>890</v>
      </c>
      <c r="B42">
        <v>293</v>
      </c>
      <c r="C42">
        <v>294</v>
      </c>
      <c r="D42">
        <v>1504</v>
      </c>
      <c r="E42">
        <v>1505</v>
      </c>
      <c r="F42">
        <v>1795</v>
      </c>
      <c r="G42">
        <v>1506</v>
      </c>
      <c r="H42">
        <v>1507</v>
      </c>
      <c r="I42">
        <v>1508</v>
      </c>
      <c r="K42">
        <v>260</v>
      </c>
    </row>
    <row r="43" spans="1:11" x14ac:dyDescent="0.25">
      <c r="A43" t="s">
        <v>1099</v>
      </c>
      <c r="B43">
        <v>418</v>
      </c>
      <c r="C43">
        <v>419</v>
      </c>
      <c r="D43">
        <v>1975</v>
      </c>
      <c r="E43">
        <v>1976</v>
      </c>
      <c r="F43">
        <v>2189</v>
      </c>
      <c r="G43">
        <v>1981</v>
      </c>
      <c r="H43">
        <v>1979</v>
      </c>
      <c r="I43">
        <v>1980</v>
      </c>
      <c r="J43">
        <v>1983</v>
      </c>
      <c r="K43">
        <v>363</v>
      </c>
    </row>
    <row r="44" spans="1:11" x14ac:dyDescent="0.25">
      <c r="A44" t="s">
        <v>1864</v>
      </c>
      <c r="B44">
        <v>615</v>
      </c>
      <c r="C44">
        <v>616</v>
      </c>
      <c r="D44">
        <v>3529</v>
      </c>
      <c r="E44">
        <v>3530</v>
      </c>
      <c r="F44">
        <v>3546</v>
      </c>
      <c r="G44">
        <v>3531</v>
      </c>
      <c r="H44">
        <v>3532</v>
      </c>
      <c r="I44">
        <v>3533</v>
      </c>
      <c r="J44">
        <v>3535</v>
      </c>
      <c r="K44">
        <v>532</v>
      </c>
    </row>
    <row r="45" spans="1:11" x14ac:dyDescent="0.25">
      <c r="A45" t="s">
        <v>402</v>
      </c>
      <c r="B45">
        <v>16</v>
      </c>
      <c r="C45">
        <v>313</v>
      </c>
      <c r="D45">
        <v>417</v>
      </c>
      <c r="E45">
        <v>1635</v>
      </c>
      <c r="G45">
        <v>1640</v>
      </c>
      <c r="H45">
        <v>1638</v>
      </c>
      <c r="I45">
        <v>1639</v>
      </c>
      <c r="K45">
        <v>185</v>
      </c>
    </row>
    <row r="46" spans="1:11" x14ac:dyDescent="0.25">
      <c r="A46" t="s">
        <v>1665</v>
      </c>
      <c r="B46">
        <v>601</v>
      </c>
      <c r="C46">
        <v>602</v>
      </c>
      <c r="D46">
        <v>3114</v>
      </c>
      <c r="E46">
        <v>3115</v>
      </c>
      <c r="F46">
        <v>3228</v>
      </c>
      <c r="G46">
        <v>3154</v>
      </c>
      <c r="H46">
        <v>3117</v>
      </c>
      <c r="I46">
        <v>3118</v>
      </c>
      <c r="J46">
        <v>3120</v>
      </c>
      <c r="K46">
        <v>498</v>
      </c>
    </row>
    <row r="47" spans="1:11" x14ac:dyDescent="0.25">
      <c r="A47" t="s">
        <v>450</v>
      </c>
      <c r="B47">
        <v>3</v>
      </c>
      <c r="C47">
        <v>315</v>
      </c>
      <c r="D47">
        <v>301</v>
      </c>
      <c r="E47">
        <v>1565</v>
      </c>
      <c r="G47">
        <v>1570</v>
      </c>
      <c r="H47">
        <v>1568</v>
      </c>
      <c r="I47">
        <v>1569</v>
      </c>
      <c r="K47">
        <v>193</v>
      </c>
    </row>
    <row r="48" spans="1:11" x14ac:dyDescent="0.25">
      <c r="A48" t="s">
        <v>717</v>
      </c>
      <c r="B48">
        <v>316</v>
      </c>
      <c r="C48">
        <v>19</v>
      </c>
      <c r="D48">
        <v>1571</v>
      </c>
      <c r="E48">
        <v>421</v>
      </c>
      <c r="G48">
        <v>448</v>
      </c>
      <c r="H48">
        <v>446</v>
      </c>
      <c r="I48">
        <v>1572</v>
      </c>
      <c r="K48">
        <v>267</v>
      </c>
    </row>
    <row r="49" spans="1:11" x14ac:dyDescent="0.25">
      <c r="A49" t="s">
        <v>1436</v>
      </c>
      <c r="B49">
        <v>507</v>
      </c>
      <c r="C49">
        <v>508</v>
      </c>
      <c r="D49">
        <v>2694</v>
      </c>
      <c r="E49">
        <v>2695</v>
      </c>
      <c r="F49">
        <v>2850</v>
      </c>
      <c r="G49">
        <v>2755</v>
      </c>
      <c r="H49">
        <v>2697</v>
      </c>
      <c r="I49">
        <v>2698</v>
      </c>
      <c r="J49">
        <v>2701</v>
      </c>
      <c r="K49">
        <v>435</v>
      </c>
    </row>
    <row r="50" spans="1:11" x14ac:dyDescent="0.25">
      <c r="A50" t="s">
        <v>777</v>
      </c>
      <c r="B50">
        <v>13</v>
      </c>
      <c r="C50">
        <v>311</v>
      </c>
      <c r="D50">
        <v>81</v>
      </c>
      <c r="E50">
        <v>1617</v>
      </c>
      <c r="G50">
        <v>1622</v>
      </c>
      <c r="H50">
        <v>1620</v>
      </c>
      <c r="I50">
        <v>1621</v>
      </c>
      <c r="K50">
        <v>188</v>
      </c>
    </row>
    <row r="51" spans="1:11" x14ac:dyDescent="0.25">
      <c r="A51" t="s">
        <v>611</v>
      </c>
      <c r="B51">
        <v>4</v>
      </c>
      <c r="C51">
        <v>20</v>
      </c>
      <c r="D51">
        <v>325</v>
      </c>
      <c r="E51">
        <v>1549</v>
      </c>
      <c r="G51">
        <v>1554</v>
      </c>
      <c r="H51">
        <v>1552</v>
      </c>
      <c r="I51">
        <v>1553</v>
      </c>
      <c r="K51">
        <v>198</v>
      </c>
    </row>
    <row r="52" spans="1:11" x14ac:dyDescent="0.25">
      <c r="A52" t="s">
        <v>747</v>
      </c>
      <c r="B52">
        <v>300</v>
      </c>
      <c r="C52">
        <v>301</v>
      </c>
      <c r="D52">
        <v>1555</v>
      </c>
      <c r="E52">
        <v>545</v>
      </c>
      <c r="G52">
        <v>451</v>
      </c>
      <c r="H52">
        <v>449</v>
      </c>
      <c r="I52">
        <v>1564</v>
      </c>
      <c r="K52">
        <v>262</v>
      </c>
    </row>
    <row r="53" spans="1:11" x14ac:dyDescent="0.25">
      <c r="A53" t="s">
        <v>1543</v>
      </c>
      <c r="B53">
        <v>593</v>
      </c>
      <c r="C53">
        <v>594</v>
      </c>
      <c r="D53">
        <v>2841</v>
      </c>
      <c r="E53">
        <v>2842</v>
      </c>
      <c r="F53">
        <v>2991</v>
      </c>
      <c r="G53">
        <v>2843</v>
      </c>
      <c r="H53">
        <v>2844</v>
      </c>
      <c r="I53">
        <v>2845</v>
      </c>
      <c r="J53">
        <v>2847</v>
      </c>
      <c r="K53">
        <v>454</v>
      </c>
    </row>
    <row r="54" spans="1:11" x14ac:dyDescent="0.25">
      <c r="A54" t="s">
        <v>1621</v>
      </c>
      <c r="B54">
        <v>597</v>
      </c>
      <c r="C54">
        <v>598</v>
      </c>
      <c r="D54">
        <v>3026</v>
      </c>
      <c r="E54">
        <v>3027</v>
      </c>
      <c r="F54">
        <v>3094</v>
      </c>
      <c r="G54">
        <v>3028</v>
      </c>
      <c r="H54">
        <v>3029</v>
      </c>
      <c r="I54">
        <v>3030</v>
      </c>
      <c r="J54">
        <v>3032</v>
      </c>
      <c r="K54">
        <v>469</v>
      </c>
    </row>
    <row r="55" spans="1:11" x14ac:dyDescent="0.25">
      <c r="A55" t="s">
        <v>1349</v>
      </c>
      <c r="B55">
        <v>505</v>
      </c>
      <c r="C55">
        <v>506</v>
      </c>
      <c r="D55">
        <v>2549</v>
      </c>
      <c r="E55">
        <v>2550</v>
      </c>
      <c r="F55">
        <v>2749</v>
      </c>
      <c r="G55">
        <v>2551</v>
      </c>
      <c r="H55">
        <v>2552</v>
      </c>
      <c r="I55">
        <v>2553</v>
      </c>
      <c r="J55">
        <v>2555</v>
      </c>
      <c r="K55">
        <v>425</v>
      </c>
    </row>
    <row r="56" spans="1:11" x14ac:dyDescent="0.25">
      <c r="A56" t="s">
        <v>571</v>
      </c>
      <c r="B56">
        <v>17</v>
      </c>
      <c r="C56">
        <v>314</v>
      </c>
      <c r="D56">
        <v>570</v>
      </c>
      <c r="E56">
        <v>1653</v>
      </c>
      <c r="G56">
        <v>1658</v>
      </c>
      <c r="H56">
        <v>1656</v>
      </c>
      <c r="I56">
        <v>1657</v>
      </c>
      <c r="K56">
        <v>184</v>
      </c>
    </row>
    <row r="57" spans="1:11" x14ac:dyDescent="0.25">
      <c r="A57" t="s">
        <v>539</v>
      </c>
      <c r="B57">
        <v>12</v>
      </c>
      <c r="C57">
        <v>304</v>
      </c>
      <c r="D57">
        <v>391</v>
      </c>
      <c r="E57">
        <v>1629</v>
      </c>
      <c r="G57">
        <v>1634</v>
      </c>
      <c r="H57">
        <v>1632</v>
      </c>
      <c r="I57">
        <v>1633</v>
      </c>
      <c r="K57">
        <v>196</v>
      </c>
    </row>
    <row r="58" spans="1:11" x14ac:dyDescent="0.25">
      <c r="A58" t="s">
        <v>432</v>
      </c>
      <c r="B58">
        <v>6</v>
      </c>
      <c r="C58">
        <v>306</v>
      </c>
      <c r="D58">
        <v>79</v>
      </c>
      <c r="E58">
        <v>1589</v>
      </c>
      <c r="G58">
        <v>1594</v>
      </c>
      <c r="H58">
        <v>1592</v>
      </c>
      <c r="I58">
        <v>1593</v>
      </c>
      <c r="K58">
        <v>189</v>
      </c>
    </row>
    <row r="59" spans="1:11" x14ac:dyDescent="0.25">
      <c r="A59" t="s">
        <v>727</v>
      </c>
      <c r="B59">
        <v>22</v>
      </c>
      <c r="C59">
        <v>307</v>
      </c>
      <c r="D59">
        <v>1595</v>
      </c>
      <c r="E59">
        <v>678</v>
      </c>
      <c r="G59">
        <v>681</v>
      </c>
      <c r="H59">
        <v>679</v>
      </c>
      <c r="I59">
        <v>1596</v>
      </c>
      <c r="K59">
        <v>263</v>
      </c>
    </row>
    <row r="60" spans="1:11" x14ac:dyDescent="0.25">
      <c r="A60" t="s">
        <v>770</v>
      </c>
      <c r="B60">
        <v>288</v>
      </c>
      <c r="C60">
        <v>287</v>
      </c>
      <c r="D60">
        <v>1346</v>
      </c>
      <c r="E60">
        <v>1120</v>
      </c>
      <c r="G60">
        <v>1279</v>
      </c>
      <c r="H60">
        <v>1275</v>
      </c>
      <c r="I60">
        <v>1276</v>
      </c>
      <c r="K60">
        <v>247</v>
      </c>
    </row>
    <row r="61" spans="1:11" x14ac:dyDescent="0.25">
      <c r="A61" s="39" t="s">
        <v>311</v>
      </c>
      <c r="B61" t="s">
        <v>2162</v>
      </c>
      <c r="C61" t="s">
        <v>2162</v>
      </c>
      <c r="D61" t="s">
        <v>2162</v>
      </c>
      <c r="E61" t="s">
        <v>2162</v>
      </c>
      <c r="F61" t="s">
        <v>2162</v>
      </c>
      <c r="G61" t="s">
        <v>2162</v>
      </c>
      <c r="H61" t="s">
        <v>2162</v>
      </c>
      <c r="I61" t="s">
        <v>2162</v>
      </c>
      <c r="J61" t="s">
        <v>2162</v>
      </c>
      <c r="K61">
        <v>616</v>
      </c>
    </row>
  </sheetData>
  <autoFilter ref="A1:K60" xr:uid="{00000000-0009-0000-0000-00000A000000}"/>
  <conditionalFormatting sqref="J61">
    <cfRule type="duplicateValues" dxfId="16" priority="1"/>
  </conditionalFormatting>
  <conditionalFormatting sqref="I61">
    <cfRule type="duplicateValues" dxfId="15" priority="2"/>
  </conditionalFormatting>
  <conditionalFormatting sqref="H61">
    <cfRule type="duplicateValues" dxfId="14" priority="3"/>
  </conditionalFormatting>
  <conditionalFormatting sqref="G61">
    <cfRule type="duplicateValues" dxfId="13" priority="4"/>
  </conditionalFormatting>
  <conditionalFormatting sqref="F61">
    <cfRule type="duplicateValues" dxfId="12" priority="5"/>
  </conditionalFormatting>
  <conditionalFormatting sqref="E61">
    <cfRule type="duplicateValues" dxfId="11" priority="6"/>
  </conditionalFormatting>
  <conditionalFormatting sqref="D61">
    <cfRule type="duplicateValues" dxfId="10" priority="7"/>
  </conditionalFormatting>
  <conditionalFormatting sqref="C61">
    <cfRule type="duplicateValues" dxfId="9" priority="8"/>
  </conditionalFormatting>
  <conditionalFormatting sqref="B1:B1048576">
    <cfRule type="duplicateValues" dxfId="8" priority="9"/>
  </conditionalFormatting>
  <conditionalFormatting sqref="C1:C60 C62:C1048576">
    <cfRule type="duplicateValues" dxfId="7" priority="10"/>
  </conditionalFormatting>
  <conditionalFormatting sqref="D1:D60 D62:D1048576">
    <cfRule type="duplicateValues" dxfId="6" priority="11"/>
  </conditionalFormatting>
  <conditionalFormatting sqref="E1:E60 E62:E1048576">
    <cfRule type="duplicateValues" dxfId="5" priority="12"/>
  </conditionalFormatting>
  <conditionalFormatting sqref="F1:F60 F62:F1048576">
    <cfRule type="duplicateValues" dxfId="4" priority="13"/>
  </conditionalFormatting>
  <conditionalFormatting sqref="G1:G60 G62:G1048576">
    <cfRule type="duplicateValues" dxfId="3" priority="14"/>
  </conditionalFormatting>
  <conditionalFormatting sqref="H1:H60 H62:H1048576">
    <cfRule type="duplicateValues" dxfId="2" priority="15"/>
  </conditionalFormatting>
  <conditionalFormatting sqref="I1:I60 I62:I1048576">
    <cfRule type="duplicateValues" dxfId="1" priority="16"/>
  </conditionalFormatting>
  <conditionalFormatting sqref="J1:J60 J62:J1048576">
    <cfRule type="duplicateValues" dxfId="0" priority="17"/>
  </conditionalFormatting>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5">
    <tabColor rgb="FFFFC000"/>
  </sheetPr>
  <dimension ref="A1:K38"/>
  <sheetViews>
    <sheetView workbookViewId="0">
      <pane xSplit="5" ySplit="2" topLeftCell="F15" activePane="bottomRight" state="frozen"/>
      <selection pane="topRight"/>
      <selection pane="bottomLeft"/>
      <selection pane="bottomRight" activeCell="F36" sqref="F36:G39"/>
    </sheetView>
  </sheetViews>
  <sheetFormatPr defaultColWidth="10.7109375" defaultRowHeight="15" x14ac:dyDescent="0.25"/>
  <cols>
    <col min="1" max="1" width="20.7109375" customWidth="1"/>
    <col min="2" max="2" width="24.140625" customWidth="1"/>
    <col min="3" max="3" width="27.140625" customWidth="1"/>
    <col min="4" max="4" width="25.85546875" customWidth="1"/>
    <col min="5" max="5" width="28.140625" customWidth="1"/>
    <col min="6" max="6" width="43.28515625" customWidth="1"/>
    <col min="7" max="7" width="48.28515625" customWidth="1"/>
    <col min="8" max="8" width="10.42578125" customWidth="1"/>
    <col min="9" max="9" width="19.140625" customWidth="1"/>
    <col min="10" max="10" width="20.85546875" customWidth="1"/>
    <col min="11" max="11" width="87.85546875" customWidth="1"/>
  </cols>
  <sheetData>
    <row r="1" spans="1:11" x14ac:dyDescent="0.25">
      <c r="A1" s="107" t="s">
        <v>2163</v>
      </c>
      <c r="B1" s="107"/>
      <c r="C1" s="107"/>
      <c r="D1" s="107"/>
      <c r="E1" s="107"/>
    </row>
    <row r="2" spans="1:11" s="6" customFormat="1" x14ac:dyDescent="0.25">
      <c r="A2" s="6" t="s">
        <v>2164</v>
      </c>
      <c r="B2" s="6" t="s">
        <v>2165</v>
      </c>
      <c r="C2" s="6" t="s">
        <v>2166</v>
      </c>
      <c r="D2" s="6" t="s">
        <v>2167</v>
      </c>
      <c r="E2" s="6" t="s">
        <v>2168</v>
      </c>
      <c r="F2" s="6" t="s">
        <v>2169</v>
      </c>
      <c r="G2" s="6" t="s">
        <v>2170</v>
      </c>
      <c r="H2" s="6" t="s">
        <v>2171</v>
      </c>
      <c r="I2" s="6" t="s">
        <v>2172</v>
      </c>
      <c r="J2" s="6" t="s">
        <v>2173</v>
      </c>
      <c r="K2" s="18" t="s">
        <v>2148</v>
      </c>
    </row>
    <row r="3" spans="1:11" x14ac:dyDescent="0.25">
      <c r="A3">
        <v>124</v>
      </c>
      <c r="B3">
        <v>20</v>
      </c>
      <c r="C3">
        <v>383</v>
      </c>
      <c r="D3" t="s">
        <v>2174</v>
      </c>
      <c r="E3" t="s">
        <v>451</v>
      </c>
      <c r="F3">
        <v>124</v>
      </c>
      <c r="G3">
        <v>383</v>
      </c>
      <c r="H3">
        <v>0</v>
      </c>
      <c r="I3" t="str">
        <f>VLOOKUP(H3,ConstDLCIds!$A$4:$B$1000,2,FALSE)</f>
        <v>DLC_BASE_GAME</v>
      </c>
      <c r="J3" t="str">
        <f>VLOOKUP(H3,ConstDLCIds!$A$4:$C$1000,3,FALSE)</f>
        <v>Included in base game</v>
      </c>
      <c r="K3" s="18" t="str">
        <f t="shared" ref="K3:K38" si="0">"["&amp;A3&amp;"]={parentZoneId="&amp;C3&amp;", DLCID="&amp;I3&amp;"},   --"&amp;D3</f>
        <v>[124]={parentZoneId=383, DLCID=DLC_BASE_GAME},   --Root Sunder Ruins</v>
      </c>
    </row>
    <row r="4" spans="1:11" x14ac:dyDescent="0.25">
      <c r="A4">
        <v>134</v>
      </c>
      <c r="B4">
        <v>24</v>
      </c>
      <c r="C4">
        <v>117</v>
      </c>
      <c r="D4" t="s">
        <v>2175</v>
      </c>
      <c r="E4" t="s">
        <v>506</v>
      </c>
      <c r="F4">
        <v>134</v>
      </c>
      <c r="G4">
        <v>117</v>
      </c>
      <c r="H4">
        <v>0</v>
      </c>
      <c r="I4" t="str">
        <f>VLOOKUP(H4,ConstDLCIds!$A$4:$B$1000,2,FALSE)</f>
        <v>DLC_BASE_GAME</v>
      </c>
      <c r="J4" t="str">
        <f>VLOOKUP(H4,ConstDLCIds!$A$4:$C$1000,3,FALSE)</f>
        <v>Included in base game</v>
      </c>
      <c r="K4" s="18" t="str">
        <f t="shared" si="0"/>
        <v>[134]={parentZoneId=117, DLCID=DLC_BASE_GAME},   --Sanguine's Demesne</v>
      </c>
    </row>
    <row r="5" spans="1:11" x14ac:dyDescent="0.25">
      <c r="A5">
        <v>137</v>
      </c>
      <c r="B5">
        <v>25</v>
      </c>
      <c r="C5">
        <v>108</v>
      </c>
      <c r="D5" t="s">
        <v>2060</v>
      </c>
      <c r="E5" t="s">
        <v>511</v>
      </c>
      <c r="F5">
        <v>137</v>
      </c>
      <c r="G5">
        <v>108</v>
      </c>
      <c r="H5">
        <v>0</v>
      </c>
      <c r="I5" t="str">
        <f>VLOOKUP(H5,ConstDLCIds!$A$4:$B$1000,2,FALSE)</f>
        <v>DLC_BASE_GAME</v>
      </c>
      <c r="J5" t="str">
        <f>VLOOKUP(H5,ConstDLCIds!$A$4:$C$1000,3,FALSE)</f>
        <v>Included in base game</v>
      </c>
      <c r="K5" s="18" t="str">
        <f t="shared" si="0"/>
        <v>[137]={parentZoneId=108, DLCID=DLC_BASE_GAME},   --Rulanyil's Fall</v>
      </c>
    </row>
    <row r="6" spans="1:11" x14ac:dyDescent="0.25">
      <c r="A6">
        <v>138</v>
      </c>
      <c r="B6">
        <v>26</v>
      </c>
      <c r="C6">
        <v>58</v>
      </c>
      <c r="D6" t="s">
        <v>2176</v>
      </c>
      <c r="E6" t="s">
        <v>429</v>
      </c>
      <c r="F6">
        <v>138</v>
      </c>
      <c r="G6">
        <v>58</v>
      </c>
      <c r="H6">
        <v>0</v>
      </c>
      <c r="I6" t="str">
        <f>VLOOKUP(H6,ConstDLCIds!$A$4:$B$1000,2,FALSE)</f>
        <v>DLC_BASE_GAME</v>
      </c>
      <c r="J6" t="str">
        <f>VLOOKUP(H6,ConstDLCIds!$A$4:$C$1000,3,FALSE)</f>
        <v>Included in base game</v>
      </c>
      <c r="K6" s="18" t="str">
        <f t="shared" si="0"/>
        <v>[138]={parentZoneId=58, DLCID=DLC_BASE_GAME},   --Crimson Cove</v>
      </c>
    </row>
    <row r="7" spans="1:11" x14ac:dyDescent="0.25">
      <c r="A7">
        <v>142</v>
      </c>
      <c r="B7">
        <v>27</v>
      </c>
      <c r="C7">
        <v>19</v>
      </c>
      <c r="D7" t="s">
        <v>2177</v>
      </c>
      <c r="E7" t="s">
        <v>413</v>
      </c>
      <c r="F7">
        <v>142</v>
      </c>
      <c r="G7">
        <v>19</v>
      </c>
      <c r="H7">
        <v>0</v>
      </c>
      <c r="I7" t="str">
        <f>VLOOKUP(H7,ConstDLCIds!$A$4:$B$1000,2,FALSE)</f>
        <v>DLC_BASE_GAME</v>
      </c>
      <c r="J7" t="str">
        <f>VLOOKUP(H7,ConstDLCIds!$A$4:$C$1000,3,FALSE)</f>
        <v>Included in base game</v>
      </c>
      <c r="K7" s="18" t="str">
        <f t="shared" si="0"/>
        <v>[142]={parentZoneId=19, DLCID=DLC_BASE_GAME},   --Bonesnap Ruins</v>
      </c>
    </row>
    <row r="8" spans="1:11" x14ac:dyDescent="0.25">
      <c r="A8">
        <v>162</v>
      </c>
      <c r="B8">
        <v>32</v>
      </c>
      <c r="C8">
        <v>20</v>
      </c>
      <c r="D8" t="s">
        <v>1825</v>
      </c>
      <c r="E8" t="s">
        <v>501</v>
      </c>
      <c r="F8">
        <v>162</v>
      </c>
      <c r="G8">
        <v>20</v>
      </c>
      <c r="H8">
        <v>0</v>
      </c>
      <c r="I8" t="str">
        <f>VLOOKUP(H8,ConstDLCIds!$A$4:$B$1000,2,FALSE)</f>
        <v>DLC_BASE_GAME</v>
      </c>
      <c r="J8" t="str">
        <f>VLOOKUP(H8,ConstDLCIds!$A$4:$C$1000,3,FALSE)</f>
        <v>Included in base game</v>
      </c>
      <c r="K8" s="18" t="str">
        <f t="shared" si="0"/>
        <v>[162]={parentZoneId=20, DLCID=DLC_BASE_GAME},   --Obsidian Scar</v>
      </c>
    </row>
    <row r="9" spans="1:11" x14ac:dyDescent="0.25">
      <c r="A9">
        <v>169</v>
      </c>
      <c r="B9">
        <v>35</v>
      </c>
      <c r="C9">
        <v>92</v>
      </c>
      <c r="D9" t="s">
        <v>2178</v>
      </c>
      <c r="E9" t="s">
        <v>524</v>
      </c>
      <c r="F9">
        <v>169</v>
      </c>
      <c r="G9">
        <v>92</v>
      </c>
      <c r="H9">
        <v>0</v>
      </c>
      <c r="I9" t="str">
        <f>VLOOKUP(H9,ConstDLCIds!$A$4:$B$1000,2,FALSE)</f>
        <v>DLC_BASE_GAME</v>
      </c>
      <c r="J9" t="str">
        <f>VLOOKUP(H9,ConstDLCIds!$A$4:$C$1000,3,FALSE)</f>
        <v>Included in base game</v>
      </c>
      <c r="K9" s="18" t="str">
        <f t="shared" si="0"/>
        <v>[169]={parentZoneId=92, DLCID=DLC_BASE_GAME},   --Razak's Wheel</v>
      </c>
    </row>
    <row r="10" spans="1:11" x14ac:dyDescent="0.25">
      <c r="A10">
        <v>216</v>
      </c>
      <c r="B10">
        <v>56</v>
      </c>
      <c r="C10">
        <v>41</v>
      </c>
      <c r="D10" t="s">
        <v>1419</v>
      </c>
      <c r="E10" t="s">
        <v>433</v>
      </c>
      <c r="F10">
        <v>216</v>
      </c>
      <c r="G10">
        <v>41</v>
      </c>
      <c r="H10">
        <v>0</v>
      </c>
      <c r="I10" t="str">
        <f>VLOOKUP(H10,ConstDLCIds!$A$4:$B$1000,2,FALSE)</f>
        <v>DLC_BASE_GAME</v>
      </c>
      <c r="J10" t="str">
        <f>VLOOKUP(H10,ConstDLCIds!$A$4:$C$1000,3,FALSE)</f>
        <v>Included in base game</v>
      </c>
      <c r="K10" s="18" t="str">
        <f t="shared" si="0"/>
        <v>[216]={parentZoneId=41, DLCID=DLC_BASE_GAME},   --Crow's Wood</v>
      </c>
    </row>
    <row r="11" spans="1:11" x14ac:dyDescent="0.25">
      <c r="A11">
        <v>284</v>
      </c>
      <c r="B11">
        <v>112</v>
      </c>
      <c r="C11">
        <v>3</v>
      </c>
      <c r="D11" t="s">
        <v>2179</v>
      </c>
      <c r="E11" t="s">
        <v>496</v>
      </c>
      <c r="F11">
        <v>284</v>
      </c>
      <c r="G11">
        <v>3</v>
      </c>
      <c r="H11">
        <v>0</v>
      </c>
      <c r="I11" t="str">
        <f>VLOOKUP(H11,ConstDLCIds!$A$4:$B$1000,2,FALSE)</f>
        <v>DLC_BASE_GAME</v>
      </c>
      <c r="J11" t="str">
        <f>VLOOKUP(H11,ConstDLCIds!$A$4:$C$1000,3,FALSE)</f>
        <v>Included in base game</v>
      </c>
      <c r="K11" s="18" t="str">
        <f t="shared" si="0"/>
        <v>[284]={parentZoneId=3, DLCID=DLC_BASE_GAME},   --Bad Man's Hallows</v>
      </c>
    </row>
    <row r="12" spans="1:11" x14ac:dyDescent="0.25">
      <c r="A12">
        <v>306</v>
      </c>
      <c r="B12">
        <v>119</v>
      </c>
      <c r="C12">
        <v>57</v>
      </c>
      <c r="D12" t="s">
        <v>2180</v>
      </c>
      <c r="E12" t="s">
        <v>436</v>
      </c>
      <c r="F12">
        <v>306</v>
      </c>
      <c r="G12">
        <v>57</v>
      </c>
      <c r="H12">
        <v>0</v>
      </c>
      <c r="I12" t="str">
        <f>VLOOKUP(H12,ConstDLCIds!$A$4:$B$1000,2,FALSE)</f>
        <v>DLC_BASE_GAME</v>
      </c>
      <c r="J12" t="str">
        <f>VLOOKUP(H12,ConstDLCIds!$A$4:$C$1000,3,FALSE)</f>
        <v>Included in base game</v>
      </c>
      <c r="K12" s="18" t="str">
        <f t="shared" si="0"/>
        <v>[306]={parentZoneId=57, DLCID=DLC_BASE_GAME},   --Forgotten Crypts</v>
      </c>
    </row>
    <row r="13" spans="1:11" x14ac:dyDescent="0.25">
      <c r="A13">
        <v>308</v>
      </c>
      <c r="B13">
        <v>120</v>
      </c>
      <c r="C13">
        <v>104</v>
      </c>
      <c r="D13" t="s">
        <v>2181</v>
      </c>
      <c r="E13" t="s">
        <v>442</v>
      </c>
      <c r="F13">
        <v>308</v>
      </c>
      <c r="G13">
        <v>104</v>
      </c>
      <c r="H13">
        <v>0</v>
      </c>
      <c r="I13" t="str">
        <f>VLOOKUP(H13,ConstDLCIds!$A$4:$B$1000,2,FALSE)</f>
        <v>DLC_BASE_GAME</v>
      </c>
      <c r="J13" t="str">
        <f>VLOOKUP(H13,ConstDLCIds!$A$4:$C$1000,3,FALSE)</f>
        <v>Included in base game</v>
      </c>
      <c r="K13" s="18" t="str">
        <f t="shared" si="0"/>
        <v>[308]={parentZoneId=104, DLCID=DLC_BASE_GAME},   --Lost City of the Na-Totambu</v>
      </c>
    </row>
    <row r="14" spans="1:11" x14ac:dyDescent="0.25">
      <c r="A14">
        <v>339</v>
      </c>
      <c r="B14">
        <v>151</v>
      </c>
      <c r="C14">
        <v>101</v>
      </c>
      <c r="D14" t="s">
        <v>2182</v>
      </c>
      <c r="E14" t="s">
        <v>409</v>
      </c>
      <c r="F14">
        <v>339</v>
      </c>
      <c r="G14">
        <v>101</v>
      </c>
      <c r="H14">
        <v>0</v>
      </c>
      <c r="I14" t="str">
        <f>VLOOKUP(H14,ConstDLCIds!$A$4:$B$1000,2,FALSE)</f>
        <v>DLC_BASE_GAME</v>
      </c>
      <c r="J14" t="str">
        <f>VLOOKUP(H14,ConstDLCIds!$A$4:$C$1000,3,FALSE)</f>
        <v>Included in base game</v>
      </c>
      <c r="K14" s="18" t="str">
        <f t="shared" si="0"/>
        <v>[339]={parentZoneId=101, DLCID=DLC_BASE_GAME},   --Hall of the Dead</v>
      </c>
    </row>
    <row r="15" spans="1:11" x14ac:dyDescent="0.25">
      <c r="A15">
        <v>341</v>
      </c>
      <c r="B15">
        <v>152</v>
      </c>
      <c r="C15">
        <v>103</v>
      </c>
      <c r="D15" t="s">
        <v>2183</v>
      </c>
      <c r="E15" t="s">
        <v>406</v>
      </c>
      <c r="F15">
        <v>341</v>
      </c>
      <c r="G15">
        <v>103</v>
      </c>
      <c r="H15">
        <v>0</v>
      </c>
      <c r="I15" t="str">
        <f>VLOOKUP(H15,ConstDLCIds!$A$4:$B$1000,2,FALSE)</f>
        <v>DLC_BASE_GAME</v>
      </c>
      <c r="J15" t="str">
        <f>VLOOKUP(H15,ConstDLCIds!$A$4:$C$1000,3,FALSE)</f>
        <v>Included in base game</v>
      </c>
      <c r="K15" s="18" t="str">
        <f t="shared" si="0"/>
        <v>[341]={parentZoneId=103, DLCID=DLC_BASE_GAME},   --The Lion's Den</v>
      </c>
    </row>
    <row r="16" spans="1:11" x14ac:dyDescent="0.25">
      <c r="A16">
        <v>486</v>
      </c>
      <c r="B16">
        <v>267</v>
      </c>
      <c r="C16">
        <v>381</v>
      </c>
      <c r="D16" t="s">
        <v>2184</v>
      </c>
      <c r="E16" t="s">
        <v>439</v>
      </c>
      <c r="F16">
        <v>486</v>
      </c>
      <c r="G16">
        <v>381</v>
      </c>
      <c r="H16">
        <v>0</v>
      </c>
      <c r="I16" t="str">
        <f>VLOOKUP(H16,ConstDLCIds!$A$4:$B$1000,2,FALSE)</f>
        <v>DLC_BASE_GAME</v>
      </c>
      <c r="J16" t="str">
        <f>VLOOKUP(H16,ConstDLCIds!$A$4:$C$1000,3,FALSE)</f>
        <v>Included in base game</v>
      </c>
      <c r="K16" s="18" t="str">
        <f t="shared" si="0"/>
        <v>[486]={parentZoneId=381, DLCID=DLC_BASE_GAME},   --Toothmaul Gully</v>
      </c>
    </row>
    <row r="17" spans="1:11" x14ac:dyDescent="0.25">
      <c r="A17">
        <v>487</v>
      </c>
      <c r="B17">
        <v>268</v>
      </c>
      <c r="C17">
        <v>382</v>
      </c>
      <c r="D17" t="s">
        <v>2185</v>
      </c>
      <c r="E17" t="s">
        <v>568</v>
      </c>
      <c r="F17">
        <v>487</v>
      </c>
      <c r="G17">
        <v>382</v>
      </c>
      <c r="H17">
        <v>0</v>
      </c>
      <c r="I17" t="str">
        <f>VLOOKUP(H17,ConstDLCIds!$A$4:$B$1000,2,FALSE)</f>
        <v>DLC_BASE_GAME</v>
      </c>
      <c r="J17" t="str">
        <f>VLOOKUP(H17,ConstDLCIds!$A$4:$C$1000,3,FALSE)</f>
        <v>Included in base game</v>
      </c>
      <c r="K17" s="18" t="str">
        <f t="shared" si="0"/>
        <v>[487]={parentZoneId=382, DLCID=DLC_BASE_GAME},   --The Vile Manse</v>
      </c>
    </row>
    <row r="18" spans="1:11" x14ac:dyDescent="0.25">
      <c r="A18">
        <v>557</v>
      </c>
      <c r="B18">
        <v>323</v>
      </c>
      <c r="C18">
        <v>347</v>
      </c>
      <c r="D18" t="s">
        <v>2186</v>
      </c>
      <c r="E18" t="s">
        <v>423</v>
      </c>
      <c r="F18">
        <v>557</v>
      </c>
      <c r="G18">
        <v>347</v>
      </c>
      <c r="H18">
        <v>0</v>
      </c>
      <c r="I18" t="str">
        <f>VLOOKUP(H18,ConstDLCIds!$A$4:$B$1000,2,FALSE)</f>
        <v>DLC_BASE_GAME</v>
      </c>
      <c r="J18" t="str">
        <f>VLOOKUP(H18,ConstDLCIds!$A$4:$C$1000,3,FALSE)</f>
        <v>Included in base game</v>
      </c>
      <c r="K18" s="18" t="str">
        <f t="shared" si="0"/>
        <v>[557]={parentZoneId=347, DLCID=DLC_BASE_GAME},   --Village of the Lost</v>
      </c>
    </row>
    <row r="19" spans="1:11" x14ac:dyDescent="0.25">
      <c r="A19">
        <v>705</v>
      </c>
      <c r="B19">
        <v>395</v>
      </c>
      <c r="C19">
        <v>684</v>
      </c>
      <c r="D19" t="s">
        <v>2187</v>
      </c>
      <c r="E19" t="s">
        <v>816</v>
      </c>
      <c r="F19">
        <v>705</v>
      </c>
      <c r="G19">
        <v>684</v>
      </c>
      <c r="H19">
        <v>2</v>
      </c>
      <c r="I19" t="str">
        <f ca="1">VLOOKUP(H19,ConstDLCIds!$A$4:$B$1000,2,FALSE)</f>
        <v>DLC_ORSINIUM</v>
      </c>
      <c r="J19" t="str">
        <f ca="1">VLOOKUP(H19,ConstDLCIds!$A$4:$C$1000,3,FALSE)</f>
        <v>Orsinium</v>
      </c>
      <c r="K19" s="18" t="str">
        <f t="shared" ca="1" si="0"/>
        <v>[705]={parentZoneId=684, DLCID=DLC_ORSINIUM},   --Rkindaleft</v>
      </c>
    </row>
    <row r="20" spans="1:11" x14ac:dyDescent="0.25">
      <c r="A20">
        <v>706</v>
      </c>
      <c r="B20">
        <v>396</v>
      </c>
      <c r="C20">
        <v>684</v>
      </c>
      <c r="D20" t="s">
        <v>2188</v>
      </c>
      <c r="E20" t="s">
        <v>816</v>
      </c>
      <c r="F20">
        <v>706</v>
      </c>
      <c r="G20">
        <v>684</v>
      </c>
      <c r="H20">
        <v>2</v>
      </c>
      <c r="I20" t="str">
        <f ca="1">VLOOKUP(H20,ConstDLCIds!$A$4:$B$1000,2,FALSE)</f>
        <v>DLC_ORSINIUM</v>
      </c>
      <c r="J20" t="str">
        <f ca="1">VLOOKUP(H20,ConstDLCIds!$A$4:$C$1000,3,FALSE)</f>
        <v>Orsinium</v>
      </c>
      <c r="K20" s="18" t="str">
        <f t="shared" ca="1" si="0"/>
        <v>[706]={parentZoneId=684, DLCID=DLC_ORSINIUM},   --Old Orsinium</v>
      </c>
    </row>
    <row r="21" spans="1:11" x14ac:dyDescent="0.25">
      <c r="A21">
        <v>918</v>
      </c>
      <c r="B21">
        <v>529</v>
      </c>
      <c r="C21">
        <v>849</v>
      </c>
      <c r="D21" t="s">
        <v>1038</v>
      </c>
      <c r="E21" t="s">
        <v>1037</v>
      </c>
      <c r="F21">
        <v>918</v>
      </c>
      <c r="G21">
        <v>849</v>
      </c>
      <c r="H21">
        <v>6</v>
      </c>
      <c r="I21" t="str">
        <f ca="1">VLOOKUP(H21,ConstDLCIds!$A$4:$B$1000,2,FALSE)</f>
        <v>DLC_MORROWIND</v>
      </c>
      <c r="J21" t="str">
        <f ca="1">VLOOKUP(H21,ConstDLCIds!$A$4:$C$1000,3,FALSE)</f>
        <v>Morrowind</v>
      </c>
      <c r="K21" s="18" t="str">
        <f t="shared" ca="1" si="0"/>
        <v>[918]={parentZoneId=849, DLCID=DLC_MORROWIND},   --Nchuleftingth</v>
      </c>
    </row>
    <row r="22" spans="1:11" x14ac:dyDescent="0.25">
      <c r="A22">
        <v>919</v>
      </c>
      <c r="B22">
        <v>530</v>
      </c>
      <c r="C22">
        <v>849</v>
      </c>
      <c r="D22" t="s">
        <v>2189</v>
      </c>
      <c r="E22" t="s">
        <v>1037</v>
      </c>
      <c r="F22">
        <v>919</v>
      </c>
      <c r="G22">
        <v>849</v>
      </c>
      <c r="H22">
        <v>6</v>
      </c>
      <c r="I22" t="str">
        <f ca="1">VLOOKUP(H22,ConstDLCIds!$A$4:$B$1000,2,FALSE)</f>
        <v>DLC_MORROWIND</v>
      </c>
      <c r="J22" t="str">
        <f ca="1">VLOOKUP(H22,ConstDLCIds!$A$4:$C$1000,3,FALSE)</f>
        <v>Morrowind</v>
      </c>
      <c r="K22" s="18" t="str">
        <f t="shared" ca="1" si="0"/>
        <v>[919]={parentZoneId=849, DLCID=DLC_MORROWIND},   --Forgotten Wastes</v>
      </c>
    </row>
    <row r="23" spans="1:11" x14ac:dyDescent="0.25">
      <c r="A23">
        <v>1020</v>
      </c>
      <c r="B23">
        <v>625</v>
      </c>
      <c r="C23">
        <v>1011</v>
      </c>
      <c r="D23" t="s">
        <v>1405</v>
      </c>
      <c r="E23" t="s">
        <v>38</v>
      </c>
      <c r="F23">
        <v>1020</v>
      </c>
      <c r="G23">
        <v>1011</v>
      </c>
      <c r="H23">
        <v>10</v>
      </c>
      <c r="I23" t="str">
        <f ca="1">VLOOKUP(H23,ConstDLCIds!$A$4:$B$1000,2,FALSE)</f>
        <v>DLC_SUMMERSET</v>
      </c>
      <c r="J23" t="str">
        <f ca="1">VLOOKUP(H23,ConstDLCIds!$A$4:$C$1000,3,FALSE)</f>
        <v>Summerset</v>
      </c>
      <c r="K23" s="18" t="str">
        <f t="shared" ca="1" si="0"/>
        <v>[1020]={parentZoneId=1011, DLCID=DLC_SUMMERSET},   --Karnwasten</v>
      </c>
    </row>
    <row r="24" spans="1:11" x14ac:dyDescent="0.25">
      <c r="A24">
        <v>1021</v>
      </c>
      <c r="B24">
        <v>626</v>
      </c>
      <c r="C24">
        <v>1011</v>
      </c>
      <c r="D24" t="s">
        <v>1165</v>
      </c>
      <c r="E24" t="s">
        <v>38</v>
      </c>
      <c r="F24">
        <v>1021</v>
      </c>
      <c r="G24">
        <v>1011</v>
      </c>
      <c r="H24">
        <v>10</v>
      </c>
      <c r="I24" t="str">
        <f ca="1">VLOOKUP(H24,ConstDLCIds!$A$4:$B$1000,2,FALSE)</f>
        <v>DLC_SUMMERSET</v>
      </c>
      <c r="J24" t="str">
        <f ca="1">VLOOKUP(H24,ConstDLCIds!$A$4:$C$1000,3,FALSE)</f>
        <v>Summerset</v>
      </c>
      <c r="K24" s="18" t="str">
        <f t="shared" ca="1" si="0"/>
        <v>[1021]={parentZoneId=1011, DLCID=DLC_SUMMERSET},   --Sunhold</v>
      </c>
    </row>
    <row r="25" spans="1:11" x14ac:dyDescent="0.25">
      <c r="A25">
        <v>1089</v>
      </c>
      <c r="B25">
        <v>683</v>
      </c>
      <c r="C25">
        <v>1086</v>
      </c>
      <c r="D25" t="s">
        <v>1289</v>
      </c>
      <c r="E25" t="s">
        <v>1288</v>
      </c>
      <c r="F25">
        <v>1089</v>
      </c>
      <c r="G25">
        <v>1086</v>
      </c>
      <c r="H25">
        <v>14</v>
      </c>
      <c r="I25" t="str">
        <f ca="1">VLOOKUP(H25,ConstDLCIds!$A$4:$B$1000,2,FALSE)</f>
        <v>DLC_ELSWEYR</v>
      </c>
      <c r="J25" t="str">
        <f ca="1">VLOOKUP(H25,ConstDLCIds!$A$4:$C$1000,3,FALSE)</f>
        <v>Elsweyr</v>
      </c>
      <c r="K25" s="18" t="str">
        <f t="shared" ca="1" si="0"/>
        <v>[1089]={parentZoneId=1086, DLCID=DLC_ELSWEYR},   --Rimmen Necropolis</v>
      </c>
    </row>
    <row r="26" spans="1:11" x14ac:dyDescent="0.25">
      <c r="A26">
        <v>1090</v>
      </c>
      <c r="B26">
        <v>684</v>
      </c>
      <c r="C26">
        <v>1086</v>
      </c>
      <c r="D26" t="s">
        <v>1984</v>
      </c>
      <c r="E26" t="s">
        <v>1288</v>
      </c>
      <c r="F26">
        <v>1090</v>
      </c>
      <c r="G26">
        <v>1086</v>
      </c>
      <c r="H26">
        <v>14</v>
      </c>
      <c r="I26" t="str">
        <f ca="1">VLOOKUP(H26,ConstDLCIds!$A$4:$B$1000,2,FALSE)</f>
        <v>DLC_ELSWEYR</v>
      </c>
      <c r="J26" t="str">
        <f ca="1">VLOOKUP(H26,ConstDLCIds!$A$4:$C$1000,3,FALSE)</f>
        <v>Elsweyr</v>
      </c>
      <c r="K26" s="18" t="str">
        <f t="shared" ca="1" si="0"/>
        <v>[1090]={parentZoneId=1086, DLCID=DLC_ELSWEYR},   --Orcrest</v>
      </c>
    </row>
    <row r="27" spans="1:11" x14ac:dyDescent="0.25">
      <c r="A27">
        <v>1186</v>
      </c>
      <c r="B27">
        <v>766</v>
      </c>
      <c r="C27">
        <v>1160</v>
      </c>
      <c r="D27" t="s">
        <v>2190</v>
      </c>
      <c r="E27" t="s">
        <v>1372</v>
      </c>
      <c r="F27">
        <v>1186</v>
      </c>
      <c r="G27">
        <v>1160</v>
      </c>
      <c r="H27">
        <v>18</v>
      </c>
      <c r="I27" t="str">
        <f ca="1">VLOOKUP(H27,ConstDLCIds!$A$4:$B$1000,2,FALSE)</f>
        <v>DLC_GREYMOOR</v>
      </c>
      <c r="J27" t="str">
        <f ca="1">VLOOKUP(H27,ConstDLCIds!$A$4:$C$1000,3,FALSE)</f>
        <v>Greymoor</v>
      </c>
      <c r="K27" s="18" t="str">
        <f t="shared" ca="1" si="0"/>
        <v>[1186]={parentZoneId=1160, DLCID=DLC_GREYMOOR},   --Labyrinthian</v>
      </c>
    </row>
    <row r="28" spans="1:11" x14ac:dyDescent="0.25">
      <c r="A28">
        <v>1187</v>
      </c>
      <c r="B28">
        <v>767</v>
      </c>
      <c r="C28">
        <v>1161</v>
      </c>
      <c r="D28" t="s">
        <v>2191</v>
      </c>
      <c r="E28" t="s">
        <v>2192</v>
      </c>
      <c r="F28">
        <v>1187</v>
      </c>
      <c r="G28">
        <v>1161</v>
      </c>
      <c r="H28">
        <v>18</v>
      </c>
      <c r="I28" t="str">
        <f ca="1">VLOOKUP(H28,ConstDLCIds!$A$4:$B$1000,2,FALSE)</f>
        <v>DLC_GREYMOOR</v>
      </c>
      <c r="J28" t="str">
        <f ca="1">VLOOKUP(H28,ConstDLCIds!$A$4:$C$1000,3,FALSE)</f>
        <v>Greymoor</v>
      </c>
      <c r="K28" s="18" t="str">
        <f t="shared" ca="1" si="0"/>
        <v>[1187]={parentZoneId=1161, DLCID=DLC_GREYMOOR},   --Nchuthnkarst</v>
      </c>
    </row>
    <row r="29" spans="1:11" x14ac:dyDescent="0.25">
      <c r="A29">
        <v>1259</v>
      </c>
      <c r="B29">
        <v>832</v>
      </c>
      <c r="C29">
        <v>1261</v>
      </c>
      <c r="D29" t="s">
        <v>1563</v>
      </c>
      <c r="E29" t="s">
        <v>74</v>
      </c>
      <c r="F29">
        <v>1259</v>
      </c>
      <c r="G29">
        <v>1261</v>
      </c>
      <c r="H29">
        <v>22</v>
      </c>
      <c r="I29" t="str">
        <f ca="1">VLOOKUP(H29,ConstDLCIds!$A$4:$B$1000,2,FALSE)</f>
        <v>DLC_BLACKWOOD</v>
      </c>
      <c r="J29" t="str">
        <f ca="1">VLOOKUP(H29,ConstDLCIds!$A$4:$C$1000,3,FALSE)</f>
        <v>Blackwood</v>
      </c>
      <c r="K29" s="18" t="str">
        <f t="shared" ca="1" si="0"/>
        <v>[1259]={parentZoneId=1261, DLCID=DLC_BLACKWOOD},   --Zenithar's Abbey</v>
      </c>
    </row>
    <row r="30" spans="1:11" x14ac:dyDescent="0.25">
      <c r="A30">
        <v>1260</v>
      </c>
      <c r="B30">
        <v>833</v>
      </c>
      <c r="C30">
        <v>1261</v>
      </c>
      <c r="D30" t="s">
        <v>1605</v>
      </c>
      <c r="E30" t="s">
        <v>74</v>
      </c>
      <c r="F30">
        <v>1260</v>
      </c>
      <c r="G30">
        <v>1261</v>
      </c>
      <c r="H30">
        <v>22</v>
      </c>
      <c r="I30" t="str">
        <f ca="1">VLOOKUP(H30,ConstDLCIds!$A$4:$B$1000,2,FALSE)</f>
        <v>DLC_BLACKWOOD</v>
      </c>
      <c r="J30" t="str">
        <f ca="1">VLOOKUP(H30,ConstDLCIds!$A$4:$C$1000,3,FALSE)</f>
        <v>Blackwood</v>
      </c>
      <c r="K30" s="18" t="str">
        <f t="shared" ca="1" si="0"/>
        <v>[1260]={parentZoneId=1261, DLCID=DLC_BLACKWOOD},   --The Silent Halls</v>
      </c>
    </row>
    <row r="31" spans="1:11" x14ac:dyDescent="0.25">
      <c r="A31" s="32">
        <v>1310</v>
      </c>
      <c r="B31" s="32">
        <v>876</v>
      </c>
      <c r="C31" s="32">
        <v>1286</v>
      </c>
      <c r="D31" s="32" t="s">
        <v>2193</v>
      </c>
      <c r="E31" s="32" t="s">
        <v>80</v>
      </c>
      <c r="F31">
        <v>1310</v>
      </c>
      <c r="G31">
        <v>1286</v>
      </c>
      <c r="H31">
        <v>24</v>
      </c>
      <c r="I31" t="str">
        <f ca="1">VLOOKUP(H31,ConstDLCIds!$A$4:$B$1000,2,FALSE)</f>
        <v>DLC_DEADLANDS</v>
      </c>
      <c r="J31" t="str">
        <f ca="1">VLOOKUP(H31,ConstDLCIds!$A$4:$C$1000,3,FALSE)</f>
        <v>The Deadlands</v>
      </c>
      <c r="K31" s="18" t="str">
        <f t="shared" ca="1" si="0"/>
        <v>[1310]={parentZoneId=1286, DLCID=DLC_DEADLANDS},   --Atoll of Immolation</v>
      </c>
    </row>
    <row r="32" spans="1:11" x14ac:dyDescent="0.25">
      <c r="A32">
        <v>1337</v>
      </c>
      <c r="B32">
        <v>900</v>
      </c>
      <c r="C32">
        <v>1318</v>
      </c>
      <c r="D32" t="s">
        <v>1716</v>
      </c>
      <c r="E32" t="s">
        <v>86</v>
      </c>
      <c r="F32">
        <v>1337</v>
      </c>
      <c r="G32">
        <v>1318</v>
      </c>
      <c r="H32">
        <v>26</v>
      </c>
      <c r="I32" t="str">
        <f ca="1">VLOOKUP(H32,ConstDLCIds!$A$4:$B$1000,2,FALSE)</f>
        <v>DLC_HIGH_ISLE</v>
      </c>
      <c r="J32" t="str">
        <f ca="1">VLOOKUP(H32,ConstDLCIds!$A$4:$C$1000,3,FALSE)</f>
        <v>High Isle</v>
      </c>
      <c r="K32" s="18" t="str">
        <f t="shared" ca="1" si="0"/>
        <v>[1337]={parentZoneId=1318, DLCID=DLC_HIGH_ISLE},   --Spire of the Crimson Coin</v>
      </c>
    </row>
    <row r="33" spans="1:11" x14ac:dyDescent="0.25">
      <c r="A33">
        <v>1338</v>
      </c>
      <c r="B33">
        <v>901</v>
      </c>
      <c r="C33">
        <v>1318</v>
      </c>
      <c r="D33" t="s">
        <v>2194</v>
      </c>
      <c r="E33" t="s">
        <v>86</v>
      </c>
      <c r="F33">
        <v>1338</v>
      </c>
      <c r="G33">
        <v>1318</v>
      </c>
      <c r="H33">
        <v>26</v>
      </c>
      <c r="I33" t="str">
        <f ca="1">VLOOKUP(H33,ConstDLCIds!$A$4:$B$1000,2,FALSE)</f>
        <v>DLC_HIGH_ISLE</v>
      </c>
      <c r="J33" t="str">
        <f ca="1">VLOOKUP(H33,ConstDLCIds!$A$4:$C$1000,3,FALSE)</f>
        <v>High Isle</v>
      </c>
      <c r="K33" s="18" t="str">
        <f t="shared" ca="1" si="0"/>
        <v>[1338]={parentZoneId=1318, DLCID=DLC_HIGH_ISLE},   --Ghost Haven Bay</v>
      </c>
    </row>
    <row r="34" spans="1:11" x14ac:dyDescent="0.25">
      <c r="A34">
        <v>1415</v>
      </c>
      <c r="B34">
        <v>959</v>
      </c>
      <c r="C34">
        <v>1414</v>
      </c>
      <c r="D34" t="s">
        <v>2195</v>
      </c>
      <c r="E34" t="s">
        <v>1881</v>
      </c>
      <c r="F34">
        <v>1415</v>
      </c>
      <c r="G34">
        <v>1414</v>
      </c>
      <c r="H34">
        <v>30</v>
      </c>
      <c r="I34" t="str">
        <f ca="1">VLOOKUP(H34,ConstDLCIds!$A$4:$B$1000,2,FALSE)</f>
        <v>DLC_NECROM</v>
      </c>
      <c r="J34" t="str">
        <f ca="1">VLOOKUP(H34,ConstDLCIds!$A$4:$C$1000,3,FALSE)</f>
        <v>Necrom</v>
      </c>
      <c r="K34" s="18" t="str">
        <f t="shared" ca="1" si="0"/>
        <v>[1415]={parentZoneId=1414, DLCID=DLC_NECROM},   --Gorne</v>
      </c>
    </row>
    <row r="35" spans="1:11" x14ac:dyDescent="0.25">
      <c r="A35">
        <v>1416</v>
      </c>
      <c r="B35">
        <v>960</v>
      </c>
      <c r="C35">
        <v>1413</v>
      </c>
      <c r="D35" t="s">
        <v>1901</v>
      </c>
      <c r="E35" t="s">
        <v>1897</v>
      </c>
      <c r="F35">
        <v>1416</v>
      </c>
      <c r="G35">
        <v>1413</v>
      </c>
      <c r="H35">
        <v>30</v>
      </c>
      <c r="I35" t="str">
        <f ca="1">VLOOKUP(H35,ConstDLCIds!$A$4:$B$1000,2,FALSE)</f>
        <v>DLC_NECROM</v>
      </c>
      <c r="J35" t="str">
        <f ca="1">VLOOKUP(H35,ConstDLCIds!$A$4:$C$1000,3,FALSE)</f>
        <v>Necrom</v>
      </c>
      <c r="K35" s="18" t="str">
        <f t="shared" ca="1" si="0"/>
        <v>[1416]={parentZoneId=1413, DLCID=DLC_NECROM},   --The Underweave</v>
      </c>
    </row>
    <row r="36" spans="1:11" x14ac:dyDescent="0.25">
      <c r="A36">
        <v>1466</v>
      </c>
      <c r="B36">
        <v>1005</v>
      </c>
      <c r="C36">
        <v>1443</v>
      </c>
      <c r="D36" t="s">
        <v>1972</v>
      </c>
      <c r="E36" t="s">
        <v>1971</v>
      </c>
      <c r="F36">
        <v>1466</v>
      </c>
      <c r="G36">
        <v>1443</v>
      </c>
      <c r="H36">
        <v>34</v>
      </c>
      <c r="I36" t="str">
        <f ca="1">VLOOKUP(H36,ConstDLCIds!$A$4:$B$1000,2,FALSE)</f>
        <v>DLC_GOLD_ROAD</v>
      </c>
      <c r="J36" t="str">
        <f ca="1">VLOOKUP(H36,ConstDLCIds!$A$4:$C$1000,3,FALSE)</f>
        <v>Gold Road</v>
      </c>
      <c r="K36" s="18" t="str">
        <f t="shared" ca="1" si="0"/>
        <v>[1466]={parentZoneId=1443, DLCID=DLC_GOLD_ROAD},   --Leftwheal Trading Post</v>
      </c>
    </row>
    <row r="37" spans="1:11" x14ac:dyDescent="0.25">
      <c r="A37">
        <v>1467</v>
      </c>
      <c r="B37">
        <v>1006</v>
      </c>
      <c r="C37">
        <v>1443</v>
      </c>
      <c r="D37" t="s">
        <v>2196</v>
      </c>
      <c r="E37" t="s">
        <v>1971</v>
      </c>
      <c r="F37">
        <v>1467</v>
      </c>
      <c r="G37">
        <v>1443</v>
      </c>
      <c r="H37">
        <v>34</v>
      </c>
      <c r="I37" t="str">
        <f ca="1">VLOOKUP(H37,ConstDLCIds!$A$4:$B$1000,2,FALSE)</f>
        <v>DLC_GOLD_ROAD</v>
      </c>
      <c r="J37" t="str">
        <f ca="1">VLOOKUP(H37,ConstDLCIds!$A$4:$C$1000,3,FALSE)</f>
        <v>Gold Road</v>
      </c>
      <c r="K37" s="18" t="str">
        <f t="shared" ca="1" si="0"/>
        <v>[1467]={parentZoneId=1443, DLCID=DLC_GOLD_ROAD},   --Silorn</v>
      </c>
    </row>
    <row r="38" spans="1:11" x14ac:dyDescent="0.25">
      <c r="A38">
        <v>1530</v>
      </c>
      <c r="B38">
        <v>1059</v>
      </c>
      <c r="C38">
        <v>1502</v>
      </c>
      <c r="D38" t="s">
        <v>2197</v>
      </c>
      <c r="E38" t="s">
        <v>2036</v>
      </c>
      <c r="F38">
        <v>1530</v>
      </c>
      <c r="G38">
        <v>1502</v>
      </c>
      <c r="H38">
        <v>40</v>
      </c>
      <c r="I38" t="str">
        <f ca="1">VLOOKUP(H38,ConstDLCIds!$A$4:$B$1000,2,FALSE)</f>
        <v>DLC_SEASONS_OF_THE_WORMCULT2</v>
      </c>
      <c r="J38" t="str">
        <f ca="1">VLOOKUP(H38,ConstDLCIds!$A$4:$C$1000,3,FALSE)</f>
        <v>Seasons of the Wormcult Part 2</v>
      </c>
      <c r="K38" s="18" t="str">
        <f t="shared" ca="1" si="0"/>
        <v>[1530]={parentZoneId=1502, DLCID=DLC_SEASONS_OF_THE_WORMCULT2},   --Calindvale Gardens</v>
      </c>
    </row>
  </sheetData>
  <autoFilter ref="A2:J2" xr:uid="{00000000-0009-0000-0000-00000B000000}"/>
  <mergeCells count="1">
    <mergeCell ref="A1:E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A1:M1107"/>
  <sheetViews>
    <sheetView zoomScale="85" workbookViewId="0">
      <pane xSplit="3" ySplit="2" topLeftCell="D1077" activePane="bottomRight" state="frozen"/>
      <selection pane="topRight"/>
      <selection pane="bottomLeft"/>
      <selection pane="bottomRight" activeCell="A2" sqref="A2"/>
    </sheetView>
  </sheetViews>
  <sheetFormatPr defaultColWidth="11.5703125" defaultRowHeight="15" x14ac:dyDescent="0.25"/>
  <cols>
    <col min="1" max="1" width="20.7109375" style="1" customWidth="1"/>
    <col min="2" max="2" width="24.140625" style="1" customWidth="1"/>
    <col min="3" max="3" width="24.85546875" style="1" customWidth="1"/>
    <col min="4" max="4" width="30.28515625" style="3" customWidth="1"/>
    <col min="5" max="5" width="15.42578125" style="3" customWidth="1"/>
    <col min="6" max="6" width="18.140625" style="3" customWidth="1"/>
    <col min="7" max="7" width="22.7109375" style="3" customWidth="1"/>
    <col min="8" max="8" width="16" style="3" customWidth="1"/>
    <col min="9" max="9" width="12.28515625" style="3" customWidth="1"/>
    <col min="10" max="10" width="12.7109375" customWidth="1"/>
    <col min="11" max="11" width="36" style="3" customWidth="1"/>
    <col min="12" max="12" width="25.140625" style="3" customWidth="1"/>
    <col min="13" max="13" width="28.140625" bestFit="1" customWidth="1"/>
  </cols>
  <sheetData>
    <row r="1" spans="1:13" x14ac:dyDescent="0.25">
      <c r="A1" s="108" t="s">
        <v>4332</v>
      </c>
      <c r="B1" s="108"/>
      <c r="C1" s="108"/>
      <c r="D1" s="108"/>
      <c r="E1" s="108"/>
      <c r="F1" s="108"/>
      <c r="G1" s="108"/>
      <c r="H1" s="108"/>
      <c r="I1" s="108"/>
      <c r="J1" s="108"/>
      <c r="K1" s="108"/>
      <c r="L1" s="109"/>
    </row>
    <row r="2" spans="1:13" ht="90" x14ac:dyDescent="0.25">
      <c r="A2" s="1" t="s">
        <v>2164</v>
      </c>
      <c r="B2" s="1" t="s">
        <v>2165</v>
      </c>
      <c r="C2" s="1" t="s">
        <v>2166</v>
      </c>
      <c r="D2" s="3" t="s">
        <v>2167</v>
      </c>
      <c r="E2" s="3" t="s">
        <v>2198</v>
      </c>
      <c r="F2" s="3" t="s">
        <v>2199</v>
      </c>
      <c r="G2" s="3" t="s">
        <v>2168</v>
      </c>
      <c r="H2" s="13" t="s">
        <v>2169</v>
      </c>
      <c r="I2" s="13" t="s">
        <v>2170</v>
      </c>
      <c r="J2" s="6" t="s">
        <v>2171</v>
      </c>
      <c r="K2" s="3" t="s">
        <v>2172</v>
      </c>
      <c r="L2" s="3" t="s">
        <v>2173</v>
      </c>
    </row>
    <row r="3" spans="1:13" x14ac:dyDescent="0.25">
      <c r="A3" s="93">
        <v>-99</v>
      </c>
      <c r="B3" s="96" t="s">
        <v>4305</v>
      </c>
      <c r="C3" s="69"/>
      <c r="D3" s="65" t="s">
        <v>2200</v>
      </c>
      <c r="E3" s="65"/>
      <c r="F3" s="65" t="s">
        <v>1122</v>
      </c>
      <c r="G3" s="65" t="s">
        <v>2200</v>
      </c>
      <c r="H3" s="66">
        <v>-99</v>
      </c>
      <c r="I3" s="66">
        <v>-99</v>
      </c>
      <c r="J3" s="65">
        <v>0</v>
      </c>
      <c r="K3" s="36" t="str">
        <f>VLOOKUP(J3,ConstDLCIds!$A$4:$B$1000,2,FALSE)</f>
        <v>DLC_BASE_GAME</v>
      </c>
      <c r="L3" s="36" t="str">
        <f>VLOOKUP(J3,ConstDLCIds!$A$4:$C$1000,3,FALSE)</f>
        <v>Included in base game</v>
      </c>
      <c r="M3" s="97" t="s">
        <v>4306</v>
      </c>
    </row>
    <row r="4" spans="1:13" x14ac:dyDescent="0.25">
      <c r="A4" s="95">
        <v>-98</v>
      </c>
      <c r="B4" s="96" t="s">
        <v>4305</v>
      </c>
      <c r="C4" s="71"/>
      <c r="D4" s="72" t="s">
        <v>2201</v>
      </c>
      <c r="E4" s="72"/>
      <c r="F4" s="72" t="s">
        <v>1122</v>
      </c>
      <c r="G4" s="72" t="s">
        <v>2202</v>
      </c>
      <c r="H4" s="73">
        <v>-98</v>
      </c>
      <c r="I4" s="73">
        <v>-98</v>
      </c>
      <c r="J4" s="72">
        <v>0</v>
      </c>
      <c r="K4" s="36" t="str">
        <f>VLOOKUP(J4,ConstDLCIds!$A$4:$B$1000,2,FALSE)</f>
        <v>DLC_BASE_GAME</v>
      </c>
      <c r="L4" s="36" t="str">
        <f>VLOOKUP(J4,ConstDLCIds!$A$4:$C$1000,3,FALSE)</f>
        <v>Included in base game</v>
      </c>
      <c r="M4" s="97" t="s">
        <v>4306</v>
      </c>
    </row>
    <row r="5" spans="1:13" x14ac:dyDescent="0.25">
      <c r="A5" s="94">
        <v>0</v>
      </c>
      <c r="B5" s="94">
        <v>4294967296</v>
      </c>
      <c r="C5" s="74">
        <v>0</v>
      </c>
      <c r="D5" s="75" t="s">
        <v>1684</v>
      </c>
      <c r="E5" s="76"/>
      <c r="F5" s="75" t="str">
        <f t="shared" ref="F5:F68" si="0">IF(EXACT(A5,C5),"X","")</f>
        <v>X</v>
      </c>
      <c r="G5" s="75" t="s">
        <v>1684</v>
      </c>
      <c r="H5" s="75">
        <f t="shared" ref="H5:H68" si="1">A5</f>
        <v>0</v>
      </c>
      <c r="I5" s="75">
        <f t="shared" ref="I5:I68" si="2">C5</f>
        <v>0</v>
      </c>
      <c r="J5" s="77">
        <v>0</v>
      </c>
      <c r="K5" s="36" t="str">
        <f>VLOOKUP(J5,ConstDLCIds!$A$4:$B$1000,2,FALSE)</f>
        <v>DLC_BASE_GAME</v>
      </c>
      <c r="L5" s="36" t="str">
        <f>VLOOKUP(J5,ConstDLCIds!$A$4:$C$1000,3,FALSE)</f>
        <v>Included in base game</v>
      </c>
      <c r="M5" s="97" t="s">
        <v>4306</v>
      </c>
    </row>
    <row r="6" spans="1:13" x14ac:dyDescent="0.25">
      <c r="A6">
        <v>2</v>
      </c>
      <c r="B6">
        <v>1</v>
      </c>
      <c r="C6">
        <v>2</v>
      </c>
      <c r="D6" t="s">
        <v>2203</v>
      </c>
      <c r="E6" t="str">
        <f>IF(NOT(ISERROR(VLOOKUP(D6,'ESO DungeonFinder'!$A$2:$A$999,1,FALSE))),"X","")</f>
        <v/>
      </c>
      <c r="F6" s="70" t="str">
        <f t="shared" si="0"/>
        <v>X</v>
      </c>
      <c r="G6" s="70" t="str">
        <f t="shared" ref="G6:G69" si="3">IF(A6&lt;&gt;C6,VLOOKUP(C6,$A$5:$D$9956,4,FALSE),"")</f>
        <v/>
      </c>
      <c r="H6" s="70">
        <f t="shared" si="1"/>
        <v>2</v>
      </c>
      <c r="I6" s="70">
        <f t="shared" si="2"/>
        <v>2</v>
      </c>
      <c r="J6">
        <v>0</v>
      </c>
      <c r="K6" s="3" t="str">
        <f>VLOOKUP(J6,ConstDLCIds!$A$4:$B$1000,2,FALSE)</f>
        <v>DLC_BASE_GAME</v>
      </c>
      <c r="L6" s="3" t="str">
        <f>VLOOKUP(J6,ConstDLCIds!$A$4:$C$1000,3,FALSE)</f>
        <v>Included in base game</v>
      </c>
    </row>
    <row r="7" spans="1:13" x14ac:dyDescent="0.25">
      <c r="A7">
        <v>3</v>
      </c>
      <c r="B7">
        <v>2</v>
      </c>
      <c r="C7">
        <v>3</v>
      </c>
      <c r="D7" t="s">
        <v>496</v>
      </c>
      <c r="E7" t="str">
        <f>IF(NOT(ISERROR(VLOOKUP(D7,'ESO DungeonFinder'!$A$2:$A$999,1,FALSE))),"X","")</f>
        <v/>
      </c>
      <c r="F7" s="70" t="str">
        <f t="shared" ref="F7:F70" si="4">IF(EXACT(A7,C7),"X","")</f>
        <v>X</v>
      </c>
      <c r="G7" s="70" t="str">
        <f t="shared" ref="G7:G70" si="5">IF(A7&lt;&gt;C7,VLOOKUP(C7,$A$5:$D$9956,4,FALSE),"")</f>
        <v/>
      </c>
      <c r="H7" s="70">
        <f t="shared" ref="H7:H70" si="6">A7</f>
        <v>3</v>
      </c>
      <c r="I7" s="70">
        <f t="shared" ref="I7:I70" si="7">C7</f>
        <v>3</v>
      </c>
      <c r="J7">
        <v>0</v>
      </c>
      <c r="K7" s="3" t="str">
        <f>VLOOKUP(J7,ConstDLCIds!$A$4:$B$1000,2,FALSE)</f>
        <v>DLC_BASE_GAME</v>
      </c>
      <c r="L7" s="3" t="str">
        <f>VLOOKUP(J7,ConstDLCIds!$A$4:$C$1000,3,FALSE)</f>
        <v>Included in base game</v>
      </c>
    </row>
    <row r="8" spans="1:13" x14ac:dyDescent="0.25">
      <c r="A8">
        <v>11</v>
      </c>
      <c r="B8">
        <v>3</v>
      </c>
      <c r="C8">
        <v>347</v>
      </c>
      <c r="D8" t="s">
        <v>571</v>
      </c>
      <c r="E8" t="str">
        <f>IF(NOT(ISERROR(VLOOKUP(D8,'ESO DungeonFinder'!$A$2:$A$999,1,FALSE))),"X","")</f>
        <v>X</v>
      </c>
      <c r="F8" s="70" t="str">
        <f t="shared" si="4"/>
        <v/>
      </c>
      <c r="G8" s="70" t="str">
        <f t="shared" si="5"/>
        <v>Coldharbour</v>
      </c>
      <c r="H8" s="70">
        <f t="shared" si="6"/>
        <v>11</v>
      </c>
      <c r="I8" s="70">
        <f t="shared" si="7"/>
        <v>347</v>
      </c>
      <c r="J8">
        <v>0</v>
      </c>
      <c r="K8" s="3" t="str">
        <f>VLOOKUP(J8,ConstDLCIds!$A$4:$B$1000,2,FALSE)</f>
        <v>DLC_BASE_GAME</v>
      </c>
      <c r="L8" s="3" t="str">
        <f>VLOOKUP(J8,ConstDLCIds!$A$4:$C$1000,3,FALSE)</f>
        <v>Included in base game</v>
      </c>
    </row>
    <row r="9" spans="1:13" x14ac:dyDescent="0.25">
      <c r="A9">
        <v>19</v>
      </c>
      <c r="B9">
        <v>4</v>
      </c>
      <c r="C9">
        <v>19</v>
      </c>
      <c r="D9" t="s">
        <v>413</v>
      </c>
      <c r="E9" t="str">
        <f>IF(NOT(ISERROR(VLOOKUP(D9,'ESO DungeonFinder'!$A$2:$A$999,1,FALSE))),"X","")</f>
        <v/>
      </c>
      <c r="F9" s="70" t="str">
        <f t="shared" si="4"/>
        <v>X</v>
      </c>
      <c r="G9" s="70" t="str">
        <f t="shared" si="5"/>
        <v/>
      </c>
      <c r="H9" s="70">
        <f t="shared" si="6"/>
        <v>19</v>
      </c>
      <c r="I9" s="70">
        <f t="shared" si="7"/>
        <v>19</v>
      </c>
      <c r="J9">
        <v>0</v>
      </c>
      <c r="K9" s="3" t="str">
        <f>VLOOKUP(J9,ConstDLCIds!$A$4:$B$1000,2,FALSE)</f>
        <v>DLC_BASE_GAME</v>
      </c>
      <c r="L9" s="3" t="str">
        <f>VLOOKUP(J9,ConstDLCIds!$A$4:$C$1000,3,FALSE)</f>
        <v>Included in base game</v>
      </c>
    </row>
    <row r="10" spans="1:13" x14ac:dyDescent="0.25">
      <c r="A10">
        <v>20</v>
      </c>
      <c r="B10">
        <v>5</v>
      </c>
      <c r="C10">
        <v>20</v>
      </c>
      <c r="D10" t="s">
        <v>501</v>
      </c>
      <c r="E10" t="str">
        <f>IF(NOT(ISERROR(VLOOKUP(D10,'ESO DungeonFinder'!$A$2:$A$999,1,FALSE))),"X","")</f>
        <v/>
      </c>
      <c r="F10" s="70" t="str">
        <f t="shared" si="4"/>
        <v>X</v>
      </c>
      <c r="G10" s="70" t="str">
        <f t="shared" si="5"/>
        <v/>
      </c>
      <c r="H10" s="70">
        <f t="shared" si="6"/>
        <v>20</v>
      </c>
      <c r="I10" s="70">
        <f t="shared" si="7"/>
        <v>20</v>
      </c>
      <c r="J10">
        <v>0</v>
      </c>
      <c r="K10" s="3" t="str">
        <f>VLOOKUP(J10,ConstDLCIds!$A$4:$B$1000,2,FALSE)</f>
        <v>DLC_BASE_GAME</v>
      </c>
      <c r="L10" s="3" t="str">
        <f>VLOOKUP(J10,ConstDLCIds!$A$4:$C$1000,3,FALSE)</f>
        <v>Included in base game</v>
      </c>
    </row>
    <row r="11" spans="1:13" x14ac:dyDescent="0.25">
      <c r="A11">
        <v>22</v>
      </c>
      <c r="B11">
        <v>6</v>
      </c>
      <c r="C11">
        <v>104</v>
      </c>
      <c r="D11" t="s">
        <v>539</v>
      </c>
      <c r="E11" t="str">
        <f>IF(NOT(ISERROR(VLOOKUP(D11,'ESO DungeonFinder'!$A$2:$A$999,1,FALSE))),"X","")</f>
        <v>X</v>
      </c>
      <c r="F11" s="70" t="str">
        <f t="shared" si="4"/>
        <v/>
      </c>
      <c r="G11" s="70" t="str">
        <f t="shared" si="5"/>
        <v>Alik'r Desert</v>
      </c>
      <c r="H11" s="70">
        <f t="shared" si="6"/>
        <v>22</v>
      </c>
      <c r="I11" s="70">
        <f t="shared" si="7"/>
        <v>104</v>
      </c>
      <c r="J11">
        <v>0</v>
      </c>
      <c r="K11" s="3" t="str">
        <f>VLOOKUP(J11,ConstDLCIds!$A$4:$B$1000,2,FALSE)</f>
        <v>DLC_BASE_GAME</v>
      </c>
      <c r="L11" s="3" t="str">
        <f>VLOOKUP(J11,ConstDLCIds!$A$4:$C$1000,3,FALSE)</f>
        <v>Included in base game</v>
      </c>
    </row>
    <row r="12" spans="1:13" x14ac:dyDescent="0.25">
      <c r="A12">
        <v>31</v>
      </c>
      <c r="B12">
        <v>7</v>
      </c>
      <c r="C12">
        <v>382</v>
      </c>
      <c r="D12" t="s">
        <v>402</v>
      </c>
      <c r="E12" t="str">
        <f>IF(NOT(ISERROR(VLOOKUP(D12,'ESO DungeonFinder'!$A$2:$A$999,1,FALSE))),"X","")</f>
        <v>X</v>
      </c>
      <c r="F12" s="70" t="str">
        <f t="shared" si="4"/>
        <v/>
      </c>
      <c r="G12" s="70" t="str">
        <f t="shared" si="5"/>
        <v>Reaper's March</v>
      </c>
      <c r="H12" s="70">
        <f t="shared" si="6"/>
        <v>31</v>
      </c>
      <c r="I12" s="70">
        <f t="shared" si="7"/>
        <v>382</v>
      </c>
      <c r="J12">
        <v>0</v>
      </c>
      <c r="K12" s="3" t="str">
        <f>VLOOKUP(J12,ConstDLCIds!$A$4:$B$1000,2,FALSE)</f>
        <v>DLC_BASE_GAME</v>
      </c>
      <c r="L12" s="3" t="str">
        <f>VLOOKUP(J12,ConstDLCIds!$A$4:$C$1000,3,FALSE)</f>
        <v>Included in base game</v>
      </c>
    </row>
    <row r="13" spans="1:13" x14ac:dyDescent="0.25">
      <c r="A13">
        <v>38</v>
      </c>
      <c r="B13">
        <v>8</v>
      </c>
      <c r="C13">
        <v>92</v>
      </c>
      <c r="D13" t="s">
        <v>700</v>
      </c>
      <c r="E13" t="str">
        <f>IF(NOT(ISERROR(VLOOKUP(D13,'ESO DungeonFinder'!$A$2:$A$999,1,FALSE))),"X","")</f>
        <v>X</v>
      </c>
      <c r="F13" s="70" t="str">
        <f t="shared" si="4"/>
        <v/>
      </c>
      <c r="G13" s="70" t="str">
        <f t="shared" si="5"/>
        <v>Bangkorai</v>
      </c>
      <c r="H13" s="70">
        <f t="shared" si="6"/>
        <v>38</v>
      </c>
      <c r="I13" s="70">
        <f t="shared" si="7"/>
        <v>92</v>
      </c>
      <c r="J13">
        <v>0</v>
      </c>
      <c r="K13" s="3" t="str">
        <f>VLOOKUP(J13,ConstDLCIds!$A$4:$B$1000,2,FALSE)</f>
        <v>DLC_BASE_GAME</v>
      </c>
      <c r="L13" s="3" t="str">
        <f>VLOOKUP(J13,ConstDLCIds!$A$4:$C$1000,3,FALSE)</f>
        <v>Included in base game</v>
      </c>
    </row>
    <row r="14" spans="1:13" x14ac:dyDescent="0.25">
      <c r="A14">
        <v>41</v>
      </c>
      <c r="B14">
        <v>9</v>
      </c>
      <c r="C14">
        <v>41</v>
      </c>
      <c r="D14" t="s">
        <v>433</v>
      </c>
      <c r="E14" t="str">
        <f>IF(NOT(ISERROR(VLOOKUP(D14,'ESO DungeonFinder'!$A$2:$A$999,1,FALSE))),"X","")</f>
        <v/>
      </c>
      <c r="F14" s="70" t="str">
        <f t="shared" si="4"/>
        <v>X</v>
      </c>
      <c r="G14" s="70" t="str">
        <f t="shared" si="5"/>
        <v/>
      </c>
      <c r="H14" s="70">
        <f t="shared" si="6"/>
        <v>41</v>
      </c>
      <c r="I14" s="70">
        <f t="shared" si="7"/>
        <v>41</v>
      </c>
      <c r="J14">
        <v>0</v>
      </c>
      <c r="K14" s="3" t="str">
        <f>VLOOKUP(J14,ConstDLCIds!$A$4:$B$1000,2,FALSE)</f>
        <v>DLC_BASE_GAME</v>
      </c>
      <c r="L14" s="3" t="str">
        <f>VLOOKUP(J14,ConstDLCIds!$A$4:$C$1000,3,FALSE)</f>
        <v>Included in base game</v>
      </c>
    </row>
    <row r="15" spans="1:13" x14ac:dyDescent="0.25">
      <c r="A15">
        <v>57</v>
      </c>
      <c r="B15">
        <v>10</v>
      </c>
      <c r="C15">
        <v>57</v>
      </c>
      <c r="D15" t="s">
        <v>436</v>
      </c>
      <c r="E15" t="str">
        <f>IF(NOT(ISERROR(VLOOKUP(D15,'ESO DungeonFinder'!$A$2:$A$999,1,FALSE))),"X","")</f>
        <v/>
      </c>
      <c r="F15" s="70" t="str">
        <f t="shared" si="4"/>
        <v>X</v>
      </c>
      <c r="G15" s="70" t="str">
        <f t="shared" si="5"/>
        <v/>
      </c>
      <c r="H15" s="70">
        <f t="shared" si="6"/>
        <v>57</v>
      </c>
      <c r="I15" s="70">
        <f t="shared" si="7"/>
        <v>57</v>
      </c>
      <c r="J15">
        <v>0</v>
      </c>
      <c r="K15" s="3" t="str">
        <f>VLOOKUP(J15,ConstDLCIds!$A$4:$B$1000,2,FALSE)</f>
        <v>DLC_BASE_GAME</v>
      </c>
      <c r="L15" s="3" t="str">
        <f>VLOOKUP(J15,ConstDLCIds!$A$4:$C$1000,3,FALSE)</f>
        <v>Included in base game</v>
      </c>
    </row>
    <row r="16" spans="1:13" x14ac:dyDescent="0.25">
      <c r="A16">
        <v>58</v>
      </c>
      <c r="B16">
        <v>11</v>
      </c>
      <c r="C16">
        <v>58</v>
      </c>
      <c r="D16" t="s">
        <v>429</v>
      </c>
      <c r="E16" t="str">
        <f>IF(NOT(ISERROR(VLOOKUP(D16,'ESO DungeonFinder'!$A$2:$A$999,1,FALSE))),"X","")</f>
        <v/>
      </c>
      <c r="F16" s="70" t="str">
        <f t="shared" si="4"/>
        <v>X</v>
      </c>
      <c r="G16" s="70" t="str">
        <f t="shared" si="5"/>
        <v/>
      </c>
      <c r="H16" s="70">
        <f t="shared" si="6"/>
        <v>58</v>
      </c>
      <c r="I16" s="70">
        <f t="shared" si="7"/>
        <v>58</v>
      </c>
      <c r="J16">
        <v>0</v>
      </c>
      <c r="K16" s="3" t="str">
        <f>VLOOKUP(J16,ConstDLCIds!$A$4:$B$1000,2,FALSE)</f>
        <v>DLC_BASE_GAME</v>
      </c>
      <c r="L16" s="3" t="str">
        <f>VLOOKUP(J16,ConstDLCIds!$A$4:$C$1000,3,FALSE)</f>
        <v>Included in base game</v>
      </c>
    </row>
    <row r="17" spans="1:12" x14ac:dyDescent="0.25">
      <c r="A17">
        <v>63</v>
      </c>
      <c r="B17">
        <v>12</v>
      </c>
      <c r="C17">
        <v>57</v>
      </c>
      <c r="D17" t="s">
        <v>582</v>
      </c>
      <c r="E17" t="str">
        <f>IF(NOT(ISERROR(VLOOKUP(D17,'ESO DungeonFinder'!$A$2:$A$999,1,FALSE))),"X","")</f>
        <v>X</v>
      </c>
      <c r="F17" s="70" t="str">
        <f t="shared" si="4"/>
        <v/>
      </c>
      <c r="G17" s="70" t="str">
        <f t="shared" si="5"/>
        <v>Deshaan</v>
      </c>
      <c r="H17" s="70">
        <f t="shared" si="6"/>
        <v>63</v>
      </c>
      <c r="I17" s="70">
        <f t="shared" si="7"/>
        <v>57</v>
      </c>
      <c r="J17">
        <v>0</v>
      </c>
      <c r="K17" s="3" t="str">
        <f>VLOOKUP(J17,ConstDLCIds!$A$4:$B$1000,2,FALSE)</f>
        <v>DLC_BASE_GAME</v>
      </c>
      <c r="L17" s="3" t="str">
        <f>VLOOKUP(J17,ConstDLCIds!$A$4:$C$1000,3,FALSE)</f>
        <v>Included in base game</v>
      </c>
    </row>
    <row r="18" spans="1:12" x14ac:dyDescent="0.25">
      <c r="A18">
        <v>64</v>
      </c>
      <c r="B18">
        <v>13</v>
      </c>
      <c r="C18">
        <v>103</v>
      </c>
      <c r="D18" t="s">
        <v>470</v>
      </c>
      <c r="E18" t="str">
        <f>IF(NOT(ISERROR(VLOOKUP(D18,'ESO DungeonFinder'!$A$2:$A$999,1,FALSE))),"X","")</f>
        <v>X</v>
      </c>
      <c r="F18" s="70" t="str">
        <f t="shared" si="4"/>
        <v/>
      </c>
      <c r="G18" s="70" t="str">
        <f t="shared" si="5"/>
        <v>The Rift</v>
      </c>
      <c r="H18" s="70">
        <f t="shared" si="6"/>
        <v>64</v>
      </c>
      <c r="I18" s="70">
        <f t="shared" si="7"/>
        <v>103</v>
      </c>
      <c r="J18">
        <v>0</v>
      </c>
      <c r="K18" s="3" t="str">
        <f>VLOOKUP(J18,ConstDLCIds!$A$4:$B$1000,2,FALSE)</f>
        <v>DLC_BASE_GAME</v>
      </c>
      <c r="L18" s="3" t="str">
        <f>VLOOKUP(J18,ConstDLCIds!$A$4:$C$1000,3,FALSE)</f>
        <v>Included in base game</v>
      </c>
    </row>
    <row r="19" spans="1:12" x14ac:dyDescent="0.25">
      <c r="A19">
        <v>92</v>
      </c>
      <c r="B19">
        <v>14</v>
      </c>
      <c r="C19">
        <v>92</v>
      </c>
      <c r="D19" t="s">
        <v>524</v>
      </c>
      <c r="E19" t="str">
        <f>IF(NOT(ISERROR(VLOOKUP(D19,'ESO DungeonFinder'!$A$2:$A$999,1,FALSE))),"X","")</f>
        <v/>
      </c>
      <c r="F19" s="70" t="str">
        <f t="shared" si="4"/>
        <v>X</v>
      </c>
      <c r="G19" s="70" t="str">
        <f t="shared" si="5"/>
        <v/>
      </c>
      <c r="H19" s="70">
        <f t="shared" si="6"/>
        <v>92</v>
      </c>
      <c r="I19" s="70">
        <f t="shared" si="7"/>
        <v>92</v>
      </c>
      <c r="J19">
        <v>0</v>
      </c>
      <c r="K19" s="3" t="str">
        <f>VLOOKUP(J19,ConstDLCIds!$A$4:$B$1000,2,FALSE)</f>
        <v>DLC_BASE_GAME</v>
      </c>
      <c r="L19" s="3" t="str">
        <f>VLOOKUP(J19,ConstDLCIds!$A$4:$C$1000,3,FALSE)</f>
        <v>Included in base game</v>
      </c>
    </row>
    <row r="20" spans="1:12" x14ac:dyDescent="0.25">
      <c r="A20">
        <v>101</v>
      </c>
      <c r="B20">
        <v>15</v>
      </c>
      <c r="C20">
        <v>101</v>
      </c>
      <c r="D20" t="s">
        <v>409</v>
      </c>
      <c r="E20" t="str">
        <f>IF(NOT(ISERROR(VLOOKUP(D20,'ESO DungeonFinder'!$A$2:$A$999,1,FALSE))),"X","")</f>
        <v/>
      </c>
      <c r="F20" s="70" t="str">
        <f t="shared" si="4"/>
        <v>X</v>
      </c>
      <c r="G20" s="70" t="str">
        <f t="shared" si="5"/>
        <v/>
      </c>
      <c r="H20" s="70">
        <f t="shared" si="6"/>
        <v>101</v>
      </c>
      <c r="I20" s="70">
        <f t="shared" si="7"/>
        <v>101</v>
      </c>
      <c r="J20">
        <v>0</v>
      </c>
      <c r="K20" s="3" t="str">
        <f>VLOOKUP(J20,ConstDLCIds!$A$4:$B$1000,2,FALSE)</f>
        <v>DLC_BASE_GAME</v>
      </c>
      <c r="L20" s="3" t="str">
        <f>VLOOKUP(J20,ConstDLCIds!$A$4:$C$1000,3,FALSE)</f>
        <v>Included in base game</v>
      </c>
    </row>
    <row r="21" spans="1:12" x14ac:dyDescent="0.25">
      <c r="A21">
        <v>103</v>
      </c>
      <c r="B21">
        <v>16</v>
      </c>
      <c r="C21">
        <v>103</v>
      </c>
      <c r="D21" t="s">
        <v>406</v>
      </c>
      <c r="E21" t="str">
        <f>IF(NOT(ISERROR(VLOOKUP(D21,'ESO DungeonFinder'!$A$2:$A$999,1,FALSE))),"X","")</f>
        <v/>
      </c>
      <c r="F21" s="70" t="str">
        <f t="shared" si="4"/>
        <v>X</v>
      </c>
      <c r="G21" s="70" t="str">
        <f t="shared" si="5"/>
        <v/>
      </c>
      <c r="H21" s="70">
        <f t="shared" si="6"/>
        <v>103</v>
      </c>
      <c r="I21" s="70">
        <f t="shared" si="7"/>
        <v>103</v>
      </c>
      <c r="J21">
        <v>0</v>
      </c>
      <c r="K21" s="3" t="str">
        <f>VLOOKUP(J21,ConstDLCIds!$A$4:$B$1000,2,FALSE)</f>
        <v>DLC_BASE_GAME</v>
      </c>
      <c r="L21" s="3" t="str">
        <f>VLOOKUP(J21,ConstDLCIds!$A$4:$C$1000,3,FALSE)</f>
        <v>Included in base game</v>
      </c>
    </row>
    <row r="22" spans="1:12" x14ac:dyDescent="0.25">
      <c r="A22">
        <v>104</v>
      </c>
      <c r="B22">
        <v>17</v>
      </c>
      <c r="C22">
        <v>104</v>
      </c>
      <c r="D22" t="s">
        <v>442</v>
      </c>
      <c r="E22" t="str">
        <f>IF(NOT(ISERROR(VLOOKUP(D22,'ESO DungeonFinder'!$A$2:$A$999,1,FALSE))),"X","")</f>
        <v/>
      </c>
      <c r="F22" s="70" t="str">
        <f t="shared" si="4"/>
        <v>X</v>
      </c>
      <c r="G22" s="70" t="str">
        <f t="shared" si="5"/>
        <v/>
      </c>
      <c r="H22" s="70">
        <f t="shared" si="6"/>
        <v>104</v>
      </c>
      <c r="I22" s="70">
        <f t="shared" si="7"/>
        <v>104</v>
      </c>
      <c r="J22">
        <v>0</v>
      </c>
      <c r="K22" s="3" t="str">
        <f>VLOOKUP(J22,ConstDLCIds!$A$4:$B$1000,2,FALSE)</f>
        <v>DLC_BASE_GAME</v>
      </c>
      <c r="L22" s="3" t="str">
        <f>VLOOKUP(J22,ConstDLCIds!$A$4:$C$1000,3,FALSE)</f>
        <v>Included in base game</v>
      </c>
    </row>
    <row r="23" spans="1:12" x14ac:dyDescent="0.25">
      <c r="A23">
        <v>108</v>
      </c>
      <c r="B23">
        <v>18</v>
      </c>
      <c r="C23">
        <v>108</v>
      </c>
      <c r="D23" t="s">
        <v>511</v>
      </c>
      <c r="E23" t="str">
        <f>IF(NOT(ISERROR(VLOOKUP(D23,'ESO DungeonFinder'!$A$2:$A$999,1,FALSE))),"X","")</f>
        <v/>
      </c>
      <c r="F23" s="70" t="str">
        <f t="shared" si="4"/>
        <v>X</v>
      </c>
      <c r="G23" s="70" t="str">
        <f t="shared" si="5"/>
        <v/>
      </c>
      <c r="H23" s="70">
        <f t="shared" si="6"/>
        <v>108</v>
      </c>
      <c r="I23" s="70">
        <f t="shared" si="7"/>
        <v>108</v>
      </c>
      <c r="J23">
        <v>0</v>
      </c>
      <c r="K23" s="3" t="str">
        <f>VLOOKUP(J23,ConstDLCIds!$A$4:$B$1000,2,FALSE)</f>
        <v>DLC_BASE_GAME</v>
      </c>
      <c r="L23" s="3" t="str">
        <f>VLOOKUP(J23,ConstDLCIds!$A$4:$C$1000,3,FALSE)</f>
        <v>Included in base game</v>
      </c>
    </row>
    <row r="24" spans="1:12" x14ac:dyDescent="0.25">
      <c r="A24">
        <v>117</v>
      </c>
      <c r="B24">
        <v>19</v>
      </c>
      <c r="C24">
        <v>117</v>
      </c>
      <c r="D24" t="s">
        <v>506</v>
      </c>
      <c r="E24" t="str">
        <f>IF(NOT(ISERROR(VLOOKUP(D24,'ESO DungeonFinder'!$A$2:$A$999,1,FALSE))),"X","")</f>
        <v/>
      </c>
      <c r="F24" s="70" t="str">
        <f t="shared" si="4"/>
        <v>X</v>
      </c>
      <c r="G24" s="70" t="str">
        <f t="shared" si="5"/>
        <v/>
      </c>
      <c r="H24" s="70">
        <f t="shared" si="6"/>
        <v>117</v>
      </c>
      <c r="I24" s="70">
        <f t="shared" si="7"/>
        <v>117</v>
      </c>
      <c r="J24">
        <v>0</v>
      </c>
      <c r="K24" s="3" t="str">
        <f>VLOOKUP(J24,ConstDLCIds!$A$4:$B$1000,2,FALSE)</f>
        <v>DLC_BASE_GAME</v>
      </c>
      <c r="L24" s="3" t="str">
        <f>VLOOKUP(J24,ConstDLCIds!$A$4:$C$1000,3,FALSE)</f>
        <v>Included in base game</v>
      </c>
    </row>
    <row r="25" spans="1:12" x14ac:dyDescent="0.25">
      <c r="A25">
        <v>124</v>
      </c>
      <c r="B25">
        <v>20</v>
      </c>
      <c r="C25">
        <v>383</v>
      </c>
      <c r="D25" t="s">
        <v>2174</v>
      </c>
      <c r="E25" t="str">
        <f>IF(NOT(ISERROR(VLOOKUP(D25,'ESO DungeonFinder'!$A$2:$A$999,1,FALSE))),"X","")</f>
        <v/>
      </c>
      <c r="F25" s="70" t="str">
        <f t="shared" si="4"/>
        <v/>
      </c>
      <c r="G25" s="70" t="str">
        <f t="shared" si="5"/>
        <v>Grahtwood</v>
      </c>
      <c r="H25" s="70">
        <f t="shared" si="6"/>
        <v>124</v>
      </c>
      <c r="I25" s="70">
        <f t="shared" si="7"/>
        <v>383</v>
      </c>
      <c r="J25">
        <v>0</v>
      </c>
      <c r="K25" s="3" t="str">
        <f>VLOOKUP(J25,ConstDLCIds!$A$4:$B$1000,2,FALSE)</f>
        <v>DLC_BASE_GAME</v>
      </c>
      <c r="L25" s="3" t="str">
        <f>VLOOKUP(J25,ConstDLCIds!$A$4:$C$1000,3,FALSE)</f>
        <v>Included in base game</v>
      </c>
    </row>
    <row r="26" spans="1:12" x14ac:dyDescent="0.25">
      <c r="A26">
        <v>126</v>
      </c>
      <c r="B26">
        <v>21</v>
      </c>
      <c r="C26">
        <v>383</v>
      </c>
      <c r="D26" t="s">
        <v>428</v>
      </c>
      <c r="E26" t="str">
        <f>IF(NOT(ISERROR(VLOOKUP(D26,'ESO DungeonFinder'!$A$2:$A$999,1,FALSE))),"X","")</f>
        <v>X</v>
      </c>
      <c r="F26" s="70" t="str">
        <f t="shared" si="4"/>
        <v/>
      </c>
      <c r="G26" s="70" t="str">
        <f t="shared" si="5"/>
        <v>Grahtwood</v>
      </c>
      <c r="H26" s="70">
        <f t="shared" si="6"/>
        <v>126</v>
      </c>
      <c r="I26" s="70">
        <f t="shared" si="7"/>
        <v>383</v>
      </c>
      <c r="J26">
        <v>0</v>
      </c>
      <c r="K26" s="3" t="str">
        <f>VLOOKUP(J26,ConstDLCIds!$A$4:$B$1000,2,FALSE)</f>
        <v>DLC_BASE_GAME</v>
      </c>
      <c r="L26" s="3" t="str">
        <f>VLOOKUP(J26,ConstDLCIds!$A$4:$C$1000,3,FALSE)</f>
        <v>Included in base game</v>
      </c>
    </row>
    <row r="27" spans="1:12" x14ac:dyDescent="0.25">
      <c r="A27">
        <v>130</v>
      </c>
      <c r="B27">
        <v>22</v>
      </c>
      <c r="C27">
        <v>20</v>
      </c>
      <c r="D27" t="s">
        <v>634</v>
      </c>
      <c r="E27" t="str">
        <f>IF(NOT(ISERROR(VLOOKUP(D27,'ESO DungeonFinder'!$A$2:$A$999,1,FALSE))),"X","")</f>
        <v>X</v>
      </c>
      <c r="F27" s="70" t="str">
        <f t="shared" si="4"/>
        <v/>
      </c>
      <c r="G27" s="70" t="str">
        <f t="shared" si="5"/>
        <v>Rivenspire</v>
      </c>
      <c r="H27" s="70">
        <f t="shared" si="6"/>
        <v>130</v>
      </c>
      <c r="I27" s="70">
        <f t="shared" si="7"/>
        <v>20</v>
      </c>
      <c r="J27">
        <v>0</v>
      </c>
      <c r="K27" s="3" t="str">
        <f>VLOOKUP(J27,ConstDLCIds!$A$4:$B$1000,2,FALSE)</f>
        <v>DLC_BASE_GAME</v>
      </c>
      <c r="L27" s="3" t="str">
        <f>VLOOKUP(J27,ConstDLCIds!$A$4:$C$1000,3,FALSE)</f>
        <v>Included in base game</v>
      </c>
    </row>
    <row r="28" spans="1:12" x14ac:dyDescent="0.25">
      <c r="A28">
        <v>131</v>
      </c>
      <c r="B28">
        <v>23</v>
      </c>
      <c r="C28">
        <v>58</v>
      </c>
      <c r="D28" t="s">
        <v>777</v>
      </c>
      <c r="E28" t="str">
        <f>IF(NOT(ISERROR(VLOOKUP(D28,'ESO DungeonFinder'!$A$2:$A$999,1,FALSE))),"X","")</f>
        <v>X</v>
      </c>
      <c r="F28" s="70" t="str">
        <f t="shared" si="4"/>
        <v/>
      </c>
      <c r="G28" s="70" t="str">
        <f t="shared" si="5"/>
        <v>Malabal Tor</v>
      </c>
      <c r="H28" s="70">
        <f t="shared" si="6"/>
        <v>131</v>
      </c>
      <c r="I28" s="70">
        <f t="shared" si="7"/>
        <v>58</v>
      </c>
      <c r="J28">
        <v>0</v>
      </c>
      <c r="K28" s="3" t="str">
        <f>VLOOKUP(J28,ConstDLCIds!$A$4:$B$1000,2,FALSE)</f>
        <v>DLC_BASE_GAME</v>
      </c>
      <c r="L28" s="3" t="str">
        <f>VLOOKUP(J28,ConstDLCIds!$A$4:$C$1000,3,FALSE)</f>
        <v>Included in base game</v>
      </c>
    </row>
    <row r="29" spans="1:12" x14ac:dyDescent="0.25">
      <c r="A29">
        <v>134</v>
      </c>
      <c r="B29">
        <v>24</v>
      </c>
      <c r="C29">
        <v>117</v>
      </c>
      <c r="D29" t="s">
        <v>2175</v>
      </c>
      <c r="E29" t="str">
        <f>IF(NOT(ISERROR(VLOOKUP(D29,'ESO DungeonFinder'!$A$2:$A$999,1,FALSE))),"X","")</f>
        <v/>
      </c>
      <c r="F29" s="70" t="str">
        <f t="shared" si="4"/>
        <v/>
      </c>
      <c r="G29" s="70" t="str">
        <f t="shared" si="5"/>
        <v>Shadowfen</v>
      </c>
      <c r="H29" s="70">
        <f t="shared" si="6"/>
        <v>134</v>
      </c>
      <c r="I29" s="70">
        <f t="shared" si="7"/>
        <v>117</v>
      </c>
      <c r="J29">
        <v>0</v>
      </c>
      <c r="K29" s="3" t="str">
        <f>VLOOKUP(J29,ConstDLCIds!$A$4:$B$1000,2,FALSE)</f>
        <v>DLC_BASE_GAME</v>
      </c>
      <c r="L29" s="3" t="str">
        <f>VLOOKUP(J29,ConstDLCIds!$A$4:$C$1000,3,FALSE)</f>
        <v>Included in base game</v>
      </c>
    </row>
    <row r="30" spans="1:12" x14ac:dyDescent="0.25">
      <c r="A30">
        <v>137</v>
      </c>
      <c r="B30">
        <v>25</v>
      </c>
      <c r="C30">
        <v>108</v>
      </c>
      <c r="D30" t="s">
        <v>2060</v>
      </c>
      <c r="E30" t="str">
        <f>IF(NOT(ISERROR(VLOOKUP(D30,'ESO DungeonFinder'!$A$2:$A$999,1,FALSE))),"X","")</f>
        <v/>
      </c>
      <c r="F30" s="70" t="str">
        <f t="shared" si="4"/>
        <v/>
      </c>
      <c r="G30" s="70" t="str">
        <f t="shared" si="5"/>
        <v>Greenshade</v>
      </c>
      <c r="H30" s="70">
        <f t="shared" si="6"/>
        <v>137</v>
      </c>
      <c r="I30" s="70">
        <f t="shared" si="7"/>
        <v>108</v>
      </c>
      <c r="J30">
        <v>0</v>
      </c>
      <c r="K30" s="3" t="str">
        <f>VLOOKUP(J30,ConstDLCIds!$A$4:$B$1000,2,FALSE)</f>
        <v>DLC_BASE_GAME</v>
      </c>
      <c r="L30" s="3" t="str">
        <f>VLOOKUP(J30,ConstDLCIds!$A$4:$C$1000,3,FALSE)</f>
        <v>Included in base game</v>
      </c>
    </row>
    <row r="31" spans="1:12" x14ac:dyDescent="0.25">
      <c r="A31">
        <v>138</v>
      </c>
      <c r="B31">
        <v>26</v>
      </c>
      <c r="C31">
        <v>58</v>
      </c>
      <c r="D31" t="s">
        <v>2176</v>
      </c>
      <c r="E31" t="str">
        <f>IF(NOT(ISERROR(VLOOKUP(D31,'ESO DungeonFinder'!$A$2:$A$999,1,FALSE))),"X","")</f>
        <v/>
      </c>
      <c r="F31" s="70" t="str">
        <f t="shared" si="4"/>
        <v/>
      </c>
      <c r="G31" s="70" t="str">
        <f t="shared" si="5"/>
        <v>Malabal Tor</v>
      </c>
      <c r="H31" s="70">
        <f t="shared" si="6"/>
        <v>138</v>
      </c>
      <c r="I31" s="70">
        <f t="shared" si="7"/>
        <v>58</v>
      </c>
      <c r="J31">
        <v>0</v>
      </c>
      <c r="K31" s="3" t="str">
        <f>VLOOKUP(J31,ConstDLCIds!$A$4:$B$1000,2,FALSE)</f>
        <v>DLC_BASE_GAME</v>
      </c>
      <c r="L31" s="3" t="str">
        <f>VLOOKUP(J31,ConstDLCIds!$A$4:$C$1000,3,FALSE)</f>
        <v>Included in base game</v>
      </c>
    </row>
    <row r="32" spans="1:12" x14ac:dyDescent="0.25">
      <c r="A32">
        <v>142</v>
      </c>
      <c r="B32">
        <v>27</v>
      </c>
      <c r="C32">
        <v>19</v>
      </c>
      <c r="D32" t="s">
        <v>2177</v>
      </c>
      <c r="E32" t="str">
        <f>IF(NOT(ISERROR(VLOOKUP(D32,'ESO DungeonFinder'!$A$2:$A$999,1,FALSE))),"X","")</f>
        <v/>
      </c>
      <c r="F32" s="70" t="str">
        <f t="shared" si="4"/>
        <v/>
      </c>
      <c r="G32" s="70" t="str">
        <f t="shared" si="5"/>
        <v>Stormhaven</v>
      </c>
      <c r="H32" s="70">
        <f t="shared" si="6"/>
        <v>142</v>
      </c>
      <c r="I32" s="70">
        <f t="shared" si="7"/>
        <v>19</v>
      </c>
      <c r="J32">
        <v>0</v>
      </c>
      <c r="K32" s="3" t="str">
        <f>VLOOKUP(J32,ConstDLCIds!$A$4:$B$1000,2,FALSE)</f>
        <v>DLC_BASE_GAME</v>
      </c>
      <c r="L32" s="3" t="str">
        <f>VLOOKUP(J32,ConstDLCIds!$A$4:$C$1000,3,FALSE)</f>
        <v>Included in base game</v>
      </c>
    </row>
    <row r="33" spans="1:12" x14ac:dyDescent="0.25">
      <c r="A33">
        <v>144</v>
      </c>
      <c r="B33">
        <v>28</v>
      </c>
      <c r="C33">
        <v>3</v>
      </c>
      <c r="D33" t="s">
        <v>450</v>
      </c>
      <c r="E33" t="str">
        <f>IF(NOT(ISERROR(VLOOKUP(D33,'ESO DungeonFinder'!$A$2:$A$999,1,FALSE))),"X","")</f>
        <v>X</v>
      </c>
      <c r="F33" s="70" t="str">
        <f t="shared" si="4"/>
        <v/>
      </c>
      <c r="G33" s="70" t="str">
        <f t="shared" si="5"/>
        <v>Glenumbra</v>
      </c>
      <c r="H33" s="70">
        <f t="shared" si="6"/>
        <v>144</v>
      </c>
      <c r="I33" s="70">
        <f t="shared" si="7"/>
        <v>3</v>
      </c>
      <c r="J33">
        <v>0</v>
      </c>
      <c r="K33" s="3" t="str">
        <f>VLOOKUP(J33,ConstDLCIds!$A$4:$B$1000,2,FALSE)</f>
        <v>DLC_BASE_GAME</v>
      </c>
      <c r="L33" s="3" t="str">
        <f>VLOOKUP(J33,ConstDLCIds!$A$4:$C$1000,3,FALSE)</f>
        <v>Included in base game</v>
      </c>
    </row>
    <row r="34" spans="1:12" x14ac:dyDescent="0.25">
      <c r="A34">
        <v>146</v>
      </c>
      <c r="B34">
        <v>29</v>
      </c>
      <c r="C34">
        <v>19</v>
      </c>
      <c r="D34" t="s">
        <v>432</v>
      </c>
      <c r="E34" t="str">
        <f>IF(NOT(ISERROR(VLOOKUP(D34,'ESO DungeonFinder'!$A$2:$A$999,1,FALSE))),"X","")</f>
        <v>X</v>
      </c>
      <c r="F34" s="70" t="str">
        <f t="shared" si="4"/>
        <v/>
      </c>
      <c r="G34" s="70" t="str">
        <f t="shared" si="5"/>
        <v>Stormhaven</v>
      </c>
      <c r="H34" s="70">
        <f t="shared" si="6"/>
        <v>146</v>
      </c>
      <c r="I34" s="70">
        <f t="shared" si="7"/>
        <v>19</v>
      </c>
      <c r="J34">
        <v>0</v>
      </c>
      <c r="K34" s="3" t="str">
        <f>VLOOKUP(J34,ConstDLCIds!$A$4:$B$1000,2,FALSE)</f>
        <v>DLC_BASE_GAME</v>
      </c>
      <c r="L34" s="3" t="str">
        <f>VLOOKUP(J34,ConstDLCIds!$A$4:$C$1000,3,FALSE)</f>
        <v>Included in base game</v>
      </c>
    </row>
    <row r="35" spans="1:12" x14ac:dyDescent="0.25">
      <c r="A35">
        <v>148</v>
      </c>
      <c r="B35">
        <v>30</v>
      </c>
      <c r="C35">
        <v>117</v>
      </c>
      <c r="D35" t="s">
        <v>697</v>
      </c>
      <c r="E35" t="str">
        <f>IF(NOT(ISERROR(VLOOKUP(D35,'ESO DungeonFinder'!$A$2:$A$999,1,FALSE))),"X","")</f>
        <v>X</v>
      </c>
      <c r="F35" s="70" t="str">
        <f t="shared" si="4"/>
        <v/>
      </c>
      <c r="G35" s="70" t="str">
        <f t="shared" si="5"/>
        <v>Shadowfen</v>
      </c>
      <c r="H35" s="70">
        <f t="shared" si="6"/>
        <v>148</v>
      </c>
      <c r="I35" s="70">
        <f t="shared" si="7"/>
        <v>117</v>
      </c>
      <c r="J35">
        <v>0</v>
      </c>
      <c r="K35" s="3" t="str">
        <f>VLOOKUP(J35,ConstDLCIds!$A$4:$B$1000,2,FALSE)</f>
        <v>DLC_BASE_GAME</v>
      </c>
      <c r="L35" s="3" t="str">
        <f>VLOOKUP(J35,ConstDLCIds!$A$4:$C$1000,3,FALSE)</f>
        <v>Included in base game</v>
      </c>
    </row>
    <row r="36" spans="1:12" x14ac:dyDescent="0.25">
      <c r="A36">
        <v>159</v>
      </c>
      <c r="B36">
        <v>31</v>
      </c>
      <c r="C36">
        <v>19</v>
      </c>
      <c r="D36" t="s">
        <v>2204</v>
      </c>
      <c r="E36" t="str">
        <f>IF(NOT(ISERROR(VLOOKUP(D36,'ESO DungeonFinder'!$A$2:$A$999,1,FALSE))),"X","")</f>
        <v/>
      </c>
      <c r="F36" s="70" t="str">
        <f t="shared" si="4"/>
        <v/>
      </c>
      <c r="G36" s="70" t="str">
        <f t="shared" si="5"/>
        <v>Stormhaven</v>
      </c>
      <c r="H36" s="70">
        <f t="shared" si="6"/>
        <v>159</v>
      </c>
      <c r="I36" s="70">
        <f t="shared" si="7"/>
        <v>19</v>
      </c>
      <c r="J36">
        <v>0</v>
      </c>
      <c r="K36" s="3" t="str">
        <f>VLOOKUP(J36,ConstDLCIds!$A$4:$B$1000,2,FALSE)</f>
        <v>DLC_BASE_GAME</v>
      </c>
      <c r="L36" s="3" t="str">
        <f>VLOOKUP(J36,ConstDLCIds!$A$4:$C$1000,3,FALSE)</f>
        <v>Included in base game</v>
      </c>
    </row>
    <row r="37" spans="1:12" x14ac:dyDescent="0.25">
      <c r="A37">
        <v>162</v>
      </c>
      <c r="B37">
        <v>32</v>
      </c>
      <c r="C37">
        <v>20</v>
      </c>
      <c r="D37" t="s">
        <v>1825</v>
      </c>
      <c r="E37" t="str">
        <f>IF(NOT(ISERROR(VLOOKUP(D37,'ESO DungeonFinder'!$A$2:$A$999,1,FALSE))),"X","")</f>
        <v/>
      </c>
      <c r="F37" s="70" t="str">
        <f t="shared" si="4"/>
        <v/>
      </c>
      <c r="G37" s="70" t="str">
        <f t="shared" si="5"/>
        <v>Rivenspire</v>
      </c>
      <c r="H37" s="70">
        <f t="shared" si="6"/>
        <v>162</v>
      </c>
      <c r="I37" s="70">
        <f t="shared" si="7"/>
        <v>20</v>
      </c>
      <c r="J37">
        <v>0</v>
      </c>
      <c r="K37" s="3" t="str">
        <f>VLOOKUP(J37,ConstDLCIds!$A$4:$B$1000,2,FALSE)</f>
        <v>DLC_BASE_GAME</v>
      </c>
      <c r="L37" s="3" t="str">
        <f>VLOOKUP(J37,ConstDLCIds!$A$4:$C$1000,3,FALSE)</f>
        <v>Included in base game</v>
      </c>
    </row>
    <row r="38" spans="1:12" x14ac:dyDescent="0.25">
      <c r="A38">
        <v>166</v>
      </c>
      <c r="B38">
        <v>33</v>
      </c>
      <c r="C38">
        <v>3</v>
      </c>
      <c r="D38" t="s">
        <v>2205</v>
      </c>
      <c r="E38" t="str">
        <f>IF(NOT(ISERROR(VLOOKUP(D38,'ESO DungeonFinder'!$A$2:$A$999,1,FALSE))),"X","")</f>
        <v/>
      </c>
      <c r="F38" s="70" t="str">
        <f t="shared" si="4"/>
        <v/>
      </c>
      <c r="G38" s="70" t="str">
        <f t="shared" si="5"/>
        <v>Glenumbra</v>
      </c>
      <c r="H38" s="70">
        <f t="shared" si="6"/>
        <v>166</v>
      </c>
      <c r="I38" s="70">
        <f t="shared" si="7"/>
        <v>3</v>
      </c>
      <c r="J38">
        <v>0</v>
      </c>
      <c r="K38" s="3" t="str">
        <f>VLOOKUP(J38,ConstDLCIds!$A$4:$B$1000,2,FALSE)</f>
        <v>DLC_BASE_GAME</v>
      </c>
      <c r="L38" s="3" t="str">
        <f>VLOOKUP(J38,ConstDLCIds!$A$4:$C$1000,3,FALSE)</f>
        <v>Included in base game</v>
      </c>
    </row>
    <row r="39" spans="1:12" x14ac:dyDescent="0.25">
      <c r="A39">
        <v>168</v>
      </c>
      <c r="B39">
        <v>34</v>
      </c>
      <c r="C39">
        <v>92</v>
      </c>
      <c r="D39" t="s">
        <v>2206</v>
      </c>
      <c r="E39" t="str">
        <f>IF(NOT(ISERROR(VLOOKUP(D39,'ESO DungeonFinder'!$A$2:$A$999,1,FALSE))),"X","")</f>
        <v/>
      </c>
      <c r="F39" s="70" t="str">
        <f t="shared" si="4"/>
        <v/>
      </c>
      <c r="G39" s="70" t="str">
        <f t="shared" si="5"/>
        <v>Bangkorai</v>
      </c>
      <c r="H39" s="70">
        <f t="shared" si="6"/>
        <v>168</v>
      </c>
      <c r="I39" s="70">
        <f t="shared" si="7"/>
        <v>92</v>
      </c>
      <c r="J39">
        <v>0</v>
      </c>
      <c r="K39" s="3" t="str">
        <f>VLOOKUP(J39,ConstDLCIds!$A$4:$B$1000,2,FALSE)</f>
        <v>DLC_BASE_GAME</v>
      </c>
      <c r="L39" s="3" t="str">
        <f>VLOOKUP(J39,ConstDLCIds!$A$4:$C$1000,3,FALSE)</f>
        <v>Included in base game</v>
      </c>
    </row>
    <row r="40" spans="1:12" x14ac:dyDescent="0.25">
      <c r="A40">
        <v>169</v>
      </c>
      <c r="B40">
        <v>35</v>
      </c>
      <c r="C40">
        <v>92</v>
      </c>
      <c r="D40" t="s">
        <v>2178</v>
      </c>
      <c r="E40" t="str">
        <f>IF(NOT(ISERROR(VLOOKUP(D40,'ESO DungeonFinder'!$A$2:$A$999,1,FALSE))),"X","")</f>
        <v/>
      </c>
      <c r="F40" s="70" t="str">
        <f t="shared" si="4"/>
        <v/>
      </c>
      <c r="G40" s="70" t="str">
        <f t="shared" si="5"/>
        <v>Bangkorai</v>
      </c>
      <c r="H40" s="70">
        <f t="shared" si="6"/>
        <v>169</v>
      </c>
      <c r="I40" s="70">
        <f t="shared" si="7"/>
        <v>92</v>
      </c>
      <c r="J40">
        <v>0</v>
      </c>
      <c r="K40" s="3" t="str">
        <f>VLOOKUP(J40,ConstDLCIds!$A$4:$B$1000,2,FALSE)</f>
        <v>DLC_BASE_GAME</v>
      </c>
      <c r="L40" s="3" t="str">
        <f>VLOOKUP(J40,ConstDLCIds!$A$4:$C$1000,3,FALSE)</f>
        <v>Included in base game</v>
      </c>
    </row>
    <row r="41" spans="1:12" x14ac:dyDescent="0.25">
      <c r="A41">
        <v>174</v>
      </c>
      <c r="B41">
        <v>36</v>
      </c>
      <c r="C41">
        <v>174</v>
      </c>
      <c r="D41" t="s">
        <v>2207</v>
      </c>
      <c r="E41" t="str">
        <f>IF(NOT(ISERROR(VLOOKUP(D41,'ESO DungeonFinder'!$A$2:$A$999,1,FALSE))),"X","")</f>
        <v/>
      </c>
      <c r="F41" s="70" t="str">
        <f t="shared" si="4"/>
        <v>X</v>
      </c>
      <c r="G41" s="70" t="str">
        <f t="shared" si="5"/>
        <v/>
      </c>
      <c r="H41" s="70">
        <f t="shared" si="6"/>
        <v>174</v>
      </c>
      <c r="I41" s="70">
        <f t="shared" si="7"/>
        <v>174</v>
      </c>
      <c r="J41">
        <v>0</v>
      </c>
      <c r="K41" s="3" t="str">
        <f>VLOOKUP(J41,ConstDLCIds!$A$4:$B$1000,2,FALSE)</f>
        <v>DLC_BASE_GAME</v>
      </c>
      <c r="L41" s="3" t="str">
        <f>VLOOKUP(J41,ConstDLCIds!$A$4:$C$1000,3,FALSE)</f>
        <v>Included in base game</v>
      </c>
    </row>
    <row r="42" spans="1:12" x14ac:dyDescent="0.25">
      <c r="A42">
        <v>176</v>
      </c>
      <c r="B42">
        <v>37</v>
      </c>
      <c r="C42">
        <v>108</v>
      </c>
      <c r="D42" t="s">
        <v>703</v>
      </c>
      <c r="E42" t="str">
        <f>IF(NOT(ISERROR(VLOOKUP(D42,'ESO DungeonFinder'!$A$2:$A$999,1,FALSE))),"X","")</f>
        <v>X</v>
      </c>
      <c r="F42" s="70" t="str">
        <f t="shared" si="4"/>
        <v/>
      </c>
      <c r="G42" s="70" t="str">
        <f t="shared" si="5"/>
        <v>Greenshade</v>
      </c>
      <c r="H42" s="70">
        <f t="shared" si="6"/>
        <v>176</v>
      </c>
      <c r="I42" s="70">
        <f t="shared" si="7"/>
        <v>108</v>
      </c>
      <c r="J42">
        <v>0</v>
      </c>
      <c r="K42" s="3" t="str">
        <f>VLOOKUP(J42,ConstDLCIds!$A$4:$B$1000,2,FALSE)</f>
        <v>DLC_BASE_GAME</v>
      </c>
      <c r="L42" s="3" t="str">
        <f>VLOOKUP(J42,ConstDLCIds!$A$4:$C$1000,3,FALSE)</f>
        <v>Included in base game</v>
      </c>
    </row>
    <row r="43" spans="1:12" x14ac:dyDescent="0.25">
      <c r="A43">
        <v>181</v>
      </c>
      <c r="B43">
        <v>38</v>
      </c>
      <c r="C43">
        <v>181</v>
      </c>
      <c r="D43" t="s">
        <v>166</v>
      </c>
      <c r="E43" t="str">
        <f>IF(NOT(ISERROR(VLOOKUP(D43,'ESO DungeonFinder'!$A$2:$A$999,1,FALSE))),"X","")</f>
        <v/>
      </c>
      <c r="F43" s="70" t="str">
        <f t="shared" si="4"/>
        <v>X</v>
      </c>
      <c r="G43" s="70" t="str">
        <f t="shared" si="5"/>
        <v/>
      </c>
      <c r="H43" s="70">
        <f t="shared" si="6"/>
        <v>181</v>
      </c>
      <c r="I43" s="70">
        <f t="shared" si="7"/>
        <v>181</v>
      </c>
      <c r="J43">
        <v>0</v>
      </c>
      <c r="K43" s="3" t="str">
        <f>VLOOKUP(J43,ConstDLCIds!$A$4:$B$1000,2,FALSE)</f>
        <v>DLC_BASE_GAME</v>
      </c>
      <c r="L43" s="3" t="str">
        <f>VLOOKUP(J43,ConstDLCIds!$A$4:$C$1000,3,FALSE)</f>
        <v>Included in base game</v>
      </c>
    </row>
    <row r="44" spans="1:12" x14ac:dyDescent="0.25">
      <c r="A44">
        <v>187</v>
      </c>
      <c r="B44">
        <v>39</v>
      </c>
      <c r="C44">
        <v>117</v>
      </c>
      <c r="D44" t="s">
        <v>2208</v>
      </c>
      <c r="E44" t="str">
        <f>IF(NOT(ISERROR(VLOOKUP(D44,'ESO DungeonFinder'!$A$2:$A$999,1,FALSE))),"X","")</f>
        <v/>
      </c>
      <c r="F44" s="70" t="str">
        <f t="shared" si="4"/>
        <v/>
      </c>
      <c r="G44" s="70" t="str">
        <f t="shared" si="5"/>
        <v>Shadowfen</v>
      </c>
      <c r="H44" s="70">
        <f t="shared" si="6"/>
        <v>187</v>
      </c>
      <c r="I44" s="70">
        <f t="shared" si="7"/>
        <v>117</v>
      </c>
      <c r="J44">
        <v>0</v>
      </c>
      <c r="K44" s="3" t="str">
        <f>VLOOKUP(J44,ConstDLCIds!$A$4:$B$1000,2,FALSE)</f>
        <v>DLC_BASE_GAME</v>
      </c>
      <c r="L44" s="3" t="str">
        <f>VLOOKUP(J44,ConstDLCIds!$A$4:$C$1000,3,FALSE)</f>
        <v>Included in base game</v>
      </c>
    </row>
    <row r="45" spans="1:12" x14ac:dyDescent="0.25">
      <c r="A45">
        <v>188</v>
      </c>
      <c r="B45">
        <v>40</v>
      </c>
      <c r="C45">
        <v>57</v>
      </c>
      <c r="D45" t="s">
        <v>2209</v>
      </c>
      <c r="E45" t="str">
        <f>IF(NOT(ISERROR(VLOOKUP(D45,'ESO DungeonFinder'!$A$2:$A$999,1,FALSE))),"X","")</f>
        <v/>
      </c>
      <c r="F45" s="70" t="str">
        <f t="shared" si="4"/>
        <v/>
      </c>
      <c r="G45" s="70" t="str">
        <f t="shared" si="5"/>
        <v>Deshaan</v>
      </c>
      <c r="H45" s="70">
        <f t="shared" si="6"/>
        <v>188</v>
      </c>
      <c r="I45" s="70">
        <f t="shared" si="7"/>
        <v>57</v>
      </c>
      <c r="J45">
        <v>0</v>
      </c>
      <c r="K45" s="3" t="str">
        <f>VLOOKUP(J45,ConstDLCIds!$A$4:$B$1000,2,FALSE)</f>
        <v>DLC_BASE_GAME</v>
      </c>
      <c r="L45" s="3" t="str">
        <f>VLOOKUP(J45,ConstDLCIds!$A$4:$C$1000,3,FALSE)</f>
        <v>Included in base game</v>
      </c>
    </row>
    <row r="46" spans="1:12" x14ac:dyDescent="0.25">
      <c r="A46">
        <v>189</v>
      </c>
      <c r="B46">
        <v>41</v>
      </c>
      <c r="C46">
        <v>57</v>
      </c>
      <c r="D46" t="s">
        <v>2210</v>
      </c>
      <c r="E46" t="str">
        <f>IF(NOT(ISERROR(VLOOKUP(D46,'ESO DungeonFinder'!$A$2:$A$999,1,FALSE))),"X","")</f>
        <v/>
      </c>
      <c r="F46" s="70" t="str">
        <f t="shared" si="4"/>
        <v/>
      </c>
      <c r="G46" s="70" t="str">
        <f t="shared" si="5"/>
        <v>Deshaan</v>
      </c>
      <c r="H46" s="70">
        <f t="shared" si="6"/>
        <v>189</v>
      </c>
      <c r="I46" s="70">
        <f t="shared" si="7"/>
        <v>57</v>
      </c>
      <c r="J46">
        <v>0</v>
      </c>
      <c r="K46" s="3" t="str">
        <f>VLOOKUP(J46,ConstDLCIds!$A$4:$B$1000,2,FALSE)</f>
        <v>DLC_BASE_GAME</v>
      </c>
      <c r="L46" s="3" t="str">
        <f>VLOOKUP(J46,ConstDLCIds!$A$4:$C$1000,3,FALSE)</f>
        <v>Included in base game</v>
      </c>
    </row>
    <row r="47" spans="1:12" x14ac:dyDescent="0.25">
      <c r="A47">
        <v>190</v>
      </c>
      <c r="B47">
        <v>42</v>
      </c>
      <c r="C47">
        <v>57</v>
      </c>
      <c r="D47" t="s">
        <v>2211</v>
      </c>
      <c r="E47" t="str">
        <f>IF(NOT(ISERROR(VLOOKUP(D47,'ESO DungeonFinder'!$A$2:$A$999,1,FALSE))),"X","")</f>
        <v/>
      </c>
      <c r="F47" s="70" t="str">
        <f t="shared" si="4"/>
        <v/>
      </c>
      <c r="G47" s="70" t="str">
        <f t="shared" si="5"/>
        <v>Deshaan</v>
      </c>
      <c r="H47" s="70">
        <f t="shared" si="6"/>
        <v>190</v>
      </c>
      <c r="I47" s="70">
        <f t="shared" si="7"/>
        <v>57</v>
      </c>
      <c r="J47">
        <v>0</v>
      </c>
      <c r="K47" s="3" t="str">
        <f>VLOOKUP(J47,ConstDLCIds!$A$4:$B$1000,2,FALSE)</f>
        <v>DLC_BASE_GAME</v>
      </c>
      <c r="L47" s="3" t="str">
        <f>VLOOKUP(J47,ConstDLCIds!$A$4:$C$1000,3,FALSE)</f>
        <v>Included in base game</v>
      </c>
    </row>
    <row r="48" spans="1:12" x14ac:dyDescent="0.25">
      <c r="A48">
        <v>191</v>
      </c>
      <c r="B48">
        <v>43</v>
      </c>
      <c r="C48">
        <v>41</v>
      </c>
      <c r="D48" t="s">
        <v>2212</v>
      </c>
      <c r="E48" t="str">
        <f>IF(NOT(ISERROR(VLOOKUP(D48,'ESO DungeonFinder'!$A$2:$A$999,1,FALSE))),"X","")</f>
        <v/>
      </c>
      <c r="F48" s="70" t="str">
        <f t="shared" si="4"/>
        <v/>
      </c>
      <c r="G48" s="70" t="str">
        <f t="shared" si="5"/>
        <v>Stonefalls</v>
      </c>
      <c r="H48" s="70">
        <f t="shared" si="6"/>
        <v>191</v>
      </c>
      <c r="I48" s="70">
        <f t="shared" si="7"/>
        <v>41</v>
      </c>
      <c r="J48">
        <v>0</v>
      </c>
      <c r="K48" s="3" t="str">
        <f>VLOOKUP(J48,ConstDLCIds!$A$4:$B$1000,2,FALSE)</f>
        <v>DLC_BASE_GAME</v>
      </c>
      <c r="L48" s="3" t="str">
        <f>VLOOKUP(J48,ConstDLCIds!$A$4:$C$1000,3,FALSE)</f>
        <v>Included in base game</v>
      </c>
    </row>
    <row r="49" spans="1:12" x14ac:dyDescent="0.25">
      <c r="A49">
        <v>192</v>
      </c>
      <c r="B49">
        <v>44</v>
      </c>
      <c r="C49">
        <v>41</v>
      </c>
      <c r="D49" t="s">
        <v>2213</v>
      </c>
      <c r="E49" t="str">
        <f>IF(NOT(ISERROR(VLOOKUP(D49,'ESO DungeonFinder'!$A$2:$A$999,1,FALSE))),"X","")</f>
        <v/>
      </c>
      <c r="F49" s="70" t="str">
        <f t="shared" si="4"/>
        <v/>
      </c>
      <c r="G49" s="70" t="str">
        <f t="shared" si="5"/>
        <v>Stonefalls</v>
      </c>
      <c r="H49" s="70">
        <f t="shared" si="6"/>
        <v>192</v>
      </c>
      <c r="I49" s="70">
        <f t="shared" si="7"/>
        <v>41</v>
      </c>
      <c r="J49">
        <v>0</v>
      </c>
      <c r="K49" s="3" t="str">
        <f>VLOOKUP(J49,ConstDLCIds!$A$4:$B$1000,2,FALSE)</f>
        <v>DLC_BASE_GAME</v>
      </c>
      <c r="L49" s="3" t="str">
        <f>VLOOKUP(J49,ConstDLCIds!$A$4:$C$1000,3,FALSE)</f>
        <v>Included in base game</v>
      </c>
    </row>
    <row r="50" spans="1:12" x14ac:dyDescent="0.25">
      <c r="A50">
        <v>193</v>
      </c>
      <c r="B50">
        <v>45</v>
      </c>
      <c r="C50">
        <v>41</v>
      </c>
      <c r="D50" t="s">
        <v>2214</v>
      </c>
      <c r="E50" t="str">
        <f>IF(NOT(ISERROR(VLOOKUP(D50,'ESO DungeonFinder'!$A$2:$A$999,1,FALSE))),"X","")</f>
        <v/>
      </c>
      <c r="F50" s="70" t="str">
        <f t="shared" si="4"/>
        <v/>
      </c>
      <c r="G50" s="70" t="str">
        <f t="shared" si="5"/>
        <v>Stonefalls</v>
      </c>
      <c r="H50" s="70">
        <f t="shared" si="6"/>
        <v>193</v>
      </c>
      <c r="I50" s="70">
        <f t="shared" si="7"/>
        <v>41</v>
      </c>
      <c r="J50">
        <v>0</v>
      </c>
      <c r="K50" s="3" t="str">
        <f>VLOOKUP(J50,ConstDLCIds!$A$4:$B$1000,2,FALSE)</f>
        <v>DLC_BASE_GAME</v>
      </c>
      <c r="L50" s="3" t="str">
        <f>VLOOKUP(J50,ConstDLCIds!$A$4:$C$1000,3,FALSE)</f>
        <v>Included in base game</v>
      </c>
    </row>
    <row r="51" spans="1:12" x14ac:dyDescent="0.25">
      <c r="A51">
        <v>200</v>
      </c>
      <c r="B51">
        <v>46</v>
      </c>
      <c r="C51">
        <v>0</v>
      </c>
      <c r="D51" t="s">
        <v>2215</v>
      </c>
      <c r="E51" t="str">
        <f>IF(NOT(ISERROR(VLOOKUP(D51,'ESO DungeonFinder'!$A$2:$A$999,1,FALSE))),"X","")</f>
        <v/>
      </c>
      <c r="F51" s="70" t="str">
        <f t="shared" si="4"/>
        <v/>
      </c>
      <c r="G51" s="70" t="str">
        <f t="shared" si="5"/>
        <v>Tamriel Map</v>
      </c>
      <c r="H51" s="70">
        <f t="shared" si="6"/>
        <v>200</v>
      </c>
      <c r="I51" s="70">
        <f t="shared" si="7"/>
        <v>0</v>
      </c>
      <c r="J51">
        <v>0</v>
      </c>
      <c r="K51" s="3" t="str">
        <f>VLOOKUP(J51,ConstDLCIds!$A$4:$B$1000,2,FALSE)</f>
        <v>DLC_BASE_GAME</v>
      </c>
      <c r="L51" s="3" t="str">
        <f>VLOOKUP(J51,ConstDLCIds!$A$4:$C$1000,3,FALSE)</f>
        <v>Included in base game</v>
      </c>
    </row>
    <row r="52" spans="1:12" x14ac:dyDescent="0.25">
      <c r="A52">
        <v>201</v>
      </c>
      <c r="B52">
        <v>47</v>
      </c>
      <c r="C52">
        <v>0</v>
      </c>
      <c r="D52" t="s">
        <v>2216</v>
      </c>
      <c r="E52" t="str">
        <f>IF(NOT(ISERROR(VLOOKUP(D52,'ESO DungeonFinder'!$A$2:$A$999,1,FALSE))),"X","")</f>
        <v/>
      </c>
      <c r="F52" s="70" t="str">
        <f t="shared" si="4"/>
        <v/>
      </c>
      <c r="G52" s="70" t="str">
        <f t="shared" si="5"/>
        <v>Tamriel Map</v>
      </c>
      <c r="H52" s="70">
        <f t="shared" si="6"/>
        <v>201</v>
      </c>
      <c r="I52" s="70">
        <f t="shared" si="7"/>
        <v>0</v>
      </c>
      <c r="J52">
        <v>0</v>
      </c>
      <c r="K52" s="3" t="str">
        <f>VLOOKUP(J52,ConstDLCIds!$A$4:$B$1000,2,FALSE)</f>
        <v>DLC_BASE_GAME</v>
      </c>
      <c r="L52" s="3" t="str">
        <f>VLOOKUP(J52,ConstDLCIds!$A$4:$C$1000,3,FALSE)</f>
        <v>Included in base game</v>
      </c>
    </row>
    <row r="53" spans="1:12" x14ac:dyDescent="0.25">
      <c r="A53">
        <v>203</v>
      </c>
      <c r="B53">
        <v>48</v>
      </c>
      <c r="C53">
        <v>267</v>
      </c>
      <c r="D53" t="s">
        <v>2217</v>
      </c>
      <c r="E53" t="str">
        <f>IF(NOT(ISERROR(VLOOKUP(D53,'ESO DungeonFinder'!$A$2:$A$999,1,FALSE))),"X","")</f>
        <v/>
      </c>
      <c r="F53" s="70" t="str">
        <f t="shared" si="4"/>
        <v/>
      </c>
      <c r="G53" s="70" t="str">
        <f t="shared" si="5"/>
        <v>Eyevea</v>
      </c>
      <c r="H53" s="70">
        <f t="shared" si="6"/>
        <v>203</v>
      </c>
      <c r="I53" s="70">
        <f t="shared" si="7"/>
        <v>267</v>
      </c>
      <c r="J53">
        <v>0</v>
      </c>
      <c r="K53" s="3" t="str">
        <f>VLOOKUP(J53,ConstDLCIds!$A$4:$B$1000,2,FALSE)</f>
        <v>DLC_BASE_GAME</v>
      </c>
      <c r="L53" s="3" t="str">
        <f>VLOOKUP(J53,ConstDLCIds!$A$4:$C$1000,3,FALSE)</f>
        <v>Included in base game</v>
      </c>
    </row>
    <row r="54" spans="1:12" x14ac:dyDescent="0.25">
      <c r="A54">
        <v>207</v>
      </c>
      <c r="B54">
        <v>49</v>
      </c>
      <c r="C54">
        <v>208</v>
      </c>
      <c r="D54" t="s">
        <v>2218</v>
      </c>
      <c r="E54" t="str">
        <f>IF(NOT(ISERROR(VLOOKUP(D54,'ESO DungeonFinder'!$A$2:$A$999,1,FALSE))),"X","")</f>
        <v/>
      </c>
      <c r="F54" s="70" t="str">
        <f t="shared" si="4"/>
        <v/>
      </c>
      <c r="G54" s="70" t="str">
        <f t="shared" si="5"/>
        <v>The Earth Forge</v>
      </c>
      <c r="H54" s="70">
        <f t="shared" si="6"/>
        <v>207</v>
      </c>
      <c r="I54" s="70">
        <f t="shared" si="7"/>
        <v>208</v>
      </c>
      <c r="J54">
        <v>0</v>
      </c>
      <c r="K54" s="3" t="str">
        <f>VLOOKUP(J54,ConstDLCIds!$A$4:$B$1000,2,FALSE)</f>
        <v>DLC_BASE_GAME</v>
      </c>
      <c r="L54" s="3" t="str">
        <f>VLOOKUP(J54,ConstDLCIds!$A$4:$C$1000,3,FALSE)</f>
        <v>Included in base game</v>
      </c>
    </row>
    <row r="55" spans="1:12" x14ac:dyDescent="0.25">
      <c r="A55">
        <v>208</v>
      </c>
      <c r="B55">
        <v>50</v>
      </c>
      <c r="C55">
        <v>208</v>
      </c>
      <c r="D55" t="s">
        <v>554</v>
      </c>
      <c r="E55" t="str">
        <f>IF(NOT(ISERROR(VLOOKUP(D55,'ESO DungeonFinder'!$A$2:$A$999,1,FALSE))),"X","")</f>
        <v/>
      </c>
      <c r="F55" s="70" t="str">
        <f t="shared" si="4"/>
        <v>X</v>
      </c>
      <c r="G55" s="70" t="str">
        <f t="shared" si="5"/>
        <v/>
      </c>
      <c r="H55" s="70">
        <f t="shared" si="6"/>
        <v>208</v>
      </c>
      <c r="I55" s="70">
        <f t="shared" si="7"/>
        <v>208</v>
      </c>
      <c r="J55">
        <v>0</v>
      </c>
      <c r="K55" s="3" t="str">
        <f>VLOOKUP(J55,ConstDLCIds!$A$4:$B$1000,2,FALSE)</f>
        <v>DLC_BASE_GAME</v>
      </c>
      <c r="L55" s="3" t="str">
        <f>VLOOKUP(J55,ConstDLCIds!$A$4:$C$1000,3,FALSE)</f>
        <v>Included in base game</v>
      </c>
    </row>
    <row r="56" spans="1:12" x14ac:dyDescent="0.25">
      <c r="A56">
        <v>209</v>
      </c>
      <c r="B56">
        <v>51</v>
      </c>
      <c r="C56">
        <v>208</v>
      </c>
      <c r="D56" t="s">
        <v>2219</v>
      </c>
      <c r="E56" t="str">
        <f>IF(NOT(ISERROR(VLOOKUP(D56,'ESO DungeonFinder'!$A$2:$A$999,1,FALSE))),"X","")</f>
        <v/>
      </c>
      <c r="F56" s="70" t="str">
        <f t="shared" si="4"/>
        <v/>
      </c>
      <c r="G56" s="70" t="str">
        <f t="shared" si="5"/>
        <v>The Earth Forge</v>
      </c>
      <c r="H56" s="70">
        <f t="shared" si="6"/>
        <v>209</v>
      </c>
      <c r="I56" s="70">
        <f t="shared" si="7"/>
        <v>208</v>
      </c>
      <c r="J56">
        <v>0</v>
      </c>
      <c r="K56" s="3" t="str">
        <f>VLOOKUP(J56,ConstDLCIds!$A$4:$B$1000,2,FALSE)</f>
        <v>DLC_BASE_GAME</v>
      </c>
      <c r="L56" s="3" t="str">
        <f>VLOOKUP(J56,ConstDLCIds!$A$4:$C$1000,3,FALSE)</f>
        <v>Included in base game</v>
      </c>
    </row>
    <row r="57" spans="1:12" x14ac:dyDescent="0.25">
      <c r="A57">
        <v>212</v>
      </c>
      <c r="B57">
        <v>52</v>
      </c>
      <c r="C57">
        <v>57</v>
      </c>
      <c r="D57" t="s">
        <v>2220</v>
      </c>
      <c r="E57" t="str">
        <f>IF(NOT(ISERROR(VLOOKUP(D57,'ESO DungeonFinder'!$A$2:$A$999,1,FALSE))),"X","")</f>
        <v/>
      </c>
      <c r="F57" s="70" t="str">
        <f t="shared" si="4"/>
        <v/>
      </c>
      <c r="G57" s="70" t="str">
        <f t="shared" si="5"/>
        <v>Deshaan</v>
      </c>
      <c r="H57" s="70">
        <f t="shared" si="6"/>
        <v>212</v>
      </c>
      <c r="I57" s="70">
        <f t="shared" si="7"/>
        <v>57</v>
      </c>
      <c r="J57">
        <v>0</v>
      </c>
      <c r="K57" s="3" t="str">
        <f>VLOOKUP(J57,ConstDLCIds!$A$4:$B$1000,2,FALSE)</f>
        <v>DLC_BASE_GAME</v>
      </c>
      <c r="L57" s="3" t="str">
        <f>VLOOKUP(J57,ConstDLCIds!$A$4:$C$1000,3,FALSE)</f>
        <v>Included in base game</v>
      </c>
    </row>
    <row r="58" spans="1:12" x14ac:dyDescent="0.25">
      <c r="A58">
        <v>213</v>
      </c>
      <c r="B58">
        <v>53</v>
      </c>
      <c r="C58">
        <v>117</v>
      </c>
      <c r="D58" t="s">
        <v>2221</v>
      </c>
      <c r="E58" t="str">
        <f>IF(NOT(ISERROR(VLOOKUP(D58,'ESO DungeonFinder'!$A$2:$A$999,1,FALSE))),"X","")</f>
        <v/>
      </c>
      <c r="F58" s="70" t="str">
        <f t="shared" si="4"/>
        <v/>
      </c>
      <c r="G58" s="70" t="str">
        <f t="shared" si="5"/>
        <v>Shadowfen</v>
      </c>
      <c r="H58" s="70">
        <f t="shared" si="6"/>
        <v>213</v>
      </c>
      <c r="I58" s="70">
        <f t="shared" si="7"/>
        <v>117</v>
      </c>
      <c r="J58">
        <v>0</v>
      </c>
      <c r="K58" s="3" t="str">
        <f>VLOOKUP(J58,ConstDLCIds!$A$4:$B$1000,2,FALSE)</f>
        <v>DLC_BASE_GAME</v>
      </c>
      <c r="L58" s="3" t="str">
        <f>VLOOKUP(J58,ConstDLCIds!$A$4:$C$1000,3,FALSE)</f>
        <v>Included in base game</v>
      </c>
    </row>
    <row r="59" spans="1:12" x14ac:dyDescent="0.25">
      <c r="A59">
        <v>214</v>
      </c>
      <c r="B59">
        <v>54</v>
      </c>
      <c r="C59">
        <v>117</v>
      </c>
      <c r="D59" t="s">
        <v>2222</v>
      </c>
      <c r="E59" t="str">
        <f>IF(NOT(ISERROR(VLOOKUP(D59,'ESO DungeonFinder'!$A$2:$A$999,1,FALSE))),"X","")</f>
        <v/>
      </c>
      <c r="F59" s="70" t="str">
        <f t="shared" si="4"/>
        <v/>
      </c>
      <c r="G59" s="70" t="str">
        <f t="shared" si="5"/>
        <v>Shadowfen</v>
      </c>
      <c r="H59" s="70">
        <f t="shared" si="6"/>
        <v>214</v>
      </c>
      <c r="I59" s="70">
        <f t="shared" si="7"/>
        <v>117</v>
      </c>
      <c r="J59">
        <v>0</v>
      </c>
      <c r="K59" s="3" t="str">
        <f>VLOOKUP(J59,ConstDLCIds!$A$4:$B$1000,2,FALSE)</f>
        <v>DLC_BASE_GAME</v>
      </c>
      <c r="L59" s="3" t="str">
        <f>VLOOKUP(J59,ConstDLCIds!$A$4:$C$1000,3,FALSE)</f>
        <v>Included in base game</v>
      </c>
    </row>
    <row r="60" spans="1:12" x14ac:dyDescent="0.25">
      <c r="A60">
        <v>215</v>
      </c>
      <c r="B60">
        <v>55</v>
      </c>
      <c r="C60">
        <v>117</v>
      </c>
      <c r="D60" t="s">
        <v>2223</v>
      </c>
      <c r="E60" t="str">
        <f>IF(NOT(ISERROR(VLOOKUP(D60,'ESO DungeonFinder'!$A$2:$A$999,1,FALSE))),"X","")</f>
        <v/>
      </c>
      <c r="F60" s="70" t="str">
        <f t="shared" si="4"/>
        <v/>
      </c>
      <c r="G60" s="70" t="str">
        <f t="shared" si="5"/>
        <v>Shadowfen</v>
      </c>
      <c r="H60" s="70">
        <f t="shared" si="6"/>
        <v>215</v>
      </c>
      <c r="I60" s="70">
        <f t="shared" si="7"/>
        <v>117</v>
      </c>
      <c r="J60">
        <v>0</v>
      </c>
      <c r="K60" s="3" t="str">
        <f>VLOOKUP(J60,ConstDLCIds!$A$4:$B$1000,2,FALSE)</f>
        <v>DLC_BASE_GAME</v>
      </c>
      <c r="L60" s="3" t="str">
        <f>VLOOKUP(J60,ConstDLCIds!$A$4:$C$1000,3,FALSE)</f>
        <v>Included in base game</v>
      </c>
    </row>
    <row r="61" spans="1:12" x14ac:dyDescent="0.25">
      <c r="A61">
        <v>216</v>
      </c>
      <c r="B61">
        <v>56</v>
      </c>
      <c r="C61">
        <v>41</v>
      </c>
      <c r="D61" t="s">
        <v>1419</v>
      </c>
      <c r="E61" t="str">
        <f>IF(NOT(ISERROR(VLOOKUP(D61,'ESO DungeonFinder'!$A$2:$A$999,1,FALSE))),"X","")</f>
        <v/>
      </c>
      <c r="F61" s="70" t="str">
        <f t="shared" si="4"/>
        <v/>
      </c>
      <c r="G61" s="70" t="str">
        <f t="shared" si="5"/>
        <v>Stonefalls</v>
      </c>
      <c r="H61" s="70">
        <f t="shared" si="6"/>
        <v>216</v>
      </c>
      <c r="I61" s="70">
        <f t="shared" si="7"/>
        <v>41</v>
      </c>
      <c r="J61">
        <v>0</v>
      </c>
      <c r="K61" s="3" t="str">
        <f>VLOOKUP(J61,ConstDLCIds!$A$4:$B$1000,2,FALSE)</f>
        <v>DLC_BASE_GAME</v>
      </c>
      <c r="L61" s="3" t="str">
        <f>VLOOKUP(J61,ConstDLCIds!$A$4:$C$1000,3,FALSE)</f>
        <v>Included in base game</v>
      </c>
    </row>
    <row r="62" spans="1:12" x14ac:dyDescent="0.25">
      <c r="A62">
        <v>217</v>
      </c>
      <c r="B62">
        <v>57</v>
      </c>
      <c r="C62">
        <v>0</v>
      </c>
      <c r="D62" t="s">
        <v>2224</v>
      </c>
      <c r="E62" t="str">
        <f>IF(NOT(ISERROR(VLOOKUP(D62,'ESO DungeonFinder'!$A$2:$A$999,1,FALSE))),"X","")</f>
        <v/>
      </c>
      <c r="F62" s="70" t="str">
        <f t="shared" si="4"/>
        <v/>
      </c>
      <c r="G62" s="70" t="str">
        <f t="shared" si="5"/>
        <v>Tamriel Map</v>
      </c>
      <c r="H62" s="70">
        <f t="shared" si="6"/>
        <v>217</v>
      </c>
      <c r="I62" s="70">
        <f t="shared" si="7"/>
        <v>0</v>
      </c>
      <c r="J62">
        <v>0</v>
      </c>
      <c r="K62" s="3" t="str">
        <f>VLOOKUP(J62,ConstDLCIds!$A$4:$B$1000,2,FALSE)</f>
        <v>DLC_BASE_GAME</v>
      </c>
      <c r="L62" s="3" t="str">
        <f>VLOOKUP(J62,ConstDLCIds!$A$4:$C$1000,3,FALSE)</f>
        <v>Included in base game</v>
      </c>
    </row>
    <row r="63" spans="1:12" x14ac:dyDescent="0.25">
      <c r="A63">
        <v>218</v>
      </c>
      <c r="B63">
        <v>58</v>
      </c>
      <c r="C63">
        <v>267</v>
      </c>
      <c r="D63" t="s">
        <v>2225</v>
      </c>
      <c r="E63" t="str">
        <f>IF(NOT(ISERROR(VLOOKUP(D63,'ESO DungeonFinder'!$A$2:$A$999,1,FALSE))),"X","")</f>
        <v/>
      </c>
      <c r="F63" s="70" t="str">
        <f t="shared" si="4"/>
        <v/>
      </c>
      <c r="G63" s="70" t="str">
        <f t="shared" si="5"/>
        <v>Eyevea</v>
      </c>
      <c r="H63" s="70">
        <f t="shared" si="6"/>
        <v>218</v>
      </c>
      <c r="I63" s="70">
        <f t="shared" si="7"/>
        <v>267</v>
      </c>
      <c r="J63">
        <v>0</v>
      </c>
      <c r="K63" s="3" t="str">
        <f>VLOOKUP(J63,ConstDLCIds!$A$4:$B$1000,2,FALSE)</f>
        <v>DLC_BASE_GAME</v>
      </c>
      <c r="L63" s="3" t="str">
        <f>VLOOKUP(J63,ConstDLCIds!$A$4:$C$1000,3,FALSE)</f>
        <v>Included in base game</v>
      </c>
    </row>
    <row r="64" spans="1:12" x14ac:dyDescent="0.25">
      <c r="A64">
        <v>219</v>
      </c>
      <c r="B64">
        <v>59</v>
      </c>
      <c r="C64">
        <v>267</v>
      </c>
      <c r="D64" t="s">
        <v>2226</v>
      </c>
      <c r="E64" t="str">
        <f>IF(NOT(ISERROR(VLOOKUP(D64,'ESO DungeonFinder'!$A$2:$A$999,1,FALSE))),"X","")</f>
        <v/>
      </c>
      <c r="F64" s="70" t="str">
        <f t="shared" si="4"/>
        <v/>
      </c>
      <c r="G64" s="70" t="str">
        <f t="shared" si="5"/>
        <v>Eyevea</v>
      </c>
      <c r="H64" s="70">
        <f t="shared" si="6"/>
        <v>219</v>
      </c>
      <c r="I64" s="70">
        <f t="shared" si="7"/>
        <v>267</v>
      </c>
      <c r="J64">
        <v>0</v>
      </c>
      <c r="K64" s="3" t="str">
        <f>VLOOKUP(J64,ConstDLCIds!$A$4:$B$1000,2,FALSE)</f>
        <v>DLC_BASE_GAME</v>
      </c>
      <c r="L64" s="3" t="str">
        <f>VLOOKUP(J64,ConstDLCIds!$A$4:$C$1000,3,FALSE)</f>
        <v>Included in base game</v>
      </c>
    </row>
    <row r="65" spans="1:12" x14ac:dyDescent="0.25">
      <c r="A65">
        <v>222</v>
      </c>
      <c r="B65">
        <v>60</v>
      </c>
      <c r="C65">
        <v>3</v>
      </c>
      <c r="D65" t="s">
        <v>2227</v>
      </c>
      <c r="E65" t="str">
        <f>IF(NOT(ISERROR(VLOOKUP(D65,'ESO DungeonFinder'!$A$2:$A$999,1,FALSE))),"X","")</f>
        <v/>
      </c>
      <c r="F65" s="70" t="str">
        <f t="shared" si="4"/>
        <v/>
      </c>
      <c r="G65" s="70" t="str">
        <f t="shared" si="5"/>
        <v>Glenumbra</v>
      </c>
      <c r="H65" s="70">
        <f t="shared" si="6"/>
        <v>222</v>
      </c>
      <c r="I65" s="70">
        <f t="shared" si="7"/>
        <v>3</v>
      </c>
      <c r="J65">
        <v>0</v>
      </c>
      <c r="K65" s="3" t="str">
        <f>VLOOKUP(J65,ConstDLCIds!$A$4:$B$1000,2,FALSE)</f>
        <v>DLC_BASE_GAME</v>
      </c>
      <c r="L65" s="3" t="str">
        <f>VLOOKUP(J65,ConstDLCIds!$A$4:$C$1000,3,FALSE)</f>
        <v>Included in base game</v>
      </c>
    </row>
    <row r="66" spans="1:12" x14ac:dyDescent="0.25">
      <c r="A66">
        <v>223</v>
      </c>
      <c r="B66">
        <v>61</v>
      </c>
      <c r="C66">
        <v>3</v>
      </c>
      <c r="D66" t="s">
        <v>2228</v>
      </c>
      <c r="E66" t="str">
        <f>IF(NOT(ISERROR(VLOOKUP(D66,'ESO DungeonFinder'!$A$2:$A$999,1,FALSE))),"X","")</f>
        <v/>
      </c>
      <c r="F66" s="70" t="str">
        <f t="shared" si="4"/>
        <v/>
      </c>
      <c r="G66" s="70" t="str">
        <f t="shared" si="5"/>
        <v>Glenumbra</v>
      </c>
      <c r="H66" s="70">
        <f t="shared" si="6"/>
        <v>223</v>
      </c>
      <c r="I66" s="70">
        <f t="shared" si="7"/>
        <v>3</v>
      </c>
      <c r="J66">
        <v>0</v>
      </c>
      <c r="K66" s="3" t="str">
        <f>VLOOKUP(J66,ConstDLCIds!$A$4:$B$1000,2,FALSE)</f>
        <v>DLC_BASE_GAME</v>
      </c>
      <c r="L66" s="3" t="str">
        <f>VLOOKUP(J66,ConstDLCIds!$A$4:$C$1000,3,FALSE)</f>
        <v>Included in base game</v>
      </c>
    </row>
    <row r="67" spans="1:12" x14ac:dyDescent="0.25">
      <c r="A67">
        <v>224</v>
      </c>
      <c r="B67">
        <v>62</v>
      </c>
      <c r="C67">
        <v>20</v>
      </c>
      <c r="D67" t="s">
        <v>2229</v>
      </c>
      <c r="E67" t="str">
        <f>IF(NOT(ISERROR(VLOOKUP(D67,'ESO DungeonFinder'!$A$2:$A$999,1,FALSE))),"X","")</f>
        <v/>
      </c>
      <c r="F67" s="70" t="str">
        <f t="shared" si="4"/>
        <v/>
      </c>
      <c r="G67" s="70" t="str">
        <f t="shared" si="5"/>
        <v>Rivenspire</v>
      </c>
      <c r="H67" s="70">
        <f t="shared" si="6"/>
        <v>224</v>
      </c>
      <c r="I67" s="70">
        <f t="shared" si="7"/>
        <v>20</v>
      </c>
      <c r="J67">
        <v>0</v>
      </c>
      <c r="K67" s="3" t="str">
        <f>VLOOKUP(J67,ConstDLCIds!$A$4:$B$1000,2,FALSE)</f>
        <v>DLC_BASE_GAME</v>
      </c>
      <c r="L67" s="3" t="str">
        <f>VLOOKUP(J67,ConstDLCIds!$A$4:$C$1000,3,FALSE)</f>
        <v>Included in base game</v>
      </c>
    </row>
    <row r="68" spans="1:12" x14ac:dyDescent="0.25">
      <c r="A68">
        <v>227</v>
      </c>
      <c r="B68">
        <v>63</v>
      </c>
      <c r="C68">
        <v>92</v>
      </c>
      <c r="D68" t="s">
        <v>2230</v>
      </c>
      <c r="E68" t="str">
        <f>IF(NOT(ISERROR(VLOOKUP(D68,'ESO DungeonFinder'!$A$2:$A$999,1,FALSE))),"X","")</f>
        <v/>
      </c>
      <c r="F68" s="70" t="str">
        <f t="shared" si="4"/>
        <v/>
      </c>
      <c r="G68" s="70" t="str">
        <f t="shared" si="5"/>
        <v>Bangkorai</v>
      </c>
      <c r="H68" s="70">
        <f t="shared" si="6"/>
        <v>227</v>
      </c>
      <c r="I68" s="70">
        <f t="shared" si="7"/>
        <v>92</v>
      </c>
      <c r="J68">
        <v>0</v>
      </c>
      <c r="K68" s="3" t="str">
        <f>VLOOKUP(J68,ConstDLCIds!$A$4:$B$1000,2,FALSE)</f>
        <v>DLC_BASE_GAME</v>
      </c>
      <c r="L68" s="3" t="str">
        <f>VLOOKUP(J68,ConstDLCIds!$A$4:$C$1000,3,FALSE)</f>
        <v>Included in base game</v>
      </c>
    </row>
    <row r="69" spans="1:12" x14ac:dyDescent="0.25">
      <c r="A69">
        <v>228</v>
      </c>
      <c r="B69">
        <v>64</v>
      </c>
      <c r="C69">
        <v>92</v>
      </c>
      <c r="D69" t="s">
        <v>2231</v>
      </c>
      <c r="E69" t="str">
        <f>IF(NOT(ISERROR(VLOOKUP(D69,'ESO DungeonFinder'!$A$2:$A$999,1,FALSE))),"X","")</f>
        <v/>
      </c>
      <c r="F69" s="70" t="str">
        <f t="shared" si="4"/>
        <v/>
      </c>
      <c r="G69" s="70" t="str">
        <f t="shared" si="5"/>
        <v>Bangkorai</v>
      </c>
      <c r="H69" s="70">
        <f t="shared" si="6"/>
        <v>228</v>
      </c>
      <c r="I69" s="70">
        <f t="shared" si="7"/>
        <v>92</v>
      </c>
      <c r="J69">
        <v>0</v>
      </c>
      <c r="K69" s="3" t="str">
        <f>VLOOKUP(J69,ConstDLCIds!$A$4:$B$1000,2,FALSE)</f>
        <v>DLC_BASE_GAME</v>
      </c>
      <c r="L69" s="3" t="str">
        <f>VLOOKUP(J69,ConstDLCIds!$A$4:$C$1000,3,FALSE)</f>
        <v>Included in base game</v>
      </c>
    </row>
    <row r="70" spans="1:12" x14ac:dyDescent="0.25">
      <c r="A70">
        <v>229</v>
      </c>
      <c r="B70">
        <v>65</v>
      </c>
      <c r="C70">
        <v>92</v>
      </c>
      <c r="D70" t="s">
        <v>2232</v>
      </c>
      <c r="E70" t="str">
        <f>IF(NOT(ISERROR(VLOOKUP(D70,'ESO DungeonFinder'!$A$2:$A$999,1,FALSE))),"X","")</f>
        <v/>
      </c>
      <c r="F70" s="70" t="str">
        <f t="shared" si="4"/>
        <v/>
      </c>
      <c r="G70" s="70" t="str">
        <f t="shared" si="5"/>
        <v>Bangkorai</v>
      </c>
      <c r="H70" s="70">
        <f t="shared" si="6"/>
        <v>229</v>
      </c>
      <c r="I70" s="70">
        <f t="shared" si="7"/>
        <v>92</v>
      </c>
      <c r="J70">
        <v>0</v>
      </c>
      <c r="K70" s="3" t="str">
        <f>VLOOKUP(J70,ConstDLCIds!$A$4:$B$1000,2,FALSE)</f>
        <v>DLC_BASE_GAME</v>
      </c>
      <c r="L70" s="3" t="str">
        <f>VLOOKUP(J70,ConstDLCIds!$A$4:$C$1000,3,FALSE)</f>
        <v>Included in base game</v>
      </c>
    </row>
    <row r="71" spans="1:12" x14ac:dyDescent="0.25">
      <c r="A71">
        <v>231</v>
      </c>
      <c r="B71">
        <v>66</v>
      </c>
      <c r="C71">
        <v>92</v>
      </c>
      <c r="D71" t="s">
        <v>2233</v>
      </c>
      <c r="E71" t="str">
        <f>IF(NOT(ISERROR(VLOOKUP(D71,'ESO DungeonFinder'!$A$2:$A$999,1,FALSE))),"X","")</f>
        <v/>
      </c>
      <c r="F71" s="70" t="str">
        <f t="shared" ref="F71:F134" si="8">IF(EXACT(A71,C71),"X","")</f>
        <v/>
      </c>
      <c r="G71" s="70" t="str">
        <f t="shared" ref="G71:G134" si="9">IF(A71&lt;&gt;C71,VLOOKUP(C71,$A$5:$D$9956,4,FALSE),"")</f>
        <v>Bangkorai</v>
      </c>
      <c r="H71" s="70">
        <f t="shared" ref="H71:H134" si="10">A71</f>
        <v>231</v>
      </c>
      <c r="I71" s="70">
        <f t="shared" ref="I71:I134" si="11">C71</f>
        <v>92</v>
      </c>
      <c r="J71">
        <v>0</v>
      </c>
      <c r="K71" s="3" t="str">
        <f>VLOOKUP(J71,ConstDLCIds!$A$4:$B$1000,2,FALSE)</f>
        <v>DLC_BASE_GAME</v>
      </c>
      <c r="L71" s="3" t="str">
        <f>VLOOKUP(J71,ConstDLCIds!$A$4:$C$1000,3,FALSE)</f>
        <v>Included in base game</v>
      </c>
    </row>
    <row r="72" spans="1:12" x14ac:dyDescent="0.25">
      <c r="A72">
        <v>232</v>
      </c>
      <c r="B72">
        <v>67</v>
      </c>
      <c r="C72">
        <v>117</v>
      </c>
      <c r="D72" t="s">
        <v>2234</v>
      </c>
      <c r="E72" t="str">
        <f>IF(NOT(ISERROR(VLOOKUP(D72,'ESO DungeonFinder'!$A$2:$A$999,1,FALSE))),"X","")</f>
        <v/>
      </c>
      <c r="F72" s="70" t="str">
        <f t="shared" si="8"/>
        <v/>
      </c>
      <c r="G72" s="70" t="str">
        <f t="shared" si="9"/>
        <v>Shadowfen</v>
      </c>
      <c r="H72" s="70">
        <f t="shared" si="10"/>
        <v>232</v>
      </c>
      <c r="I72" s="70">
        <f t="shared" si="11"/>
        <v>117</v>
      </c>
      <c r="J72">
        <v>0</v>
      </c>
      <c r="K72" s="3" t="str">
        <f>VLOOKUP(J72,ConstDLCIds!$A$4:$B$1000,2,FALSE)</f>
        <v>DLC_BASE_GAME</v>
      </c>
      <c r="L72" s="3" t="str">
        <f>VLOOKUP(J72,ConstDLCIds!$A$4:$C$1000,3,FALSE)</f>
        <v>Included in base game</v>
      </c>
    </row>
    <row r="73" spans="1:12" x14ac:dyDescent="0.25">
      <c r="A73">
        <v>233</v>
      </c>
      <c r="B73">
        <v>68</v>
      </c>
      <c r="C73">
        <v>117</v>
      </c>
      <c r="D73" t="s">
        <v>2235</v>
      </c>
      <c r="E73" t="str">
        <f>IF(NOT(ISERROR(VLOOKUP(D73,'ESO DungeonFinder'!$A$2:$A$999,1,FALSE))),"X","")</f>
        <v/>
      </c>
      <c r="F73" s="70" t="str">
        <f t="shared" si="8"/>
        <v/>
      </c>
      <c r="G73" s="70" t="str">
        <f t="shared" si="9"/>
        <v>Shadowfen</v>
      </c>
      <c r="H73" s="70">
        <f t="shared" si="10"/>
        <v>233</v>
      </c>
      <c r="I73" s="70">
        <f t="shared" si="11"/>
        <v>117</v>
      </c>
      <c r="J73">
        <v>0</v>
      </c>
      <c r="K73" s="3" t="str">
        <f>VLOOKUP(J73,ConstDLCIds!$A$4:$B$1000,2,FALSE)</f>
        <v>DLC_BASE_GAME</v>
      </c>
      <c r="L73" s="3" t="str">
        <f>VLOOKUP(J73,ConstDLCIds!$A$4:$C$1000,3,FALSE)</f>
        <v>Included in base game</v>
      </c>
    </row>
    <row r="74" spans="1:12" x14ac:dyDescent="0.25">
      <c r="A74">
        <v>234</v>
      </c>
      <c r="B74">
        <v>69</v>
      </c>
      <c r="C74">
        <v>117</v>
      </c>
      <c r="D74" t="s">
        <v>2236</v>
      </c>
      <c r="E74" t="str">
        <f>IF(NOT(ISERROR(VLOOKUP(D74,'ESO DungeonFinder'!$A$2:$A$999,1,FALSE))),"X","")</f>
        <v/>
      </c>
      <c r="F74" s="70" t="str">
        <f t="shared" si="8"/>
        <v/>
      </c>
      <c r="G74" s="70" t="str">
        <f t="shared" si="9"/>
        <v>Shadowfen</v>
      </c>
      <c r="H74" s="70">
        <f t="shared" si="10"/>
        <v>234</v>
      </c>
      <c r="I74" s="70">
        <f t="shared" si="11"/>
        <v>117</v>
      </c>
      <c r="J74">
        <v>0</v>
      </c>
      <c r="K74" s="3" t="str">
        <f>VLOOKUP(J74,ConstDLCIds!$A$4:$B$1000,2,FALSE)</f>
        <v>DLC_BASE_GAME</v>
      </c>
      <c r="L74" s="3" t="str">
        <f>VLOOKUP(J74,ConstDLCIds!$A$4:$C$1000,3,FALSE)</f>
        <v>Included in base game</v>
      </c>
    </row>
    <row r="75" spans="1:12" x14ac:dyDescent="0.25">
      <c r="A75">
        <v>235</v>
      </c>
      <c r="B75">
        <v>70</v>
      </c>
      <c r="C75">
        <v>117</v>
      </c>
      <c r="D75" t="s">
        <v>2237</v>
      </c>
      <c r="E75" t="str">
        <f>IF(NOT(ISERROR(VLOOKUP(D75,'ESO DungeonFinder'!$A$2:$A$999,1,FALSE))),"X","")</f>
        <v/>
      </c>
      <c r="F75" s="70" t="str">
        <f t="shared" si="8"/>
        <v/>
      </c>
      <c r="G75" s="70" t="str">
        <f t="shared" si="9"/>
        <v>Shadowfen</v>
      </c>
      <c r="H75" s="70">
        <f t="shared" si="10"/>
        <v>235</v>
      </c>
      <c r="I75" s="70">
        <f t="shared" si="11"/>
        <v>117</v>
      </c>
      <c r="J75">
        <v>0</v>
      </c>
      <c r="K75" s="3" t="str">
        <f>VLOOKUP(J75,ConstDLCIds!$A$4:$B$1000,2,FALSE)</f>
        <v>DLC_BASE_GAME</v>
      </c>
      <c r="L75" s="3" t="str">
        <f>VLOOKUP(J75,ConstDLCIds!$A$4:$C$1000,3,FALSE)</f>
        <v>Included in base game</v>
      </c>
    </row>
    <row r="76" spans="1:12" x14ac:dyDescent="0.25">
      <c r="A76">
        <v>236</v>
      </c>
      <c r="B76">
        <v>71</v>
      </c>
      <c r="C76">
        <v>117</v>
      </c>
      <c r="D76" t="s">
        <v>2238</v>
      </c>
      <c r="E76" t="str">
        <f>IF(NOT(ISERROR(VLOOKUP(D76,'ESO DungeonFinder'!$A$2:$A$999,1,FALSE))),"X","")</f>
        <v/>
      </c>
      <c r="F76" s="70" t="str">
        <f t="shared" si="8"/>
        <v/>
      </c>
      <c r="G76" s="70" t="str">
        <f t="shared" si="9"/>
        <v>Shadowfen</v>
      </c>
      <c r="H76" s="70">
        <f t="shared" si="10"/>
        <v>236</v>
      </c>
      <c r="I76" s="70">
        <f t="shared" si="11"/>
        <v>117</v>
      </c>
      <c r="J76">
        <v>0</v>
      </c>
      <c r="K76" s="3" t="str">
        <f>VLOOKUP(J76,ConstDLCIds!$A$4:$B$1000,2,FALSE)</f>
        <v>DLC_BASE_GAME</v>
      </c>
      <c r="L76" s="3" t="str">
        <f>VLOOKUP(J76,ConstDLCIds!$A$4:$C$1000,3,FALSE)</f>
        <v>Included in base game</v>
      </c>
    </row>
    <row r="77" spans="1:12" x14ac:dyDescent="0.25">
      <c r="A77">
        <v>237</v>
      </c>
      <c r="B77">
        <v>72</v>
      </c>
      <c r="C77">
        <v>104</v>
      </c>
      <c r="D77" t="s">
        <v>2239</v>
      </c>
      <c r="E77" t="str">
        <f>IF(NOT(ISERROR(VLOOKUP(D77,'ESO DungeonFinder'!$A$2:$A$999,1,FALSE))),"X","")</f>
        <v/>
      </c>
      <c r="F77" s="70" t="str">
        <f t="shared" si="8"/>
        <v/>
      </c>
      <c r="G77" s="70" t="str">
        <f t="shared" si="9"/>
        <v>Alik'r Desert</v>
      </c>
      <c r="H77" s="70">
        <f t="shared" si="10"/>
        <v>237</v>
      </c>
      <c r="I77" s="70">
        <f t="shared" si="11"/>
        <v>104</v>
      </c>
      <c r="J77">
        <v>0</v>
      </c>
      <c r="K77" s="3" t="str">
        <f>VLOOKUP(J77,ConstDLCIds!$A$4:$B$1000,2,FALSE)</f>
        <v>DLC_BASE_GAME</v>
      </c>
      <c r="L77" s="3" t="str">
        <f>VLOOKUP(J77,ConstDLCIds!$A$4:$C$1000,3,FALSE)</f>
        <v>Included in base game</v>
      </c>
    </row>
    <row r="78" spans="1:12" x14ac:dyDescent="0.25">
      <c r="A78">
        <v>238</v>
      </c>
      <c r="B78">
        <v>73</v>
      </c>
      <c r="C78">
        <v>104</v>
      </c>
      <c r="D78" t="s">
        <v>2240</v>
      </c>
      <c r="E78" t="str">
        <f>IF(NOT(ISERROR(VLOOKUP(D78,'ESO DungeonFinder'!$A$2:$A$999,1,FALSE))),"X","")</f>
        <v/>
      </c>
      <c r="F78" s="70" t="str">
        <f t="shared" si="8"/>
        <v/>
      </c>
      <c r="G78" s="70" t="str">
        <f t="shared" si="9"/>
        <v>Alik'r Desert</v>
      </c>
      <c r="H78" s="70">
        <f t="shared" si="10"/>
        <v>238</v>
      </c>
      <c r="I78" s="70">
        <f t="shared" si="11"/>
        <v>104</v>
      </c>
      <c r="J78">
        <v>0</v>
      </c>
      <c r="K78" s="3" t="str">
        <f>VLOOKUP(J78,ConstDLCIds!$A$4:$B$1000,2,FALSE)</f>
        <v>DLC_BASE_GAME</v>
      </c>
      <c r="L78" s="3" t="str">
        <f>VLOOKUP(J78,ConstDLCIds!$A$4:$C$1000,3,FALSE)</f>
        <v>Included in base game</v>
      </c>
    </row>
    <row r="79" spans="1:12" x14ac:dyDescent="0.25">
      <c r="A79">
        <v>239</v>
      </c>
      <c r="B79">
        <v>74</v>
      </c>
      <c r="C79">
        <v>104</v>
      </c>
      <c r="D79" t="s">
        <v>2241</v>
      </c>
      <c r="E79" t="str">
        <f>IF(NOT(ISERROR(VLOOKUP(D79,'ESO DungeonFinder'!$A$2:$A$999,1,FALSE))),"X","")</f>
        <v/>
      </c>
      <c r="F79" s="70" t="str">
        <f t="shared" si="8"/>
        <v/>
      </c>
      <c r="G79" s="70" t="str">
        <f t="shared" si="9"/>
        <v>Alik'r Desert</v>
      </c>
      <c r="H79" s="70">
        <f t="shared" si="10"/>
        <v>239</v>
      </c>
      <c r="I79" s="70">
        <f t="shared" si="11"/>
        <v>104</v>
      </c>
      <c r="J79">
        <v>0</v>
      </c>
      <c r="K79" s="3" t="str">
        <f>VLOOKUP(J79,ConstDLCIds!$A$4:$B$1000,2,FALSE)</f>
        <v>DLC_BASE_GAME</v>
      </c>
      <c r="L79" s="3" t="str">
        <f>VLOOKUP(J79,ConstDLCIds!$A$4:$C$1000,3,FALSE)</f>
        <v>Included in base game</v>
      </c>
    </row>
    <row r="80" spans="1:12" x14ac:dyDescent="0.25">
      <c r="A80">
        <v>241</v>
      </c>
      <c r="B80">
        <v>75</v>
      </c>
      <c r="C80">
        <v>41</v>
      </c>
      <c r="D80" t="s">
        <v>2242</v>
      </c>
      <c r="E80" t="str">
        <f>IF(NOT(ISERROR(VLOOKUP(D80,'ESO DungeonFinder'!$A$2:$A$999,1,FALSE))),"X","")</f>
        <v/>
      </c>
      <c r="F80" s="70" t="str">
        <f t="shared" si="8"/>
        <v/>
      </c>
      <c r="G80" s="70" t="str">
        <f t="shared" si="9"/>
        <v>Stonefalls</v>
      </c>
      <c r="H80" s="70">
        <f t="shared" si="10"/>
        <v>241</v>
      </c>
      <c r="I80" s="70">
        <f t="shared" si="11"/>
        <v>41</v>
      </c>
      <c r="J80">
        <v>0</v>
      </c>
      <c r="K80" s="3" t="str">
        <f>VLOOKUP(J80,ConstDLCIds!$A$4:$B$1000,2,FALSE)</f>
        <v>DLC_BASE_GAME</v>
      </c>
      <c r="L80" s="3" t="str">
        <f>VLOOKUP(J80,ConstDLCIds!$A$4:$C$1000,3,FALSE)</f>
        <v>Included in base game</v>
      </c>
    </row>
    <row r="81" spans="1:12" x14ac:dyDescent="0.25">
      <c r="A81">
        <v>242</v>
      </c>
      <c r="B81">
        <v>76</v>
      </c>
      <c r="C81">
        <v>41</v>
      </c>
      <c r="D81" t="s">
        <v>2243</v>
      </c>
      <c r="E81" t="str">
        <f>IF(NOT(ISERROR(VLOOKUP(D81,'ESO DungeonFinder'!$A$2:$A$999,1,FALSE))),"X","")</f>
        <v/>
      </c>
      <c r="F81" s="70" t="str">
        <f t="shared" si="8"/>
        <v/>
      </c>
      <c r="G81" s="70" t="str">
        <f t="shared" si="9"/>
        <v>Stonefalls</v>
      </c>
      <c r="H81" s="70">
        <f t="shared" si="10"/>
        <v>242</v>
      </c>
      <c r="I81" s="70">
        <f t="shared" si="11"/>
        <v>41</v>
      </c>
      <c r="J81">
        <v>0</v>
      </c>
      <c r="K81" s="3" t="str">
        <f>VLOOKUP(J81,ConstDLCIds!$A$4:$B$1000,2,FALSE)</f>
        <v>DLC_BASE_GAME</v>
      </c>
      <c r="L81" s="3" t="str">
        <f>VLOOKUP(J81,ConstDLCIds!$A$4:$C$1000,3,FALSE)</f>
        <v>Included in base game</v>
      </c>
    </row>
    <row r="82" spans="1:12" x14ac:dyDescent="0.25">
      <c r="A82">
        <v>243</v>
      </c>
      <c r="B82">
        <v>77</v>
      </c>
      <c r="C82">
        <v>41</v>
      </c>
      <c r="D82" t="s">
        <v>2244</v>
      </c>
      <c r="E82" t="str">
        <f>IF(NOT(ISERROR(VLOOKUP(D82,'ESO DungeonFinder'!$A$2:$A$999,1,FALSE))),"X","")</f>
        <v/>
      </c>
      <c r="F82" s="70" t="str">
        <f t="shared" si="8"/>
        <v/>
      </c>
      <c r="G82" s="70" t="str">
        <f t="shared" si="9"/>
        <v>Stonefalls</v>
      </c>
      <c r="H82" s="70">
        <f t="shared" si="10"/>
        <v>243</v>
      </c>
      <c r="I82" s="70">
        <f t="shared" si="11"/>
        <v>41</v>
      </c>
      <c r="J82">
        <v>0</v>
      </c>
      <c r="K82" s="3" t="str">
        <f>VLOOKUP(J82,ConstDLCIds!$A$4:$B$1000,2,FALSE)</f>
        <v>DLC_BASE_GAME</v>
      </c>
      <c r="L82" s="3" t="str">
        <f>VLOOKUP(J82,ConstDLCIds!$A$4:$C$1000,3,FALSE)</f>
        <v>Included in base game</v>
      </c>
    </row>
    <row r="83" spans="1:12" x14ac:dyDescent="0.25">
      <c r="A83">
        <v>245</v>
      </c>
      <c r="B83">
        <v>78</v>
      </c>
      <c r="C83">
        <v>41</v>
      </c>
      <c r="D83" t="s">
        <v>2245</v>
      </c>
      <c r="E83" t="str">
        <f>IF(NOT(ISERROR(VLOOKUP(D83,'ESO DungeonFinder'!$A$2:$A$999,1,FALSE))),"X","")</f>
        <v/>
      </c>
      <c r="F83" s="70" t="str">
        <f t="shared" si="8"/>
        <v/>
      </c>
      <c r="G83" s="70" t="str">
        <f t="shared" si="9"/>
        <v>Stonefalls</v>
      </c>
      <c r="H83" s="70">
        <f t="shared" si="10"/>
        <v>245</v>
      </c>
      <c r="I83" s="70">
        <f t="shared" si="11"/>
        <v>41</v>
      </c>
      <c r="J83">
        <v>0</v>
      </c>
      <c r="K83" s="3" t="str">
        <f>VLOOKUP(J83,ConstDLCIds!$A$4:$B$1000,2,FALSE)</f>
        <v>DLC_BASE_GAME</v>
      </c>
      <c r="L83" s="3" t="str">
        <f>VLOOKUP(J83,ConstDLCIds!$A$4:$C$1000,3,FALSE)</f>
        <v>Included in base game</v>
      </c>
    </row>
    <row r="84" spans="1:12" x14ac:dyDescent="0.25">
      <c r="A84">
        <v>246</v>
      </c>
      <c r="B84">
        <v>79</v>
      </c>
      <c r="C84">
        <v>41</v>
      </c>
      <c r="D84" t="s">
        <v>2246</v>
      </c>
      <c r="E84" t="str">
        <f>IF(NOT(ISERROR(VLOOKUP(D84,'ESO DungeonFinder'!$A$2:$A$999,1,FALSE))),"X","")</f>
        <v/>
      </c>
      <c r="F84" s="70" t="str">
        <f t="shared" si="8"/>
        <v/>
      </c>
      <c r="G84" s="70" t="str">
        <f t="shared" si="9"/>
        <v>Stonefalls</v>
      </c>
      <c r="H84" s="70">
        <f t="shared" si="10"/>
        <v>246</v>
      </c>
      <c r="I84" s="70">
        <f t="shared" si="11"/>
        <v>41</v>
      </c>
      <c r="J84">
        <v>0</v>
      </c>
      <c r="K84" s="3" t="str">
        <f>VLOOKUP(J84,ConstDLCIds!$A$4:$B$1000,2,FALSE)</f>
        <v>DLC_BASE_GAME</v>
      </c>
      <c r="L84" s="3" t="str">
        <f>VLOOKUP(J84,ConstDLCIds!$A$4:$C$1000,3,FALSE)</f>
        <v>Included in base game</v>
      </c>
    </row>
    <row r="85" spans="1:12" x14ac:dyDescent="0.25">
      <c r="A85">
        <v>247</v>
      </c>
      <c r="B85">
        <v>80</v>
      </c>
      <c r="C85">
        <v>41</v>
      </c>
      <c r="D85" t="s">
        <v>2247</v>
      </c>
      <c r="E85" t="str">
        <f>IF(NOT(ISERROR(VLOOKUP(D85,'ESO DungeonFinder'!$A$2:$A$999,1,FALSE))),"X","")</f>
        <v/>
      </c>
      <c r="F85" s="70" t="str">
        <f t="shared" si="8"/>
        <v/>
      </c>
      <c r="G85" s="70" t="str">
        <f t="shared" si="9"/>
        <v>Stonefalls</v>
      </c>
      <c r="H85" s="70">
        <f t="shared" si="10"/>
        <v>247</v>
      </c>
      <c r="I85" s="70">
        <f t="shared" si="11"/>
        <v>41</v>
      </c>
      <c r="J85">
        <v>0</v>
      </c>
      <c r="K85" s="3" t="str">
        <f>VLOOKUP(J85,ConstDLCIds!$A$4:$B$1000,2,FALSE)</f>
        <v>DLC_BASE_GAME</v>
      </c>
      <c r="L85" s="3" t="str">
        <f>VLOOKUP(J85,ConstDLCIds!$A$4:$C$1000,3,FALSE)</f>
        <v>Included in base game</v>
      </c>
    </row>
    <row r="86" spans="1:12" x14ac:dyDescent="0.25">
      <c r="A86">
        <v>248</v>
      </c>
      <c r="B86">
        <v>81</v>
      </c>
      <c r="C86">
        <v>57</v>
      </c>
      <c r="D86" t="s">
        <v>2248</v>
      </c>
      <c r="E86" t="str">
        <f>IF(NOT(ISERROR(VLOOKUP(D86,'ESO DungeonFinder'!$A$2:$A$999,1,FALSE))),"X","")</f>
        <v/>
      </c>
      <c r="F86" s="70" t="str">
        <f t="shared" si="8"/>
        <v/>
      </c>
      <c r="G86" s="70" t="str">
        <f t="shared" si="9"/>
        <v>Deshaan</v>
      </c>
      <c r="H86" s="70">
        <f t="shared" si="10"/>
        <v>248</v>
      </c>
      <c r="I86" s="70">
        <f t="shared" si="11"/>
        <v>57</v>
      </c>
      <c r="J86">
        <v>0</v>
      </c>
      <c r="K86" s="3" t="str">
        <f>VLOOKUP(J86,ConstDLCIds!$A$4:$B$1000,2,FALSE)</f>
        <v>DLC_BASE_GAME</v>
      </c>
      <c r="L86" s="3" t="str">
        <f>VLOOKUP(J86,ConstDLCIds!$A$4:$C$1000,3,FALSE)</f>
        <v>Included in base game</v>
      </c>
    </row>
    <row r="87" spans="1:12" x14ac:dyDescent="0.25">
      <c r="A87">
        <v>249</v>
      </c>
      <c r="B87">
        <v>82</v>
      </c>
      <c r="C87">
        <v>57</v>
      </c>
      <c r="D87" t="s">
        <v>2249</v>
      </c>
      <c r="E87" t="str">
        <f>IF(NOT(ISERROR(VLOOKUP(D87,'ESO DungeonFinder'!$A$2:$A$999,1,FALSE))),"X","")</f>
        <v/>
      </c>
      <c r="F87" s="70" t="str">
        <f t="shared" si="8"/>
        <v/>
      </c>
      <c r="G87" s="70" t="str">
        <f t="shared" si="9"/>
        <v>Deshaan</v>
      </c>
      <c r="H87" s="70">
        <f t="shared" si="10"/>
        <v>249</v>
      </c>
      <c r="I87" s="70">
        <f t="shared" si="11"/>
        <v>57</v>
      </c>
      <c r="J87">
        <v>0</v>
      </c>
      <c r="K87" s="3" t="str">
        <f>VLOOKUP(J87,ConstDLCIds!$A$4:$B$1000,2,FALSE)</f>
        <v>DLC_BASE_GAME</v>
      </c>
      <c r="L87" s="3" t="str">
        <f>VLOOKUP(J87,ConstDLCIds!$A$4:$C$1000,3,FALSE)</f>
        <v>Included in base game</v>
      </c>
    </row>
    <row r="88" spans="1:12" x14ac:dyDescent="0.25">
      <c r="A88">
        <v>250</v>
      </c>
      <c r="B88">
        <v>83</v>
      </c>
      <c r="C88">
        <v>57</v>
      </c>
      <c r="D88" t="s">
        <v>2250</v>
      </c>
      <c r="E88" t="str">
        <f>IF(NOT(ISERROR(VLOOKUP(D88,'ESO DungeonFinder'!$A$2:$A$999,1,FALSE))),"X","")</f>
        <v/>
      </c>
      <c r="F88" s="70" t="str">
        <f t="shared" si="8"/>
        <v/>
      </c>
      <c r="G88" s="70" t="str">
        <f t="shared" si="9"/>
        <v>Deshaan</v>
      </c>
      <c r="H88" s="70">
        <f t="shared" si="10"/>
        <v>250</v>
      </c>
      <c r="I88" s="70">
        <f t="shared" si="11"/>
        <v>57</v>
      </c>
      <c r="J88">
        <v>0</v>
      </c>
      <c r="K88" s="3" t="str">
        <f>VLOOKUP(J88,ConstDLCIds!$A$4:$B$1000,2,FALSE)</f>
        <v>DLC_BASE_GAME</v>
      </c>
      <c r="L88" s="3" t="str">
        <f>VLOOKUP(J88,ConstDLCIds!$A$4:$C$1000,3,FALSE)</f>
        <v>Included in base game</v>
      </c>
    </row>
    <row r="89" spans="1:12" x14ac:dyDescent="0.25">
      <c r="A89">
        <v>252</v>
      </c>
      <c r="B89">
        <v>84</v>
      </c>
      <c r="C89">
        <v>57</v>
      </c>
      <c r="D89" t="s">
        <v>2251</v>
      </c>
      <c r="E89" t="str">
        <f>IF(NOT(ISERROR(VLOOKUP(D89,'ESO DungeonFinder'!$A$2:$A$999,1,FALSE))),"X","")</f>
        <v/>
      </c>
      <c r="F89" s="70" t="str">
        <f t="shared" si="8"/>
        <v/>
      </c>
      <c r="G89" s="70" t="str">
        <f t="shared" si="9"/>
        <v>Deshaan</v>
      </c>
      <c r="H89" s="70">
        <f t="shared" si="10"/>
        <v>252</v>
      </c>
      <c r="I89" s="70">
        <f t="shared" si="11"/>
        <v>57</v>
      </c>
      <c r="J89">
        <v>0</v>
      </c>
      <c r="K89" s="3" t="str">
        <f>VLOOKUP(J89,ConstDLCIds!$A$4:$B$1000,2,FALSE)</f>
        <v>DLC_BASE_GAME</v>
      </c>
      <c r="L89" s="3" t="str">
        <f>VLOOKUP(J89,ConstDLCIds!$A$4:$C$1000,3,FALSE)</f>
        <v>Included in base game</v>
      </c>
    </row>
    <row r="90" spans="1:12" x14ac:dyDescent="0.25">
      <c r="A90">
        <v>253</v>
      </c>
      <c r="B90">
        <v>85</v>
      </c>
      <c r="C90">
        <v>57</v>
      </c>
      <c r="D90" t="s">
        <v>2252</v>
      </c>
      <c r="E90" t="str">
        <f>IF(NOT(ISERROR(VLOOKUP(D90,'ESO DungeonFinder'!$A$2:$A$999,1,FALSE))),"X","")</f>
        <v/>
      </c>
      <c r="F90" s="70" t="str">
        <f t="shared" si="8"/>
        <v/>
      </c>
      <c r="G90" s="70" t="str">
        <f t="shared" si="9"/>
        <v>Deshaan</v>
      </c>
      <c r="H90" s="70">
        <f t="shared" si="10"/>
        <v>253</v>
      </c>
      <c r="I90" s="70">
        <f t="shared" si="11"/>
        <v>57</v>
      </c>
      <c r="J90">
        <v>0</v>
      </c>
      <c r="K90" s="3" t="str">
        <f>VLOOKUP(J90,ConstDLCIds!$A$4:$B$1000,2,FALSE)</f>
        <v>DLC_BASE_GAME</v>
      </c>
      <c r="L90" s="3" t="str">
        <f>VLOOKUP(J90,ConstDLCIds!$A$4:$C$1000,3,FALSE)</f>
        <v>Included in base game</v>
      </c>
    </row>
    <row r="91" spans="1:12" x14ac:dyDescent="0.25">
      <c r="A91">
        <v>254</v>
      </c>
      <c r="B91">
        <v>86</v>
      </c>
      <c r="C91">
        <v>57</v>
      </c>
      <c r="D91" t="s">
        <v>2253</v>
      </c>
      <c r="E91" t="str">
        <f>IF(NOT(ISERROR(VLOOKUP(D91,'ESO DungeonFinder'!$A$2:$A$999,1,FALSE))),"X","")</f>
        <v/>
      </c>
      <c r="F91" s="70" t="str">
        <f t="shared" si="8"/>
        <v/>
      </c>
      <c r="G91" s="70" t="str">
        <f t="shared" si="9"/>
        <v>Deshaan</v>
      </c>
      <c r="H91" s="70">
        <f t="shared" si="10"/>
        <v>254</v>
      </c>
      <c r="I91" s="70">
        <f t="shared" si="11"/>
        <v>57</v>
      </c>
      <c r="J91">
        <v>0</v>
      </c>
      <c r="K91" s="3" t="str">
        <f>VLOOKUP(J91,ConstDLCIds!$A$4:$B$1000,2,FALSE)</f>
        <v>DLC_BASE_GAME</v>
      </c>
      <c r="L91" s="3" t="str">
        <f>VLOOKUP(J91,ConstDLCIds!$A$4:$C$1000,3,FALSE)</f>
        <v>Included in base game</v>
      </c>
    </row>
    <row r="92" spans="1:12" x14ac:dyDescent="0.25">
      <c r="A92">
        <v>255</v>
      </c>
      <c r="B92">
        <v>87</v>
      </c>
      <c r="C92">
        <v>57</v>
      </c>
      <c r="D92" t="s">
        <v>2254</v>
      </c>
      <c r="E92" t="str">
        <f>IF(NOT(ISERROR(VLOOKUP(D92,'ESO DungeonFinder'!$A$2:$A$999,1,FALSE))),"X","")</f>
        <v/>
      </c>
      <c r="F92" s="70" t="str">
        <f t="shared" si="8"/>
        <v/>
      </c>
      <c r="G92" s="70" t="str">
        <f t="shared" si="9"/>
        <v>Deshaan</v>
      </c>
      <c r="H92" s="70">
        <f t="shared" si="10"/>
        <v>255</v>
      </c>
      <c r="I92" s="70">
        <f t="shared" si="11"/>
        <v>57</v>
      </c>
      <c r="J92">
        <v>0</v>
      </c>
      <c r="K92" s="3" t="str">
        <f>VLOOKUP(J92,ConstDLCIds!$A$4:$B$1000,2,FALSE)</f>
        <v>DLC_BASE_GAME</v>
      </c>
      <c r="L92" s="3" t="str">
        <f>VLOOKUP(J92,ConstDLCIds!$A$4:$C$1000,3,FALSE)</f>
        <v>Included in base game</v>
      </c>
    </row>
    <row r="93" spans="1:12" x14ac:dyDescent="0.25">
      <c r="A93">
        <v>256</v>
      </c>
      <c r="B93">
        <v>88</v>
      </c>
      <c r="C93">
        <v>3</v>
      </c>
      <c r="D93" t="s">
        <v>2255</v>
      </c>
      <c r="E93" t="str">
        <f>IF(NOT(ISERROR(VLOOKUP(D93,'ESO DungeonFinder'!$A$2:$A$999,1,FALSE))),"X","")</f>
        <v/>
      </c>
      <c r="F93" s="70" t="str">
        <f t="shared" si="8"/>
        <v/>
      </c>
      <c r="G93" s="70" t="str">
        <f t="shared" si="9"/>
        <v>Glenumbra</v>
      </c>
      <c r="H93" s="70">
        <f t="shared" si="10"/>
        <v>256</v>
      </c>
      <c r="I93" s="70">
        <f t="shared" si="11"/>
        <v>3</v>
      </c>
      <c r="J93">
        <v>0</v>
      </c>
      <c r="K93" s="3" t="str">
        <f>VLOOKUP(J93,ConstDLCIds!$A$4:$B$1000,2,FALSE)</f>
        <v>DLC_BASE_GAME</v>
      </c>
      <c r="L93" s="3" t="str">
        <f>VLOOKUP(J93,ConstDLCIds!$A$4:$C$1000,3,FALSE)</f>
        <v>Included in base game</v>
      </c>
    </row>
    <row r="94" spans="1:12" x14ac:dyDescent="0.25">
      <c r="A94">
        <v>257</v>
      </c>
      <c r="B94">
        <v>89</v>
      </c>
      <c r="C94">
        <v>103</v>
      </c>
      <c r="D94" t="s">
        <v>2256</v>
      </c>
      <c r="E94" t="str">
        <f>IF(NOT(ISERROR(VLOOKUP(D94,'ESO DungeonFinder'!$A$2:$A$999,1,FALSE))),"X","")</f>
        <v/>
      </c>
      <c r="F94" s="70" t="str">
        <f t="shared" si="8"/>
        <v/>
      </c>
      <c r="G94" s="70" t="str">
        <f t="shared" si="9"/>
        <v>The Rift</v>
      </c>
      <c r="H94" s="70">
        <f t="shared" si="10"/>
        <v>257</v>
      </c>
      <c r="I94" s="70">
        <f t="shared" si="11"/>
        <v>103</v>
      </c>
      <c r="J94">
        <v>0</v>
      </c>
      <c r="K94" s="3" t="str">
        <f>VLOOKUP(J94,ConstDLCIds!$A$4:$B$1000,2,FALSE)</f>
        <v>DLC_BASE_GAME</v>
      </c>
      <c r="L94" s="3" t="str">
        <f>VLOOKUP(J94,ConstDLCIds!$A$4:$C$1000,3,FALSE)</f>
        <v>Included in base game</v>
      </c>
    </row>
    <row r="95" spans="1:12" x14ac:dyDescent="0.25">
      <c r="A95">
        <v>258</v>
      </c>
      <c r="B95">
        <v>90</v>
      </c>
      <c r="C95">
        <v>103</v>
      </c>
      <c r="D95" t="s">
        <v>2257</v>
      </c>
      <c r="E95" t="str">
        <f>IF(NOT(ISERROR(VLOOKUP(D95,'ESO DungeonFinder'!$A$2:$A$999,1,FALSE))),"X","")</f>
        <v/>
      </c>
      <c r="F95" s="70" t="str">
        <f t="shared" si="8"/>
        <v/>
      </c>
      <c r="G95" s="70" t="str">
        <f t="shared" si="9"/>
        <v>The Rift</v>
      </c>
      <c r="H95" s="70">
        <f t="shared" si="10"/>
        <v>258</v>
      </c>
      <c r="I95" s="70">
        <f t="shared" si="11"/>
        <v>103</v>
      </c>
      <c r="J95">
        <v>0</v>
      </c>
      <c r="K95" s="3" t="str">
        <f>VLOOKUP(J95,ConstDLCIds!$A$4:$B$1000,2,FALSE)</f>
        <v>DLC_BASE_GAME</v>
      </c>
      <c r="L95" s="3" t="str">
        <f>VLOOKUP(J95,ConstDLCIds!$A$4:$C$1000,3,FALSE)</f>
        <v>Included in base game</v>
      </c>
    </row>
    <row r="96" spans="1:12" x14ac:dyDescent="0.25">
      <c r="A96">
        <v>259</v>
      </c>
      <c r="B96">
        <v>91</v>
      </c>
      <c r="C96">
        <v>103</v>
      </c>
      <c r="D96" t="s">
        <v>2258</v>
      </c>
      <c r="E96" t="str">
        <f>IF(NOT(ISERROR(VLOOKUP(D96,'ESO DungeonFinder'!$A$2:$A$999,1,FALSE))),"X","")</f>
        <v/>
      </c>
      <c r="F96" s="70" t="str">
        <f t="shared" si="8"/>
        <v/>
      </c>
      <c r="G96" s="70" t="str">
        <f t="shared" si="9"/>
        <v>The Rift</v>
      </c>
      <c r="H96" s="70">
        <f t="shared" si="10"/>
        <v>259</v>
      </c>
      <c r="I96" s="70">
        <f t="shared" si="11"/>
        <v>103</v>
      </c>
      <c r="J96">
        <v>0</v>
      </c>
      <c r="K96" s="3" t="str">
        <f>VLOOKUP(J96,ConstDLCIds!$A$4:$B$1000,2,FALSE)</f>
        <v>DLC_BASE_GAME</v>
      </c>
      <c r="L96" s="3" t="str">
        <f>VLOOKUP(J96,ConstDLCIds!$A$4:$C$1000,3,FALSE)</f>
        <v>Included in base game</v>
      </c>
    </row>
    <row r="97" spans="1:12" x14ac:dyDescent="0.25">
      <c r="A97">
        <v>260</v>
      </c>
      <c r="B97">
        <v>92</v>
      </c>
      <c r="C97">
        <v>101</v>
      </c>
      <c r="D97" t="s">
        <v>2259</v>
      </c>
      <c r="E97" t="str">
        <f>IF(NOT(ISERROR(VLOOKUP(D97,'ESO DungeonFinder'!$A$2:$A$999,1,FALSE))),"X","")</f>
        <v/>
      </c>
      <c r="F97" s="70" t="str">
        <f t="shared" si="8"/>
        <v/>
      </c>
      <c r="G97" s="70" t="str">
        <f t="shared" si="9"/>
        <v>Eastmarch</v>
      </c>
      <c r="H97" s="70">
        <f t="shared" si="10"/>
        <v>260</v>
      </c>
      <c r="I97" s="70">
        <f t="shared" si="11"/>
        <v>101</v>
      </c>
      <c r="J97">
        <v>0</v>
      </c>
      <c r="K97" s="3" t="str">
        <f>VLOOKUP(J97,ConstDLCIds!$A$4:$B$1000,2,FALSE)</f>
        <v>DLC_BASE_GAME</v>
      </c>
      <c r="L97" s="3" t="str">
        <f>VLOOKUP(J97,ConstDLCIds!$A$4:$C$1000,3,FALSE)</f>
        <v>Included in base game</v>
      </c>
    </row>
    <row r="98" spans="1:12" x14ac:dyDescent="0.25">
      <c r="A98">
        <v>261</v>
      </c>
      <c r="B98">
        <v>93</v>
      </c>
      <c r="C98">
        <v>101</v>
      </c>
      <c r="D98" t="s">
        <v>2260</v>
      </c>
      <c r="E98" t="str">
        <f>IF(NOT(ISERROR(VLOOKUP(D98,'ESO DungeonFinder'!$A$2:$A$999,1,FALSE))),"X","")</f>
        <v/>
      </c>
      <c r="F98" s="70" t="str">
        <f t="shared" si="8"/>
        <v/>
      </c>
      <c r="G98" s="70" t="str">
        <f t="shared" si="9"/>
        <v>Eastmarch</v>
      </c>
      <c r="H98" s="70">
        <f t="shared" si="10"/>
        <v>261</v>
      </c>
      <c r="I98" s="70">
        <f t="shared" si="11"/>
        <v>101</v>
      </c>
      <c r="J98">
        <v>0</v>
      </c>
      <c r="K98" s="3" t="str">
        <f>VLOOKUP(J98,ConstDLCIds!$A$4:$B$1000,2,FALSE)</f>
        <v>DLC_BASE_GAME</v>
      </c>
      <c r="L98" s="3" t="str">
        <f>VLOOKUP(J98,ConstDLCIds!$A$4:$C$1000,3,FALSE)</f>
        <v>Included in base game</v>
      </c>
    </row>
    <row r="99" spans="1:12" x14ac:dyDescent="0.25">
      <c r="A99">
        <v>262</v>
      </c>
      <c r="B99">
        <v>94</v>
      </c>
      <c r="C99">
        <v>101</v>
      </c>
      <c r="D99" t="s">
        <v>2261</v>
      </c>
      <c r="E99" t="str">
        <f>IF(NOT(ISERROR(VLOOKUP(D99,'ESO DungeonFinder'!$A$2:$A$999,1,FALSE))),"X","")</f>
        <v/>
      </c>
      <c r="F99" s="70" t="str">
        <f t="shared" si="8"/>
        <v/>
      </c>
      <c r="G99" s="70" t="str">
        <f t="shared" si="9"/>
        <v>Eastmarch</v>
      </c>
      <c r="H99" s="70">
        <f t="shared" si="10"/>
        <v>262</v>
      </c>
      <c r="I99" s="70">
        <f t="shared" si="11"/>
        <v>101</v>
      </c>
      <c r="J99">
        <v>0</v>
      </c>
      <c r="K99" s="3" t="str">
        <f>VLOOKUP(J99,ConstDLCIds!$A$4:$B$1000,2,FALSE)</f>
        <v>DLC_BASE_GAME</v>
      </c>
      <c r="L99" s="3" t="str">
        <f>VLOOKUP(J99,ConstDLCIds!$A$4:$C$1000,3,FALSE)</f>
        <v>Included in base game</v>
      </c>
    </row>
    <row r="100" spans="1:12" x14ac:dyDescent="0.25">
      <c r="A100">
        <v>263</v>
      </c>
      <c r="B100">
        <v>95</v>
      </c>
      <c r="C100">
        <v>101</v>
      </c>
      <c r="D100" t="s">
        <v>2262</v>
      </c>
      <c r="E100" t="str">
        <f>IF(NOT(ISERROR(VLOOKUP(D100,'ESO DungeonFinder'!$A$2:$A$999,1,FALSE))),"X","")</f>
        <v/>
      </c>
      <c r="F100" s="70" t="str">
        <f t="shared" si="8"/>
        <v/>
      </c>
      <c r="G100" s="70" t="str">
        <f t="shared" si="9"/>
        <v>Eastmarch</v>
      </c>
      <c r="H100" s="70">
        <f t="shared" si="10"/>
        <v>263</v>
      </c>
      <c r="I100" s="70">
        <f t="shared" si="11"/>
        <v>101</v>
      </c>
      <c r="J100">
        <v>0</v>
      </c>
      <c r="K100" s="3" t="str">
        <f>VLOOKUP(J100,ConstDLCIds!$A$4:$B$1000,2,FALSE)</f>
        <v>DLC_BASE_GAME</v>
      </c>
      <c r="L100" s="3" t="str">
        <f>VLOOKUP(J100,ConstDLCIds!$A$4:$C$1000,3,FALSE)</f>
        <v>Included in base game</v>
      </c>
    </row>
    <row r="101" spans="1:12" x14ac:dyDescent="0.25">
      <c r="A101">
        <v>264</v>
      </c>
      <c r="B101">
        <v>96</v>
      </c>
      <c r="C101">
        <v>101</v>
      </c>
      <c r="D101" t="s">
        <v>2263</v>
      </c>
      <c r="E101" t="str">
        <f>IF(NOT(ISERROR(VLOOKUP(D101,'ESO DungeonFinder'!$A$2:$A$999,1,FALSE))),"X","")</f>
        <v/>
      </c>
      <c r="F101" s="70" t="str">
        <f t="shared" si="8"/>
        <v/>
      </c>
      <c r="G101" s="70" t="str">
        <f t="shared" si="9"/>
        <v>Eastmarch</v>
      </c>
      <c r="H101" s="70">
        <f t="shared" si="10"/>
        <v>264</v>
      </c>
      <c r="I101" s="70">
        <f t="shared" si="11"/>
        <v>101</v>
      </c>
      <c r="J101">
        <v>0</v>
      </c>
      <c r="K101" s="3" t="str">
        <f>VLOOKUP(J101,ConstDLCIds!$A$4:$B$1000,2,FALSE)</f>
        <v>DLC_BASE_GAME</v>
      </c>
      <c r="L101" s="3" t="str">
        <f>VLOOKUP(J101,ConstDLCIds!$A$4:$C$1000,3,FALSE)</f>
        <v>Included in base game</v>
      </c>
    </row>
    <row r="102" spans="1:12" x14ac:dyDescent="0.25">
      <c r="A102">
        <v>265</v>
      </c>
      <c r="B102">
        <v>97</v>
      </c>
      <c r="C102">
        <v>101</v>
      </c>
      <c r="D102" t="s">
        <v>2264</v>
      </c>
      <c r="E102" t="str">
        <f>IF(NOT(ISERROR(VLOOKUP(D102,'ESO DungeonFinder'!$A$2:$A$999,1,FALSE))),"X","")</f>
        <v/>
      </c>
      <c r="F102" s="70" t="str">
        <f t="shared" si="8"/>
        <v/>
      </c>
      <c r="G102" s="70" t="str">
        <f t="shared" si="9"/>
        <v>Eastmarch</v>
      </c>
      <c r="H102" s="70">
        <f t="shared" si="10"/>
        <v>265</v>
      </c>
      <c r="I102" s="70">
        <f t="shared" si="11"/>
        <v>101</v>
      </c>
      <c r="J102">
        <v>0</v>
      </c>
      <c r="K102" s="3" t="str">
        <f>VLOOKUP(J102,ConstDLCIds!$A$4:$B$1000,2,FALSE)</f>
        <v>DLC_BASE_GAME</v>
      </c>
      <c r="L102" s="3" t="str">
        <f>VLOOKUP(J102,ConstDLCIds!$A$4:$C$1000,3,FALSE)</f>
        <v>Included in base game</v>
      </c>
    </row>
    <row r="103" spans="1:12" x14ac:dyDescent="0.25">
      <c r="A103">
        <v>266</v>
      </c>
      <c r="B103">
        <v>98</v>
      </c>
      <c r="C103">
        <v>101</v>
      </c>
      <c r="D103" t="s">
        <v>2265</v>
      </c>
      <c r="E103" t="str">
        <f>IF(NOT(ISERROR(VLOOKUP(D103,'ESO DungeonFinder'!$A$2:$A$999,1,FALSE))),"X","")</f>
        <v/>
      </c>
      <c r="F103" s="70" t="str">
        <f t="shared" si="8"/>
        <v/>
      </c>
      <c r="G103" s="70" t="str">
        <f t="shared" si="9"/>
        <v>Eastmarch</v>
      </c>
      <c r="H103" s="70">
        <f t="shared" si="10"/>
        <v>266</v>
      </c>
      <c r="I103" s="70">
        <f t="shared" si="11"/>
        <v>101</v>
      </c>
      <c r="J103">
        <v>0</v>
      </c>
      <c r="K103" s="3" t="str">
        <f>VLOOKUP(J103,ConstDLCIds!$A$4:$B$1000,2,FALSE)</f>
        <v>DLC_BASE_GAME</v>
      </c>
      <c r="L103" s="3" t="str">
        <f>VLOOKUP(J103,ConstDLCIds!$A$4:$C$1000,3,FALSE)</f>
        <v>Included in base game</v>
      </c>
    </row>
    <row r="104" spans="1:12" x14ac:dyDescent="0.25">
      <c r="A104">
        <v>267</v>
      </c>
      <c r="B104">
        <v>99</v>
      </c>
      <c r="C104">
        <v>267</v>
      </c>
      <c r="D104" t="s">
        <v>561</v>
      </c>
      <c r="E104" t="str">
        <f>IF(NOT(ISERROR(VLOOKUP(D104,'ESO DungeonFinder'!$A$2:$A$999,1,FALSE))),"X","")</f>
        <v/>
      </c>
      <c r="F104" s="70" t="str">
        <f t="shared" si="8"/>
        <v>X</v>
      </c>
      <c r="G104" s="70" t="str">
        <f t="shared" si="9"/>
        <v/>
      </c>
      <c r="H104" s="70">
        <f t="shared" si="10"/>
        <v>267</v>
      </c>
      <c r="I104" s="70">
        <f t="shared" si="11"/>
        <v>267</v>
      </c>
      <c r="J104">
        <v>0</v>
      </c>
      <c r="K104" s="3" t="str">
        <f>VLOOKUP(J104,ConstDLCIds!$A$4:$B$1000,2,FALSE)</f>
        <v>DLC_BASE_GAME</v>
      </c>
      <c r="L104" s="3" t="str">
        <f>VLOOKUP(J104,ConstDLCIds!$A$4:$C$1000,3,FALSE)</f>
        <v>Included in base game</v>
      </c>
    </row>
    <row r="105" spans="1:12" x14ac:dyDescent="0.25">
      <c r="A105">
        <v>268</v>
      </c>
      <c r="B105">
        <v>100</v>
      </c>
      <c r="C105">
        <v>58</v>
      </c>
      <c r="D105" t="s">
        <v>2266</v>
      </c>
      <c r="E105" t="str">
        <f>IF(NOT(ISERROR(VLOOKUP(D105,'ESO DungeonFinder'!$A$2:$A$999,1,FALSE))),"X","")</f>
        <v/>
      </c>
      <c r="F105" s="70" t="str">
        <f t="shared" si="8"/>
        <v/>
      </c>
      <c r="G105" s="70" t="str">
        <f t="shared" si="9"/>
        <v>Malabal Tor</v>
      </c>
      <c r="H105" s="70">
        <f t="shared" si="10"/>
        <v>268</v>
      </c>
      <c r="I105" s="70">
        <f t="shared" si="11"/>
        <v>58</v>
      </c>
      <c r="J105">
        <v>0</v>
      </c>
      <c r="K105" s="3" t="str">
        <f>VLOOKUP(J105,ConstDLCIds!$A$4:$B$1000,2,FALSE)</f>
        <v>DLC_BASE_GAME</v>
      </c>
      <c r="L105" s="3" t="str">
        <f>VLOOKUP(J105,ConstDLCIds!$A$4:$C$1000,3,FALSE)</f>
        <v>Included in base game</v>
      </c>
    </row>
    <row r="106" spans="1:12" x14ac:dyDescent="0.25">
      <c r="A106">
        <v>269</v>
      </c>
      <c r="B106">
        <v>101</v>
      </c>
      <c r="C106">
        <v>58</v>
      </c>
      <c r="D106" t="s">
        <v>2267</v>
      </c>
      <c r="E106" t="str">
        <f>IF(NOT(ISERROR(VLOOKUP(D106,'ESO DungeonFinder'!$A$2:$A$999,1,FALSE))),"X","")</f>
        <v/>
      </c>
      <c r="F106" s="70" t="str">
        <f t="shared" si="8"/>
        <v/>
      </c>
      <c r="G106" s="70" t="str">
        <f t="shared" si="9"/>
        <v>Malabal Tor</v>
      </c>
      <c r="H106" s="70">
        <f t="shared" si="10"/>
        <v>269</v>
      </c>
      <c r="I106" s="70">
        <f t="shared" si="11"/>
        <v>58</v>
      </c>
      <c r="J106">
        <v>0</v>
      </c>
      <c r="K106" s="3" t="str">
        <f>VLOOKUP(J106,ConstDLCIds!$A$4:$B$1000,2,FALSE)</f>
        <v>DLC_BASE_GAME</v>
      </c>
      <c r="L106" s="3" t="str">
        <f>VLOOKUP(J106,ConstDLCIds!$A$4:$C$1000,3,FALSE)</f>
        <v>Included in base game</v>
      </c>
    </row>
    <row r="107" spans="1:12" x14ac:dyDescent="0.25">
      <c r="A107">
        <v>270</v>
      </c>
      <c r="B107">
        <v>102</v>
      </c>
      <c r="C107">
        <v>117</v>
      </c>
      <c r="D107" t="s">
        <v>2268</v>
      </c>
      <c r="E107" t="str">
        <f>IF(NOT(ISERROR(VLOOKUP(D107,'ESO DungeonFinder'!$A$2:$A$999,1,FALSE))),"X","")</f>
        <v/>
      </c>
      <c r="F107" s="70" t="str">
        <f t="shared" si="8"/>
        <v/>
      </c>
      <c r="G107" s="70" t="str">
        <f t="shared" si="9"/>
        <v>Shadowfen</v>
      </c>
      <c r="H107" s="70">
        <f t="shared" si="10"/>
        <v>270</v>
      </c>
      <c r="I107" s="70">
        <f t="shared" si="11"/>
        <v>117</v>
      </c>
      <c r="J107">
        <v>0</v>
      </c>
      <c r="K107" s="3" t="str">
        <f>VLOOKUP(J107,ConstDLCIds!$A$4:$B$1000,2,FALSE)</f>
        <v>DLC_BASE_GAME</v>
      </c>
      <c r="L107" s="3" t="str">
        <f>VLOOKUP(J107,ConstDLCIds!$A$4:$C$1000,3,FALSE)</f>
        <v>Included in base game</v>
      </c>
    </row>
    <row r="108" spans="1:12" x14ac:dyDescent="0.25">
      <c r="A108">
        <v>271</v>
      </c>
      <c r="B108">
        <v>103</v>
      </c>
      <c r="C108">
        <v>117</v>
      </c>
      <c r="D108" t="s">
        <v>2269</v>
      </c>
      <c r="E108" t="str">
        <f>IF(NOT(ISERROR(VLOOKUP(D108,'ESO DungeonFinder'!$A$2:$A$999,1,FALSE))),"X","")</f>
        <v/>
      </c>
      <c r="F108" s="70" t="str">
        <f t="shared" si="8"/>
        <v/>
      </c>
      <c r="G108" s="70" t="str">
        <f t="shared" si="9"/>
        <v>Shadowfen</v>
      </c>
      <c r="H108" s="70">
        <f t="shared" si="10"/>
        <v>271</v>
      </c>
      <c r="I108" s="70">
        <f t="shared" si="11"/>
        <v>117</v>
      </c>
      <c r="J108">
        <v>0</v>
      </c>
      <c r="K108" s="3" t="str">
        <f>VLOOKUP(J108,ConstDLCIds!$A$4:$B$1000,2,FALSE)</f>
        <v>DLC_BASE_GAME</v>
      </c>
      <c r="L108" s="3" t="str">
        <f>VLOOKUP(J108,ConstDLCIds!$A$4:$C$1000,3,FALSE)</f>
        <v>Included in base game</v>
      </c>
    </row>
    <row r="109" spans="1:12" x14ac:dyDescent="0.25">
      <c r="A109">
        <v>272</v>
      </c>
      <c r="B109">
        <v>104</v>
      </c>
      <c r="C109">
        <v>117</v>
      </c>
      <c r="D109" t="s">
        <v>2270</v>
      </c>
      <c r="E109" t="str">
        <f>IF(NOT(ISERROR(VLOOKUP(D109,'ESO DungeonFinder'!$A$2:$A$999,1,FALSE))),"X","")</f>
        <v/>
      </c>
      <c r="F109" s="70" t="str">
        <f t="shared" si="8"/>
        <v/>
      </c>
      <c r="G109" s="70" t="str">
        <f t="shared" si="9"/>
        <v>Shadowfen</v>
      </c>
      <c r="H109" s="70">
        <f t="shared" si="10"/>
        <v>272</v>
      </c>
      <c r="I109" s="70">
        <f t="shared" si="11"/>
        <v>117</v>
      </c>
      <c r="J109">
        <v>0</v>
      </c>
      <c r="K109" s="3" t="str">
        <f>VLOOKUP(J109,ConstDLCIds!$A$4:$B$1000,2,FALSE)</f>
        <v>DLC_BASE_GAME</v>
      </c>
      <c r="L109" s="3" t="str">
        <f>VLOOKUP(J109,ConstDLCIds!$A$4:$C$1000,3,FALSE)</f>
        <v>Included in base game</v>
      </c>
    </row>
    <row r="110" spans="1:12" x14ac:dyDescent="0.25">
      <c r="A110">
        <v>273</v>
      </c>
      <c r="B110">
        <v>105</v>
      </c>
      <c r="C110">
        <v>117</v>
      </c>
      <c r="D110" t="s">
        <v>2271</v>
      </c>
      <c r="E110" t="str">
        <f>IF(NOT(ISERROR(VLOOKUP(D110,'ESO DungeonFinder'!$A$2:$A$999,1,FALSE))),"X","")</f>
        <v/>
      </c>
      <c r="F110" s="70" t="str">
        <f t="shared" si="8"/>
        <v/>
      </c>
      <c r="G110" s="70" t="str">
        <f t="shared" si="9"/>
        <v>Shadowfen</v>
      </c>
      <c r="H110" s="70">
        <f t="shared" si="10"/>
        <v>273</v>
      </c>
      <c r="I110" s="70">
        <f t="shared" si="11"/>
        <v>117</v>
      </c>
      <c r="J110">
        <v>0</v>
      </c>
      <c r="K110" s="3" t="str">
        <f>VLOOKUP(J110,ConstDLCIds!$A$4:$B$1000,2,FALSE)</f>
        <v>DLC_BASE_GAME</v>
      </c>
      <c r="L110" s="3" t="str">
        <f>VLOOKUP(J110,ConstDLCIds!$A$4:$C$1000,3,FALSE)</f>
        <v>Included in base game</v>
      </c>
    </row>
    <row r="111" spans="1:12" x14ac:dyDescent="0.25">
      <c r="A111">
        <v>274</v>
      </c>
      <c r="B111">
        <v>106</v>
      </c>
      <c r="C111">
        <v>117</v>
      </c>
      <c r="D111" t="s">
        <v>2272</v>
      </c>
      <c r="E111" t="str">
        <f>IF(NOT(ISERROR(VLOOKUP(D111,'ESO DungeonFinder'!$A$2:$A$999,1,FALSE))),"X","")</f>
        <v/>
      </c>
      <c r="F111" s="70" t="str">
        <f t="shared" si="8"/>
        <v/>
      </c>
      <c r="G111" s="70" t="str">
        <f t="shared" si="9"/>
        <v>Shadowfen</v>
      </c>
      <c r="H111" s="70">
        <f t="shared" si="10"/>
        <v>274</v>
      </c>
      <c r="I111" s="70">
        <f t="shared" si="11"/>
        <v>117</v>
      </c>
      <c r="J111">
        <v>0</v>
      </c>
      <c r="K111" s="3" t="str">
        <f>VLOOKUP(J111,ConstDLCIds!$A$4:$B$1000,2,FALSE)</f>
        <v>DLC_BASE_GAME</v>
      </c>
      <c r="L111" s="3" t="str">
        <f>VLOOKUP(J111,ConstDLCIds!$A$4:$C$1000,3,FALSE)</f>
        <v>Included in base game</v>
      </c>
    </row>
    <row r="112" spans="1:12" x14ac:dyDescent="0.25">
      <c r="A112">
        <v>275</v>
      </c>
      <c r="B112">
        <v>107</v>
      </c>
      <c r="C112">
        <v>117</v>
      </c>
      <c r="D112" t="s">
        <v>2273</v>
      </c>
      <c r="E112" t="str">
        <f>IF(NOT(ISERROR(VLOOKUP(D112,'ESO DungeonFinder'!$A$2:$A$999,1,FALSE))),"X","")</f>
        <v/>
      </c>
      <c r="F112" s="70" t="str">
        <f t="shared" si="8"/>
        <v/>
      </c>
      <c r="G112" s="70" t="str">
        <f t="shared" si="9"/>
        <v>Shadowfen</v>
      </c>
      <c r="H112" s="70">
        <f t="shared" si="10"/>
        <v>275</v>
      </c>
      <c r="I112" s="70">
        <f t="shared" si="11"/>
        <v>117</v>
      </c>
      <c r="J112">
        <v>0</v>
      </c>
      <c r="K112" s="3" t="str">
        <f>VLOOKUP(J112,ConstDLCIds!$A$4:$B$1000,2,FALSE)</f>
        <v>DLC_BASE_GAME</v>
      </c>
      <c r="L112" s="3" t="str">
        <f>VLOOKUP(J112,ConstDLCIds!$A$4:$C$1000,3,FALSE)</f>
        <v>Included in base game</v>
      </c>
    </row>
    <row r="113" spans="1:12" x14ac:dyDescent="0.25">
      <c r="A113">
        <v>279</v>
      </c>
      <c r="B113">
        <v>108</v>
      </c>
      <c r="C113">
        <v>279</v>
      </c>
      <c r="D113" t="s">
        <v>2274</v>
      </c>
      <c r="E113" t="str">
        <f>IF(NOT(ISERROR(VLOOKUP(D113,'ESO DungeonFinder'!$A$2:$A$999,1,FALSE))),"X","")</f>
        <v/>
      </c>
      <c r="F113" s="70" t="str">
        <f t="shared" si="8"/>
        <v>X</v>
      </c>
      <c r="G113" s="70" t="str">
        <f t="shared" si="9"/>
        <v/>
      </c>
      <c r="H113" s="70">
        <f t="shared" si="10"/>
        <v>279</v>
      </c>
      <c r="I113" s="70">
        <f t="shared" si="11"/>
        <v>279</v>
      </c>
      <c r="J113">
        <v>0</v>
      </c>
      <c r="K113" s="3" t="str">
        <f>VLOOKUP(J113,ConstDLCIds!$A$4:$B$1000,2,FALSE)</f>
        <v>DLC_BASE_GAME</v>
      </c>
      <c r="L113" s="3" t="str">
        <f>VLOOKUP(J113,ConstDLCIds!$A$4:$C$1000,3,FALSE)</f>
        <v>Included in base game</v>
      </c>
    </row>
    <row r="114" spans="1:12" x14ac:dyDescent="0.25">
      <c r="A114">
        <v>280</v>
      </c>
      <c r="B114">
        <v>109</v>
      </c>
      <c r="C114">
        <v>280</v>
      </c>
      <c r="D114" t="s">
        <v>964</v>
      </c>
      <c r="E114" t="str">
        <f>IF(NOT(ISERROR(VLOOKUP(D114,'ESO DungeonFinder'!$A$2:$A$999,1,FALSE))),"X","")</f>
        <v/>
      </c>
      <c r="F114" s="70" t="str">
        <f t="shared" si="8"/>
        <v>X</v>
      </c>
      <c r="G114" s="70" t="str">
        <f t="shared" si="9"/>
        <v/>
      </c>
      <c r="H114" s="70">
        <f t="shared" si="10"/>
        <v>280</v>
      </c>
      <c r="I114" s="70">
        <f t="shared" si="11"/>
        <v>280</v>
      </c>
      <c r="J114">
        <v>0</v>
      </c>
      <c r="K114" s="3" t="str">
        <f>VLOOKUP(J114,ConstDLCIds!$A$4:$B$1000,2,FALSE)</f>
        <v>DLC_BASE_GAME</v>
      </c>
      <c r="L114" s="3" t="str">
        <f>VLOOKUP(J114,ConstDLCIds!$A$4:$C$1000,3,FALSE)</f>
        <v>Included in base game</v>
      </c>
    </row>
    <row r="115" spans="1:12" x14ac:dyDescent="0.25">
      <c r="A115">
        <v>281</v>
      </c>
      <c r="B115">
        <v>110</v>
      </c>
      <c r="C115">
        <v>281</v>
      </c>
      <c r="D115" t="s">
        <v>965</v>
      </c>
      <c r="E115" t="str">
        <f>IF(NOT(ISERROR(VLOOKUP(D115,'ESO DungeonFinder'!$A$2:$A$999,1,FALSE))),"X","")</f>
        <v/>
      </c>
      <c r="F115" s="70" t="str">
        <f t="shared" si="8"/>
        <v>X</v>
      </c>
      <c r="G115" s="70" t="str">
        <f t="shared" si="9"/>
        <v/>
      </c>
      <c r="H115" s="70">
        <f t="shared" si="10"/>
        <v>281</v>
      </c>
      <c r="I115" s="70">
        <f t="shared" si="11"/>
        <v>281</v>
      </c>
      <c r="J115">
        <v>0</v>
      </c>
      <c r="K115" s="3" t="str">
        <f>VLOOKUP(J115,ConstDLCIds!$A$4:$B$1000,2,FALSE)</f>
        <v>DLC_BASE_GAME</v>
      </c>
      <c r="L115" s="3" t="str">
        <f>VLOOKUP(J115,ConstDLCIds!$A$4:$C$1000,3,FALSE)</f>
        <v>Included in base game</v>
      </c>
    </row>
    <row r="116" spans="1:12" x14ac:dyDescent="0.25">
      <c r="A116">
        <v>283</v>
      </c>
      <c r="B116">
        <v>111</v>
      </c>
      <c r="C116">
        <v>41</v>
      </c>
      <c r="D116" t="s">
        <v>445</v>
      </c>
      <c r="E116" t="str">
        <f>IF(NOT(ISERROR(VLOOKUP(D116,'ESO DungeonFinder'!$A$2:$A$999,1,FALSE))),"X","")</f>
        <v>X</v>
      </c>
      <c r="F116" s="70" t="str">
        <f t="shared" si="8"/>
        <v/>
      </c>
      <c r="G116" s="70" t="str">
        <f t="shared" si="9"/>
        <v>Stonefalls</v>
      </c>
      <c r="H116" s="70">
        <f t="shared" si="10"/>
        <v>283</v>
      </c>
      <c r="I116" s="70">
        <f t="shared" si="11"/>
        <v>41</v>
      </c>
      <c r="J116">
        <v>0</v>
      </c>
      <c r="K116" s="3" t="str">
        <f>VLOOKUP(J116,ConstDLCIds!$A$4:$B$1000,2,FALSE)</f>
        <v>DLC_BASE_GAME</v>
      </c>
      <c r="L116" s="3" t="str">
        <f>VLOOKUP(J116,ConstDLCIds!$A$4:$C$1000,3,FALSE)</f>
        <v>Included in base game</v>
      </c>
    </row>
    <row r="117" spans="1:12" x14ac:dyDescent="0.25">
      <c r="A117">
        <v>284</v>
      </c>
      <c r="B117">
        <v>112</v>
      </c>
      <c r="C117">
        <v>3</v>
      </c>
      <c r="D117" t="s">
        <v>2179</v>
      </c>
      <c r="E117" t="str">
        <f>IF(NOT(ISERROR(VLOOKUP(D117,'ESO DungeonFinder'!$A$2:$A$999,1,FALSE))),"X","")</f>
        <v/>
      </c>
      <c r="F117" s="70" t="str">
        <f t="shared" si="8"/>
        <v/>
      </c>
      <c r="G117" s="70" t="str">
        <f t="shared" si="9"/>
        <v>Glenumbra</v>
      </c>
      <c r="H117" s="70">
        <f t="shared" si="10"/>
        <v>284</v>
      </c>
      <c r="I117" s="70">
        <f t="shared" si="11"/>
        <v>3</v>
      </c>
      <c r="J117">
        <v>0</v>
      </c>
      <c r="K117" s="3" t="str">
        <f>VLOOKUP(J117,ConstDLCIds!$A$4:$B$1000,2,FALSE)</f>
        <v>DLC_BASE_GAME</v>
      </c>
      <c r="L117" s="3" t="str">
        <f>VLOOKUP(J117,ConstDLCIds!$A$4:$C$1000,3,FALSE)</f>
        <v>Included in base game</v>
      </c>
    </row>
    <row r="118" spans="1:12" x14ac:dyDescent="0.25">
      <c r="A118">
        <v>287</v>
      </c>
      <c r="B118">
        <v>113</v>
      </c>
      <c r="C118">
        <v>41</v>
      </c>
      <c r="D118" t="s">
        <v>2275</v>
      </c>
      <c r="E118" t="str">
        <f>IF(NOT(ISERROR(VLOOKUP(D118,'ESO DungeonFinder'!$A$2:$A$999,1,FALSE))),"X","")</f>
        <v/>
      </c>
      <c r="F118" s="70" t="str">
        <f t="shared" si="8"/>
        <v/>
      </c>
      <c r="G118" s="70" t="str">
        <f t="shared" si="9"/>
        <v>Stonefalls</v>
      </c>
      <c r="H118" s="70">
        <f t="shared" si="10"/>
        <v>287</v>
      </c>
      <c r="I118" s="70">
        <f t="shared" si="11"/>
        <v>41</v>
      </c>
      <c r="J118">
        <v>0</v>
      </c>
      <c r="K118" s="3" t="str">
        <f>VLOOKUP(J118,ConstDLCIds!$A$4:$B$1000,2,FALSE)</f>
        <v>DLC_BASE_GAME</v>
      </c>
      <c r="L118" s="3" t="str">
        <f>VLOOKUP(J118,ConstDLCIds!$A$4:$C$1000,3,FALSE)</f>
        <v>Included in base game</v>
      </c>
    </row>
    <row r="119" spans="1:12" x14ac:dyDescent="0.25">
      <c r="A119">
        <v>288</v>
      </c>
      <c r="B119">
        <v>114</v>
      </c>
      <c r="C119">
        <v>41</v>
      </c>
      <c r="D119" t="s">
        <v>2276</v>
      </c>
      <c r="E119" t="str">
        <f>IF(NOT(ISERROR(VLOOKUP(D119,'ESO DungeonFinder'!$A$2:$A$999,1,FALSE))),"X","")</f>
        <v/>
      </c>
      <c r="F119" s="70" t="str">
        <f t="shared" si="8"/>
        <v/>
      </c>
      <c r="G119" s="70" t="str">
        <f t="shared" si="9"/>
        <v>Stonefalls</v>
      </c>
      <c r="H119" s="70">
        <f t="shared" si="10"/>
        <v>288</v>
      </c>
      <c r="I119" s="70">
        <f t="shared" si="11"/>
        <v>41</v>
      </c>
      <c r="J119">
        <v>0</v>
      </c>
      <c r="K119" s="3" t="str">
        <f>VLOOKUP(J119,ConstDLCIds!$A$4:$B$1000,2,FALSE)</f>
        <v>DLC_BASE_GAME</v>
      </c>
      <c r="L119" s="3" t="str">
        <f>VLOOKUP(J119,ConstDLCIds!$A$4:$C$1000,3,FALSE)</f>
        <v>Included in base game</v>
      </c>
    </row>
    <row r="120" spans="1:12" x14ac:dyDescent="0.25">
      <c r="A120">
        <v>289</v>
      </c>
      <c r="B120">
        <v>115</v>
      </c>
      <c r="C120">
        <v>41</v>
      </c>
      <c r="D120" t="s">
        <v>2277</v>
      </c>
      <c r="E120" t="str">
        <f>IF(NOT(ISERROR(VLOOKUP(D120,'ESO DungeonFinder'!$A$2:$A$999,1,FALSE))),"X","")</f>
        <v/>
      </c>
      <c r="F120" s="70" t="str">
        <f t="shared" si="8"/>
        <v/>
      </c>
      <c r="G120" s="70" t="str">
        <f t="shared" si="9"/>
        <v>Stonefalls</v>
      </c>
      <c r="H120" s="70">
        <f t="shared" si="10"/>
        <v>289</v>
      </c>
      <c r="I120" s="70">
        <f t="shared" si="11"/>
        <v>41</v>
      </c>
      <c r="J120">
        <v>0</v>
      </c>
      <c r="K120" s="3" t="str">
        <f>VLOOKUP(J120,ConstDLCIds!$A$4:$B$1000,2,FALSE)</f>
        <v>DLC_BASE_GAME</v>
      </c>
      <c r="L120" s="3" t="str">
        <f>VLOOKUP(J120,ConstDLCIds!$A$4:$C$1000,3,FALSE)</f>
        <v>Included in base game</v>
      </c>
    </row>
    <row r="121" spans="1:12" x14ac:dyDescent="0.25">
      <c r="A121">
        <v>290</v>
      </c>
      <c r="B121">
        <v>116</v>
      </c>
      <c r="C121">
        <v>41</v>
      </c>
      <c r="D121" t="s">
        <v>2278</v>
      </c>
      <c r="E121" t="str">
        <f>IF(NOT(ISERROR(VLOOKUP(D121,'ESO DungeonFinder'!$A$2:$A$999,1,FALSE))),"X","")</f>
        <v/>
      </c>
      <c r="F121" s="70" t="str">
        <f t="shared" si="8"/>
        <v/>
      </c>
      <c r="G121" s="70" t="str">
        <f t="shared" si="9"/>
        <v>Stonefalls</v>
      </c>
      <c r="H121" s="70">
        <f t="shared" si="10"/>
        <v>290</v>
      </c>
      <c r="I121" s="70">
        <f t="shared" si="11"/>
        <v>41</v>
      </c>
      <c r="J121">
        <v>0</v>
      </c>
      <c r="K121" s="3" t="str">
        <f>VLOOKUP(J121,ConstDLCIds!$A$4:$B$1000,2,FALSE)</f>
        <v>DLC_BASE_GAME</v>
      </c>
      <c r="L121" s="3" t="str">
        <f>VLOOKUP(J121,ConstDLCIds!$A$4:$C$1000,3,FALSE)</f>
        <v>Included in base game</v>
      </c>
    </row>
    <row r="122" spans="1:12" x14ac:dyDescent="0.25">
      <c r="A122">
        <v>291</v>
      </c>
      <c r="B122">
        <v>117</v>
      </c>
      <c r="C122">
        <v>41</v>
      </c>
      <c r="D122" t="s">
        <v>2279</v>
      </c>
      <c r="E122" t="str">
        <f>IF(NOT(ISERROR(VLOOKUP(D122,'ESO DungeonFinder'!$A$2:$A$999,1,FALSE))),"X","")</f>
        <v/>
      </c>
      <c r="F122" s="70" t="str">
        <f t="shared" si="8"/>
        <v/>
      </c>
      <c r="G122" s="70" t="str">
        <f t="shared" si="9"/>
        <v>Stonefalls</v>
      </c>
      <c r="H122" s="70">
        <f t="shared" si="10"/>
        <v>291</v>
      </c>
      <c r="I122" s="70">
        <f t="shared" si="11"/>
        <v>41</v>
      </c>
      <c r="J122">
        <v>0</v>
      </c>
      <c r="K122" s="3" t="str">
        <f>VLOOKUP(J122,ConstDLCIds!$A$4:$B$1000,2,FALSE)</f>
        <v>DLC_BASE_GAME</v>
      </c>
      <c r="L122" s="3" t="str">
        <f>VLOOKUP(J122,ConstDLCIds!$A$4:$C$1000,3,FALSE)</f>
        <v>Included in base game</v>
      </c>
    </row>
    <row r="123" spans="1:12" x14ac:dyDescent="0.25">
      <c r="A123">
        <v>296</v>
      </c>
      <c r="B123">
        <v>118</v>
      </c>
      <c r="C123">
        <v>41</v>
      </c>
      <c r="D123" t="s">
        <v>2280</v>
      </c>
      <c r="E123" t="str">
        <f>IF(NOT(ISERROR(VLOOKUP(D123,'ESO DungeonFinder'!$A$2:$A$999,1,FALSE))),"X","")</f>
        <v/>
      </c>
      <c r="F123" s="70" t="str">
        <f t="shared" si="8"/>
        <v/>
      </c>
      <c r="G123" s="70" t="str">
        <f t="shared" si="9"/>
        <v>Stonefalls</v>
      </c>
      <c r="H123" s="70">
        <f t="shared" si="10"/>
        <v>296</v>
      </c>
      <c r="I123" s="70">
        <f t="shared" si="11"/>
        <v>41</v>
      </c>
      <c r="J123">
        <v>0</v>
      </c>
      <c r="K123" s="3" t="str">
        <f>VLOOKUP(J123,ConstDLCIds!$A$4:$B$1000,2,FALSE)</f>
        <v>DLC_BASE_GAME</v>
      </c>
      <c r="L123" s="3" t="str">
        <f>VLOOKUP(J123,ConstDLCIds!$A$4:$C$1000,3,FALSE)</f>
        <v>Included in base game</v>
      </c>
    </row>
    <row r="124" spans="1:12" x14ac:dyDescent="0.25">
      <c r="A124">
        <v>306</v>
      </c>
      <c r="B124">
        <v>119</v>
      </c>
      <c r="C124">
        <v>57</v>
      </c>
      <c r="D124" t="s">
        <v>2180</v>
      </c>
      <c r="E124" t="str">
        <f>IF(NOT(ISERROR(VLOOKUP(D124,'ESO DungeonFinder'!$A$2:$A$999,1,FALSE))),"X","")</f>
        <v/>
      </c>
      <c r="F124" s="70" t="str">
        <f t="shared" si="8"/>
        <v/>
      </c>
      <c r="G124" s="70" t="str">
        <f t="shared" si="9"/>
        <v>Deshaan</v>
      </c>
      <c r="H124" s="70">
        <f t="shared" si="10"/>
        <v>306</v>
      </c>
      <c r="I124" s="70">
        <f t="shared" si="11"/>
        <v>57</v>
      </c>
      <c r="J124">
        <v>0</v>
      </c>
      <c r="K124" s="3" t="str">
        <f>VLOOKUP(J124,ConstDLCIds!$A$4:$B$1000,2,FALSE)</f>
        <v>DLC_BASE_GAME</v>
      </c>
      <c r="L124" s="3" t="str">
        <f>VLOOKUP(J124,ConstDLCIds!$A$4:$C$1000,3,FALSE)</f>
        <v>Included in base game</v>
      </c>
    </row>
    <row r="125" spans="1:12" x14ac:dyDescent="0.25">
      <c r="A125">
        <v>308</v>
      </c>
      <c r="B125">
        <v>120</v>
      </c>
      <c r="C125">
        <v>104</v>
      </c>
      <c r="D125" t="s">
        <v>2181</v>
      </c>
      <c r="E125" t="str">
        <f>IF(NOT(ISERROR(VLOOKUP(D125,'ESO DungeonFinder'!$A$2:$A$999,1,FALSE))),"X","")</f>
        <v/>
      </c>
      <c r="F125" s="70" t="str">
        <f t="shared" si="8"/>
        <v/>
      </c>
      <c r="G125" s="70" t="str">
        <f t="shared" si="9"/>
        <v>Alik'r Desert</v>
      </c>
      <c r="H125" s="70">
        <f t="shared" si="10"/>
        <v>308</v>
      </c>
      <c r="I125" s="70">
        <f t="shared" si="11"/>
        <v>104</v>
      </c>
      <c r="J125">
        <v>0</v>
      </c>
      <c r="K125" s="3" t="str">
        <f>VLOOKUP(J125,ConstDLCIds!$A$4:$B$1000,2,FALSE)</f>
        <v>DLC_BASE_GAME</v>
      </c>
      <c r="L125" s="3" t="str">
        <f>VLOOKUP(J125,ConstDLCIds!$A$4:$C$1000,3,FALSE)</f>
        <v>Included in base game</v>
      </c>
    </row>
    <row r="126" spans="1:12" x14ac:dyDescent="0.25">
      <c r="A126">
        <v>309</v>
      </c>
      <c r="B126">
        <v>121</v>
      </c>
      <c r="C126">
        <v>3</v>
      </c>
      <c r="D126" t="s">
        <v>2281</v>
      </c>
      <c r="E126" t="str">
        <f>IF(NOT(ISERROR(VLOOKUP(D126,'ESO DungeonFinder'!$A$2:$A$999,1,FALSE))),"X","")</f>
        <v/>
      </c>
      <c r="F126" s="70" t="str">
        <f t="shared" si="8"/>
        <v/>
      </c>
      <c r="G126" s="70" t="str">
        <f t="shared" si="9"/>
        <v>Glenumbra</v>
      </c>
      <c r="H126" s="70">
        <f t="shared" si="10"/>
        <v>309</v>
      </c>
      <c r="I126" s="70">
        <f t="shared" si="11"/>
        <v>3</v>
      </c>
      <c r="J126">
        <v>0</v>
      </c>
      <c r="K126" s="3" t="str">
        <f>VLOOKUP(J126,ConstDLCIds!$A$4:$B$1000,2,FALSE)</f>
        <v>DLC_BASE_GAME</v>
      </c>
      <c r="L126" s="3" t="str">
        <f>VLOOKUP(J126,ConstDLCIds!$A$4:$C$1000,3,FALSE)</f>
        <v>Included in base game</v>
      </c>
    </row>
    <row r="127" spans="1:12" x14ac:dyDescent="0.25">
      <c r="A127">
        <v>310</v>
      </c>
      <c r="B127">
        <v>122</v>
      </c>
      <c r="C127">
        <v>3</v>
      </c>
      <c r="D127" t="s">
        <v>2282</v>
      </c>
      <c r="E127" t="str">
        <f>IF(NOT(ISERROR(VLOOKUP(D127,'ESO DungeonFinder'!$A$2:$A$999,1,FALSE))),"X","")</f>
        <v/>
      </c>
      <c r="F127" s="70" t="str">
        <f t="shared" si="8"/>
        <v/>
      </c>
      <c r="G127" s="70" t="str">
        <f t="shared" si="9"/>
        <v>Glenumbra</v>
      </c>
      <c r="H127" s="70">
        <f t="shared" si="10"/>
        <v>310</v>
      </c>
      <c r="I127" s="70">
        <f t="shared" si="11"/>
        <v>3</v>
      </c>
      <c r="J127">
        <v>0</v>
      </c>
      <c r="K127" s="3" t="str">
        <f>VLOOKUP(J127,ConstDLCIds!$A$4:$B$1000,2,FALSE)</f>
        <v>DLC_BASE_GAME</v>
      </c>
      <c r="L127" s="3" t="str">
        <f>VLOOKUP(J127,ConstDLCIds!$A$4:$C$1000,3,FALSE)</f>
        <v>Included in base game</v>
      </c>
    </row>
    <row r="128" spans="1:12" x14ac:dyDescent="0.25">
      <c r="A128">
        <v>311</v>
      </c>
      <c r="B128">
        <v>123</v>
      </c>
      <c r="C128">
        <v>3</v>
      </c>
      <c r="D128" t="s">
        <v>2283</v>
      </c>
      <c r="E128" t="str">
        <f>IF(NOT(ISERROR(VLOOKUP(D128,'ESO DungeonFinder'!$A$2:$A$999,1,FALSE))),"X","")</f>
        <v/>
      </c>
      <c r="F128" s="70" t="str">
        <f t="shared" si="8"/>
        <v/>
      </c>
      <c r="G128" s="70" t="str">
        <f t="shared" si="9"/>
        <v>Glenumbra</v>
      </c>
      <c r="H128" s="70">
        <f t="shared" si="10"/>
        <v>311</v>
      </c>
      <c r="I128" s="70">
        <f t="shared" si="11"/>
        <v>3</v>
      </c>
      <c r="J128">
        <v>0</v>
      </c>
      <c r="K128" s="3" t="str">
        <f>VLOOKUP(J128,ConstDLCIds!$A$4:$B$1000,2,FALSE)</f>
        <v>DLC_BASE_GAME</v>
      </c>
      <c r="L128" s="3" t="str">
        <f>VLOOKUP(J128,ConstDLCIds!$A$4:$C$1000,3,FALSE)</f>
        <v>Included in base game</v>
      </c>
    </row>
    <row r="129" spans="1:12" x14ac:dyDescent="0.25">
      <c r="A129">
        <v>312</v>
      </c>
      <c r="B129">
        <v>124</v>
      </c>
      <c r="C129">
        <v>3</v>
      </c>
      <c r="D129" t="s">
        <v>2284</v>
      </c>
      <c r="E129" t="str">
        <f>IF(NOT(ISERROR(VLOOKUP(D129,'ESO DungeonFinder'!$A$2:$A$999,1,FALSE))),"X","")</f>
        <v/>
      </c>
      <c r="F129" s="70" t="str">
        <f t="shared" si="8"/>
        <v/>
      </c>
      <c r="G129" s="70" t="str">
        <f t="shared" si="9"/>
        <v>Glenumbra</v>
      </c>
      <c r="H129" s="70">
        <f t="shared" si="10"/>
        <v>312</v>
      </c>
      <c r="I129" s="70">
        <f t="shared" si="11"/>
        <v>3</v>
      </c>
      <c r="J129">
        <v>0</v>
      </c>
      <c r="K129" s="3" t="str">
        <f>VLOOKUP(J129,ConstDLCIds!$A$4:$B$1000,2,FALSE)</f>
        <v>DLC_BASE_GAME</v>
      </c>
      <c r="L129" s="3" t="str">
        <f>VLOOKUP(J129,ConstDLCIds!$A$4:$C$1000,3,FALSE)</f>
        <v>Included in base game</v>
      </c>
    </row>
    <row r="130" spans="1:12" x14ac:dyDescent="0.25">
      <c r="A130">
        <v>313</v>
      </c>
      <c r="B130">
        <v>125</v>
      </c>
      <c r="C130">
        <v>3</v>
      </c>
      <c r="D130" t="s">
        <v>2285</v>
      </c>
      <c r="E130" t="str">
        <f>IF(NOT(ISERROR(VLOOKUP(D130,'ESO DungeonFinder'!$A$2:$A$999,1,FALSE))),"X","")</f>
        <v/>
      </c>
      <c r="F130" s="70" t="str">
        <f t="shared" si="8"/>
        <v/>
      </c>
      <c r="G130" s="70" t="str">
        <f t="shared" si="9"/>
        <v>Glenumbra</v>
      </c>
      <c r="H130" s="70">
        <f t="shared" si="10"/>
        <v>313</v>
      </c>
      <c r="I130" s="70">
        <f t="shared" si="11"/>
        <v>3</v>
      </c>
      <c r="J130">
        <v>0</v>
      </c>
      <c r="K130" s="3" t="str">
        <f>VLOOKUP(J130,ConstDLCIds!$A$4:$B$1000,2,FALSE)</f>
        <v>DLC_BASE_GAME</v>
      </c>
      <c r="L130" s="3" t="str">
        <f>VLOOKUP(J130,ConstDLCIds!$A$4:$C$1000,3,FALSE)</f>
        <v>Included in base game</v>
      </c>
    </row>
    <row r="131" spans="1:12" x14ac:dyDescent="0.25">
      <c r="A131">
        <v>314</v>
      </c>
      <c r="B131">
        <v>126</v>
      </c>
      <c r="C131">
        <v>3</v>
      </c>
      <c r="D131" t="s">
        <v>2286</v>
      </c>
      <c r="E131" t="str">
        <f>IF(NOT(ISERROR(VLOOKUP(D131,'ESO DungeonFinder'!$A$2:$A$999,1,FALSE))),"X","")</f>
        <v/>
      </c>
      <c r="F131" s="70" t="str">
        <f t="shared" si="8"/>
        <v/>
      </c>
      <c r="G131" s="70" t="str">
        <f t="shared" si="9"/>
        <v>Glenumbra</v>
      </c>
      <c r="H131" s="70">
        <f t="shared" si="10"/>
        <v>314</v>
      </c>
      <c r="I131" s="70">
        <f t="shared" si="11"/>
        <v>3</v>
      </c>
      <c r="J131">
        <v>0</v>
      </c>
      <c r="K131" s="3" t="str">
        <f>VLOOKUP(J131,ConstDLCIds!$A$4:$B$1000,2,FALSE)</f>
        <v>DLC_BASE_GAME</v>
      </c>
      <c r="L131" s="3" t="str">
        <f>VLOOKUP(J131,ConstDLCIds!$A$4:$C$1000,3,FALSE)</f>
        <v>Included in base game</v>
      </c>
    </row>
    <row r="132" spans="1:12" x14ac:dyDescent="0.25">
      <c r="A132">
        <v>315</v>
      </c>
      <c r="B132">
        <v>127</v>
      </c>
      <c r="C132">
        <v>19</v>
      </c>
      <c r="D132" t="s">
        <v>2287</v>
      </c>
      <c r="E132" t="str">
        <f>IF(NOT(ISERROR(VLOOKUP(D132,'ESO DungeonFinder'!$A$2:$A$999,1,FALSE))),"X","")</f>
        <v/>
      </c>
      <c r="F132" s="70" t="str">
        <f t="shared" si="8"/>
        <v/>
      </c>
      <c r="G132" s="70" t="str">
        <f t="shared" si="9"/>
        <v>Stormhaven</v>
      </c>
      <c r="H132" s="70">
        <f t="shared" si="10"/>
        <v>315</v>
      </c>
      <c r="I132" s="70">
        <f t="shared" si="11"/>
        <v>19</v>
      </c>
      <c r="J132">
        <v>0</v>
      </c>
      <c r="K132" s="3" t="str">
        <f>VLOOKUP(J132,ConstDLCIds!$A$4:$B$1000,2,FALSE)</f>
        <v>DLC_BASE_GAME</v>
      </c>
      <c r="L132" s="3" t="str">
        <f>VLOOKUP(J132,ConstDLCIds!$A$4:$C$1000,3,FALSE)</f>
        <v>Included in base game</v>
      </c>
    </row>
    <row r="133" spans="1:12" x14ac:dyDescent="0.25">
      <c r="A133">
        <v>316</v>
      </c>
      <c r="B133">
        <v>128</v>
      </c>
      <c r="C133">
        <v>19</v>
      </c>
      <c r="D133" t="s">
        <v>2288</v>
      </c>
      <c r="E133" t="str">
        <f>IF(NOT(ISERROR(VLOOKUP(D133,'ESO DungeonFinder'!$A$2:$A$999,1,FALSE))),"X","")</f>
        <v/>
      </c>
      <c r="F133" s="70" t="str">
        <f t="shared" si="8"/>
        <v/>
      </c>
      <c r="G133" s="70" t="str">
        <f t="shared" si="9"/>
        <v>Stormhaven</v>
      </c>
      <c r="H133" s="70">
        <f t="shared" si="10"/>
        <v>316</v>
      </c>
      <c r="I133" s="70">
        <f t="shared" si="11"/>
        <v>19</v>
      </c>
      <c r="J133">
        <v>0</v>
      </c>
      <c r="K133" s="3" t="str">
        <f>VLOOKUP(J133,ConstDLCIds!$A$4:$B$1000,2,FALSE)</f>
        <v>DLC_BASE_GAME</v>
      </c>
      <c r="L133" s="3" t="str">
        <f>VLOOKUP(J133,ConstDLCIds!$A$4:$C$1000,3,FALSE)</f>
        <v>Included in base game</v>
      </c>
    </row>
    <row r="134" spans="1:12" x14ac:dyDescent="0.25">
      <c r="A134">
        <v>317</v>
      </c>
      <c r="B134">
        <v>129</v>
      </c>
      <c r="C134">
        <v>19</v>
      </c>
      <c r="D134" t="s">
        <v>2289</v>
      </c>
      <c r="E134" t="str">
        <f>IF(NOT(ISERROR(VLOOKUP(D134,'ESO DungeonFinder'!$A$2:$A$999,1,FALSE))),"X","")</f>
        <v/>
      </c>
      <c r="F134" s="70" t="str">
        <f t="shared" si="8"/>
        <v/>
      </c>
      <c r="G134" s="70" t="str">
        <f t="shared" si="9"/>
        <v>Stormhaven</v>
      </c>
      <c r="H134" s="70">
        <f t="shared" si="10"/>
        <v>317</v>
      </c>
      <c r="I134" s="70">
        <f t="shared" si="11"/>
        <v>19</v>
      </c>
      <c r="J134">
        <v>0</v>
      </c>
      <c r="K134" s="3" t="str">
        <f>VLOOKUP(J134,ConstDLCIds!$A$4:$B$1000,2,FALSE)</f>
        <v>DLC_BASE_GAME</v>
      </c>
      <c r="L134" s="3" t="str">
        <f>VLOOKUP(J134,ConstDLCIds!$A$4:$C$1000,3,FALSE)</f>
        <v>Included in base game</v>
      </c>
    </row>
    <row r="135" spans="1:12" x14ac:dyDescent="0.25">
      <c r="A135">
        <v>318</v>
      </c>
      <c r="B135">
        <v>130</v>
      </c>
      <c r="C135">
        <v>19</v>
      </c>
      <c r="D135" t="s">
        <v>2290</v>
      </c>
      <c r="E135" t="str">
        <f>IF(NOT(ISERROR(VLOOKUP(D135,'ESO DungeonFinder'!$A$2:$A$999,1,FALSE))),"X","")</f>
        <v/>
      </c>
      <c r="F135" s="70" t="str">
        <f t="shared" ref="F135:F198" si="12">IF(EXACT(A135,C135),"X","")</f>
        <v/>
      </c>
      <c r="G135" s="70" t="str">
        <f t="shared" ref="G135:G198" si="13">IF(A135&lt;&gt;C135,VLOOKUP(C135,$A$5:$D$9956,4,FALSE),"")</f>
        <v>Stormhaven</v>
      </c>
      <c r="H135" s="70">
        <f t="shared" ref="H135:H198" si="14">A135</f>
        <v>318</v>
      </c>
      <c r="I135" s="70">
        <f t="shared" ref="I135:I198" si="15">C135</f>
        <v>19</v>
      </c>
      <c r="J135">
        <v>0</v>
      </c>
      <c r="K135" s="3" t="str">
        <f>VLOOKUP(J135,ConstDLCIds!$A$4:$B$1000,2,FALSE)</f>
        <v>DLC_BASE_GAME</v>
      </c>
      <c r="L135" s="3" t="str">
        <f>VLOOKUP(J135,ConstDLCIds!$A$4:$C$1000,3,FALSE)</f>
        <v>Included in base game</v>
      </c>
    </row>
    <row r="136" spans="1:12" x14ac:dyDescent="0.25">
      <c r="A136">
        <v>319</v>
      </c>
      <c r="B136">
        <v>131</v>
      </c>
      <c r="C136">
        <v>19</v>
      </c>
      <c r="D136" t="s">
        <v>2291</v>
      </c>
      <c r="E136" t="str">
        <f>IF(NOT(ISERROR(VLOOKUP(D136,'ESO DungeonFinder'!$A$2:$A$999,1,FALSE))),"X","")</f>
        <v/>
      </c>
      <c r="F136" s="70" t="str">
        <f t="shared" si="12"/>
        <v/>
      </c>
      <c r="G136" s="70" t="str">
        <f t="shared" si="13"/>
        <v>Stormhaven</v>
      </c>
      <c r="H136" s="70">
        <f t="shared" si="14"/>
        <v>319</v>
      </c>
      <c r="I136" s="70">
        <f t="shared" si="15"/>
        <v>19</v>
      </c>
      <c r="J136">
        <v>0</v>
      </c>
      <c r="K136" s="3" t="str">
        <f>VLOOKUP(J136,ConstDLCIds!$A$4:$B$1000,2,FALSE)</f>
        <v>DLC_BASE_GAME</v>
      </c>
      <c r="L136" s="3" t="str">
        <f>VLOOKUP(J136,ConstDLCIds!$A$4:$C$1000,3,FALSE)</f>
        <v>Included in base game</v>
      </c>
    </row>
    <row r="137" spans="1:12" x14ac:dyDescent="0.25">
      <c r="A137">
        <v>320</v>
      </c>
      <c r="B137">
        <v>132</v>
      </c>
      <c r="C137">
        <v>19</v>
      </c>
      <c r="D137" t="s">
        <v>2292</v>
      </c>
      <c r="E137" t="str">
        <f>IF(NOT(ISERROR(VLOOKUP(D137,'ESO DungeonFinder'!$A$2:$A$999,1,FALSE))),"X","")</f>
        <v/>
      </c>
      <c r="F137" s="70" t="str">
        <f t="shared" si="12"/>
        <v/>
      </c>
      <c r="G137" s="70" t="str">
        <f t="shared" si="13"/>
        <v>Stormhaven</v>
      </c>
      <c r="H137" s="70">
        <f t="shared" si="14"/>
        <v>320</v>
      </c>
      <c r="I137" s="70">
        <f t="shared" si="15"/>
        <v>19</v>
      </c>
      <c r="J137">
        <v>0</v>
      </c>
      <c r="K137" s="3" t="str">
        <f>VLOOKUP(J137,ConstDLCIds!$A$4:$B$1000,2,FALSE)</f>
        <v>DLC_BASE_GAME</v>
      </c>
      <c r="L137" s="3" t="str">
        <f>VLOOKUP(J137,ConstDLCIds!$A$4:$C$1000,3,FALSE)</f>
        <v>Included in base game</v>
      </c>
    </row>
    <row r="138" spans="1:12" x14ac:dyDescent="0.25">
      <c r="A138">
        <v>321</v>
      </c>
      <c r="B138">
        <v>133</v>
      </c>
      <c r="C138">
        <v>20</v>
      </c>
      <c r="D138" t="s">
        <v>2293</v>
      </c>
      <c r="E138" t="str">
        <f>IF(NOT(ISERROR(VLOOKUP(D138,'ESO DungeonFinder'!$A$2:$A$999,1,FALSE))),"X","")</f>
        <v/>
      </c>
      <c r="F138" s="70" t="str">
        <f t="shared" si="12"/>
        <v/>
      </c>
      <c r="G138" s="70" t="str">
        <f t="shared" si="13"/>
        <v>Rivenspire</v>
      </c>
      <c r="H138" s="70">
        <f t="shared" si="14"/>
        <v>321</v>
      </c>
      <c r="I138" s="70">
        <f t="shared" si="15"/>
        <v>20</v>
      </c>
      <c r="J138">
        <v>0</v>
      </c>
      <c r="K138" s="3" t="str">
        <f>VLOOKUP(J138,ConstDLCIds!$A$4:$B$1000,2,FALSE)</f>
        <v>DLC_BASE_GAME</v>
      </c>
      <c r="L138" s="3" t="str">
        <f>VLOOKUP(J138,ConstDLCIds!$A$4:$C$1000,3,FALSE)</f>
        <v>Included in base game</v>
      </c>
    </row>
    <row r="139" spans="1:12" x14ac:dyDescent="0.25">
      <c r="A139">
        <v>322</v>
      </c>
      <c r="B139">
        <v>134</v>
      </c>
      <c r="C139">
        <v>20</v>
      </c>
      <c r="D139" t="s">
        <v>2294</v>
      </c>
      <c r="E139" t="str">
        <f>IF(NOT(ISERROR(VLOOKUP(D139,'ESO DungeonFinder'!$A$2:$A$999,1,FALSE))),"X","")</f>
        <v/>
      </c>
      <c r="F139" s="70" t="str">
        <f t="shared" si="12"/>
        <v/>
      </c>
      <c r="G139" s="70" t="str">
        <f t="shared" si="13"/>
        <v>Rivenspire</v>
      </c>
      <c r="H139" s="70">
        <f t="shared" si="14"/>
        <v>322</v>
      </c>
      <c r="I139" s="70">
        <f t="shared" si="15"/>
        <v>20</v>
      </c>
      <c r="J139">
        <v>0</v>
      </c>
      <c r="K139" s="3" t="str">
        <f>VLOOKUP(J139,ConstDLCIds!$A$4:$B$1000,2,FALSE)</f>
        <v>DLC_BASE_GAME</v>
      </c>
      <c r="L139" s="3" t="str">
        <f>VLOOKUP(J139,ConstDLCIds!$A$4:$C$1000,3,FALSE)</f>
        <v>Included in base game</v>
      </c>
    </row>
    <row r="140" spans="1:12" x14ac:dyDescent="0.25">
      <c r="A140">
        <v>323</v>
      </c>
      <c r="B140">
        <v>135</v>
      </c>
      <c r="C140">
        <v>20</v>
      </c>
      <c r="D140" t="s">
        <v>2295</v>
      </c>
      <c r="E140" t="str">
        <f>IF(NOT(ISERROR(VLOOKUP(D140,'ESO DungeonFinder'!$A$2:$A$999,1,FALSE))),"X","")</f>
        <v/>
      </c>
      <c r="F140" s="70" t="str">
        <f t="shared" si="12"/>
        <v/>
      </c>
      <c r="G140" s="70" t="str">
        <f t="shared" si="13"/>
        <v>Rivenspire</v>
      </c>
      <c r="H140" s="70">
        <f t="shared" si="14"/>
        <v>323</v>
      </c>
      <c r="I140" s="70">
        <f t="shared" si="15"/>
        <v>20</v>
      </c>
      <c r="J140">
        <v>0</v>
      </c>
      <c r="K140" s="3" t="str">
        <f>VLOOKUP(J140,ConstDLCIds!$A$4:$B$1000,2,FALSE)</f>
        <v>DLC_BASE_GAME</v>
      </c>
      <c r="L140" s="3" t="str">
        <f>VLOOKUP(J140,ConstDLCIds!$A$4:$C$1000,3,FALSE)</f>
        <v>Included in base game</v>
      </c>
    </row>
    <row r="141" spans="1:12" x14ac:dyDescent="0.25">
      <c r="A141">
        <v>324</v>
      </c>
      <c r="B141">
        <v>136</v>
      </c>
      <c r="C141">
        <v>20</v>
      </c>
      <c r="D141" t="s">
        <v>2296</v>
      </c>
      <c r="E141" t="str">
        <f>IF(NOT(ISERROR(VLOOKUP(D141,'ESO DungeonFinder'!$A$2:$A$999,1,FALSE))),"X","")</f>
        <v/>
      </c>
      <c r="F141" s="70" t="str">
        <f t="shared" si="12"/>
        <v/>
      </c>
      <c r="G141" s="70" t="str">
        <f t="shared" si="13"/>
        <v>Rivenspire</v>
      </c>
      <c r="H141" s="70">
        <f t="shared" si="14"/>
        <v>324</v>
      </c>
      <c r="I141" s="70">
        <f t="shared" si="15"/>
        <v>20</v>
      </c>
      <c r="J141">
        <v>0</v>
      </c>
      <c r="K141" s="3" t="str">
        <f>VLOOKUP(J141,ConstDLCIds!$A$4:$B$1000,2,FALSE)</f>
        <v>DLC_BASE_GAME</v>
      </c>
      <c r="L141" s="3" t="str">
        <f>VLOOKUP(J141,ConstDLCIds!$A$4:$C$1000,3,FALSE)</f>
        <v>Included in base game</v>
      </c>
    </row>
    <row r="142" spans="1:12" x14ac:dyDescent="0.25">
      <c r="A142">
        <v>325</v>
      </c>
      <c r="B142">
        <v>137</v>
      </c>
      <c r="C142">
        <v>20</v>
      </c>
      <c r="D142" t="s">
        <v>2297</v>
      </c>
      <c r="E142" t="str">
        <f>IF(NOT(ISERROR(VLOOKUP(D142,'ESO DungeonFinder'!$A$2:$A$999,1,FALSE))),"X","")</f>
        <v/>
      </c>
      <c r="F142" s="70" t="str">
        <f t="shared" si="12"/>
        <v/>
      </c>
      <c r="G142" s="70" t="str">
        <f t="shared" si="13"/>
        <v>Rivenspire</v>
      </c>
      <c r="H142" s="70">
        <f t="shared" si="14"/>
        <v>325</v>
      </c>
      <c r="I142" s="70">
        <f t="shared" si="15"/>
        <v>20</v>
      </c>
      <c r="J142">
        <v>0</v>
      </c>
      <c r="K142" s="3" t="str">
        <f>VLOOKUP(J142,ConstDLCIds!$A$4:$B$1000,2,FALSE)</f>
        <v>DLC_BASE_GAME</v>
      </c>
      <c r="L142" s="3" t="str">
        <f>VLOOKUP(J142,ConstDLCIds!$A$4:$C$1000,3,FALSE)</f>
        <v>Included in base game</v>
      </c>
    </row>
    <row r="143" spans="1:12" x14ac:dyDescent="0.25">
      <c r="A143">
        <v>326</v>
      </c>
      <c r="B143">
        <v>138</v>
      </c>
      <c r="C143">
        <v>20</v>
      </c>
      <c r="D143" t="s">
        <v>2298</v>
      </c>
      <c r="E143" t="str">
        <f>IF(NOT(ISERROR(VLOOKUP(D143,'ESO DungeonFinder'!$A$2:$A$999,1,FALSE))),"X","")</f>
        <v/>
      </c>
      <c r="F143" s="70" t="str">
        <f t="shared" si="12"/>
        <v/>
      </c>
      <c r="G143" s="70" t="str">
        <f t="shared" si="13"/>
        <v>Rivenspire</v>
      </c>
      <c r="H143" s="70">
        <f t="shared" si="14"/>
        <v>326</v>
      </c>
      <c r="I143" s="70">
        <f t="shared" si="15"/>
        <v>20</v>
      </c>
      <c r="J143">
        <v>0</v>
      </c>
      <c r="K143" s="3" t="str">
        <f>VLOOKUP(J143,ConstDLCIds!$A$4:$B$1000,2,FALSE)</f>
        <v>DLC_BASE_GAME</v>
      </c>
      <c r="L143" s="3" t="str">
        <f>VLOOKUP(J143,ConstDLCIds!$A$4:$C$1000,3,FALSE)</f>
        <v>Included in base game</v>
      </c>
    </row>
    <row r="144" spans="1:12" x14ac:dyDescent="0.25">
      <c r="A144">
        <v>327</v>
      </c>
      <c r="B144">
        <v>139</v>
      </c>
      <c r="C144">
        <v>104</v>
      </c>
      <c r="D144" t="s">
        <v>2299</v>
      </c>
      <c r="E144" t="str">
        <f>IF(NOT(ISERROR(VLOOKUP(D144,'ESO DungeonFinder'!$A$2:$A$999,1,FALSE))),"X","")</f>
        <v/>
      </c>
      <c r="F144" s="70" t="str">
        <f t="shared" si="12"/>
        <v/>
      </c>
      <c r="G144" s="70" t="str">
        <f t="shared" si="13"/>
        <v>Alik'r Desert</v>
      </c>
      <c r="H144" s="70">
        <f t="shared" si="14"/>
        <v>327</v>
      </c>
      <c r="I144" s="70">
        <f t="shared" si="15"/>
        <v>104</v>
      </c>
      <c r="J144">
        <v>0</v>
      </c>
      <c r="K144" s="3" t="str">
        <f>VLOOKUP(J144,ConstDLCIds!$A$4:$B$1000,2,FALSE)</f>
        <v>DLC_BASE_GAME</v>
      </c>
      <c r="L144" s="3" t="str">
        <f>VLOOKUP(J144,ConstDLCIds!$A$4:$C$1000,3,FALSE)</f>
        <v>Included in base game</v>
      </c>
    </row>
    <row r="145" spans="1:12" x14ac:dyDescent="0.25">
      <c r="A145">
        <v>328</v>
      </c>
      <c r="B145">
        <v>140</v>
      </c>
      <c r="C145">
        <v>104</v>
      </c>
      <c r="D145" t="s">
        <v>2300</v>
      </c>
      <c r="E145" t="str">
        <f>IF(NOT(ISERROR(VLOOKUP(D145,'ESO DungeonFinder'!$A$2:$A$999,1,FALSE))),"X","")</f>
        <v/>
      </c>
      <c r="F145" s="70" t="str">
        <f t="shared" si="12"/>
        <v/>
      </c>
      <c r="G145" s="70" t="str">
        <f t="shared" si="13"/>
        <v>Alik'r Desert</v>
      </c>
      <c r="H145" s="70">
        <f t="shared" si="14"/>
        <v>328</v>
      </c>
      <c r="I145" s="70">
        <f t="shared" si="15"/>
        <v>104</v>
      </c>
      <c r="J145">
        <v>0</v>
      </c>
      <c r="K145" s="3" t="str">
        <f>VLOOKUP(J145,ConstDLCIds!$A$4:$B$1000,2,FALSE)</f>
        <v>DLC_BASE_GAME</v>
      </c>
      <c r="L145" s="3" t="str">
        <f>VLOOKUP(J145,ConstDLCIds!$A$4:$C$1000,3,FALSE)</f>
        <v>Included in base game</v>
      </c>
    </row>
    <row r="146" spans="1:12" x14ac:dyDescent="0.25">
      <c r="A146">
        <v>329</v>
      </c>
      <c r="B146">
        <v>141</v>
      </c>
      <c r="C146">
        <v>104</v>
      </c>
      <c r="D146" t="s">
        <v>2301</v>
      </c>
      <c r="E146" t="str">
        <f>IF(NOT(ISERROR(VLOOKUP(D146,'ESO DungeonFinder'!$A$2:$A$999,1,FALSE))),"X","")</f>
        <v/>
      </c>
      <c r="F146" s="70" t="str">
        <f t="shared" si="12"/>
        <v/>
      </c>
      <c r="G146" s="70" t="str">
        <f t="shared" si="13"/>
        <v>Alik'r Desert</v>
      </c>
      <c r="H146" s="70">
        <f t="shared" si="14"/>
        <v>329</v>
      </c>
      <c r="I146" s="70">
        <f t="shared" si="15"/>
        <v>104</v>
      </c>
      <c r="J146">
        <v>0</v>
      </c>
      <c r="K146" s="3" t="str">
        <f>VLOOKUP(J146,ConstDLCIds!$A$4:$B$1000,2,FALSE)</f>
        <v>DLC_BASE_GAME</v>
      </c>
      <c r="L146" s="3" t="str">
        <f>VLOOKUP(J146,ConstDLCIds!$A$4:$C$1000,3,FALSE)</f>
        <v>Included in base game</v>
      </c>
    </row>
    <row r="147" spans="1:12" x14ac:dyDescent="0.25">
      <c r="A147">
        <v>330</v>
      </c>
      <c r="B147">
        <v>142</v>
      </c>
      <c r="C147">
        <v>104</v>
      </c>
      <c r="D147" t="s">
        <v>2302</v>
      </c>
      <c r="E147" t="str">
        <f>IF(NOT(ISERROR(VLOOKUP(D147,'ESO DungeonFinder'!$A$2:$A$999,1,FALSE))),"X","")</f>
        <v/>
      </c>
      <c r="F147" s="70" t="str">
        <f t="shared" si="12"/>
        <v/>
      </c>
      <c r="G147" s="70" t="str">
        <f t="shared" si="13"/>
        <v>Alik'r Desert</v>
      </c>
      <c r="H147" s="70">
        <f t="shared" si="14"/>
        <v>330</v>
      </c>
      <c r="I147" s="70">
        <f t="shared" si="15"/>
        <v>104</v>
      </c>
      <c r="J147">
        <v>0</v>
      </c>
      <c r="K147" s="3" t="str">
        <f>VLOOKUP(J147,ConstDLCIds!$A$4:$B$1000,2,FALSE)</f>
        <v>DLC_BASE_GAME</v>
      </c>
      <c r="L147" s="3" t="str">
        <f>VLOOKUP(J147,ConstDLCIds!$A$4:$C$1000,3,FALSE)</f>
        <v>Included in base game</v>
      </c>
    </row>
    <row r="148" spans="1:12" x14ac:dyDescent="0.25">
      <c r="A148">
        <v>331</v>
      </c>
      <c r="B148">
        <v>143</v>
      </c>
      <c r="C148">
        <v>104</v>
      </c>
      <c r="D148" t="s">
        <v>2303</v>
      </c>
      <c r="E148" t="str">
        <f>IF(NOT(ISERROR(VLOOKUP(D148,'ESO DungeonFinder'!$A$2:$A$999,1,FALSE))),"X","")</f>
        <v/>
      </c>
      <c r="F148" s="70" t="str">
        <f t="shared" si="12"/>
        <v/>
      </c>
      <c r="G148" s="70" t="str">
        <f t="shared" si="13"/>
        <v>Alik'r Desert</v>
      </c>
      <c r="H148" s="70">
        <f t="shared" si="14"/>
        <v>331</v>
      </c>
      <c r="I148" s="70">
        <f t="shared" si="15"/>
        <v>104</v>
      </c>
      <c r="J148">
        <v>0</v>
      </c>
      <c r="K148" s="3" t="str">
        <f>VLOOKUP(J148,ConstDLCIds!$A$4:$B$1000,2,FALSE)</f>
        <v>DLC_BASE_GAME</v>
      </c>
      <c r="L148" s="3" t="str">
        <f>VLOOKUP(J148,ConstDLCIds!$A$4:$C$1000,3,FALSE)</f>
        <v>Included in base game</v>
      </c>
    </row>
    <row r="149" spans="1:12" x14ac:dyDescent="0.25">
      <c r="A149">
        <v>332</v>
      </c>
      <c r="B149">
        <v>144</v>
      </c>
      <c r="C149">
        <v>104</v>
      </c>
      <c r="D149" t="s">
        <v>2304</v>
      </c>
      <c r="E149" t="str">
        <f>IF(NOT(ISERROR(VLOOKUP(D149,'ESO DungeonFinder'!$A$2:$A$999,1,FALSE))),"X","")</f>
        <v/>
      </c>
      <c r="F149" s="70" t="str">
        <f t="shared" si="12"/>
        <v/>
      </c>
      <c r="G149" s="70" t="str">
        <f t="shared" si="13"/>
        <v>Alik'r Desert</v>
      </c>
      <c r="H149" s="70">
        <f t="shared" si="14"/>
        <v>332</v>
      </c>
      <c r="I149" s="70">
        <f t="shared" si="15"/>
        <v>104</v>
      </c>
      <c r="J149">
        <v>0</v>
      </c>
      <c r="K149" s="3" t="str">
        <f>VLOOKUP(J149,ConstDLCIds!$A$4:$B$1000,2,FALSE)</f>
        <v>DLC_BASE_GAME</v>
      </c>
      <c r="L149" s="3" t="str">
        <f>VLOOKUP(J149,ConstDLCIds!$A$4:$C$1000,3,FALSE)</f>
        <v>Included in base game</v>
      </c>
    </row>
    <row r="150" spans="1:12" x14ac:dyDescent="0.25">
      <c r="A150">
        <v>333</v>
      </c>
      <c r="B150">
        <v>145</v>
      </c>
      <c r="C150">
        <v>92</v>
      </c>
      <c r="D150" t="s">
        <v>2305</v>
      </c>
      <c r="E150" t="str">
        <f>IF(NOT(ISERROR(VLOOKUP(D150,'ESO DungeonFinder'!$A$2:$A$999,1,FALSE))),"X","")</f>
        <v/>
      </c>
      <c r="F150" s="70" t="str">
        <f t="shared" si="12"/>
        <v/>
      </c>
      <c r="G150" s="70" t="str">
        <f t="shared" si="13"/>
        <v>Bangkorai</v>
      </c>
      <c r="H150" s="70">
        <f t="shared" si="14"/>
        <v>333</v>
      </c>
      <c r="I150" s="70">
        <f t="shared" si="15"/>
        <v>92</v>
      </c>
      <c r="J150">
        <v>0</v>
      </c>
      <c r="K150" s="3" t="str">
        <f>VLOOKUP(J150,ConstDLCIds!$A$4:$B$1000,2,FALSE)</f>
        <v>DLC_BASE_GAME</v>
      </c>
      <c r="L150" s="3" t="str">
        <f>VLOOKUP(J150,ConstDLCIds!$A$4:$C$1000,3,FALSE)</f>
        <v>Included in base game</v>
      </c>
    </row>
    <row r="151" spans="1:12" x14ac:dyDescent="0.25">
      <c r="A151">
        <v>334</v>
      </c>
      <c r="B151">
        <v>146</v>
      </c>
      <c r="C151">
        <v>92</v>
      </c>
      <c r="D151" t="s">
        <v>2306</v>
      </c>
      <c r="E151" t="str">
        <f>IF(NOT(ISERROR(VLOOKUP(D151,'ESO DungeonFinder'!$A$2:$A$999,1,FALSE))),"X","")</f>
        <v/>
      </c>
      <c r="F151" s="70" t="str">
        <f t="shared" si="12"/>
        <v/>
      </c>
      <c r="G151" s="70" t="str">
        <f t="shared" si="13"/>
        <v>Bangkorai</v>
      </c>
      <c r="H151" s="70">
        <f t="shared" si="14"/>
        <v>334</v>
      </c>
      <c r="I151" s="70">
        <f t="shared" si="15"/>
        <v>92</v>
      </c>
      <c r="J151">
        <v>0</v>
      </c>
      <c r="K151" s="3" t="str">
        <f>VLOOKUP(J151,ConstDLCIds!$A$4:$B$1000,2,FALSE)</f>
        <v>DLC_BASE_GAME</v>
      </c>
      <c r="L151" s="3" t="str">
        <f>VLOOKUP(J151,ConstDLCIds!$A$4:$C$1000,3,FALSE)</f>
        <v>Included in base game</v>
      </c>
    </row>
    <row r="152" spans="1:12" x14ac:dyDescent="0.25">
      <c r="A152">
        <v>335</v>
      </c>
      <c r="B152">
        <v>147</v>
      </c>
      <c r="C152">
        <v>92</v>
      </c>
      <c r="D152" t="s">
        <v>2307</v>
      </c>
      <c r="E152" t="str">
        <f>IF(NOT(ISERROR(VLOOKUP(D152,'ESO DungeonFinder'!$A$2:$A$999,1,FALSE))),"X","")</f>
        <v/>
      </c>
      <c r="F152" s="70" t="str">
        <f t="shared" si="12"/>
        <v/>
      </c>
      <c r="G152" s="70" t="str">
        <f t="shared" si="13"/>
        <v>Bangkorai</v>
      </c>
      <c r="H152" s="70">
        <f t="shared" si="14"/>
        <v>335</v>
      </c>
      <c r="I152" s="70">
        <f t="shared" si="15"/>
        <v>92</v>
      </c>
      <c r="J152">
        <v>0</v>
      </c>
      <c r="K152" s="3" t="str">
        <f>VLOOKUP(J152,ConstDLCIds!$A$4:$B$1000,2,FALSE)</f>
        <v>DLC_BASE_GAME</v>
      </c>
      <c r="L152" s="3" t="str">
        <f>VLOOKUP(J152,ConstDLCIds!$A$4:$C$1000,3,FALSE)</f>
        <v>Included in base game</v>
      </c>
    </row>
    <row r="153" spans="1:12" x14ac:dyDescent="0.25">
      <c r="A153">
        <v>336</v>
      </c>
      <c r="B153">
        <v>148</v>
      </c>
      <c r="C153">
        <v>92</v>
      </c>
      <c r="D153" t="s">
        <v>2308</v>
      </c>
      <c r="E153" t="str">
        <f>IF(NOT(ISERROR(VLOOKUP(D153,'ESO DungeonFinder'!$A$2:$A$999,1,FALSE))),"X","")</f>
        <v/>
      </c>
      <c r="F153" s="70" t="str">
        <f t="shared" si="12"/>
        <v/>
      </c>
      <c r="G153" s="70" t="str">
        <f t="shared" si="13"/>
        <v>Bangkorai</v>
      </c>
      <c r="H153" s="70">
        <f t="shared" si="14"/>
        <v>336</v>
      </c>
      <c r="I153" s="70">
        <f t="shared" si="15"/>
        <v>92</v>
      </c>
      <c r="J153">
        <v>0</v>
      </c>
      <c r="K153" s="3" t="str">
        <f>VLOOKUP(J153,ConstDLCIds!$A$4:$B$1000,2,FALSE)</f>
        <v>DLC_BASE_GAME</v>
      </c>
      <c r="L153" s="3" t="str">
        <f>VLOOKUP(J153,ConstDLCIds!$A$4:$C$1000,3,FALSE)</f>
        <v>Included in base game</v>
      </c>
    </row>
    <row r="154" spans="1:12" x14ac:dyDescent="0.25">
      <c r="A154">
        <v>337</v>
      </c>
      <c r="B154">
        <v>149</v>
      </c>
      <c r="C154">
        <v>92</v>
      </c>
      <c r="D154" t="s">
        <v>2309</v>
      </c>
      <c r="E154" t="str">
        <f>IF(NOT(ISERROR(VLOOKUP(D154,'ESO DungeonFinder'!$A$2:$A$999,1,FALSE))),"X","")</f>
        <v/>
      </c>
      <c r="F154" s="70" t="str">
        <f t="shared" si="12"/>
        <v/>
      </c>
      <c r="G154" s="70" t="str">
        <f t="shared" si="13"/>
        <v>Bangkorai</v>
      </c>
      <c r="H154" s="70">
        <f t="shared" si="14"/>
        <v>337</v>
      </c>
      <c r="I154" s="70">
        <f t="shared" si="15"/>
        <v>92</v>
      </c>
      <c r="J154">
        <v>0</v>
      </c>
      <c r="K154" s="3" t="str">
        <f>VLOOKUP(J154,ConstDLCIds!$A$4:$B$1000,2,FALSE)</f>
        <v>DLC_BASE_GAME</v>
      </c>
      <c r="L154" s="3" t="str">
        <f>VLOOKUP(J154,ConstDLCIds!$A$4:$C$1000,3,FALSE)</f>
        <v>Included in base game</v>
      </c>
    </row>
    <row r="155" spans="1:12" x14ac:dyDescent="0.25">
      <c r="A155">
        <v>338</v>
      </c>
      <c r="B155">
        <v>150</v>
      </c>
      <c r="C155">
        <v>92</v>
      </c>
      <c r="D155" t="s">
        <v>2310</v>
      </c>
      <c r="E155" t="str">
        <f>IF(NOT(ISERROR(VLOOKUP(D155,'ESO DungeonFinder'!$A$2:$A$999,1,FALSE))),"X","")</f>
        <v/>
      </c>
      <c r="F155" s="70" t="str">
        <f t="shared" si="12"/>
        <v/>
      </c>
      <c r="G155" s="70" t="str">
        <f t="shared" si="13"/>
        <v>Bangkorai</v>
      </c>
      <c r="H155" s="70">
        <f t="shared" si="14"/>
        <v>338</v>
      </c>
      <c r="I155" s="70">
        <f t="shared" si="15"/>
        <v>92</v>
      </c>
      <c r="J155">
        <v>0</v>
      </c>
      <c r="K155" s="3" t="str">
        <f>VLOOKUP(J155,ConstDLCIds!$A$4:$B$1000,2,FALSE)</f>
        <v>DLC_BASE_GAME</v>
      </c>
      <c r="L155" s="3" t="str">
        <f>VLOOKUP(J155,ConstDLCIds!$A$4:$C$1000,3,FALSE)</f>
        <v>Included in base game</v>
      </c>
    </row>
    <row r="156" spans="1:12" x14ac:dyDescent="0.25">
      <c r="A156">
        <v>339</v>
      </c>
      <c r="B156">
        <v>151</v>
      </c>
      <c r="C156">
        <v>101</v>
      </c>
      <c r="D156" t="s">
        <v>2182</v>
      </c>
      <c r="E156" t="str">
        <f>IF(NOT(ISERROR(VLOOKUP(D156,'ESO DungeonFinder'!$A$2:$A$999,1,FALSE))),"X","")</f>
        <v/>
      </c>
      <c r="F156" s="70" t="str">
        <f t="shared" si="12"/>
        <v/>
      </c>
      <c r="G156" s="70" t="str">
        <f t="shared" si="13"/>
        <v>Eastmarch</v>
      </c>
      <c r="H156" s="70">
        <f t="shared" si="14"/>
        <v>339</v>
      </c>
      <c r="I156" s="70">
        <f t="shared" si="15"/>
        <v>101</v>
      </c>
      <c r="J156">
        <v>0</v>
      </c>
      <c r="K156" s="3" t="str">
        <f>VLOOKUP(J156,ConstDLCIds!$A$4:$B$1000,2,FALSE)</f>
        <v>DLC_BASE_GAME</v>
      </c>
      <c r="L156" s="3" t="str">
        <f>VLOOKUP(J156,ConstDLCIds!$A$4:$C$1000,3,FALSE)</f>
        <v>Included in base game</v>
      </c>
    </row>
    <row r="157" spans="1:12" x14ac:dyDescent="0.25">
      <c r="A157">
        <v>341</v>
      </c>
      <c r="B157">
        <v>152</v>
      </c>
      <c r="C157">
        <v>103</v>
      </c>
      <c r="D157" t="s">
        <v>2183</v>
      </c>
      <c r="E157" t="str">
        <f>IF(NOT(ISERROR(VLOOKUP(D157,'ESO DungeonFinder'!$A$2:$A$999,1,FALSE))),"X","")</f>
        <v/>
      </c>
      <c r="F157" s="70" t="str">
        <f t="shared" si="12"/>
        <v/>
      </c>
      <c r="G157" s="70" t="str">
        <f t="shared" si="13"/>
        <v>The Rift</v>
      </c>
      <c r="H157" s="70">
        <f t="shared" si="14"/>
        <v>341</v>
      </c>
      <c r="I157" s="70">
        <f t="shared" si="15"/>
        <v>103</v>
      </c>
      <c r="J157">
        <v>0</v>
      </c>
      <c r="K157" s="3" t="str">
        <f>VLOOKUP(J157,ConstDLCIds!$A$4:$B$1000,2,FALSE)</f>
        <v>DLC_BASE_GAME</v>
      </c>
      <c r="L157" s="3" t="str">
        <f>VLOOKUP(J157,ConstDLCIds!$A$4:$C$1000,3,FALSE)</f>
        <v>Included in base game</v>
      </c>
    </row>
    <row r="158" spans="1:12" x14ac:dyDescent="0.25">
      <c r="A158">
        <v>346</v>
      </c>
      <c r="B158">
        <v>153</v>
      </c>
      <c r="C158">
        <v>101</v>
      </c>
      <c r="D158" t="s">
        <v>2311</v>
      </c>
      <c r="E158" t="str">
        <f>IF(NOT(ISERROR(VLOOKUP(D158,'ESO DungeonFinder'!$A$2:$A$999,1,FALSE))),"X","")</f>
        <v/>
      </c>
      <c r="F158" s="70" t="str">
        <f t="shared" si="12"/>
        <v/>
      </c>
      <c r="G158" s="70" t="str">
        <f t="shared" si="13"/>
        <v>Eastmarch</v>
      </c>
      <c r="H158" s="70">
        <f t="shared" si="14"/>
        <v>346</v>
      </c>
      <c r="I158" s="70">
        <f t="shared" si="15"/>
        <v>101</v>
      </c>
      <c r="J158">
        <v>0</v>
      </c>
      <c r="K158" s="3" t="str">
        <f>VLOOKUP(J158,ConstDLCIds!$A$4:$B$1000,2,FALSE)</f>
        <v>DLC_BASE_GAME</v>
      </c>
      <c r="L158" s="3" t="str">
        <f>VLOOKUP(J158,ConstDLCIds!$A$4:$C$1000,3,FALSE)</f>
        <v>Included in base game</v>
      </c>
    </row>
    <row r="159" spans="1:12" x14ac:dyDescent="0.25">
      <c r="A159">
        <v>347</v>
      </c>
      <c r="B159">
        <v>154</v>
      </c>
      <c r="C159">
        <v>347</v>
      </c>
      <c r="D159" t="s">
        <v>423</v>
      </c>
      <c r="E159" t="str">
        <f>IF(NOT(ISERROR(VLOOKUP(D159,'ESO DungeonFinder'!$A$2:$A$999,1,FALSE))),"X","")</f>
        <v/>
      </c>
      <c r="F159" s="70" t="str">
        <f t="shared" si="12"/>
        <v>X</v>
      </c>
      <c r="G159" s="70" t="str">
        <f t="shared" si="13"/>
        <v/>
      </c>
      <c r="H159" s="70">
        <f t="shared" si="14"/>
        <v>347</v>
      </c>
      <c r="I159" s="70">
        <f t="shared" si="15"/>
        <v>347</v>
      </c>
      <c r="J159">
        <v>0</v>
      </c>
      <c r="K159" s="3" t="str">
        <f>VLOOKUP(J159,ConstDLCIds!$A$4:$B$1000,2,FALSE)</f>
        <v>DLC_BASE_GAME</v>
      </c>
      <c r="L159" s="3" t="str">
        <f>VLOOKUP(J159,ConstDLCIds!$A$4:$C$1000,3,FALSE)</f>
        <v>Included in base game</v>
      </c>
    </row>
    <row r="160" spans="1:12" x14ac:dyDescent="0.25">
      <c r="A160">
        <v>353</v>
      </c>
      <c r="B160">
        <v>155</v>
      </c>
      <c r="C160">
        <v>101</v>
      </c>
      <c r="D160" t="s">
        <v>2312</v>
      </c>
      <c r="E160" t="str">
        <f>IF(NOT(ISERROR(VLOOKUP(D160,'ESO DungeonFinder'!$A$2:$A$999,1,FALSE))),"X","")</f>
        <v/>
      </c>
      <c r="F160" s="70" t="str">
        <f t="shared" si="12"/>
        <v/>
      </c>
      <c r="G160" s="70" t="str">
        <f t="shared" si="13"/>
        <v>Eastmarch</v>
      </c>
      <c r="H160" s="70">
        <f t="shared" si="14"/>
        <v>353</v>
      </c>
      <c r="I160" s="70">
        <f t="shared" si="15"/>
        <v>101</v>
      </c>
      <c r="J160">
        <v>0</v>
      </c>
      <c r="K160" s="3" t="str">
        <f>VLOOKUP(J160,ConstDLCIds!$A$4:$B$1000,2,FALSE)</f>
        <v>DLC_BASE_GAME</v>
      </c>
      <c r="L160" s="3" t="str">
        <f>VLOOKUP(J160,ConstDLCIds!$A$4:$C$1000,3,FALSE)</f>
        <v>Included in base game</v>
      </c>
    </row>
    <row r="161" spans="1:12" x14ac:dyDescent="0.25">
      <c r="A161">
        <v>354</v>
      </c>
      <c r="B161">
        <v>156</v>
      </c>
      <c r="C161">
        <v>101</v>
      </c>
      <c r="D161" t="s">
        <v>2313</v>
      </c>
      <c r="E161" t="str">
        <f>IF(NOT(ISERROR(VLOOKUP(D161,'ESO DungeonFinder'!$A$2:$A$999,1,FALSE))),"X","")</f>
        <v/>
      </c>
      <c r="F161" s="70" t="str">
        <f t="shared" si="12"/>
        <v/>
      </c>
      <c r="G161" s="70" t="str">
        <f t="shared" si="13"/>
        <v>Eastmarch</v>
      </c>
      <c r="H161" s="70">
        <f t="shared" si="14"/>
        <v>354</v>
      </c>
      <c r="I161" s="70">
        <f t="shared" si="15"/>
        <v>101</v>
      </c>
      <c r="J161">
        <v>0</v>
      </c>
      <c r="K161" s="3" t="str">
        <f>VLOOKUP(J161,ConstDLCIds!$A$4:$B$1000,2,FALSE)</f>
        <v>DLC_BASE_GAME</v>
      </c>
      <c r="L161" s="3" t="str">
        <f>VLOOKUP(J161,ConstDLCIds!$A$4:$C$1000,3,FALSE)</f>
        <v>Included in base game</v>
      </c>
    </row>
    <row r="162" spans="1:12" x14ac:dyDescent="0.25">
      <c r="A162">
        <v>359</v>
      </c>
      <c r="B162">
        <v>157</v>
      </c>
      <c r="C162">
        <v>101</v>
      </c>
      <c r="D162" t="s">
        <v>2314</v>
      </c>
      <c r="E162" t="str">
        <f>IF(NOT(ISERROR(VLOOKUP(D162,'ESO DungeonFinder'!$A$2:$A$999,1,FALSE))),"X","")</f>
        <v/>
      </c>
      <c r="F162" s="70" t="str">
        <f t="shared" si="12"/>
        <v/>
      </c>
      <c r="G162" s="70" t="str">
        <f t="shared" si="13"/>
        <v>Eastmarch</v>
      </c>
      <c r="H162" s="70">
        <f t="shared" si="14"/>
        <v>359</v>
      </c>
      <c r="I162" s="70">
        <f t="shared" si="15"/>
        <v>101</v>
      </c>
      <c r="J162">
        <v>0</v>
      </c>
      <c r="K162" s="3" t="str">
        <f>VLOOKUP(J162,ConstDLCIds!$A$4:$B$1000,2,FALSE)</f>
        <v>DLC_BASE_GAME</v>
      </c>
      <c r="L162" s="3" t="str">
        <f>VLOOKUP(J162,ConstDLCIds!$A$4:$C$1000,3,FALSE)</f>
        <v>Included in base game</v>
      </c>
    </row>
    <row r="163" spans="1:12" x14ac:dyDescent="0.25">
      <c r="A163">
        <v>360</v>
      </c>
      <c r="B163">
        <v>158</v>
      </c>
      <c r="C163">
        <v>101</v>
      </c>
      <c r="D163" t="s">
        <v>2315</v>
      </c>
      <c r="E163" t="str">
        <f>IF(NOT(ISERROR(VLOOKUP(D163,'ESO DungeonFinder'!$A$2:$A$999,1,FALSE))),"X","")</f>
        <v/>
      </c>
      <c r="F163" s="70" t="str">
        <f t="shared" si="12"/>
        <v/>
      </c>
      <c r="G163" s="70" t="str">
        <f t="shared" si="13"/>
        <v>Eastmarch</v>
      </c>
      <c r="H163" s="70">
        <f t="shared" si="14"/>
        <v>360</v>
      </c>
      <c r="I163" s="70">
        <f t="shared" si="15"/>
        <v>101</v>
      </c>
      <c r="J163">
        <v>0</v>
      </c>
      <c r="K163" s="3" t="str">
        <f>VLOOKUP(J163,ConstDLCIds!$A$4:$B$1000,2,FALSE)</f>
        <v>DLC_BASE_GAME</v>
      </c>
      <c r="L163" s="3" t="str">
        <f>VLOOKUP(J163,ConstDLCIds!$A$4:$C$1000,3,FALSE)</f>
        <v>Included in base game</v>
      </c>
    </row>
    <row r="164" spans="1:12" x14ac:dyDescent="0.25">
      <c r="A164">
        <v>361</v>
      </c>
      <c r="B164">
        <v>159</v>
      </c>
      <c r="C164">
        <v>101</v>
      </c>
      <c r="D164" t="s">
        <v>2316</v>
      </c>
      <c r="E164" t="str">
        <f>IF(NOT(ISERROR(VLOOKUP(D164,'ESO DungeonFinder'!$A$2:$A$999,1,FALSE))),"X","")</f>
        <v/>
      </c>
      <c r="F164" s="70" t="str">
        <f t="shared" si="12"/>
        <v/>
      </c>
      <c r="G164" s="70" t="str">
        <f t="shared" si="13"/>
        <v>Eastmarch</v>
      </c>
      <c r="H164" s="70">
        <f t="shared" si="14"/>
        <v>361</v>
      </c>
      <c r="I164" s="70">
        <f t="shared" si="15"/>
        <v>101</v>
      </c>
      <c r="J164">
        <v>0</v>
      </c>
      <c r="K164" s="3" t="str">
        <f>VLOOKUP(J164,ConstDLCIds!$A$4:$B$1000,2,FALSE)</f>
        <v>DLC_BASE_GAME</v>
      </c>
      <c r="L164" s="3" t="str">
        <f>VLOOKUP(J164,ConstDLCIds!$A$4:$C$1000,3,FALSE)</f>
        <v>Included in base game</v>
      </c>
    </row>
    <row r="165" spans="1:12" x14ac:dyDescent="0.25">
      <c r="A165">
        <v>362</v>
      </c>
      <c r="B165">
        <v>160</v>
      </c>
      <c r="C165">
        <v>101</v>
      </c>
      <c r="D165" t="s">
        <v>2317</v>
      </c>
      <c r="E165" t="str">
        <f>IF(NOT(ISERROR(VLOOKUP(D165,'ESO DungeonFinder'!$A$2:$A$999,1,FALSE))),"X","")</f>
        <v/>
      </c>
      <c r="F165" s="70" t="str">
        <f t="shared" si="12"/>
        <v/>
      </c>
      <c r="G165" s="70" t="str">
        <f t="shared" si="13"/>
        <v>Eastmarch</v>
      </c>
      <c r="H165" s="70">
        <f t="shared" si="14"/>
        <v>362</v>
      </c>
      <c r="I165" s="70">
        <f t="shared" si="15"/>
        <v>101</v>
      </c>
      <c r="J165">
        <v>0</v>
      </c>
      <c r="K165" s="3" t="str">
        <f>VLOOKUP(J165,ConstDLCIds!$A$4:$B$1000,2,FALSE)</f>
        <v>DLC_BASE_GAME</v>
      </c>
      <c r="L165" s="3" t="str">
        <f>VLOOKUP(J165,ConstDLCIds!$A$4:$C$1000,3,FALSE)</f>
        <v>Included in base game</v>
      </c>
    </row>
    <row r="166" spans="1:12" x14ac:dyDescent="0.25">
      <c r="A166">
        <v>363</v>
      </c>
      <c r="B166">
        <v>161</v>
      </c>
      <c r="C166">
        <v>101</v>
      </c>
      <c r="D166" t="s">
        <v>2318</v>
      </c>
      <c r="E166" t="str">
        <f>IF(NOT(ISERROR(VLOOKUP(D166,'ESO DungeonFinder'!$A$2:$A$999,1,FALSE))),"X","")</f>
        <v/>
      </c>
      <c r="F166" s="70" t="str">
        <f t="shared" si="12"/>
        <v/>
      </c>
      <c r="G166" s="70" t="str">
        <f t="shared" si="13"/>
        <v>Eastmarch</v>
      </c>
      <c r="H166" s="70">
        <f t="shared" si="14"/>
        <v>363</v>
      </c>
      <c r="I166" s="70">
        <f t="shared" si="15"/>
        <v>101</v>
      </c>
      <c r="J166">
        <v>0</v>
      </c>
      <c r="K166" s="3" t="str">
        <f>VLOOKUP(J166,ConstDLCIds!$A$4:$B$1000,2,FALSE)</f>
        <v>DLC_BASE_GAME</v>
      </c>
      <c r="L166" s="3" t="str">
        <f>VLOOKUP(J166,ConstDLCIds!$A$4:$C$1000,3,FALSE)</f>
        <v>Included in base game</v>
      </c>
    </row>
    <row r="167" spans="1:12" x14ac:dyDescent="0.25">
      <c r="A167">
        <v>364</v>
      </c>
      <c r="B167">
        <v>162</v>
      </c>
      <c r="C167">
        <v>101</v>
      </c>
      <c r="D167" t="s">
        <v>2319</v>
      </c>
      <c r="E167" t="str">
        <f>IF(NOT(ISERROR(VLOOKUP(D167,'ESO DungeonFinder'!$A$2:$A$999,1,FALSE))),"X","")</f>
        <v/>
      </c>
      <c r="F167" s="70" t="str">
        <f t="shared" si="12"/>
        <v/>
      </c>
      <c r="G167" s="70" t="str">
        <f t="shared" si="13"/>
        <v>Eastmarch</v>
      </c>
      <c r="H167" s="70">
        <f t="shared" si="14"/>
        <v>364</v>
      </c>
      <c r="I167" s="70">
        <f t="shared" si="15"/>
        <v>101</v>
      </c>
      <c r="J167">
        <v>0</v>
      </c>
      <c r="K167" s="3" t="str">
        <f>VLOOKUP(J167,ConstDLCIds!$A$4:$B$1000,2,FALSE)</f>
        <v>DLC_BASE_GAME</v>
      </c>
      <c r="L167" s="3" t="str">
        <f>VLOOKUP(J167,ConstDLCIds!$A$4:$C$1000,3,FALSE)</f>
        <v>Included in base game</v>
      </c>
    </row>
    <row r="168" spans="1:12" x14ac:dyDescent="0.25">
      <c r="A168">
        <v>365</v>
      </c>
      <c r="B168">
        <v>163</v>
      </c>
      <c r="C168">
        <v>347</v>
      </c>
      <c r="D168" t="s">
        <v>2320</v>
      </c>
      <c r="E168" t="str">
        <f>IF(NOT(ISERROR(VLOOKUP(D168,'ESO DungeonFinder'!$A$2:$A$999,1,FALSE))),"X","")</f>
        <v/>
      </c>
      <c r="F168" s="70" t="str">
        <f t="shared" si="12"/>
        <v/>
      </c>
      <c r="G168" s="70" t="str">
        <f t="shared" si="13"/>
        <v>Coldharbour</v>
      </c>
      <c r="H168" s="70">
        <f t="shared" si="14"/>
        <v>365</v>
      </c>
      <c r="I168" s="70">
        <f t="shared" si="15"/>
        <v>347</v>
      </c>
      <c r="J168">
        <v>0</v>
      </c>
      <c r="K168" s="3" t="str">
        <f>VLOOKUP(J168,ConstDLCIds!$A$4:$B$1000,2,FALSE)</f>
        <v>DLC_BASE_GAME</v>
      </c>
      <c r="L168" s="3" t="str">
        <f>VLOOKUP(J168,ConstDLCIds!$A$4:$C$1000,3,FALSE)</f>
        <v>Included in base game</v>
      </c>
    </row>
    <row r="169" spans="1:12" x14ac:dyDescent="0.25">
      <c r="A169">
        <v>366</v>
      </c>
      <c r="B169">
        <v>164</v>
      </c>
      <c r="C169">
        <v>347</v>
      </c>
      <c r="D169" t="s">
        <v>2321</v>
      </c>
      <c r="E169" t="str">
        <f>IF(NOT(ISERROR(VLOOKUP(D169,'ESO DungeonFinder'!$A$2:$A$999,1,FALSE))),"X","")</f>
        <v/>
      </c>
      <c r="F169" s="70" t="str">
        <f t="shared" si="12"/>
        <v/>
      </c>
      <c r="G169" s="70" t="str">
        <f t="shared" si="13"/>
        <v>Coldharbour</v>
      </c>
      <c r="H169" s="70">
        <f t="shared" si="14"/>
        <v>366</v>
      </c>
      <c r="I169" s="70">
        <f t="shared" si="15"/>
        <v>347</v>
      </c>
      <c r="J169">
        <v>0</v>
      </c>
      <c r="K169" s="3" t="str">
        <f>VLOOKUP(J169,ConstDLCIds!$A$4:$B$1000,2,FALSE)</f>
        <v>DLC_BASE_GAME</v>
      </c>
      <c r="L169" s="3" t="str">
        <f>VLOOKUP(J169,ConstDLCIds!$A$4:$C$1000,3,FALSE)</f>
        <v>Included in base game</v>
      </c>
    </row>
    <row r="170" spans="1:12" x14ac:dyDescent="0.25">
      <c r="A170">
        <v>367</v>
      </c>
      <c r="B170">
        <v>165</v>
      </c>
      <c r="C170">
        <v>347</v>
      </c>
      <c r="D170" t="s">
        <v>2322</v>
      </c>
      <c r="E170" t="str">
        <f>IF(NOT(ISERROR(VLOOKUP(D170,'ESO DungeonFinder'!$A$2:$A$999,1,FALSE))),"X","")</f>
        <v/>
      </c>
      <c r="F170" s="70" t="str">
        <f t="shared" si="12"/>
        <v/>
      </c>
      <c r="G170" s="70" t="str">
        <f t="shared" si="13"/>
        <v>Coldharbour</v>
      </c>
      <c r="H170" s="70">
        <f t="shared" si="14"/>
        <v>367</v>
      </c>
      <c r="I170" s="70">
        <f t="shared" si="15"/>
        <v>347</v>
      </c>
      <c r="J170">
        <v>0</v>
      </c>
      <c r="K170" s="3" t="str">
        <f>VLOOKUP(J170,ConstDLCIds!$A$4:$B$1000,2,FALSE)</f>
        <v>DLC_BASE_GAME</v>
      </c>
      <c r="L170" s="3" t="str">
        <f>VLOOKUP(J170,ConstDLCIds!$A$4:$C$1000,3,FALSE)</f>
        <v>Included in base game</v>
      </c>
    </row>
    <row r="171" spans="1:12" x14ac:dyDescent="0.25">
      <c r="A171">
        <v>368</v>
      </c>
      <c r="B171">
        <v>166</v>
      </c>
      <c r="C171">
        <v>347</v>
      </c>
      <c r="D171" t="s">
        <v>2323</v>
      </c>
      <c r="E171" t="str">
        <f>IF(NOT(ISERROR(VLOOKUP(D171,'ESO DungeonFinder'!$A$2:$A$999,1,FALSE))),"X","")</f>
        <v/>
      </c>
      <c r="F171" s="70" t="str">
        <f t="shared" si="12"/>
        <v/>
      </c>
      <c r="G171" s="70" t="str">
        <f t="shared" si="13"/>
        <v>Coldharbour</v>
      </c>
      <c r="H171" s="70">
        <f t="shared" si="14"/>
        <v>368</v>
      </c>
      <c r="I171" s="70">
        <f t="shared" si="15"/>
        <v>347</v>
      </c>
      <c r="J171">
        <v>0</v>
      </c>
      <c r="K171" s="3" t="str">
        <f>VLOOKUP(J171,ConstDLCIds!$A$4:$B$1000,2,FALSE)</f>
        <v>DLC_BASE_GAME</v>
      </c>
      <c r="L171" s="3" t="str">
        <f>VLOOKUP(J171,ConstDLCIds!$A$4:$C$1000,3,FALSE)</f>
        <v>Included in base game</v>
      </c>
    </row>
    <row r="172" spans="1:12" x14ac:dyDescent="0.25">
      <c r="A172">
        <v>369</v>
      </c>
      <c r="B172">
        <v>167</v>
      </c>
      <c r="C172">
        <v>347</v>
      </c>
      <c r="D172" t="s">
        <v>2324</v>
      </c>
      <c r="E172" t="str">
        <f>IF(NOT(ISERROR(VLOOKUP(D172,'ESO DungeonFinder'!$A$2:$A$999,1,FALSE))),"X","")</f>
        <v/>
      </c>
      <c r="F172" s="70" t="str">
        <f t="shared" si="12"/>
        <v/>
      </c>
      <c r="G172" s="70" t="str">
        <f t="shared" si="13"/>
        <v>Coldharbour</v>
      </c>
      <c r="H172" s="70">
        <f t="shared" si="14"/>
        <v>369</v>
      </c>
      <c r="I172" s="70">
        <f t="shared" si="15"/>
        <v>347</v>
      </c>
      <c r="J172">
        <v>0</v>
      </c>
      <c r="K172" s="3" t="str">
        <f>VLOOKUP(J172,ConstDLCIds!$A$4:$B$1000,2,FALSE)</f>
        <v>DLC_BASE_GAME</v>
      </c>
      <c r="L172" s="3" t="str">
        <f>VLOOKUP(J172,ConstDLCIds!$A$4:$C$1000,3,FALSE)</f>
        <v>Included in base game</v>
      </c>
    </row>
    <row r="173" spans="1:12" x14ac:dyDescent="0.25">
      <c r="A173">
        <v>370</v>
      </c>
      <c r="B173">
        <v>168</v>
      </c>
      <c r="C173">
        <v>347</v>
      </c>
      <c r="D173" t="s">
        <v>2325</v>
      </c>
      <c r="E173" t="str">
        <f>IF(NOT(ISERROR(VLOOKUP(D173,'ESO DungeonFinder'!$A$2:$A$999,1,FALSE))),"X","")</f>
        <v/>
      </c>
      <c r="F173" s="70" t="str">
        <f t="shared" si="12"/>
        <v/>
      </c>
      <c r="G173" s="70" t="str">
        <f t="shared" si="13"/>
        <v>Coldharbour</v>
      </c>
      <c r="H173" s="70">
        <f t="shared" si="14"/>
        <v>370</v>
      </c>
      <c r="I173" s="70">
        <f t="shared" si="15"/>
        <v>347</v>
      </c>
      <c r="J173">
        <v>0</v>
      </c>
      <c r="K173" s="3" t="str">
        <f>VLOOKUP(J173,ConstDLCIds!$A$4:$B$1000,2,FALSE)</f>
        <v>DLC_BASE_GAME</v>
      </c>
      <c r="L173" s="3" t="str">
        <f>VLOOKUP(J173,ConstDLCIds!$A$4:$C$1000,3,FALSE)</f>
        <v>Included in base game</v>
      </c>
    </row>
    <row r="174" spans="1:12" x14ac:dyDescent="0.25">
      <c r="A174">
        <v>371</v>
      </c>
      <c r="B174">
        <v>169</v>
      </c>
      <c r="C174">
        <v>347</v>
      </c>
      <c r="D174" t="s">
        <v>2326</v>
      </c>
      <c r="E174" t="str">
        <f>IF(NOT(ISERROR(VLOOKUP(D174,'ESO DungeonFinder'!$A$2:$A$999,1,FALSE))),"X","")</f>
        <v/>
      </c>
      <c r="F174" s="70" t="str">
        <f t="shared" si="12"/>
        <v/>
      </c>
      <c r="G174" s="70" t="str">
        <f t="shared" si="13"/>
        <v>Coldharbour</v>
      </c>
      <c r="H174" s="70">
        <f t="shared" si="14"/>
        <v>371</v>
      </c>
      <c r="I174" s="70">
        <f t="shared" si="15"/>
        <v>347</v>
      </c>
      <c r="J174">
        <v>0</v>
      </c>
      <c r="K174" s="3" t="str">
        <f>VLOOKUP(J174,ConstDLCIds!$A$4:$B$1000,2,FALSE)</f>
        <v>DLC_BASE_GAME</v>
      </c>
      <c r="L174" s="3" t="str">
        <f>VLOOKUP(J174,ConstDLCIds!$A$4:$C$1000,3,FALSE)</f>
        <v>Included in base game</v>
      </c>
    </row>
    <row r="175" spans="1:12" x14ac:dyDescent="0.25">
      <c r="A175">
        <v>372</v>
      </c>
      <c r="B175">
        <v>170</v>
      </c>
      <c r="C175">
        <v>347</v>
      </c>
      <c r="D175" t="s">
        <v>2327</v>
      </c>
      <c r="E175" t="str">
        <f>IF(NOT(ISERROR(VLOOKUP(D175,'ESO DungeonFinder'!$A$2:$A$999,1,FALSE))),"X","")</f>
        <v/>
      </c>
      <c r="F175" s="70" t="str">
        <f t="shared" si="12"/>
        <v/>
      </c>
      <c r="G175" s="70" t="str">
        <f t="shared" si="13"/>
        <v>Coldharbour</v>
      </c>
      <c r="H175" s="70">
        <f t="shared" si="14"/>
        <v>372</v>
      </c>
      <c r="I175" s="70">
        <f t="shared" si="15"/>
        <v>347</v>
      </c>
      <c r="J175">
        <v>0</v>
      </c>
      <c r="K175" s="3" t="str">
        <f>VLOOKUP(J175,ConstDLCIds!$A$4:$B$1000,2,FALSE)</f>
        <v>DLC_BASE_GAME</v>
      </c>
      <c r="L175" s="3" t="str">
        <f>VLOOKUP(J175,ConstDLCIds!$A$4:$C$1000,3,FALSE)</f>
        <v>Included in base game</v>
      </c>
    </row>
    <row r="176" spans="1:12" x14ac:dyDescent="0.25">
      <c r="A176">
        <v>374</v>
      </c>
      <c r="B176">
        <v>171</v>
      </c>
      <c r="C176">
        <v>347</v>
      </c>
      <c r="D176" t="s">
        <v>2328</v>
      </c>
      <c r="E176" t="str">
        <f>IF(NOT(ISERROR(VLOOKUP(D176,'ESO DungeonFinder'!$A$2:$A$999,1,FALSE))),"X","")</f>
        <v/>
      </c>
      <c r="F176" s="70" t="str">
        <f t="shared" si="12"/>
        <v/>
      </c>
      <c r="G176" s="70" t="str">
        <f t="shared" si="13"/>
        <v>Coldharbour</v>
      </c>
      <c r="H176" s="70">
        <f t="shared" si="14"/>
        <v>374</v>
      </c>
      <c r="I176" s="70">
        <f t="shared" si="15"/>
        <v>347</v>
      </c>
      <c r="J176">
        <v>0</v>
      </c>
      <c r="K176" s="3" t="str">
        <f>VLOOKUP(J176,ConstDLCIds!$A$4:$B$1000,2,FALSE)</f>
        <v>DLC_BASE_GAME</v>
      </c>
      <c r="L176" s="3" t="str">
        <f>VLOOKUP(J176,ConstDLCIds!$A$4:$C$1000,3,FALSE)</f>
        <v>Included in base game</v>
      </c>
    </row>
    <row r="177" spans="1:12" x14ac:dyDescent="0.25">
      <c r="A177">
        <v>375</v>
      </c>
      <c r="B177">
        <v>172</v>
      </c>
      <c r="C177">
        <v>347</v>
      </c>
      <c r="D177" t="s">
        <v>2329</v>
      </c>
      <c r="E177" t="str">
        <f>IF(NOT(ISERROR(VLOOKUP(D177,'ESO DungeonFinder'!$A$2:$A$999,1,FALSE))),"X","")</f>
        <v/>
      </c>
      <c r="F177" s="70" t="str">
        <f t="shared" si="12"/>
        <v/>
      </c>
      <c r="G177" s="70" t="str">
        <f t="shared" si="13"/>
        <v>Coldharbour</v>
      </c>
      <c r="H177" s="70">
        <f t="shared" si="14"/>
        <v>375</v>
      </c>
      <c r="I177" s="70">
        <f t="shared" si="15"/>
        <v>347</v>
      </c>
      <c r="J177">
        <v>0</v>
      </c>
      <c r="K177" s="3" t="str">
        <f>VLOOKUP(J177,ConstDLCIds!$A$4:$B$1000,2,FALSE)</f>
        <v>DLC_BASE_GAME</v>
      </c>
      <c r="L177" s="3" t="str">
        <f>VLOOKUP(J177,ConstDLCIds!$A$4:$C$1000,3,FALSE)</f>
        <v>Included in base game</v>
      </c>
    </row>
    <row r="178" spans="1:12" x14ac:dyDescent="0.25">
      <c r="A178">
        <v>376</v>
      </c>
      <c r="B178">
        <v>173</v>
      </c>
      <c r="C178">
        <v>347</v>
      </c>
      <c r="D178" t="s">
        <v>2330</v>
      </c>
      <c r="E178" t="str">
        <f>IF(NOT(ISERROR(VLOOKUP(D178,'ESO DungeonFinder'!$A$2:$A$999,1,FALSE))),"X","")</f>
        <v/>
      </c>
      <c r="F178" s="70" t="str">
        <f t="shared" si="12"/>
        <v/>
      </c>
      <c r="G178" s="70" t="str">
        <f t="shared" si="13"/>
        <v>Coldharbour</v>
      </c>
      <c r="H178" s="70">
        <f t="shared" si="14"/>
        <v>376</v>
      </c>
      <c r="I178" s="70">
        <f t="shared" si="15"/>
        <v>347</v>
      </c>
      <c r="J178">
        <v>0</v>
      </c>
      <c r="K178" s="3" t="str">
        <f>VLOOKUP(J178,ConstDLCIds!$A$4:$B$1000,2,FALSE)</f>
        <v>DLC_BASE_GAME</v>
      </c>
      <c r="L178" s="3" t="str">
        <f>VLOOKUP(J178,ConstDLCIds!$A$4:$C$1000,3,FALSE)</f>
        <v>Included in base game</v>
      </c>
    </row>
    <row r="179" spans="1:12" x14ac:dyDescent="0.25">
      <c r="A179">
        <v>377</v>
      </c>
      <c r="B179">
        <v>174</v>
      </c>
      <c r="C179">
        <v>58</v>
      </c>
      <c r="D179" t="s">
        <v>2331</v>
      </c>
      <c r="E179" t="str">
        <f>IF(NOT(ISERROR(VLOOKUP(D179,'ESO DungeonFinder'!$A$2:$A$999,1,FALSE))),"X","")</f>
        <v/>
      </c>
      <c r="F179" s="70" t="str">
        <f t="shared" si="12"/>
        <v/>
      </c>
      <c r="G179" s="70" t="str">
        <f t="shared" si="13"/>
        <v>Malabal Tor</v>
      </c>
      <c r="H179" s="70">
        <f t="shared" si="14"/>
        <v>377</v>
      </c>
      <c r="I179" s="70">
        <f t="shared" si="15"/>
        <v>58</v>
      </c>
      <c r="J179">
        <v>0</v>
      </c>
      <c r="K179" s="3" t="str">
        <f>VLOOKUP(J179,ConstDLCIds!$A$4:$B$1000,2,FALSE)</f>
        <v>DLC_BASE_GAME</v>
      </c>
      <c r="L179" s="3" t="str">
        <f>VLOOKUP(J179,ConstDLCIds!$A$4:$C$1000,3,FALSE)</f>
        <v>Included in base game</v>
      </c>
    </row>
    <row r="180" spans="1:12" x14ac:dyDescent="0.25">
      <c r="A180">
        <v>378</v>
      </c>
      <c r="B180">
        <v>175</v>
      </c>
      <c r="C180">
        <v>58</v>
      </c>
      <c r="D180" t="s">
        <v>2332</v>
      </c>
      <c r="E180" t="str">
        <f>IF(NOT(ISERROR(VLOOKUP(D180,'ESO DungeonFinder'!$A$2:$A$999,1,FALSE))),"X","")</f>
        <v/>
      </c>
      <c r="F180" s="70" t="str">
        <f t="shared" si="12"/>
        <v/>
      </c>
      <c r="G180" s="70" t="str">
        <f t="shared" si="13"/>
        <v>Malabal Tor</v>
      </c>
      <c r="H180" s="70">
        <f t="shared" si="14"/>
        <v>378</v>
      </c>
      <c r="I180" s="70">
        <f t="shared" si="15"/>
        <v>58</v>
      </c>
      <c r="J180">
        <v>0</v>
      </c>
      <c r="K180" s="3" t="str">
        <f>VLOOKUP(J180,ConstDLCIds!$A$4:$B$1000,2,FALSE)</f>
        <v>DLC_BASE_GAME</v>
      </c>
      <c r="L180" s="3" t="str">
        <f>VLOOKUP(J180,ConstDLCIds!$A$4:$C$1000,3,FALSE)</f>
        <v>Included in base game</v>
      </c>
    </row>
    <row r="181" spans="1:12" x14ac:dyDescent="0.25">
      <c r="A181">
        <v>379</v>
      </c>
      <c r="B181">
        <v>176</v>
      </c>
      <c r="C181">
        <v>58</v>
      </c>
      <c r="D181" t="s">
        <v>2333</v>
      </c>
      <c r="E181" t="str">
        <f>IF(NOT(ISERROR(VLOOKUP(D181,'ESO DungeonFinder'!$A$2:$A$999,1,FALSE))),"X","")</f>
        <v/>
      </c>
      <c r="F181" s="70" t="str">
        <f t="shared" si="12"/>
        <v/>
      </c>
      <c r="G181" s="70" t="str">
        <f t="shared" si="13"/>
        <v>Malabal Tor</v>
      </c>
      <c r="H181" s="70">
        <f t="shared" si="14"/>
        <v>379</v>
      </c>
      <c r="I181" s="70">
        <f t="shared" si="15"/>
        <v>58</v>
      </c>
      <c r="J181">
        <v>0</v>
      </c>
      <c r="K181" s="3" t="str">
        <f>VLOOKUP(J181,ConstDLCIds!$A$4:$B$1000,2,FALSE)</f>
        <v>DLC_BASE_GAME</v>
      </c>
      <c r="L181" s="3" t="str">
        <f>VLOOKUP(J181,ConstDLCIds!$A$4:$C$1000,3,FALSE)</f>
        <v>Included in base game</v>
      </c>
    </row>
    <row r="182" spans="1:12" x14ac:dyDescent="0.25">
      <c r="A182">
        <v>380</v>
      </c>
      <c r="B182">
        <v>177</v>
      </c>
      <c r="C182">
        <v>381</v>
      </c>
      <c r="D182" t="s">
        <v>611</v>
      </c>
      <c r="E182" t="str">
        <f>IF(NOT(ISERROR(VLOOKUP(D182,'ESO DungeonFinder'!$A$2:$A$999,1,FALSE))),"X","")</f>
        <v>X</v>
      </c>
      <c r="F182" s="70" t="str">
        <f t="shared" si="12"/>
        <v/>
      </c>
      <c r="G182" s="70" t="str">
        <f t="shared" si="13"/>
        <v>Auridon</v>
      </c>
      <c r="H182" s="70">
        <f t="shared" si="14"/>
        <v>380</v>
      </c>
      <c r="I182" s="70">
        <f t="shared" si="15"/>
        <v>381</v>
      </c>
      <c r="J182">
        <v>0</v>
      </c>
      <c r="K182" s="3" t="str">
        <f>VLOOKUP(J182,ConstDLCIds!$A$4:$B$1000,2,FALSE)</f>
        <v>DLC_BASE_GAME</v>
      </c>
      <c r="L182" s="3" t="str">
        <f>VLOOKUP(J182,ConstDLCIds!$A$4:$C$1000,3,FALSE)</f>
        <v>Included in base game</v>
      </c>
    </row>
    <row r="183" spans="1:12" x14ac:dyDescent="0.25">
      <c r="A183">
        <v>381</v>
      </c>
      <c r="B183">
        <v>178</v>
      </c>
      <c r="C183">
        <v>381</v>
      </c>
      <c r="D183" t="s">
        <v>439</v>
      </c>
      <c r="E183" t="str">
        <f>IF(NOT(ISERROR(VLOOKUP(D183,'ESO DungeonFinder'!$A$2:$A$999,1,FALSE))),"X","")</f>
        <v/>
      </c>
      <c r="F183" s="70" t="str">
        <f t="shared" si="12"/>
        <v>X</v>
      </c>
      <c r="G183" s="70" t="str">
        <f t="shared" si="13"/>
        <v/>
      </c>
      <c r="H183" s="70">
        <f t="shared" si="14"/>
        <v>381</v>
      </c>
      <c r="I183" s="70">
        <f t="shared" si="15"/>
        <v>381</v>
      </c>
      <c r="J183">
        <v>0</v>
      </c>
      <c r="K183" s="3" t="str">
        <f>VLOOKUP(J183,ConstDLCIds!$A$4:$B$1000,2,FALSE)</f>
        <v>DLC_BASE_GAME</v>
      </c>
      <c r="L183" s="3" t="str">
        <f>VLOOKUP(J183,ConstDLCIds!$A$4:$C$1000,3,FALSE)</f>
        <v>Included in base game</v>
      </c>
    </row>
    <row r="184" spans="1:12" x14ac:dyDescent="0.25">
      <c r="A184">
        <v>382</v>
      </c>
      <c r="B184">
        <v>179</v>
      </c>
      <c r="C184">
        <v>382</v>
      </c>
      <c r="D184" t="s">
        <v>568</v>
      </c>
      <c r="E184" t="str">
        <f>IF(NOT(ISERROR(VLOOKUP(D184,'ESO DungeonFinder'!$A$2:$A$999,1,FALSE))),"X","")</f>
        <v/>
      </c>
      <c r="F184" s="70" t="str">
        <f t="shared" si="12"/>
        <v>X</v>
      </c>
      <c r="G184" s="70" t="str">
        <f t="shared" si="13"/>
        <v/>
      </c>
      <c r="H184" s="70">
        <f t="shared" si="14"/>
        <v>382</v>
      </c>
      <c r="I184" s="70">
        <f t="shared" si="15"/>
        <v>382</v>
      </c>
      <c r="J184">
        <v>0</v>
      </c>
      <c r="K184" s="3" t="str">
        <f>VLOOKUP(J184,ConstDLCIds!$A$4:$B$1000,2,FALSE)</f>
        <v>DLC_BASE_GAME</v>
      </c>
      <c r="L184" s="3" t="str">
        <f>VLOOKUP(J184,ConstDLCIds!$A$4:$C$1000,3,FALSE)</f>
        <v>Included in base game</v>
      </c>
    </row>
    <row r="185" spans="1:12" x14ac:dyDescent="0.25">
      <c r="A185">
        <v>383</v>
      </c>
      <c r="B185">
        <v>180</v>
      </c>
      <c r="C185">
        <v>383</v>
      </c>
      <c r="D185" t="s">
        <v>451</v>
      </c>
      <c r="E185" t="str">
        <f>IF(NOT(ISERROR(VLOOKUP(D185,'ESO DungeonFinder'!$A$2:$A$999,1,FALSE))),"X","")</f>
        <v/>
      </c>
      <c r="F185" s="70" t="str">
        <f t="shared" si="12"/>
        <v>X</v>
      </c>
      <c r="G185" s="70" t="str">
        <f t="shared" si="13"/>
        <v/>
      </c>
      <c r="H185" s="70">
        <f t="shared" si="14"/>
        <v>383</v>
      </c>
      <c r="I185" s="70">
        <f t="shared" si="15"/>
        <v>383</v>
      </c>
      <c r="J185">
        <v>0</v>
      </c>
      <c r="K185" s="3" t="str">
        <f>VLOOKUP(J185,ConstDLCIds!$A$4:$B$1000,2,FALSE)</f>
        <v>DLC_BASE_GAME</v>
      </c>
      <c r="L185" s="3" t="str">
        <f>VLOOKUP(J185,ConstDLCIds!$A$4:$C$1000,3,FALSE)</f>
        <v>Included in base game</v>
      </c>
    </row>
    <row r="186" spans="1:12" x14ac:dyDescent="0.25">
      <c r="A186">
        <v>385</v>
      </c>
      <c r="B186">
        <v>181</v>
      </c>
      <c r="C186">
        <v>208</v>
      </c>
      <c r="D186" t="s">
        <v>2334</v>
      </c>
      <c r="E186" t="str">
        <f>IF(NOT(ISERROR(VLOOKUP(D186,'ESO DungeonFinder'!$A$2:$A$999,1,FALSE))),"X","")</f>
        <v/>
      </c>
      <c r="F186" s="70" t="str">
        <f t="shared" si="12"/>
        <v/>
      </c>
      <c r="G186" s="70" t="str">
        <f t="shared" si="13"/>
        <v>The Earth Forge</v>
      </c>
      <c r="H186" s="70">
        <f t="shared" si="14"/>
        <v>385</v>
      </c>
      <c r="I186" s="70">
        <f t="shared" si="15"/>
        <v>208</v>
      </c>
      <c r="J186">
        <v>0</v>
      </c>
      <c r="K186" s="3" t="str">
        <f>VLOOKUP(J186,ConstDLCIds!$A$4:$B$1000,2,FALSE)</f>
        <v>DLC_BASE_GAME</v>
      </c>
      <c r="L186" s="3" t="str">
        <f>VLOOKUP(J186,ConstDLCIds!$A$4:$C$1000,3,FALSE)</f>
        <v>Included in base game</v>
      </c>
    </row>
    <row r="187" spans="1:12" x14ac:dyDescent="0.25">
      <c r="A187">
        <v>386</v>
      </c>
      <c r="B187">
        <v>182</v>
      </c>
      <c r="C187">
        <v>41</v>
      </c>
      <c r="D187" t="s">
        <v>2335</v>
      </c>
      <c r="E187" t="str">
        <f>IF(NOT(ISERROR(VLOOKUP(D187,'ESO DungeonFinder'!$A$2:$A$999,1,FALSE))),"X","")</f>
        <v/>
      </c>
      <c r="F187" s="70" t="str">
        <f t="shared" si="12"/>
        <v/>
      </c>
      <c r="G187" s="70" t="str">
        <f t="shared" si="13"/>
        <v>Stonefalls</v>
      </c>
      <c r="H187" s="70">
        <f t="shared" si="14"/>
        <v>386</v>
      </c>
      <c r="I187" s="70">
        <f t="shared" si="15"/>
        <v>41</v>
      </c>
      <c r="J187">
        <v>0</v>
      </c>
      <c r="K187" s="3" t="str">
        <f>VLOOKUP(J187,ConstDLCIds!$A$4:$B$1000,2,FALSE)</f>
        <v>DLC_BASE_GAME</v>
      </c>
      <c r="L187" s="3" t="str">
        <f>VLOOKUP(J187,ConstDLCIds!$A$4:$C$1000,3,FALSE)</f>
        <v>Included in base game</v>
      </c>
    </row>
    <row r="188" spans="1:12" x14ac:dyDescent="0.25">
      <c r="A188">
        <v>387</v>
      </c>
      <c r="B188">
        <v>183</v>
      </c>
      <c r="C188">
        <v>381</v>
      </c>
      <c r="D188" t="s">
        <v>2336</v>
      </c>
      <c r="E188" t="str">
        <f>IF(NOT(ISERROR(VLOOKUP(D188,'ESO DungeonFinder'!$A$2:$A$999,1,FALSE))),"X","")</f>
        <v/>
      </c>
      <c r="F188" s="70" t="str">
        <f t="shared" si="12"/>
        <v/>
      </c>
      <c r="G188" s="70" t="str">
        <f t="shared" si="13"/>
        <v>Auridon</v>
      </c>
      <c r="H188" s="70">
        <f t="shared" si="14"/>
        <v>387</v>
      </c>
      <c r="I188" s="70">
        <f t="shared" si="15"/>
        <v>381</v>
      </c>
      <c r="J188">
        <v>0</v>
      </c>
      <c r="K188" s="3" t="str">
        <f>VLOOKUP(J188,ConstDLCIds!$A$4:$B$1000,2,FALSE)</f>
        <v>DLC_BASE_GAME</v>
      </c>
      <c r="L188" s="3" t="str">
        <f>VLOOKUP(J188,ConstDLCIds!$A$4:$C$1000,3,FALSE)</f>
        <v>Included in base game</v>
      </c>
    </row>
    <row r="189" spans="1:12" x14ac:dyDescent="0.25">
      <c r="A189">
        <v>388</v>
      </c>
      <c r="B189">
        <v>184</v>
      </c>
      <c r="C189">
        <v>381</v>
      </c>
      <c r="D189" t="s">
        <v>2337</v>
      </c>
      <c r="E189" t="str">
        <f>IF(NOT(ISERROR(VLOOKUP(D189,'ESO DungeonFinder'!$A$2:$A$999,1,FALSE))),"X","")</f>
        <v/>
      </c>
      <c r="F189" s="70" t="str">
        <f t="shared" si="12"/>
        <v/>
      </c>
      <c r="G189" s="70" t="str">
        <f t="shared" si="13"/>
        <v>Auridon</v>
      </c>
      <c r="H189" s="70">
        <f t="shared" si="14"/>
        <v>388</v>
      </c>
      <c r="I189" s="70">
        <f t="shared" si="15"/>
        <v>381</v>
      </c>
      <c r="J189">
        <v>0</v>
      </c>
      <c r="K189" s="3" t="str">
        <f>VLOOKUP(J189,ConstDLCIds!$A$4:$B$1000,2,FALSE)</f>
        <v>DLC_BASE_GAME</v>
      </c>
      <c r="L189" s="3" t="str">
        <f>VLOOKUP(J189,ConstDLCIds!$A$4:$C$1000,3,FALSE)</f>
        <v>Included in base game</v>
      </c>
    </row>
    <row r="190" spans="1:12" x14ac:dyDescent="0.25">
      <c r="A190">
        <v>389</v>
      </c>
      <c r="B190">
        <v>185</v>
      </c>
      <c r="C190">
        <v>383</v>
      </c>
      <c r="D190" t="s">
        <v>2338</v>
      </c>
      <c r="E190" t="str">
        <f>IF(NOT(ISERROR(VLOOKUP(D190,'ESO DungeonFinder'!$A$2:$A$999,1,FALSE))),"X","")</f>
        <v/>
      </c>
      <c r="F190" s="70" t="str">
        <f t="shared" si="12"/>
        <v/>
      </c>
      <c r="G190" s="70" t="str">
        <f t="shared" si="13"/>
        <v>Grahtwood</v>
      </c>
      <c r="H190" s="70">
        <f t="shared" si="14"/>
        <v>389</v>
      </c>
      <c r="I190" s="70">
        <f t="shared" si="15"/>
        <v>383</v>
      </c>
      <c r="J190">
        <v>0</v>
      </c>
      <c r="K190" s="3" t="str">
        <f>VLOOKUP(J190,ConstDLCIds!$A$4:$B$1000,2,FALSE)</f>
        <v>DLC_BASE_GAME</v>
      </c>
      <c r="L190" s="3" t="str">
        <f>VLOOKUP(J190,ConstDLCIds!$A$4:$C$1000,3,FALSE)</f>
        <v>Included in base game</v>
      </c>
    </row>
    <row r="191" spans="1:12" x14ac:dyDescent="0.25">
      <c r="A191">
        <v>390</v>
      </c>
      <c r="B191">
        <v>186</v>
      </c>
      <c r="C191">
        <v>381</v>
      </c>
      <c r="D191" t="s">
        <v>2339</v>
      </c>
      <c r="E191" t="str">
        <f>IF(NOT(ISERROR(VLOOKUP(D191,'ESO DungeonFinder'!$A$2:$A$999,1,FALSE))),"X","")</f>
        <v/>
      </c>
      <c r="F191" s="70" t="str">
        <f t="shared" si="12"/>
        <v/>
      </c>
      <c r="G191" s="70" t="str">
        <f t="shared" si="13"/>
        <v>Auridon</v>
      </c>
      <c r="H191" s="70">
        <f t="shared" si="14"/>
        <v>390</v>
      </c>
      <c r="I191" s="70">
        <f t="shared" si="15"/>
        <v>381</v>
      </c>
      <c r="J191">
        <v>0</v>
      </c>
      <c r="K191" s="3" t="str">
        <f>VLOOKUP(J191,ConstDLCIds!$A$4:$B$1000,2,FALSE)</f>
        <v>DLC_BASE_GAME</v>
      </c>
      <c r="L191" s="3" t="str">
        <f>VLOOKUP(J191,ConstDLCIds!$A$4:$C$1000,3,FALSE)</f>
        <v>Included in base game</v>
      </c>
    </row>
    <row r="192" spans="1:12" x14ac:dyDescent="0.25">
      <c r="A192">
        <v>392</v>
      </c>
      <c r="B192">
        <v>187</v>
      </c>
      <c r="C192">
        <v>381</v>
      </c>
      <c r="D192" t="s">
        <v>2340</v>
      </c>
      <c r="E192" t="str">
        <f>IF(NOT(ISERROR(VLOOKUP(D192,'ESO DungeonFinder'!$A$2:$A$999,1,FALSE))),"X","")</f>
        <v/>
      </c>
      <c r="F192" s="70" t="str">
        <f t="shared" si="12"/>
        <v/>
      </c>
      <c r="G192" s="70" t="str">
        <f t="shared" si="13"/>
        <v>Auridon</v>
      </c>
      <c r="H192" s="70">
        <f t="shared" si="14"/>
        <v>392</v>
      </c>
      <c r="I192" s="70">
        <f t="shared" si="15"/>
        <v>381</v>
      </c>
      <c r="J192">
        <v>0</v>
      </c>
      <c r="K192" s="3" t="str">
        <f>VLOOKUP(J192,ConstDLCIds!$A$4:$B$1000,2,FALSE)</f>
        <v>DLC_BASE_GAME</v>
      </c>
      <c r="L192" s="3" t="str">
        <f>VLOOKUP(J192,ConstDLCIds!$A$4:$C$1000,3,FALSE)</f>
        <v>Included in base game</v>
      </c>
    </row>
    <row r="193" spans="1:12" x14ac:dyDescent="0.25">
      <c r="A193">
        <v>393</v>
      </c>
      <c r="B193">
        <v>188</v>
      </c>
      <c r="C193">
        <v>381</v>
      </c>
      <c r="D193" t="s">
        <v>2341</v>
      </c>
      <c r="E193" t="str">
        <f>IF(NOT(ISERROR(VLOOKUP(D193,'ESO DungeonFinder'!$A$2:$A$999,1,FALSE))),"X","")</f>
        <v/>
      </c>
      <c r="F193" s="70" t="str">
        <f t="shared" si="12"/>
        <v/>
      </c>
      <c r="G193" s="70" t="str">
        <f t="shared" si="13"/>
        <v>Auridon</v>
      </c>
      <c r="H193" s="70">
        <f t="shared" si="14"/>
        <v>393</v>
      </c>
      <c r="I193" s="70">
        <f t="shared" si="15"/>
        <v>381</v>
      </c>
      <c r="J193">
        <v>0</v>
      </c>
      <c r="K193" s="3" t="str">
        <f>VLOOKUP(J193,ConstDLCIds!$A$4:$B$1000,2,FALSE)</f>
        <v>DLC_BASE_GAME</v>
      </c>
      <c r="L193" s="3" t="str">
        <f>VLOOKUP(J193,ConstDLCIds!$A$4:$C$1000,3,FALSE)</f>
        <v>Included in base game</v>
      </c>
    </row>
    <row r="194" spans="1:12" x14ac:dyDescent="0.25">
      <c r="A194">
        <v>394</v>
      </c>
      <c r="B194">
        <v>189</v>
      </c>
      <c r="C194">
        <v>381</v>
      </c>
      <c r="D194" t="s">
        <v>2342</v>
      </c>
      <c r="E194" t="str">
        <f>IF(NOT(ISERROR(VLOOKUP(D194,'ESO DungeonFinder'!$A$2:$A$999,1,FALSE))),"X","")</f>
        <v/>
      </c>
      <c r="F194" s="70" t="str">
        <f t="shared" si="12"/>
        <v/>
      </c>
      <c r="G194" s="70" t="str">
        <f t="shared" si="13"/>
        <v>Auridon</v>
      </c>
      <c r="H194" s="70">
        <f t="shared" si="14"/>
        <v>394</v>
      </c>
      <c r="I194" s="70">
        <f t="shared" si="15"/>
        <v>381</v>
      </c>
      <c r="J194">
        <v>0</v>
      </c>
      <c r="K194" s="3" t="str">
        <f>VLOOKUP(J194,ConstDLCIds!$A$4:$B$1000,2,FALSE)</f>
        <v>DLC_BASE_GAME</v>
      </c>
      <c r="L194" s="3" t="str">
        <f>VLOOKUP(J194,ConstDLCIds!$A$4:$C$1000,3,FALSE)</f>
        <v>Included in base game</v>
      </c>
    </row>
    <row r="195" spans="1:12" x14ac:dyDescent="0.25">
      <c r="A195">
        <v>395</v>
      </c>
      <c r="B195">
        <v>190</v>
      </c>
      <c r="C195">
        <v>381</v>
      </c>
      <c r="D195" t="s">
        <v>2343</v>
      </c>
      <c r="E195" t="str">
        <f>IF(NOT(ISERROR(VLOOKUP(D195,'ESO DungeonFinder'!$A$2:$A$999,1,FALSE))),"X","")</f>
        <v/>
      </c>
      <c r="F195" s="70" t="str">
        <f t="shared" si="12"/>
        <v/>
      </c>
      <c r="G195" s="70" t="str">
        <f t="shared" si="13"/>
        <v>Auridon</v>
      </c>
      <c r="H195" s="70">
        <f t="shared" si="14"/>
        <v>395</v>
      </c>
      <c r="I195" s="70">
        <f t="shared" si="15"/>
        <v>381</v>
      </c>
      <c r="J195">
        <v>0</v>
      </c>
      <c r="K195" s="3" t="str">
        <f>VLOOKUP(J195,ConstDLCIds!$A$4:$B$1000,2,FALSE)</f>
        <v>DLC_BASE_GAME</v>
      </c>
      <c r="L195" s="3" t="str">
        <f>VLOOKUP(J195,ConstDLCIds!$A$4:$C$1000,3,FALSE)</f>
        <v>Included in base game</v>
      </c>
    </row>
    <row r="196" spans="1:12" x14ac:dyDescent="0.25">
      <c r="A196">
        <v>396</v>
      </c>
      <c r="B196">
        <v>191</v>
      </c>
      <c r="C196">
        <v>381</v>
      </c>
      <c r="D196" t="s">
        <v>2344</v>
      </c>
      <c r="E196" t="str">
        <f>IF(NOT(ISERROR(VLOOKUP(D196,'ESO DungeonFinder'!$A$2:$A$999,1,FALSE))),"X","")</f>
        <v/>
      </c>
      <c r="F196" s="70" t="str">
        <f t="shared" si="12"/>
        <v/>
      </c>
      <c r="G196" s="70" t="str">
        <f t="shared" si="13"/>
        <v>Auridon</v>
      </c>
      <c r="H196" s="70">
        <f t="shared" si="14"/>
        <v>396</v>
      </c>
      <c r="I196" s="70">
        <f t="shared" si="15"/>
        <v>381</v>
      </c>
      <c r="J196">
        <v>0</v>
      </c>
      <c r="K196" s="3" t="str">
        <f>VLOOKUP(J196,ConstDLCIds!$A$4:$B$1000,2,FALSE)</f>
        <v>DLC_BASE_GAME</v>
      </c>
      <c r="L196" s="3" t="str">
        <f>VLOOKUP(J196,ConstDLCIds!$A$4:$C$1000,3,FALSE)</f>
        <v>Included in base game</v>
      </c>
    </row>
    <row r="197" spans="1:12" x14ac:dyDescent="0.25">
      <c r="A197">
        <v>397</v>
      </c>
      <c r="B197">
        <v>192</v>
      </c>
      <c r="C197">
        <v>381</v>
      </c>
      <c r="D197" t="s">
        <v>2345</v>
      </c>
      <c r="E197" t="str">
        <f>IF(NOT(ISERROR(VLOOKUP(D197,'ESO DungeonFinder'!$A$2:$A$999,1,FALSE))),"X","")</f>
        <v/>
      </c>
      <c r="F197" s="70" t="str">
        <f t="shared" si="12"/>
        <v/>
      </c>
      <c r="G197" s="70" t="str">
        <f t="shared" si="13"/>
        <v>Auridon</v>
      </c>
      <c r="H197" s="70">
        <f t="shared" si="14"/>
        <v>397</v>
      </c>
      <c r="I197" s="70">
        <f t="shared" si="15"/>
        <v>381</v>
      </c>
      <c r="J197">
        <v>0</v>
      </c>
      <c r="K197" s="3" t="str">
        <f>VLOOKUP(J197,ConstDLCIds!$A$4:$B$1000,2,FALSE)</f>
        <v>DLC_BASE_GAME</v>
      </c>
      <c r="L197" s="3" t="str">
        <f>VLOOKUP(J197,ConstDLCIds!$A$4:$C$1000,3,FALSE)</f>
        <v>Included in base game</v>
      </c>
    </row>
    <row r="198" spans="1:12" x14ac:dyDescent="0.25">
      <c r="A198">
        <v>398</v>
      </c>
      <c r="B198">
        <v>193</v>
      </c>
      <c r="C198">
        <v>381</v>
      </c>
      <c r="D198" t="s">
        <v>2346</v>
      </c>
      <c r="E198" t="str">
        <f>IF(NOT(ISERROR(VLOOKUP(D198,'ESO DungeonFinder'!$A$2:$A$999,1,FALSE))),"X","")</f>
        <v/>
      </c>
      <c r="F198" s="70" t="str">
        <f t="shared" si="12"/>
        <v/>
      </c>
      <c r="G198" s="70" t="str">
        <f t="shared" si="13"/>
        <v>Auridon</v>
      </c>
      <c r="H198" s="70">
        <f t="shared" si="14"/>
        <v>398</v>
      </c>
      <c r="I198" s="70">
        <f t="shared" si="15"/>
        <v>381</v>
      </c>
      <c r="J198">
        <v>0</v>
      </c>
      <c r="K198" s="3" t="str">
        <f>VLOOKUP(J198,ConstDLCIds!$A$4:$B$1000,2,FALSE)</f>
        <v>DLC_BASE_GAME</v>
      </c>
      <c r="L198" s="3" t="str">
        <f>VLOOKUP(J198,ConstDLCIds!$A$4:$C$1000,3,FALSE)</f>
        <v>Included in base game</v>
      </c>
    </row>
    <row r="199" spans="1:12" x14ac:dyDescent="0.25">
      <c r="A199">
        <v>399</v>
      </c>
      <c r="B199">
        <v>194</v>
      </c>
      <c r="C199">
        <v>381</v>
      </c>
      <c r="D199" t="s">
        <v>2347</v>
      </c>
      <c r="E199" t="str">
        <f>IF(NOT(ISERROR(VLOOKUP(D199,'ESO DungeonFinder'!$A$2:$A$999,1,FALSE))),"X","")</f>
        <v/>
      </c>
      <c r="F199" s="70" t="str">
        <f t="shared" ref="F199:F262" si="16">IF(EXACT(A199,C199),"X","")</f>
        <v/>
      </c>
      <c r="G199" s="70" t="str">
        <f t="shared" ref="G199:G262" si="17">IF(A199&lt;&gt;C199,VLOOKUP(C199,$A$5:$D$9956,4,FALSE),"")</f>
        <v>Auridon</v>
      </c>
      <c r="H199" s="70">
        <f t="shared" ref="H199:H262" si="18">A199</f>
        <v>399</v>
      </c>
      <c r="I199" s="70">
        <f t="shared" ref="I199:I262" si="19">C199</f>
        <v>381</v>
      </c>
      <c r="J199">
        <v>0</v>
      </c>
      <c r="K199" s="3" t="str">
        <f>VLOOKUP(J199,ConstDLCIds!$A$4:$B$1000,2,FALSE)</f>
        <v>DLC_BASE_GAME</v>
      </c>
      <c r="L199" s="3" t="str">
        <f>VLOOKUP(J199,ConstDLCIds!$A$4:$C$1000,3,FALSE)</f>
        <v>Included in base game</v>
      </c>
    </row>
    <row r="200" spans="1:12" x14ac:dyDescent="0.25">
      <c r="A200">
        <v>400</v>
      </c>
      <c r="B200">
        <v>195</v>
      </c>
      <c r="C200">
        <v>381</v>
      </c>
      <c r="D200" t="s">
        <v>2348</v>
      </c>
      <c r="E200" t="str">
        <f>IF(NOT(ISERROR(VLOOKUP(D200,'ESO DungeonFinder'!$A$2:$A$999,1,FALSE))),"X","")</f>
        <v/>
      </c>
      <c r="F200" s="70" t="str">
        <f t="shared" si="16"/>
        <v/>
      </c>
      <c r="G200" s="70" t="str">
        <f t="shared" si="17"/>
        <v>Auridon</v>
      </c>
      <c r="H200" s="70">
        <f t="shared" si="18"/>
        <v>400</v>
      </c>
      <c r="I200" s="70">
        <f t="shared" si="19"/>
        <v>381</v>
      </c>
      <c r="J200">
        <v>0</v>
      </c>
      <c r="K200" s="3" t="str">
        <f>VLOOKUP(J200,ConstDLCIds!$A$4:$B$1000,2,FALSE)</f>
        <v>DLC_BASE_GAME</v>
      </c>
      <c r="L200" s="3" t="str">
        <f>VLOOKUP(J200,ConstDLCIds!$A$4:$C$1000,3,FALSE)</f>
        <v>Included in base game</v>
      </c>
    </row>
    <row r="201" spans="1:12" x14ac:dyDescent="0.25">
      <c r="A201">
        <v>401</v>
      </c>
      <c r="B201">
        <v>196</v>
      </c>
      <c r="C201">
        <v>381</v>
      </c>
      <c r="D201" t="s">
        <v>2349</v>
      </c>
      <c r="E201" t="str">
        <f>IF(NOT(ISERROR(VLOOKUP(D201,'ESO DungeonFinder'!$A$2:$A$999,1,FALSE))),"X","")</f>
        <v/>
      </c>
      <c r="F201" s="70" t="str">
        <f t="shared" si="16"/>
        <v/>
      </c>
      <c r="G201" s="70" t="str">
        <f t="shared" si="17"/>
        <v>Auridon</v>
      </c>
      <c r="H201" s="70">
        <f t="shared" si="18"/>
        <v>401</v>
      </c>
      <c r="I201" s="70">
        <f t="shared" si="19"/>
        <v>381</v>
      </c>
      <c r="J201">
        <v>0</v>
      </c>
      <c r="K201" s="3" t="str">
        <f>VLOOKUP(J201,ConstDLCIds!$A$4:$B$1000,2,FALSE)</f>
        <v>DLC_BASE_GAME</v>
      </c>
      <c r="L201" s="3" t="str">
        <f>VLOOKUP(J201,ConstDLCIds!$A$4:$C$1000,3,FALSE)</f>
        <v>Included in base game</v>
      </c>
    </row>
    <row r="202" spans="1:12" x14ac:dyDescent="0.25">
      <c r="A202">
        <v>402</v>
      </c>
      <c r="B202">
        <v>197</v>
      </c>
      <c r="C202">
        <v>103</v>
      </c>
      <c r="D202" t="s">
        <v>2350</v>
      </c>
      <c r="E202" t="str">
        <f>IF(NOT(ISERROR(VLOOKUP(D202,'ESO DungeonFinder'!$A$2:$A$999,1,FALSE))),"X","")</f>
        <v/>
      </c>
      <c r="F202" s="70" t="str">
        <f t="shared" si="16"/>
        <v/>
      </c>
      <c r="G202" s="70" t="str">
        <f t="shared" si="17"/>
        <v>The Rift</v>
      </c>
      <c r="H202" s="70">
        <f t="shared" si="18"/>
        <v>402</v>
      </c>
      <c r="I202" s="70">
        <f t="shared" si="19"/>
        <v>103</v>
      </c>
      <c r="J202">
        <v>0</v>
      </c>
      <c r="K202" s="3" t="str">
        <f>VLOOKUP(J202,ConstDLCIds!$A$4:$B$1000,2,FALSE)</f>
        <v>DLC_BASE_GAME</v>
      </c>
      <c r="L202" s="3" t="str">
        <f>VLOOKUP(J202,ConstDLCIds!$A$4:$C$1000,3,FALSE)</f>
        <v>Included in base game</v>
      </c>
    </row>
    <row r="203" spans="1:12" x14ac:dyDescent="0.25">
      <c r="A203">
        <v>403</v>
      </c>
      <c r="B203">
        <v>198</v>
      </c>
      <c r="C203">
        <v>103</v>
      </c>
      <c r="D203" t="s">
        <v>2351</v>
      </c>
      <c r="E203" t="str">
        <f>IF(NOT(ISERROR(VLOOKUP(D203,'ESO DungeonFinder'!$A$2:$A$999,1,FALSE))),"X","")</f>
        <v/>
      </c>
      <c r="F203" s="70" t="str">
        <f t="shared" si="16"/>
        <v/>
      </c>
      <c r="G203" s="70" t="str">
        <f t="shared" si="17"/>
        <v>The Rift</v>
      </c>
      <c r="H203" s="70">
        <f t="shared" si="18"/>
        <v>403</v>
      </c>
      <c r="I203" s="70">
        <f t="shared" si="19"/>
        <v>103</v>
      </c>
      <c r="J203">
        <v>0</v>
      </c>
      <c r="K203" s="3" t="str">
        <f>VLOOKUP(J203,ConstDLCIds!$A$4:$B$1000,2,FALSE)</f>
        <v>DLC_BASE_GAME</v>
      </c>
      <c r="L203" s="3" t="str">
        <f>VLOOKUP(J203,ConstDLCIds!$A$4:$C$1000,3,FALSE)</f>
        <v>Included in base game</v>
      </c>
    </row>
    <row r="204" spans="1:12" x14ac:dyDescent="0.25">
      <c r="A204">
        <v>404</v>
      </c>
      <c r="B204">
        <v>199</v>
      </c>
      <c r="C204">
        <v>103</v>
      </c>
      <c r="D204" t="s">
        <v>2352</v>
      </c>
      <c r="E204" t="str">
        <f>IF(NOT(ISERROR(VLOOKUP(D204,'ESO DungeonFinder'!$A$2:$A$999,1,FALSE))),"X","")</f>
        <v/>
      </c>
      <c r="F204" s="70" t="str">
        <f t="shared" si="16"/>
        <v/>
      </c>
      <c r="G204" s="70" t="str">
        <f t="shared" si="17"/>
        <v>The Rift</v>
      </c>
      <c r="H204" s="70">
        <f t="shared" si="18"/>
        <v>404</v>
      </c>
      <c r="I204" s="70">
        <f t="shared" si="19"/>
        <v>103</v>
      </c>
      <c r="J204">
        <v>0</v>
      </c>
      <c r="K204" s="3" t="str">
        <f>VLOOKUP(J204,ConstDLCIds!$A$4:$B$1000,2,FALSE)</f>
        <v>DLC_BASE_GAME</v>
      </c>
      <c r="L204" s="3" t="str">
        <f>VLOOKUP(J204,ConstDLCIds!$A$4:$C$1000,3,FALSE)</f>
        <v>Included in base game</v>
      </c>
    </row>
    <row r="205" spans="1:12" x14ac:dyDescent="0.25">
      <c r="A205">
        <v>405</v>
      </c>
      <c r="B205">
        <v>200</v>
      </c>
      <c r="C205">
        <v>57</v>
      </c>
      <c r="D205" t="s">
        <v>2353</v>
      </c>
      <c r="E205" t="str">
        <f>IF(NOT(ISERROR(VLOOKUP(D205,'ESO DungeonFinder'!$A$2:$A$999,1,FALSE))),"X","")</f>
        <v/>
      </c>
      <c r="F205" s="70" t="str">
        <f t="shared" si="16"/>
        <v/>
      </c>
      <c r="G205" s="70" t="str">
        <f t="shared" si="17"/>
        <v>Deshaan</v>
      </c>
      <c r="H205" s="70">
        <f t="shared" si="18"/>
        <v>405</v>
      </c>
      <c r="I205" s="70">
        <f t="shared" si="19"/>
        <v>57</v>
      </c>
      <c r="J205">
        <v>0</v>
      </c>
      <c r="K205" s="3" t="str">
        <f>VLOOKUP(J205,ConstDLCIds!$A$4:$B$1000,2,FALSE)</f>
        <v>DLC_BASE_GAME</v>
      </c>
      <c r="L205" s="3" t="str">
        <f>VLOOKUP(J205,ConstDLCIds!$A$4:$C$1000,3,FALSE)</f>
        <v>Included in base game</v>
      </c>
    </row>
    <row r="206" spans="1:12" x14ac:dyDescent="0.25">
      <c r="A206">
        <v>406</v>
      </c>
      <c r="B206">
        <v>201</v>
      </c>
      <c r="C206">
        <v>57</v>
      </c>
      <c r="D206" t="s">
        <v>2354</v>
      </c>
      <c r="E206" t="str">
        <f>IF(NOT(ISERROR(VLOOKUP(D206,'ESO DungeonFinder'!$A$2:$A$999,1,FALSE))),"X","")</f>
        <v/>
      </c>
      <c r="F206" s="70" t="str">
        <f t="shared" si="16"/>
        <v/>
      </c>
      <c r="G206" s="70" t="str">
        <f t="shared" si="17"/>
        <v>Deshaan</v>
      </c>
      <c r="H206" s="70">
        <f t="shared" si="18"/>
        <v>406</v>
      </c>
      <c r="I206" s="70">
        <f t="shared" si="19"/>
        <v>57</v>
      </c>
      <c r="J206">
        <v>0</v>
      </c>
      <c r="K206" s="3" t="str">
        <f>VLOOKUP(J206,ConstDLCIds!$A$4:$B$1000,2,FALSE)</f>
        <v>DLC_BASE_GAME</v>
      </c>
      <c r="L206" s="3" t="str">
        <f>VLOOKUP(J206,ConstDLCIds!$A$4:$C$1000,3,FALSE)</f>
        <v>Included in base game</v>
      </c>
    </row>
    <row r="207" spans="1:12" x14ac:dyDescent="0.25">
      <c r="A207">
        <v>407</v>
      </c>
      <c r="B207">
        <v>202</v>
      </c>
      <c r="C207">
        <v>57</v>
      </c>
      <c r="D207" t="s">
        <v>2355</v>
      </c>
      <c r="E207" t="str">
        <f>IF(NOT(ISERROR(VLOOKUP(D207,'ESO DungeonFinder'!$A$2:$A$999,1,FALSE))),"X","")</f>
        <v/>
      </c>
      <c r="F207" s="70" t="str">
        <f t="shared" si="16"/>
        <v/>
      </c>
      <c r="G207" s="70" t="str">
        <f t="shared" si="17"/>
        <v>Deshaan</v>
      </c>
      <c r="H207" s="70">
        <f t="shared" si="18"/>
        <v>407</v>
      </c>
      <c r="I207" s="70">
        <f t="shared" si="19"/>
        <v>57</v>
      </c>
      <c r="J207">
        <v>0</v>
      </c>
      <c r="K207" s="3" t="str">
        <f>VLOOKUP(J207,ConstDLCIds!$A$4:$B$1000,2,FALSE)</f>
        <v>DLC_BASE_GAME</v>
      </c>
      <c r="L207" s="3" t="str">
        <f>VLOOKUP(J207,ConstDLCIds!$A$4:$C$1000,3,FALSE)</f>
        <v>Included in base game</v>
      </c>
    </row>
    <row r="208" spans="1:12" x14ac:dyDescent="0.25">
      <c r="A208">
        <v>408</v>
      </c>
      <c r="B208">
        <v>203</v>
      </c>
      <c r="C208">
        <v>57</v>
      </c>
      <c r="D208" t="s">
        <v>2356</v>
      </c>
      <c r="E208" t="str">
        <f>IF(NOT(ISERROR(VLOOKUP(D208,'ESO DungeonFinder'!$A$2:$A$999,1,FALSE))),"X","")</f>
        <v/>
      </c>
      <c r="F208" s="70" t="str">
        <f t="shared" si="16"/>
        <v/>
      </c>
      <c r="G208" s="70" t="str">
        <f t="shared" si="17"/>
        <v>Deshaan</v>
      </c>
      <c r="H208" s="70">
        <f t="shared" si="18"/>
        <v>408</v>
      </c>
      <c r="I208" s="70">
        <f t="shared" si="19"/>
        <v>57</v>
      </c>
      <c r="J208">
        <v>0</v>
      </c>
      <c r="K208" s="3" t="str">
        <f>VLOOKUP(J208,ConstDLCIds!$A$4:$B$1000,2,FALSE)</f>
        <v>DLC_BASE_GAME</v>
      </c>
      <c r="L208" s="3" t="str">
        <f>VLOOKUP(J208,ConstDLCIds!$A$4:$C$1000,3,FALSE)</f>
        <v>Included in base game</v>
      </c>
    </row>
    <row r="209" spans="1:12" x14ac:dyDescent="0.25">
      <c r="A209">
        <v>409</v>
      </c>
      <c r="B209">
        <v>204</v>
      </c>
      <c r="C209">
        <v>57</v>
      </c>
      <c r="D209" t="s">
        <v>2357</v>
      </c>
      <c r="E209" t="str">
        <f>IF(NOT(ISERROR(VLOOKUP(D209,'ESO DungeonFinder'!$A$2:$A$999,1,FALSE))),"X","")</f>
        <v/>
      </c>
      <c r="F209" s="70" t="str">
        <f t="shared" si="16"/>
        <v/>
      </c>
      <c r="G209" s="70" t="str">
        <f t="shared" si="17"/>
        <v>Deshaan</v>
      </c>
      <c r="H209" s="70">
        <f t="shared" si="18"/>
        <v>409</v>
      </c>
      <c r="I209" s="70">
        <f t="shared" si="19"/>
        <v>57</v>
      </c>
      <c r="J209">
        <v>0</v>
      </c>
      <c r="K209" s="3" t="str">
        <f>VLOOKUP(J209,ConstDLCIds!$A$4:$B$1000,2,FALSE)</f>
        <v>DLC_BASE_GAME</v>
      </c>
      <c r="L209" s="3" t="str">
        <f>VLOOKUP(J209,ConstDLCIds!$A$4:$C$1000,3,FALSE)</f>
        <v>Included in base game</v>
      </c>
    </row>
    <row r="210" spans="1:12" x14ac:dyDescent="0.25">
      <c r="A210">
        <v>410</v>
      </c>
      <c r="B210">
        <v>205</v>
      </c>
      <c r="C210">
        <v>57</v>
      </c>
      <c r="D210" t="s">
        <v>2358</v>
      </c>
      <c r="E210" t="str">
        <f>IF(NOT(ISERROR(VLOOKUP(D210,'ESO DungeonFinder'!$A$2:$A$999,1,FALSE))),"X","")</f>
        <v/>
      </c>
      <c r="F210" s="70" t="str">
        <f t="shared" si="16"/>
        <v/>
      </c>
      <c r="G210" s="70" t="str">
        <f t="shared" si="17"/>
        <v>Deshaan</v>
      </c>
      <c r="H210" s="70">
        <f t="shared" si="18"/>
        <v>410</v>
      </c>
      <c r="I210" s="70">
        <f t="shared" si="19"/>
        <v>57</v>
      </c>
      <c r="J210">
        <v>0</v>
      </c>
      <c r="K210" s="3" t="str">
        <f>VLOOKUP(J210,ConstDLCIds!$A$4:$B$1000,2,FALSE)</f>
        <v>DLC_BASE_GAME</v>
      </c>
      <c r="L210" s="3" t="str">
        <f>VLOOKUP(J210,ConstDLCIds!$A$4:$C$1000,3,FALSE)</f>
        <v>Included in base game</v>
      </c>
    </row>
    <row r="211" spans="1:12" x14ac:dyDescent="0.25">
      <c r="A211">
        <v>411</v>
      </c>
      <c r="B211">
        <v>206</v>
      </c>
      <c r="C211">
        <v>58</v>
      </c>
      <c r="D211" t="s">
        <v>2359</v>
      </c>
      <c r="E211" t="str">
        <f>IF(NOT(ISERROR(VLOOKUP(D211,'ESO DungeonFinder'!$A$2:$A$999,1,FALSE))),"X","")</f>
        <v/>
      </c>
      <c r="F211" s="70" t="str">
        <f t="shared" si="16"/>
        <v/>
      </c>
      <c r="G211" s="70" t="str">
        <f t="shared" si="17"/>
        <v>Malabal Tor</v>
      </c>
      <c r="H211" s="70">
        <f t="shared" si="18"/>
        <v>411</v>
      </c>
      <c r="I211" s="70">
        <f t="shared" si="19"/>
        <v>58</v>
      </c>
      <c r="J211">
        <v>0</v>
      </c>
      <c r="K211" s="3" t="str">
        <f>VLOOKUP(J211,ConstDLCIds!$A$4:$B$1000,2,FALSE)</f>
        <v>DLC_BASE_GAME</v>
      </c>
      <c r="L211" s="3" t="str">
        <f>VLOOKUP(J211,ConstDLCIds!$A$4:$C$1000,3,FALSE)</f>
        <v>Included in base game</v>
      </c>
    </row>
    <row r="212" spans="1:12" x14ac:dyDescent="0.25">
      <c r="A212">
        <v>412</v>
      </c>
      <c r="B212">
        <v>207</v>
      </c>
      <c r="C212">
        <v>103</v>
      </c>
      <c r="D212" t="s">
        <v>2360</v>
      </c>
      <c r="E212" t="str">
        <f>IF(NOT(ISERROR(VLOOKUP(D212,'ESO DungeonFinder'!$A$2:$A$999,1,FALSE))),"X","")</f>
        <v/>
      </c>
      <c r="F212" s="70" t="str">
        <f t="shared" si="16"/>
        <v/>
      </c>
      <c r="G212" s="70" t="str">
        <f t="shared" si="17"/>
        <v>The Rift</v>
      </c>
      <c r="H212" s="70">
        <f t="shared" si="18"/>
        <v>412</v>
      </c>
      <c r="I212" s="70">
        <f t="shared" si="19"/>
        <v>103</v>
      </c>
      <c r="J212">
        <v>0</v>
      </c>
      <c r="K212" s="3" t="str">
        <f>VLOOKUP(J212,ConstDLCIds!$A$4:$B$1000,2,FALSE)</f>
        <v>DLC_BASE_GAME</v>
      </c>
      <c r="L212" s="3" t="str">
        <f>VLOOKUP(J212,ConstDLCIds!$A$4:$C$1000,3,FALSE)</f>
        <v>Included in base game</v>
      </c>
    </row>
    <row r="213" spans="1:12" x14ac:dyDescent="0.25">
      <c r="A213">
        <v>413</v>
      </c>
      <c r="B213">
        <v>208</v>
      </c>
      <c r="C213">
        <v>103</v>
      </c>
      <c r="D213" t="s">
        <v>2361</v>
      </c>
      <c r="E213" t="str">
        <f>IF(NOT(ISERROR(VLOOKUP(D213,'ESO DungeonFinder'!$A$2:$A$999,1,FALSE))),"X","")</f>
        <v/>
      </c>
      <c r="F213" s="70" t="str">
        <f t="shared" si="16"/>
        <v/>
      </c>
      <c r="G213" s="70" t="str">
        <f t="shared" si="17"/>
        <v>The Rift</v>
      </c>
      <c r="H213" s="70">
        <f t="shared" si="18"/>
        <v>413</v>
      </c>
      <c r="I213" s="70">
        <f t="shared" si="19"/>
        <v>103</v>
      </c>
      <c r="J213">
        <v>0</v>
      </c>
      <c r="K213" s="3" t="str">
        <f>VLOOKUP(J213,ConstDLCIds!$A$4:$B$1000,2,FALSE)</f>
        <v>DLC_BASE_GAME</v>
      </c>
      <c r="L213" s="3" t="str">
        <f>VLOOKUP(J213,ConstDLCIds!$A$4:$C$1000,3,FALSE)</f>
        <v>Included in base game</v>
      </c>
    </row>
    <row r="214" spans="1:12" x14ac:dyDescent="0.25">
      <c r="A214">
        <v>414</v>
      </c>
      <c r="B214">
        <v>209</v>
      </c>
      <c r="C214">
        <v>103</v>
      </c>
      <c r="D214" t="s">
        <v>2362</v>
      </c>
      <c r="E214" t="str">
        <f>IF(NOT(ISERROR(VLOOKUP(D214,'ESO DungeonFinder'!$A$2:$A$999,1,FALSE))),"X","")</f>
        <v/>
      </c>
      <c r="F214" s="70" t="str">
        <f t="shared" si="16"/>
        <v/>
      </c>
      <c r="G214" s="70" t="str">
        <f t="shared" si="17"/>
        <v>The Rift</v>
      </c>
      <c r="H214" s="70">
        <f t="shared" si="18"/>
        <v>414</v>
      </c>
      <c r="I214" s="70">
        <f t="shared" si="19"/>
        <v>103</v>
      </c>
      <c r="J214">
        <v>0</v>
      </c>
      <c r="K214" s="3" t="str">
        <f>VLOOKUP(J214,ConstDLCIds!$A$4:$B$1000,2,FALSE)</f>
        <v>DLC_BASE_GAME</v>
      </c>
      <c r="L214" s="3" t="str">
        <f>VLOOKUP(J214,ConstDLCIds!$A$4:$C$1000,3,FALSE)</f>
        <v>Included in base game</v>
      </c>
    </row>
    <row r="215" spans="1:12" x14ac:dyDescent="0.25">
      <c r="A215">
        <v>415</v>
      </c>
      <c r="B215">
        <v>210</v>
      </c>
      <c r="C215">
        <v>103</v>
      </c>
      <c r="D215" t="s">
        <v>2363</v>
      </c>
      <c r="E215" t="str">
        <f>IF(NOT(ISERROR(VLOOKUP(D215,'ESO DungeonFinder'!$A$2:$A$999,1,FALSE))),"X","")</f>
        <v/>
      </c>
      <c r="F215" s="70" t="str">
        <f t="shared" si="16"/>
        <v/>
      </c>
      <c r="G215" s="70" t="str">
        <f t="shared" si="17"/>
        <v>The Rift</v>
      </c>
      <c r="H215" s="70">
        <f t="shared" si="18"/>
        <v>415</v>
      </c>
      <c r="I215" s="70">
        <f t="shared" si="19"/>
        <v>103</v>
      </c>
      <c r="J215">
        <v>0</v>
      </c>
      <c r="K215" s="3" t="str">
        <f>VLOOKUP(J215,ConstDLCIds!$A$4:$B$1000,2,FALSE)</f>
        <v>DLC_BASE_GAME</v>
      </c>
      <c r="L215" s="3" t="str">
        <f>VLOOKUP(J215,ConstDLCIds!$A$4:$C$1000,3,FALSE)</f>
        <v>Included in base game</v>
      </c>
    </row>
    <row r="216" spans="1:12" x14ac:dyDescent="0.25">
      <c r="A216">
        <v>416</v>
      </c>
      <c r="B216">
        <v>211</v>
      </c>
      <c r="C216">
        <v>381</v>
      </c>
      <c r="D216" t="s">
        <v>2364</v>
      </c>
      <c r="E216" t="str">
        <f>IF(NOT(ISERROR(VLOOKUP(D216,'ESO DungeonFinder'!$A$2:$A$999,1,FALSE))),"X","")</f>
        <v/>
      </c>
      <c r="F216" s="70" t="str">
        <f t="shared" si="16"/>
        <v/>
      </c>
      <c r="G216" s="70" t="str">
        <f t="shared" si="17"/>
        <v>Auridon</v>
      </c>
      <c r="H216" s="70">
        <f t="shared" si="18"/>
        <v>416</v>
      </c>
      <c r="I216" s="70">
        <f t="shared" si="19"/>
        <v>381</v>
      </c>
      <c r="J216">
        <v>0</v>
      </c>
      <c r="K216" s="3" t="str">
        <f>VLOOKUP(J216,ConstDLCIds!$A$4:$B$1000,2,FALSE)</f>
        <v>DLC_BASE_GAME</v>
      </c>
      <c r="L216" s="3" t="str">
        <f>VLOOKUP(J216,ConstDLCIds!$A$4:$C$1000,3,FALSE)</f>
        <v>Included in base game</v>
      </c>
    </row>
    <row r="217" spans="1:12" x14ac:dyDescent="0.25">
      <c r="A217">
        <v>417</v>
      </c>
      <c r="B217">
        <v>212</v>
      </c>
      <c r="C217">
        <v>347</v>
      </c>
      <c r="D217" t="s">
        <v>2365</v>
      </c>
      <c r="E217" t="str">
        <f>IF(NOT(ISERROR(VLOOKUP(D217,'ESO DungeonFinder'!$A$2:$A$999,1,FALSE))),"X","")</f>
        <v/>
      </c>
      <c r="F217" s="70" t="str">
        <f t="shared" si="16"/>
        <v/>
      </c>
      <c r="G217" s="70" t="str">
        <f t="shared" si="17"/>
        <v>Coldharbour</v>
      </c>
      <c r="H217" s="70">
        <f t="shared" si="18"/>
        <v>417</v>
      </c>
      <c r="I217" s="70">
        <f t="shared" si="19"/>
        <v>347</v>
      </c>
      <c r="J217">
        <v>0</v>
      </c>
      <c r="K217" s="3" t="str">
        <f>VLOOKUP(J217,ConstDLCIds!$A$4:$B$1000,2,FALSE)</f>
        <v>DLC_BASE_GAME</v>
      </c>
      <c r="L217" s="3" t="str">
        <f>VLOOKUP(J217,ConstDLCIds!$A$4:$C$1000,3,FALSE)</f>
        <v>Included in base game</v>
      </c>
    </row>
    <row r="218" spans="1:12" x14ac:dyDescent="0.25">
      <c r="A218">
        <v>418</v>
      </c>
      <c r="B218">
        <v>213</v>
      </c>
      <c r="C218">
        <v>347</v>
      </c>
      <c r="D218" t="s">
        <v>2366</v>
      </c>
      <c r="E218" t="str">
        <f>IF(NOT(ISERROR(VLOOKUP(D218,'ESO DungeonFinder'!$A$2:$A$999,1,FALSE))),"X","")</f>
        <v/>
      </c>
      <c r="F218" s="70" t="str">
        <f t="shared" si="16"/>
        <v/>
      </c>
      <c r="G218" s="70" t="str">
        <f t="shared" si="17"/>
        <v>Coldharbour</v>
      </c>
      <c r="H218" s="70">
        <f t="shared" si="18"/>
        <v>418</v>
      </c>
      <c r="I218" s="70">
        <f t="shared" si="19"/>
        <v>347</v>
      </c>
      <c r="J218">
        <v>0</v>
      </c>
      <c r="K218" s="3" t="str">
        <f>VLOOKUP(J218,ConstDLCIds!$A$4:$B$1000,2,FALSE)</f>
        <v>DLC_BASE_GAME</v>
      </c>
      <c r="L218" s="3" t="str">
        <f>VLOOKUP(J218,ConstDLCIds!$A$4:$C$1000,3,FALSE)</f>
        <v>Included in base game</v>
      </c>
    </row>
    <row r="219" spans="1:12" x14ac:dyDescent="0.25">
      <c r="A219">
        <v>419</v>
      </c>
      <c r="B219">
        <v>214</v>
      </c>
      <c r="C219">
        <v>347</v>
      </c>
      <c r="D219" t="s">
        <v>2367</v>
      </c>
      <c r="E219" t="str">
        <f>IF(NOT(ISERROR(VLOOKUP(D219,'ESO DungeonFinder'!$A$2:$A$999,1,FALSE))),"X","")</f>
        <v/>
      </c>
      <c r="F219" s="70" t="str">
        <f t="shared" si="16"/>
        <v/>
      </c>
      <c r="G219" s="70" t="str">
        <f t="shared" si="17"/>
        <v>Coldharbour</v>
      </c>
      <c r="H219" s="70">
        <f t="shared" si="18"/>
        <v>419</v>
      </c>
      <c r="I219" s="70">
        <f t="shared" si="19"/>
        <v>347</v>
      </c>
      <c r="J219">
        <v>0</v>
      </c>
      <c r="K219" s="3" t="str">
        <f>VLOOKUP(J219,ConstDLCIds!$A$4:$B$1000,2,FALSE)</f>
        <v>DLC_BASE_GAME</v>
      </c>
      <c r="L219" s="3" t="str">
        <f>VLOOKUP(J219,ConstDLCIds!$A$4:$C$1000,3,FALSE)</f>
        <v>Included in base game</v>
      </c>
    </row>
    <row r="220" spans="1:12" x14ac:dyDescent="0.25">
      <c r="A220">
        <v>420</v>
      </c>
      <c r="B220">
        <v>215</v>
      </c>
      <c r="C220">
        <v>347</v>
      </c>
      <c r="D220" t="s">
        <v>2368</v>
      </c>
      <c r="E220" t="str">
        <f>IF(NOT(ISERROR(VLOOKUP(D220,'ESO DungeonFinder'!$A$2:$A$999,1,FALSE))),"X","")</f>
        <v/>
      </c>
      <c r="F220" s="70" t="str">
        <f t="shared" si="16"/>
        <v/>
      </c>
      <c r="G220" s="70" t="str">
        <f t="shared" si="17"/>
        <v>Coldharbour</v>
      </c>
      <c r="H220" s="70">
        <f t="shared" si="18"/>
        <v>420</v>
      </c>
      <c r="I220" s="70">
        <f t="shared" si="19"/>
        <v>347</v>
      </c>
      <c r="J220">
        <v>0</v>
      </c>
      <c r="K220" s="3" t="str">
        <f>VLOOKUP(J220,ConstDLCIds!$A$4:$B$1000,2,FALSE)</f>
        <v>DLC_BASE_GAME</v>
      </c>
      <c r="L220" s="3" t="str">
        <f>VLOOKUP(J220,ConstDLCIds!$A$4:$C$1000,3,FALSE)</f>
        <v>Included in base game</v>
      </c>
    </row>
    <row r="221" spans="1:12" x14ac:dyDescent="0.25">
      <c r="A221">
        <v>421</v>
      </c>
      <c r="B221">
        <v>216</v>
      </c>
      <c r="C221">
        <v>347</v>
      </c>
      <c r="D221" t="s">
        <v>2369</v>
      </c>
      <c r="E221" t="str">
        <f>IF(NOT(ISERROR(VLOOKUP(D221,'ESO DungeonFinder'!$A$2:$A$999,1,FALSE))),"X","")</f>
        <v/>
      </c>
      <c r="F221" s="70" t="str">
        <f t="shared" si="16"/>
        <v/>
      </c>
      <c r="G221" s="70" t="str">
        <f t="shared" si="17"/>
        <v>Coldharbour</v>
      </c>
      <c r="H221" s="70">
        <f t="shared" si="18"/>
        <v>421</v>
      </c>
      <c r="I221" s="70">
        <f t="shared" si="19"/>
        <v>347</v>
      </c>
      <c r="J221">
        <v>0</v>
      </c>
      <c r="K221" s="3" t="str">
        <f>VLOOKUP(J221,ConstDLCIds!$A$4:$B$1000,2,FALSE)</f>
        <v>DLC_BASE_GAME</v>
      </c>
      <c r="L221" s="3" t="str">
        <f>VLOOKUP(J221,ConstDLCIds!$A$4:$C$1000,3,FALSE)</f>
        <v>Included in base game</v>
      </c>
    </row>
    <row r="222" spans="1:12" x14ac:dyDescent="0.25">
      <c r="A222">
        <v>422</v>
      </c>
      <c r="B222">
        <v>217</v>
      </c>
      <c r="C222">
        <v>347</v>
      </c>
      <c r="D222" t="s">
        <v>2370</v>
      </c>
      <c r="E222" t="str">
        <f>IF(NOT(ISERROR(VLOOKUP(D222,'ESO DungeonFinder'!$A$2:$A$999,1,FALSE))),"X","")</f>
        <v/>
      </c>
      <c r="F222" s="70" t="str">
        <f t="shared" si="16"/>
        <v/>
      </c>
      <c r="G222" s="70" t="str">
        <f t="shared" si="17"/>
        <v>Coldharbour</v>
      </c>
      <c r="H222" s="70">
        <f t="shared" si="18"/>
        <v>422</v>
      </c>
      <c r="I222" s="70">
        <f t="shared" si="19"/>
        <v>347</v>
      </c>
      <c r="J222">
        <v>0</v>
      </c>
      <c r="K222" s="3" t="str">
        <f>VLOOKUP(J222,ConstDLCIds!$A$4:$B$1000,2,FALSE)</f>
        <v>DLC_BASE_GAME</v>
      </c>
      <c r="L222" s="3" t="str">
        <f>VLOOKUP(J222,ConstDLCIds!$A$4:$C$1000,3,FALSE)</f>
        <v>Included in base game</v>
      </c>
    </row>
    <row r="223" spans="1:12" x14ac:dyDescent="0.25">
      <c r="A223">
        <v>424</v>
      </c>
      <c r="B223">
        <v>218</v>
      </c>
      <c r="C223">
        <v>3</v>
      </c>
      <c r="D223" t="s">
        <v>2371</v>
      </c>
      <c r="E223" t="str">
        <f>IF(NOT(ISERROR(VLOOKUP(D223,'ESO DungeonFinder'!$A$2:$A$999,1,FALSE))),"X","")</f>
        <v/>
      </c>
      <c r="F223" s="70" t="str">
        <f t="shared" si="16"/>
        <v/>
      </c>
      <c r="G223" s="70" t="str">
        <f t="shared" si="17"/>
        <v>Glenumbra</v>
      </c>
      <c r="H223" s="70">
        <f t="shared" si="18"/>
        <v>424</v>
      </c>
      <c r="I223" s="70">
        <f t="shared" si="19"/>
        <v>3</v>
      </c>
      <c r="J223">
        <v>0</v>
      </c>
      <c r="K223" s="3" t="str">
        <f>VLOOKUP(J223,ConstDLCIds!$A$4:$B$1000,2,FALSE)</f>
        <v>DLC_BASE_GAME</v>
      </c>
      <c r="L223" s="3" t="str">
        <f>VLOOKUP(J223,ConstDLCIds!$A$4:$C$1000,3,FALSE)</f>
        <v>Included in base game</v>
      </c>
    </row>
    <row r="224" spans="1:12" x14ac:dyDescent="0.25">
      <c r="A224">
        <v>425</v>
      </c>
      <c r="B224">
        <v>219</v>
      </c>
      <c r="C224">
        <v>3</v>
      </c>
      <c r="D224" t="s">
        <v>2372</v>
      </c>
      <c r="E224" t="str">
        <f>IF(NOT(ISERROR(VLOOKUP(D224,'ESO DungeonFinder'!$A$2:$A$999,1,FALSE))),"X","")</f>
        <v/>
      </c>
      <c r="F224" s="70" t="str">
        <f t="shared" si="16"/>
        <v/>
      </c>
      <c r="G224" s="70" t="str">
        <f t="shared" si="17"/>
        <v>Glenumbra</v>
      </c>
      <c r="H224" s="70">
        <f t="shared" si="18"/>
        <v>425</v>
      </c>
      <c r="I224" s="70">
        <f t="shared" si="19"/>
        <v>3</v>
      </c>
      <c r="J224">
        <v>0</v>
      </c>
      <c r="K224" s="3" t="str">
        <f>VLOOKUP(J224,ConstDLCIds!$A$4:$B$1000,2,FALSE)</f>
        <v>DLC_BASE_GAME</v>
      </c>
      <c r="L224" s="3" t="str">
        <f>VLOOKUP(J224,ConstDLCIds!$A$4:$C$1000,3,FALSE)</f>
        <v>Included in base game</v>
      </c>
    </row>
    <row r="225" spans="1:12" x14ac:dyDescent="0.25">
      <c r="A225">
        <v>426</v>
      </c>
      <c r="B225">
        <v>220</v>
      </c>
      <c r="C225">
        <v>3</v>
      </c>
      <c r="D225" t="s">
        <v>2373</v>
      </c>
      <c r="E225" t="str">
        <f>IF(NOT(ISERROR(VLOOKUP(D225,'ESO DungeonFinder'!$A$2:$A$999,1,FALSE))),"X","")</f>
        <v/>
      </c>
      <c r="F225" s="70" t="str">
        <f t="shared" si="16"/>
        <v/>
      </c>
      <c r="G225" s="70" t="str">
        <f t="shared" si="17"/>
        <v>Glenumbra</v>
      </c>
      <c r="H225" s="70">
        <f t="shared" si="18"/>
        <v>426</v>
      </c>
      <c r="I225" s="70">
        <f t="shared" si="19"/>
        <v>3</v>
      </c>
      <c r="J225">
        <v>0</v>
      </c>
      <c r="K225" s="3" t="str">
        <f>VLOOKUP(J225,ConstDLCIds!$A$4:$B$1000,2,FALSE)</f>
        <v>DLC_BASE_GAME</v>
      </c>
      <c r="L225" s="3" t="str">
        <f>VLOOKUP(J225,ConstDLCIds!$A$4:$C$1000,3,FALSE)</f>
        <v>Included in base game</v>
      </c>
    </row>
    <row r="226" spans="1:12" x14ac:dyDescent="0.25">
      <c r="A226">
        <v>429</v>
      </c>
      <c r="B226">
        <v>221</v>
      </c>
      <c r="C226">
        <v>3</v>
      </c>
      <c r="D226" t="s">
        <v>2374</v>
      </c>
      <c r="E226" t="str">
        <f>IF(NOT(ISERROR(VLOOKUP(D226,'ESO DungeonFinder'!$A$2:$A$999,1,FALSE))),"X","")</f>
        <v/>
      </c>
      <c r="F226" s="70" t="str">
        <f t="shared" si="16"/>
        <v/>
      </c>
      <c r="G226" s="70" t="str">
        <f t="shared" si="17"/>
        <v>Glenumbra</v>
      </c>
      <c r="H226" s="70">
        <f t="shared" si="18"/>
        <v>429</v>
      </c>
      <c r="I226" s="70">
        <f t="shared" si="19"/>
        <v>3</v>
      </c>
      <c r="J226">
        <v>0</v>
      </c>
      <c r="K226" s="3" t="str">
        <f>VLOOKUP(J226,ConstDLCIds!$A$4:$B$1000,2,FALSE)</f>
        <v>DLC_BASE_GAME</v>
      </c>
      <c r="L226" s="3" t="str">
        <f>VLOOKUP(J226,ConstDLCIds!$A$4:$C$1000,3,FALSE)</f>
        <v>Included in base game</v>
      </c>
    </row>
    <row r="227" spans="1:12" x14ac:dyDescent="0.25">
      <c r="A227">
        <v>430</v>
      </c>
      <c r="B227">
        <v>222</v>
      </c>
      <c r="C227">
        <v>19</v>
      </c>
      <c r="D227" t="s">
        <v>2375</v>
      </c>
      <c r="E227" t="str">
        <f>IF(NOT(ISERROR(VLOOKUP(D227,'ESO DungeonFinder'!$A$2:$A$999,1,FALSE))),"X","")</f>
        <v/>
      </c>
      <c r="F227" s="70" t="str">
        <f t="shared" si="16"/>
        <v/>
      </c>
      <c r="G227" s="70" t="str">
        <f t="shared" si="17"/>
        <v>Stormhaven</v>
      </c>
      <c r="H227" s="70">
        <f t="shared" si="18"/>
        <v>430</v>
      </c>
      <c r="I227" s="70">
        <f t="shared" si="19"/>
        <v>19</v>
      </c>
      <c r="J227">
        <v>0</v>
      </c>
      <c r="K227" s="3" t="str">
        <f>VLOOKUP(J227,ConstDLCIds!$A$4:$B$1000,2,FALSE)</f>
        <v>DLC_BASE_GAME</v>
      </c>
      <c r="L227" s="3" t="str">
        <f>VLOOKUP(J227,ConstDLCIds!$A$4:$C$1000,3,FALSE)</f>
        <v>Included in base game</v>
      </c>
    </row>
    <row r="228" spans="1:12" x14ac:dyDescent="0.25">
      <c r="A228">
        <v>431</v>
      </c>
      <c r="B228">
        <v>223</v>
      </c>
      <c r="C228">
        <v>103</v>
      </c>
      <c r="D228" t="s">
        <v>2376</v>
      </c>
      <c r="E228" t="str">
        <f>IF(NOT(ISERROR(VLOOKUP(D228,'ESO DungeonFinder'!$A$2:$A$999,1,FALSE))),"X","")</f>
        <v/>
      </c>
      <c r="F228" s="70" t="str">
        <f t="shared" si="16"/>
        <v/>
      </c>
      <c r="G228" s="70" t="str">
        <f t="shared" si="17"/>
        <v>The Rift</v>
      </c>
      <c r="H228" s="70">
        <f t="shared" si="18"/>
        <v>431</v>
      </c>
      <c r="I228" s="70">
        <f t="shared" si="19"/>
        <v>103</v>
      </c>
      <c r="J228">
        <v>0</v>
      </c>
      <c r="K228" s="3" t="str">
        <f>VLOOKUP(J228,ConstDLCIds!$A$4:$B$1000,2,FALSE)</f>
        <v>DLC_BASE_GAME</v>
      </c>
      <c r="L228" s="3" t="str">
        <f>VLOOKUP(J228,ConstDLCIds!$A$4:$C$1000,3,FALSE)</f>
        <v>Included in base game</v>
      </c>
    </row>
    <row r="229" spans="1:12" x14ac:dyDescent="0.25">
      <c r="A229">
        <v>433</v>
      </c>
      <c r="B229">
        <v>224</v>
      </c>
      <c r="C229">
        <v>383</v>
      </c>
      <c r="D229" t="s">
        <v>2377</v>
      </c>
      <c r="E229" t="str">
        <f>IF(NOT(ISERROR(VLOOKUP(D229,'ESO DungeonFinder'!$A$2:$A$999,1,FALSE))),"X","")</f>
        <v/>
      </c>
      <c r="F229" s="70" t="str">
        <f t="shared" si="16"/>
        <v/>
      </c>
      <c r="G229" s="70" t="str">
        <f t="shared" si="17"/>
        <v>Grahtwood</v>
      </c>
      <c r="H229" s="70">
        <f t="shared" si="18"/>
        <v>433</v>
      </c>
      <c r="I229" s="70">
        <f t="shared" si="19"/>
        <v>383</v>
      </c>
      <c r="J229">
        <v>0</v>
      </c>
      <c r="K229" s="3" t="str">
        <f>VLOOKUP(J229,ConstDLCIds!$A$4:$B$1000,2,FALSE)</f>
        <v>DLC_BASE_GAME</v>
      </c>
      <c r="L229" s="3" t="str">
        <f>VLOOKUP(J229,ConstDLCIds!$A$4:$C$1000,3,FALSE)</f>
        <v>Included in base game</v>
      </c>
    </row>
    <row r="230" spans="1:12" x14ac:dyDescent="0.25">
      <c r="A230">
        <v>434</v>
      </c>
      <c r="B230">
        <v>225</v>
      </c>
      <c r="C230">
        <v>383</v>
      </c>
      <c r="D230" t="s">
        <v>2378</v>
      </c>
      <c r="E230" t="str">
        <f>IF(NOT(ISERROR(VLOOKUP(D230,'ESO DungeonFinder'!$A$2:$A$999,1,FALSE))),"X","")</f>
        <v/>
      </c>
      <c r="F230" s="70" t="str">
        <f t="shared" si="16"/>
        <v/>
      </c>
      <c r="G230" s="70" t="str">
        <f t="shared" si="17"/>
        <v>Grahtwood</v>
      </c>
      <c r="H230" s="70">
        <f t="shared" si="18"/>
        <v>434</v>
      </c>
      <c r="I230" s="70">
        <f t="shared" si="19"/>
        <v>383</v>
      </c>
      <c r="J230">
        <v>0</v>
      </c>
      <c r="K230" s="3" t="str">
        <f>VLOOKUP(J230,ConstDLCIds!$A$4:$B$1000,2,FALSE)</f>
        <v>DLC_BASE_GAME</v>
      </c>
      <c r="L230" s="3" t="str">
        <f>VLOOKUP(J230,ConstDLCIds!$A$4:$C$1000,3,FALSE)</f>
        <v>Included in base game</v>
      </c>
    </row>
    <row r="231" spans="1:12" x14ac:dyDescent="0.25">
      <c r="A231">
        <v>435</v>
      </c>
      <c r="B231">
        <v>226</v>
      </c>
      <c r="C231">
        <v>383</v>
      </c>
      <c r="D231" t="s">
        <v>2379</v>
      </c>
      <c r="E231" t="str">
        <f>IF(NOT(ISERROR(VLOOKUP(D231,'ESO DungeonFinder'!$A$2:$A$999,1,FALSE))),"X","")</f>
        <v/>
      </c>
      <c r="F231" s="70" t="str">
        <f t="shared" si="16"/>
        <v/>
      </c>
      <c r="G231" s="70" t="str">
        <f t="shared" si="17"/>
        <v>Grahtwood</v>
      </c>
      <c r="H231" s="70">
        <f t="shared" si="18"/>
        <v>435</v>
      </c>
      <c r="I231" s="70">
        <f t="shared" si="19"/>
        <v>383</v>
      </c>
      <c r="J231">
        <v>0</v>
      </c>
      <c r="K231" s="3" t="str">
        <f>VLOOKUP(J231,ConstDLCIds!$A$4:$B$1000,2,FALSE)</f>
        <v>DLC_BASE_GAME</v>
      </c>
      <c r="L231" s="3" t="str">
        <f>VLOOKUP(J231,ConstDLCIds!$A$4:$C$1000,3,FALSE)</f>
        <v>Included in base game</v>
      </c>
    </row>
    <row r="232" spans="1:12" x14ac:dyDescent="0.25">
      <c r="A232">
        <v>436</v>
      </c>
      <c r="B232">
        <v>227</v>
      </c>
      <c r="C232">
        <v>383</v>
      </c>
      <c r="D232" t="s">
        <v>2380</v>
      </c>
      <c r="E232" t="str">
        <f>IF(NOT(ISERROR(VLOOKUP(D232,'ESO DungeonFinder'!$A$2:$A$999,1,FALSE))),"X","")</f>
        <v/>
      </c>
      <c r="F232" s="70" t="str">
        <f t="shared" si="16"/>
        <v/>
      </c>
      <c r="G232" s="70" t="str">
        <f t="shared" si="17"/>
        <v>Grahtwood</v>
      </c>
      <c r="H232" s="70">
        <f t="shared" si="18"/>
        <v>436</v>
      </c>
      <c r="I232" s="70">
        <f t="shared" si="19"/>
        <v>383</v>
      </c>
      <c r="J232">
        <v>0</v>
      </c>
      <c r="K232" s="3" t="str">
        <f>VLOOKUP(J232,ConstDLCIds!$A$4:$B$1000,2,FALSE)</f>
        <v>DLC_BASE_GAME</v>
      </c>
      <c r="L232" s="3" t="str">
        <f>VLOOKUP(J232,ConstDLCIds!$A$4:$C$1000,3,FALSE)</f>
        <v>Included in base game</v>
      </c>
    </row>
    <row r="233" spans="1:12" x14ac:dyDescent="0.25">
      <c r="A233">
        <v>437</v>
      </c>
      <c r="B233">
        <v>228</v>
      </c>
      <c r="C233">
        <v>383</v>
      </c>
      <c r="D233" t="s">
        <v>2381</v>
      </c>
      <c r="E233" t="str">
        <f>IF(NOT(ISERROR(VLOOKUP(D233,'ESO DungeonFinder'!$A$2:$A$999,1,FALSE))),"X","")</f>
        <v/>
      </c>
      <c r="F233" s="70" t="str">
        <f t="shared" si="16"/>
        <v/>
      </c>
      <c r="G233" s="70" t="str">
        <f t="shared" si="17"/>
        <v>Grahtwood</v>
      </c>
      <c r="H233" s="70">
        <f t="shared" si="18"/>
        <v>437</v>
      </c>
      <c r="I233" s="70">
        <f t="shared" si="19"/>
        <v>383</v>
      </c>
      <c r="J233">
        <v>0</v>
      </c>
      <c r="K233" s="3" t="str">
        <f>VLOOKUP(J233,ConstDLCIds!$A$4:$B$1000,2,FALSE)</f>
        <v>DLC_BASE_GAME</v>
      </c>
      <c r="L233" s="3" t="str">
        <f>VLOOKUP(J233,ConstDLCIds!$A$4:$C$1000,3,FALSE)</f>
        <v>Included in base game</v>
      </c>
    </row>
    <row r="234" spans="1:12" x14ac:dyDescent="0.25">
      <c r="A234">
        <v>438</v>
      </c>
      <c r="B234">
        <v>229</v>
      </c>
      <c r="C234">
        <v>383</v>
      </c>
      <c r="D234" t="s">
        <v>2382</v>
      </c>
      <c r="E234" t="str">
        <f>IF(NOT(ISERROR(VLOOKUP(D234,'ESO DungeonFinder'!$A$2:$A$999,1,FALSE))),"X","")</f>
        <v/>
      </c>
      <c r="F234" s="70" t="str">
        <f t="shared" si="16"/>
        <v/>
      </c>
      <c r="G234" s="70" t="str">
        <f t="shared" si="17"/>
        <v>Grahtwood</v>
      </c>
      <c r="H234" s="70">
        <f t="shared" si="18"/>
        <v>438</v>
      </c>
      <c r="I234" s="70">
        <f t="shared" si="19"/>
        <v>383</v>
      </c>
      <c r="J234">
        <v>0</v>
      </c>
      <c r="K234" s="3" t="str">
        <f>VLOOKUP(J234,ConstDLCIds!$A$4:$B$1000,2,FALSE)</f>
        <v>DLC_BASE_GAME</v>
      </c>
      <c r="L234" s="3" t="str">
        <f>VLOOKUP(J234,ConstDLCIds!$A$4:$C$1000,3,FALSE)</f>
        <v>Included in base game</v>
      </c>
    </row>
    <row r="235" spans="1:12" x14ac:dyDescent="0.25">
      <c r="A235">
        <v>439</v>
      </c>
      <c r="B235">
        <v>230</v>
      </c>
      <c r="C235">
        <v>383</v>
      </c>
      <c r="D235" t="s">
        <v>2383</v>
      </c>
      <c r="E235" t="str">
        <f>IF(NOT(ISERROR(VLOOKUP(D235,'ESO DungeonFinder'!$A$2:$A$999,1,FALSE))),"X","")</f>
        <v/>
      </c>
      <c r="F235" s="70" t="str">
        <f t="shared" si="16"/>
        <v/>
      </c>
      <c r="G235" s="70" t="str">
        <f t="shared" si="17"/>
        <v>Grahtwood</v>
      </c>
      <c r="H235" s="70">
        <f t="shared" si="18"/>
        <v>439</v>
      </c>
      <c r="I235" s="70">
        <f t="shared" si="19"/>
        <v>383</v>
      </c>
      <c r="J235">
        <v>0</v>
      </c>
      <c r="K235" s="3" t="str">
        <f>VLOOKUP(J235,ConstDLCIds!$A$4:$B$1000,2,FALSE)</f>
        <v>DLC_BASE_GAME</v>
      </c>
      <c r="L235" s="3" t="str">
        <f>VLOOKUP(J235,ConstDLCIds!$A$4:$C$1000,3,FALSE)</f>
        <v>Included in base game</v>
      </c>
    </row>
    <row r="236" spans="1:12" x14ac:dyDescent="0.25">
      <c r="A236">
        <v>440</v>
      </c>
      <c r="B236">
        <v>231</v>
      </c>
      <c r="C236">
        <v>383</v>
      </c>
      <c r="D236" t="s">
        <v>2384</v>
      </c>
      <c r="E236" t="str">
        <f>IF(NOT(ISERROR(VLOOKUP(D236,'ESO DungeonFinder'!$A$2:$A$999,1,FALSE))),"X","")</f>
        <v/>
      </c>
      <c r="F236" s="70" t="str">
        <f t="shared" si="16"/>
        <v/>
      </c>
      <c r="G236" s="70" t="str">
        <f t="shared" si="17"/>
        <v>Grahtwood</v>
      </c>
      <c r="H236" s="70">
        <f t="shared" si="18"/>
        <v>440</v>
      </c>
      <c r="I236" s="70">
        <f t="shared" si="19"/>
        <v>383</v>
      </c>
      <c r="J236">
        <v>0</v>
      </c>
      <c r="K236" s="3" t="str">
        <f>VLOOKUP(J236,ConstDLCIds!$A$4:$B$1000,2,FALSE)</f>
        <v>DLC_BASE_GAME</v>
      </c>
      <c r="L236" s="3" t="str">
        <f>VLOOKUP(J236,ConstDLCIds!$A$4:$C$1000,3,FALSE)</f>
        <v>Included in base game</v>
      </c>
    </row>
    <row r="237" spans="1:12" x14ac:dyDescent="0.25">
      <c r="A237">
        <v>442</v>
      </c>
      <c r="B237">
        <v>232</v>
      </c>
      <c r="C237">
        <v>383</v>
      </c>
      <c r="D237" t="s">
        <v>2385</v>
      </c>
      <c r="E237" t="str">
        <f>IF(NOT(ISERROR(VLOOKUP(D237,'ESO DungeonFinder'!$A$2:$A$999,1,FALSE))),"X","")</f>
        <v/>
      </c>
      <c r="F237" s="70" t="str">
        <f t="shared" si="16"/>
        <v/>
      </c>
      <c r="G237" s="70" t="str">
        <f t="shared" si="17"/>
        <v>Grahtwood</v>
      </c>
      <c r="H237" s="70">
        <f t="shared" si="18"/>
        <v>442</v>
      </c>
      <c r="I237" s="70">
        <f t="shared" si="19"/>
        <v>383</v>
      </c>
      <c r="J237">
        <v>0</v>
      </c>
      <c r="K237" s="3" t="str">
        <f>VLOOKUP(J237,ConstDLCIds!$A$4:$B$1000,2,FALSE)</f>
        <v>DLC_BASE_GAME</v>
      </c>
      <c r="L237" s="3" t="str">
        <f>VLOOKUP(J237,ConstDLCIds!$A$4:$C$1000,3,FALSE)</f>
        <v>Included in base game</v>
      </c>
    </row>
    <row r="238" spans="1:12" x14ac:dyDescent="0.25">
      <c r="A238">
        <v>444</v>
      </c>
      <c r="B238">
        <v>233</v>
      </c>
      <c r="C238">
        <v>383</v>
      </c>
      <c r="D238" t="s">
        <v>2386</v>
      </c>
      <c r="E238" t="str">
        <f>IF(NOT(ISERROR(VLOOKUP(D238,'ESO DungeonFinder'!$A$2:$A$999,1,FALSE))),"X","")</f>
        <v/>
      </c>
      <c r="F238" s="70" t="str">
        <f t="shared" si="16"/>
        <v/>
      </c>
      <c r="G238" s="70" t="str">
        <f t="shared" si="17"/>
        <v>Grahtwood</v>
      </c>
      <c r="H238" s="70">
        <f t="shared" si="18"/>
        <v>444</v>
      </c>
      <c r="I238" s="70">
        <f t="shared" si="19"/>
        <v>383</v>
      </c>
      <c r="J238">
        <v>0</v>
      </c>
      <c r="K238" s="3" t="str">
        <f>VLOOKUP(J238,ConstDLCIds!$A$4:$B$1000,2,FALSE)</f>
        <v>DLC_BASE_GAME</v>
      </c>
      <c r="L238" s="3" t="str">
        <f>VLOOKUP(J238,ConstDLCIds!$A$4:$C$1000,3,FALSE)</f>
        <v>Included in base game</v>
      </c>
    </row>
    <row r="239" spans="1:12" x14ac:dyDescent="0.25">
      <c r="A239">
        <v>447</v>
      </c>
      <c r="B239">
        <v>234</v>
      </c>
      <c r="C239">
        <v>383</v>
      </c>
      <c r="D239" t="s">
        <v>2387</v>
      </c>
      <c r="E239" t="str">
        <f>IF(NOT(ISERROR(VLOOKUP(D239,'ESO DungeonFinder'!$A$2:$A$999,1,FALSE))),"X","")</f>
        <v/>
      </c>
      <c r="F239" s="70" t="str">
        <f t="shared" si="16"/>
        <v/>
      </c>
      <c r="G239" s="70" t="str">
        <f t="shared" si="17"/>
        <v>Grahtwood</v>
      </c>
      <c r="H239" s="70">
        <f t="shared" si="18"/>
        <v>447</v>
      </c>
      <c r="I239" s="70">
        <f t="shared" si="19"/>
        <v>383</v>
      </c>
      <c r="J239">
        <v>0</v>
      </c>
      <c r="K239" s="3" t="str">
        <f>VLOOKUP(J239,ConstDLCIds!$A$4:$B$1000,2,FALSE)</f>
        <v>DLC_BASE_GAME</v>
      </c>
      <c r="L239" s="3" t="str">
        <f>VLOOKUP(J239,ConstDLCIds!$A$4:$C$1000,3,FALSE)</f>
        <v>Included in base game</v>
      </c>
    </row>
    <row r="240" spans="1:12" x14ac:dyDescent="0.25">
      <c r="A240">
        <v>449</v>
      </c>
      <c r="B240">
        <v>235</v>
      </c>
      <c r="C240">
        <v>101</v>
      </c>
      <c r="D240" t="s">
        <v>485</v>
      </c>
      <c r="E240" t="str">
        <f>IF(NOT(ISERROR(VLOOKUP(D240,'ESO DungeonFinder'!$A$2:$A$999,1,FALSE))),"X","")</f>
        <v>X</v>
      </c>
      <c r="F240" s="70" t="str">
        <f t="shared" si="16"/>
        <v/>
      </c>
      <c r="G240" s="70" t="str">
        <f t="shared" si="17"/>
        <v>Eastmarch</v>
      </c>
      <c r="H240" s="70">
        <f t="shared" si="18"/>
        <v>449</v>
      </c>
      <c r="I240" s="70">
        <f t="shared" si="19"/>
        <v>101</v>
      </c>
      <c r="J240">
        <v>0</v>
      </c>
      <c r="K240" s="3" t="str">
        <f>VLOOKUP(J240,ConstDLCIds!$A$4:$B$1000,2,FALSE)</f>
        <v>DLC_BASE_GAME</v>
      </c>
      <c r="L240" s="3" t="str">
        <f>VLOOKUP(J240,ConstDLCIds!$A$4:$C$1000,3,FALSE)</f>
        <v>Included in base game</v>
      </c>
    </row>
    <row r="241" spans="1:12" x14ac:dyDescent="0.25">
      <c r="A241">
        <v>451</v>
      </c>
      <c r="B241">
        <v>236</v>
      </c>
      <c r="C241">
        <v>382</v>
      </c>
      <c r="D241" t="s">
        <v>2388</v>
      </c>
      <c r="E241" t="str">
        <f>IF(NOT(ISERROR(VLOOKUP(D241,'ESO DungeonFinder'!$A$2:$A$999,1,FALSE))),"X","")</f>
        <v/>
      </c>
      <c r="F241" s="70" t="str">
        <f t="shared" si="16"/>
        <v/>
      </c>
      <c r="G241" s="70" t="str">
        <f t="shared" si="17"/>
        <v>Reaper's March</v>
      </c>
      <c r="H241" s="70">
        <f t="shared" si="18"/>
        <v>451</v>
      </c>
      <c r="I241" s="70">
        <f t="shared" si="19"/>
        <v>382</v>
      </c>
      <c r="J241">
        <v>0</v>
      </c>
      <c r="K241" s="3" t="str">
        <f>VLOOKUP(J241,ConstDLCIds!$A$4:$B$1000,2,FALSE)</f>
        <v>DLC_BASE_GAME</v>
      </c>
      <c r="L241" s="3" t="str">
        <f>VLOOKUP(J241,ConstDLCIds!$A$4:$C$1000,3,FALSE)</f>
        <v>Included in base game</v>
      </c>
    </row>
    <row r="242" spans="1:12" x14ac:dyDescent="0.25">
      <c r="A242">
        <v>452</v>
      </c>
      <c r="B242">
        <v>237</v>
      </c>
      <c r="C242">
        <v>382</v>
      </c>
      <c r="D242" t="s">
        <v>2389</v>
      </c>
      <c r="E242" t="str">
        <f>IF(NOT(ISERROR(VLOOKUP(D242,'ESO DungeonFinder'!$A$2:$A$999,1,FALSE))),"X","")</f>
        <v/>
      </c>
      <c r="F242" s="70" t="str">
        <f t="shared" si="16"/>
        <v/>
      </c>
      <c r="G242" s="70" t="str">
        <f t="shared" si="17"/>
        <v>Reaper's March</v>
      </c>
      <c r="H242" s="70">
        <f t="shared" si="18"/>
        <v>452</v>
      </c>
      <c r="I242" s="70">
        <f t="shared" si="19"/>
        <v>382</v>
      </c>
      <c r="J242">
        <v>0</v>
      </c>
      <c r="K242" s="3" t="str">
        <f>VLOOKUP(J242,ConstDLCIds!$A$4:$B$1000,2,FALSE)</f>
        <v>DLC_BASE_GAME</v>
      </c>
      <c r="L242" s="3" t="str">
        <f>VLOOKUP(J242,ConstDLCIds!$A$4:$C$1000,3,FALSE)</f>
        <v>Included in base game</v>
      </c>
    </row>
    <row r="243" spans="1:12" x14ac:dyDescent="0.25">
      <c r="A243">
        <v>453</v>
      </c>
      <c r="B243">
        <v>238</v>
      </c>
      <c r="C243">
        <v>382</v>
      </c>
      <c r="D243" t="s">
        <v>2390</v>
      </c>
      <c r="E243" t="str">
        <f>IF(NOT(ISERROR(VLOOKUP(D243,'ESO DungeonFinder'!$A$2:$A$999,1,FALSE))),"X","")</f>
        <v/>
      </c>
      <c r="F243" s="70" t="str">
        <f t="shared" si="16"/>
        <v/>
      </c>
      <c r="G243" s="70" t="str">
        <f t="shared" si="17"/>
        <v>Reaper's March</v>
      </c>
      <c r="H243" s="70">
        <f t="shared" si="18"/>
        <v>453</v>
      </c>
      <c r="I243" s="70">
        <f t="shared" si="19"/>
        <v>382</v>
      </c>
      <c r="J243">
        <v>0</v>
      </c>
      <c r="K243" s="3" t="str">
        <f>VLOOKUP(J243,ConstDLCIds!$A$4:$B$1000,2,FALSE)</f>
        <v>DLC_BASE_GAME</v>
      </c>
      <c r="L243" s="3" t="str">
        <f>VLOOKUP(J243,ConstDLCIds!$A$4:$C$1000,3,FALSE)</f>
        <v>Included in base game</v>
      </c>
    </row>
    <row r="244" spans="1:12" x14ac:dyDescent="0.25">
      <c r="A244">
        <v>454</v>
      </c>
      <c r="B244">
        <v>239</v>
      </c>
      <c r="C244">
        <v>382</v>
      </c>
      <c r="D244" t="s">
        <v>2391</v>
      </c>
      <c r="E244" t="str">
        <f>IF(NOT(ISERROR(VLOOKUP(D244,'ESO DungeonFinder'!$A$2:$A$999,1,FALSE))),"X","")</f>
        <v/>
      </c>
      <c r="F244" s="70" t="str">
        <f t="shared" si="16"/>
        <v/>
      </c>
      <c r="G244" s="70" t="str">
        <f t="shared" si="17"/>
        <v>Reaper's March</v>
      </c>
      <c r="H244" s="70">
        <f t="shared" si="18"/>
        <v>454</v>
      </c>
      <c r="I244" s="70">
        <f t="shared" si="19"/>
        <v>382</v>
      </c>
      <c r="J244">
        <v>0</v>
      </c>
      <c r="K244" s="3" t="str">
        <f>VLOOKUP(J244,ConstDLCIds!$A$4:$B$1000,2,FALSE)</f>
        <v>DLC_BASE_GAME</v>
      </c>
      <c r="L244" s="3" t="str">
        <f>VLOOKUP(J244,ConstDLCIds!$A$4:$C$1000,3,FALSE)</f>
        <v>Included in base game</v>
      </c>
    </row>
    <row r="245" spans="1:12" x14ac:dyDescent="0.25">
      <c r="A245">
        <v>455</v>
      </c>
      <c r="B245">
        <v>240</v>
      </c>
      <c r="C245">
        <v>382</v>
      </c>
      <c r="D245" t="s">
        <v>2392</v>
      </c>
      <c r="E245" t="str">
        <f>IF(NOT(ISERROR(VLOOKUP(D245,'ESO DungeonFinder'!$A$2:$A$999,1,FALSE))),"X","")</f>
        <v/>
      </c>
      <c r="F245" s="70" t="str">
        <f t="shared" si="16"/>
        <v/>
      </c>
      <c r="G245" s="70" t="str">
        <f t="shared" si="17"/>
        <v>Reaper's March</v>
      </c>
      <c r="H245" s="70">
        <f t="shared" si="18"/>
        <v>455</v>
      </c>
      <c r="I245" s="70">
        <f t="shared" si="19"/>
        <v>382</v>
      </c>
      <c r="J245">
        <v>0</v>
      </c>
      <c r="K245" s="3" t="str">
        <f>VLOOKUP(J245,ConstDLCIds!$A$4:$B$1000,2,FALSE)</f>
        <v>DLC_BASE_GAME</v>
      </c>
      <c r="L245" s="3" t="str">
        <f>VLOOKUP(J245,ConstDLCIds!$A$4:$C$1000,3,FALSE)</f>
        <v>Included in base game</v>
      </c>
    </row>
    <row r="246" spans="1:12" x14ac:dyDescent="0.25">
      <c r="A246">
        <v>456</v>
      </c>
      <c r="B246">
        <v>241</v>
      </c>
      <c r="C246">
        <v>382</v>
      </c>
      <c r="D246" t="s">
        <v>2393</v>
      </c>
      <c r="E246" t="str">
        <f>IF(NOT(ISERROR(VLOOKUP(D246,'ESO DungeonFinder'!$A$2:$A$999,1,FALSE))),"X","")</f>
        <v/>
      </c>
      <c r="F246" s="70" t="str">
        <f t="shared" si="16"/>
        <v/>
      </c>
      <c r="G246" s="70" t="str">
        <f t="shared" si="17"/>
        <v>Reaper's March</v>
      </c>
      <c r="H246" s="70">
        <f t="shared" si="18"/>
        <v>456</v>
      </c>
      <c r="I246" s="70">
        <f t="shared" si="19"/>
        <v>382</v>
      </c>
      <c r="J246">
        <v>0</v>
      </c>
      <c r="K246" s="3" t="str">
        <f>VLOOKUP(J246,ConstDLCIds!$A$4:$B$1000,2,FALSE)</f>
        <v>DLC_BASE_GAME</v>
      </c>
      <c r="L246" s="3" t="str">
        <f>VLOOKUP(J246,ConstDLCIds!$A$4:$C$1000,3,FALSE)</f>
        <v>Included in base game</v>
      </c>
    </row>
    <row r="247" spans="1:12" x14ac:dyDescent="0.25">
      <c r="A247">
        <v>457</v>
      </c>
      <c r="B247">
        <v>242</v>
      </c>
      <c r="C247">
        <v>382</v>
      </c>
      <c r="D247" t="s">
        <v>2394</v>
      </c>
      <c r="E247" t="str">
        <f>IF(NOT(ISERROR(VLOOKUP(D247,'ESO DungeonFinder'!$A$2:$A$999,1,FALSE))),"X","")</f>
        <v/>
      </c>
      <c r="F247" s="70" t="str">
        <f t="shared" si="16"/>
        <v/>
      </c>
      <c r="G247" s="70" t="str">
        <f t="shared" si="17"/>
        <v>Reaper's March</v>
      </c>
      <c r="H247" s="70">
        <f t="shared" si="18"/>
        <v>457</v>
      </c>
      <c r="I247" s="70">
        <f t="shared" si="19"/>
        <v>382</v>
      </c>
      <c r="J247">
        <v>0</v>
      </c>
      <c r="K247" s="3" t="str">
        <f>VLOOKUP(J247,ConstDLCIds!$A$4:$B$1000,2,FALSE)</f>
        <v>DLC_BASE_GAME</v>
      </c>
      <c r="L247" s="3" t="str">
        <f>VLOOKUP(J247,ConstDLCIds!$A$4:$C$1000,3,FALSE)</f>
        <v>Included in base game</v>
      </c>
    </row>
    <row r="248" spans="1:12" x14ac:dyDescent="0.25">
      <c r="A248">
        <v>458</v>
      </c>
      <c r="B248">
        <v>243</v>
      </c>
      <c r="C248">
        <v>382</v>
      </c>
      <c r="D248" t="s">
        <v>2395</v>
      </c>
      <c r="E248" t="str">
        <f>IF(NOT(ISERROR(VLOOKUP(D248,'ESO DungeonFinder'!$A$2:$A$999,1,FALSE))),"X","")</f>
        <v/>
      </c>
      <c r="F248" s="70" t="str">
        <f t="shared" si="16"/>
        <v/>
      </c>
      <c r="G248" s="70" t="str">
        <f t="shared" si="17"/>
        <v>Reaper's March</v>
      </c>
      <c r="H248" s="70">
        <f t="shared" si="18"/>
        <v>458</v>
      </c>
      <c r="I248" s="70">
        <f t="shared" si="19"/>
        <v>382</v>
      </c>
      <c r="J248">
        <v>0</v>
      </c>
      <c r="K248" s="3" t="str">
        <f>VLOOKUP(J248,ConstDLCIds!$A$4:$B$1000,2,FALSE)</f>
        <v>DLC_BASE_GAME</v>
      </c>
      <c r="L248" s="3" t="str">
        <f>VLOOKUP(J248,ConstDLCIds!$A$4:$C$1000,3,FALSE)</f>
        <v>Included in base game</v>
      </c>
    </row>
    <row r="249" spans="1:12" x14ac:dyDescent="0.25">
      <c r="A249">
        <v>459</v>
      </c>
      <c r="B249">
        <v>244</v>
      </c>
      <c r="C249">
        <v>382</v>
      </c>
      <c r="D249" t="s">
        <v>2396</v>
      </c>
      <c r="E249" t="str">
        <f>IF(NOT(ISERROR(VLOOKUP(D249,'ESO DungeonFinder'!$A$2:$A$999,1,FALSE))),"X","")</f>
        <v/>
      </c>
      <c r="F249" s="70" t="str">
        <f t="shared" si="16"/>
        <v/>
      </c>
      <c r="G249" s="70" t="str">
        <f t="shared" si="17"/>
        <v>Reaper's March</v>
      </c>
      <c r="H249" s="70">
        <f t="shared" si="18"/>
        <v>459</v>
      </c>
      <c r="I249" s="70">
        <f t="shared" si="19"/>
        <v>382</v>
      </c>
      <c r="J249">
        <v>0</v>
      </c>
      <c r="K249" s="3" t="str">
        <f>VLOOKUP(J249,ConstDLCIds!$A$4:$B$1000,2,FALSE)</f>
        <v>DLC_BASE_GAME</v>
      </c>
      <c r="L249" s="3" t="str">
        <f>VLOOKUP(J249,ConstDLCIds!$A$4:$C$1000,3,FALSE)</f>
        <v>Included in base game</v>
      </c>
    </row>
    <row r="250" spans="1:12" x14ac:dyDescent="0.25">
      <c r="A250">
        <v>460</v>
      </c>
      <c r="B250">
        <v>245</v>
      </c>
      <c r="C250">
        <v>382</v>
      </c>
      <c r="D250" t="s">
        <v>2397</v>
      </c>
      <c r="E250" t="str">
        <f>IF(NOT(ISERROR(VLOOKUP(D250,'ESO DungeonFinder'!$A$2:$A$999,1,FALSE))),"X","")</f>
        <v/>
      </c>
      <c r="F250" s="70" t="str">
        <f t="shared" si="16"/>
        <v/>
      </c>
      <c r="G250" s="70" t="str">
        <f t="shared" si="17"/>
        <v>Reaper's March</v>
      </c>
      <c r="H250" s="70">
        <f t="shared" si="18"/>
        <v>460</v>
      </c>
      <c r="I250" s="70">
        <f t="shared" si="19"/>
        <v>382</v>
      </c>
      <c r="J250">
        <v>0</v>
      </c>
      <c r="K250" s="3" t="str">
        <f>VLOOKUP(J250,ConstDLCIds!$A$4:$B$1000,2,FALSE)</f>
        <v>DLC_BASE_GAME</v>
      </c>
      <c r="L250" s="3" t="str">
        <f>VLOOKUP(J250,ConstDLCIds!$A$4:$C$1000,3,FALSE)</f>
        <v>Included in base game</v>
      </c>
    </row>
    <row r="251" spans="1:12" x14ac:dyDescent="0.25">
      <c r="A251">
        <v>461</v>
      </c>
      <c r="B251">
        <v>246</v>
      </c>
      <c r="C251">
        <v>382</v>
      </c>
      <c r="D251" t="s">
        <v>2398</v>
      </c>
      <c r="E251" t="str">
        <f>IF(NOT(ISERROR(VLOOKUP(D251,'ESO DungeonFinder'!$A$2:$A$999,1,FALSE))),"X","")</f>
        <v/>
      </c>
      <c r="F251" s="70" t="str">
        <f t="shared" si="16"/>
        <v/>
      </c>
      <c r="G251" s="70" t="str">
        <f t="shared" si="17"/>
        <v>Reaper's March</v>
      </c>
      <c r="H251" s="70">
        <f t="shared" si="18"/>
        <v>461</v>
      </c>
      <c r="I251" s="70">
        <f t="shared" si="19"/>
        <v>382</v>
      </c>
      <c r="J251">
        <v>0</v>
      </c>
      <c r="K251" s="3" t="str">
        <f>VLOOKUP(J251,ConstDLCIds!$A$4:$B$1000,2,FALSE)</f>
        <v>DLC_BASE_GAME</v>
      </c>
      <c r="L251" s="3" t="str">
        <f>VLOOKUP(J251,ConstDLCIds!$A$4:$C$1000,3,FALSE)</f>
        <v>Included in base game</v>
      </c>
    </row>
    <row r="252" spans="1:12" x14ac:dyDescent="0.25">
      <c r="A252">
        <v>462</v>
      </c>
      <c r="B252">
        <v>247</v>
      </c>
      <c r="C252">
        <v>382</v>
      </c>
      <c r="D252" t="s">
        <v>2399</v>
      </c>
      <c r="E252" t="str">
        <f>IF(NOT(ISERROR(VLOOKUP(D252,'ESO DungeonFinder'!$A$2:$A$999,1,FALSE))),"X","")</f>
        <v/>
      </c>
      <c r="F252" s="70" t="str">
        <f t="shared" si="16"/>
        <v/>
      </c>
      <c r="G252" s="70" t="str">
        <f t="shared" si="17"/>
        <v>Reaper's March</v>
      </c>
      <c r="H252" s="70">
        <f t="shared" si="18"/>
        <v>462</v>
      </c>
      <c r="I252" s="70">
        <f t="shared" si="19"/>
        <v>382</v>
      </c>
      <c r="J252">
        <v>0</v>
      </c>
      <c r="K252" s="3" t="str">
        <f>VLOOKUP(J252,ConstDLCIds!$A$4:$B$1000,2,FALSE)</f>
        <v>DLC_BASE_GAME</v>
      </c>
      <c r="L252" s="3" t="str">
        <f>VLOOKUP(J252,ConstDLCIds!$A$4:$C$1000,3,FALSE)</f>
        <v>Included in base game</v>
      </c>
    </row>
    <row r="253" spans="1:12" x14ac:dyDescent="0.25">
      <c r="A253">
        <v>463</v>
      </c>
      <c r="B253">
        <v>248</v>
      </c>
      <c r="C253">
        <v>382</v>
      </c>
      <c r="D253" t="s">
        <v>2400</v>
      </c>
      <c r="E253" t="str">
        <f>IF(NOT(ISERROR(VLOOKUP(D253,'ESO DungeonFinder'!$A$2:$A$999,1,FALSE))),"X","")</f>
        <v/>
      </c>
      <c r="F253" s="70" t="str">
        <f t="shared" si="16"/>
        <v/>
      </c>
      <c r="G253" s="70" t="str">
        <f t="shared" si="17"/>
        <v>Reaper's March</v>
      </c>
      <c r="H253" s="70">
        <f t="shared" si="18"/>
        <v>463</v>
      </c>
      <c r="I253" s="70">
        <f t="shared" si="19"/>
        <v>382</v>
      </c>
      <c r="J253">
        <v>0</v>
      </c>
      <c r="K253" s="3" t="str">
        <f>VLOOKUP(J253,ConstDLCIds!$A$4:$B$1000,2,FALSE)</f>
        <v>DLC_BASE_GAME</v>
      </c>
      <c r="L253" s="3" t="str">
        <f>VLOOKUP(J253,ConstDLCIds!$A$4:$C$1000,3,FALSE)</f>
        <v>Included in base game</v>
      </c>
    </row>
    <row r="254" spans="1:12" x14ac:dyDescent="0.25">
      <c r="A254">
        <v>464</v>
      </c>
      <c r="B254">
        <v>249</v>
      </c>
      <c r="C254">
        <v>382</v>
      </c>
      <c r="D254" t="s">
        <v>2401</v>
      </c>
      <c r="E254" t="str">
        <f>IF(NOT(ISERROR(VLOOKUP(D254,'ESO DungeonFinder'!$A$2:$A$999,1,FALSE))),"X","")</f>
        <v/>
      </c>
      <c r="F254" s="70" t="str">
        <f t="shared" si="16"/>
        <v/>
      </c>
      <c r="G254" s="70" t="str">
        <f t="shared" si="17"/>
        <v>Reaper's March</v>
      </c>
      <c r="H254" s="70">
        <f t="shared" si="18"/>
        <v>464</v>
      </c>
      <c r="I254" s="70">
        <f t="shared" si="19"/>
        <v>382</v>
      </c>
      <c r="J254">
        <v>0</v>
      </c>
      <c r="K254" s="3" t="str">
        <f>VLOOKUP(J254,ConstDLCIds!$A$4:$B$1000,2,FALSE)</f>
        <v>DLC_BASE_GAME</v>
      </c>
      <c r="L254" s="3" t="str">
        <f>VLOOKUP(J254,ConstDLCIds!$A$4:$C$1000,3,FALSE)</f>
        <v>Included in base game</v>
      </c>
    </row>
    <row r="255" spans="1:12" x14ac:dyDescent="0.25">
      <c r="A255">
        <v>465</v>
      </c>
      <c r="B255">
        <v>250</v>
      </c>
      <c r="C255">
        <v>382</v>
      </c>
      <c r="D255" t="s">
        <v>2402</v>
      </c>
      <c r="E255" t="str">
        <f>IF(NOT(ISERROR(VLOOKUP(D255,'ESO DungeonFinder'!$A$2:$A$999,1,FALSE))),"X","")</f>
        <v/>
      </c>
      <c r="F255" s="70" t="str">
        <f t="shared" si="16"/>
        <v/>
      </c>
      <c r="G255" s="70" t="str">
        <f t="shared" si="17"/>
        <v>Reaper's March</v>
      </c>
      <c r="H255" s="70">
        <f t="shared" si="18"/>
        <v>465</v>
      </c>
      <c r="I255" s="70">
        <f t="shared" si="19"/>
        <v>382</v>
      </c>
      <c r="J255">
        <v>0</v>
      </c>
      <c r="K255" s="3" t="str">
        <f>VLOOKUP(J255,ConstDLCIds!$A$4:$B$1000,2,FALSE)</f>
        <v>DLC_BASE_GAME</v>
      </c>
      <c r="L255" s="3" t="str">
        <f>VLOOKUP(J255,ConstDLCIds!$A$4:$C$1000,3,FALSE)</f>
        <v>Included in base game</v>
      </c>
    </row>
    <row r="256" spans="1:12" x14ac:dyDescent="0.25">
      <c r="A256">
        <v>466</v>
      </c>
      <c r="B256">
        <v>251</v>
      </c>
      <c r="C256">
        <v>382</v>
      </c>
      <c r="D256" t="s">
        <v>2403</v>
      </c>
      <c r="E256" t="str">
        <f>IF(NOT(ISERROR(VLOOKUP(D256,'ESO DungeonFinder'!$A$2:$A$999,1,FALSE))),"X","")</f>
        <v/>
      </c>
      <c r="F256" s="70" t="str">
        <f t="shared" si="16"/>
        <v/>
      </c>
      <c r="G256" s="70" t="str">
        <f t="shared" si="17"/>
        <v>Reaper's March</v>
      </c>
      <c r="H256" s="70">
        <f t="shared" si="18"/>
        <v>466</v>
      </c>
      <c r="I256" s="70">
        <f t="shared" si="19"/>
        <v>382</v>
      </c>
      <c r="J256">
        <v>0</v>
      </c>
      <c r="K256" s="3" t="str">
        <f>VLOOKUP(J256,ConstDLCIds!$A$4:$B$1000,2,FALSE)</f>
        <v>DLC_BASE_GAME</v>
      </c>
      <c r="L256" s="3" t="str">
        <f>VLOOKUP(J256,ConstDLCIds!$A$4:$C$1000,3,FALSE)</f>
        <v>Included in base game</v>
      </c>
    </row>
    <row r="257" spans="1:12" x14ac:dyDescent="0.25">
      <c r="A257">
        <v>467</v>
      </c>
      <c r="B257">
        <v>252</v>
      </c>
      <c r="C257">
        <v>382</v>
      </c>
      <c r="D257" t="s">
        <v>2404</v>
      </c>
      <c r="E257" t="str">
        <f>IF(NOT(ISERROR(VLOOKUP(D257,'ESO DungeonFinder'!$A$2:$A$999,1,FALSE))),"X","")</f>
        <v/>
      </c>
      <c r="F257" s="70" t="str">
        <f t="shared" si="16"/>
        <v/>
      </c>
      <c r="G257" s="70" t="str">
        <f t="shared" si="17"/>
        <v>Reaper's March</v>
      </c>
      <c r="H257" s="70">
        <f t="shared" si="18"/>
        <v>467</v>
      </c>
      <c r="I257" s="70">
        <f t="shared" si="19"/>
        <v>382</v>
      </c>
      <c r="J257">
        <v>0</v>
      </c>
      <c r="K257" s="3" t="str">
        <f>VLOOKUP(J257,ConstDLCIds!$A$4:$B$1000,2,FALSE)</f>
        <v>DLC_BASE_GAME</v>
      </c>
      <c r="L257" s="3" t="str">
        <f>VLOOKUP(J257,ConstDLCIds!$A$4:$C$1000,3,FALSE)</f>
        <v>Included in base game</v>
      </c>
    </row>
    <row r="258" spans="1:12" x14ac:dyDescent="0.25">
      <c r="A258">
        <v>468</v>
      </c>
      <c r="B258">
        <v>253</v>
      </c>
      <c r="C258">
        <v>58</v>
      </c>
      <c r="D258" t="s">
        <v>2405</v>
      </c>
      <c r="E258" t="str">
        <f>IF(NOT(ISERROR(VLOOKUP(D258,'ESO DungeonFinder'!$A$2:$A$999,1,FALSE))),"X","")</f>
        <v/>
      </c>
      <c r="F258" s="70" t="str">
        <f t="shared" si="16"/>
        <v/>
      </c>
      <c r="G258" s="70" t="str">
        <f t="shared" si="17"/>
        <v>Malabal Tor</v>
      </c>
      <c r="H258" s="70">
        <f t="shared" si="18"/>
        <v>468</v>
      </c>
      <c r="I258" s="70">
        <f t="shared" si="19"/>
        <v>58</v>
      </c>
      <c r="J258">
        <v>0</v>
      </c>
      <c r="K258" s="3" t="str">
        <f>VLOOKUP(J258,ConstDLCIds!$A$4:$B$1000,2,FALSE)</f>
        <v>DLC_BASE_GAME</v>
      </c>
      <c r="L258" s="3" t="str">
        <f>VLOOKUP(J258,ConstDLCIds!$A$4:$C$1000,3,FALSE)</f>
        <v>Included in base game</v>
      </c>
    </row>
    <row r="259" spans="1:12" x14ac:dyDescent="0.25">
      <c r="A259">
        <v>469</v>
      </c>
      <c r="B259">
        <v>254</v>
      </c>
      <c r="C259">
        <v>58</v>
      </c>
      <c r="D259" t="s">
        <v>2406</v>
      </c>
      <c r="E259" t="str">
        <f>IF(NOT(ISERROR(VLOOKUP(D259,'ESO DungeonFinder'!$A$2:$A$999,1,FALSE))),"X","")</f>
        <v/>
      </c>
      <c r="F259" s="70" t="str">
        <f t="shared" si="16"/>
        <v/>
      </c>
      <c r="G259" s="70" t="str">
        <f t="shared" si="17"/>
        <v>Malabal Tor</v>
      </c>
      <c r="H259" s="70">
        <f t="shared" si="18"/>
        <v>469</v>
      </c>
      <c r="I259" s="70">
        <f t="shared" si="19"/>
        <v>58</v>
      </c>
      <c r="J259">
        <v>0</v>
      </c>
      <c r="K259" s="3" t="str">
        <f>VLOOKUP(J259,ConstDLCIds!$A$4:$B$1000,2,FALSE)</f>
        <v>DLC_BASE_GAME</v>
      </c>
      <c r="L259" s="3" t="str">
        <f>VLOOKUP(J259,ConstDLCIds!$A$4:$C$1000,3,FALSE)</f>
        <v>Included in base game</v>
      </c>
    </row>
    <row r="260" spans="1:12" x14ac:dyDescent="0.25">
      <c r="A260">
        <v>470</v>
      </c>
      <c r="B260">
        <v>255</v>
      </c>
      <c r="C260">
        <v>58</v>
      </c>
      <c r="D260" t="s">
        <v>2407</v>
      </c>
      <c r="E260" t="str">
        <f>IF(NOT(ISERROR(VLOOKUP(D260,'ESO DungeonFinder'!$A$2:$A$999,1,FALSE))),"X","")</f>
        <v/>
      </c>
      <c r="F260" s="70" t="str">
        <f t="shared" si="16"/>
        <v/>
      </c>
      <c r="G260" s="70" t="str">
        <f t="shared" si="17"/>
        <v>Malabal Tor</v>
      </c>
      <c r="H260" s="70">
        <f t="shared" si="18"/>
        <v>470</v>
      </c>
      <c r="I260" s="70">
        <f t="shared" si="19"/>
        <v>58</v>
      </c>
      <c r="J260">
        <v>0</v>
      </c>
      <c r="K260" s="3" t="str">
        <f>VLOOKUP(J260,ConstDLCIds!$A$4:$B$1000,2,FALSE)</f>
        <v>DLC_BASE_GAME</v>
      </c>
      <c r="L260" s="3" t="str">
        <f>VLOOKUP(J260,ConstDLCIds!$A$4:$C$1000,3,FALSE)</f>
        <v>Included in base game</v>
      </c>
    </row>
    <row r="261" spans="1:12" x14ac:dyDescent="0.25">
      <c r="A261">
        <v>471</v>
      </c>
      <c r="B261">
        <v>256</v>
      </c>
      <c r="C261">
        <v>58</v>
      </c>
      <c r="D261" t="s">
        <v>2408</v>
      </c>
      <c r="E261" t="str">
        <f>IF(NOT(ISERROR(VLOOKUP(D261,'ESO DungeonFinder'!$A$2:$A$999,1,FALSE))),"X","")</f>
        <v/>
      </c>
      <c r="F261" s="70" t="str">
        <f t="shared" si="16"/>
        <v/>
      </c>
      <c r="G261" s="70" t="str">
        <f t="shared" si="17"/>
        <v>Malabal Tor</v>
      </c>
      <c r="H261" s="70">
        <f t="shared" si="18"/>
        <v>471</v>
      </c>
      <c r="I261" s="70">
        <f t="shared" si="19"/>
        <v>58</v>
      </c>
      <c r="J261">
        <v>0</v>
      </c>
      <c r="K261" s="3" t="str">
        <f>VLOOKUP(J261,ConstDLCIds!$A$4:$B$1000,2,FALSE)</f>
        <v>DLC_BASE_GAME</v>
      </c>
      <c r="L261" s="3" t="str">
        <f>VLOOKUP(J261,ConstDLCIds!$A$4:$C$1000,3,FALSE)</f>
        <v>Included in base game</v>
      </c>
    </row>
    <row r="262" spans="1:12" x14ac:dyDescent="0.25">
      <c r="A262">
        <v>472</v>
      </c>
      <c r="B262">
        <v>257</v>
      </c>
      <c r="C262">
        <v>58</v>
      </c>
      <c r="D262" t="s">
        <v>2409</v>
      </c>
      <c r="E262" t="str">
        <f>IF(NOT(ISERROR(VLOOKUP(D262,'ESO DungeonFinder'!$A$2:$A$999,1,FALSE))),"X","")</f>
        <v/>
      </c>
      <c r="F262" s="70" t="str">
        <f t="shared" si="16"/>
        <v/>
      </c>
      <c r="G262" s="70" t="str">
        <f t="shared" si="17"/>
        <v>Malabal Tor</v>
      </c>
      <c r="H262" s="70">
        <f t="shared" si="18"/>
        <v>472</v>
      </c>
      <c r="I262" s="70">
        <f t="shared" si="19"/>
        <v>58</v>
      </c>
      <c r="J262">
        <v>0</v>
      </c>
      <c r="K262" s="3" t="str">
        <f>VLOOKUP(J262,ConstDLCIds!$A$4:$B$1000,2,FALSE)</f>
        <v>DLC_BASE_GAME</v>
      </c>
      <c r="L262" s="3" t="str">
        <f>VLOOKUP(J262,ConstDLCIds!$A$4:$C$1000,3,FALSE)</f>
        <v>Included in base game</v>
      </c>
    </row>
    <row r="263" spans="1:12" x14ac:dyDescent="0.25">
      <c r="A263">
        <v>473</v>
      </c>
      <c r="B263">
        <v>258</v>
      </c>
      <c r="C263">
        <v>58</v>
      </c>
      <c r="D263" t="s">
        <v>2410</v>
      </c>
      <c r="E263" t="str">
        <f>IF(NOT(ISERROR(VLOOKUP(D263,'ESO DungeonFinder'!$A$2:$A$999,1,FALSE))),"X","")</f>
        <v/>
      </c>
      <c r="F263" s="70" t="str">
        <f t="shared" ref="F263:F326" si="20">IF(EXACT(A263,C263),"X","")</f>
        <v/>
      </c>
      <c r="G263" s="70" t="str">
        <f t="shared" ref="G263:G326" si="21">IF(A263&lt;&gt;C263,VLOOKUP(C263,$A$5:$D$9956,4,FALSE),"")</f>
        <v>Malabal Tor</v>
      </c>
      <c r="H263" s="70">
        <f t="shared" ref="H263:H326" si="22">A263</f>
        <v>473</v>
      </c>
      <c r="I263" s="70">
        <f t="shared" ref="I263:I326" si="23">C263</f>
        <v>58</v>
      </c>
      <c r="J263">
        <v>0</v>
      </c>
      <c r="K263" s="3" t="str">
        <f>VLOOKUP(J263,ConstDLCIds!$A$4:$B$1000,2,FALSE)</f>
        <v>DLC_BASE_GAME</v>
      </c>
      <c r="L263" s="3" t="str">
        <f>VLOOKUP(J263,ConstDLCIds!$A$4:$C$1000,3,FALSE)</f>
        <v>Included in base game</v>
      </c>
    </row>
    <row r="264" spans="1:12" x14ac:dyDescent="0.25">
      <c r="A264">
        <v>475</v>
      </c>
      <c r="B264">
        <v>259</v>
      </c>
      <c r="C264">
        <v>383</v>
      </c>
      <c r="D264" t="s">
        <v>2411</v>
      </c>
      <c r="E264" t="str">
        <f>IF(NOT(ISERROR(VLOOKUP(D264,'ESO DungeonFinder'!$A$2:$A$999,1,FALSE))),"X","")</f>
        <v/>
      </c>
      <c r="F264" s="70" t="str">
        <f t="shared" si="20"/>
        <v/>
      </c>
      <c r="G264" s="70" t="str">
        <f t="shared" si="21"/>
        <v>Grahtwood</v>
      </c>
      <c r="H264" s="70">
        <f t="shared" si="22"/>
        <v>475</v>
      </c>
      <c r="I264" s="70">
        <f t="shared" si="23"/>
        <v>383</v>
      </c>
      <c r="J264">
        <v>0</v>
      </c>
      <c r="K264" s="3" t="str">
        <f>VLOOKUP(J264,ConstDLCIds!$A$4:$B$1000,2,FALSE)</f>
        <v>DLC_BASE_GAME</v>
      </c>
      <c r="L264" s="3" t="str">
        <f>VLOOKUP(J264,ConstDLCIds!$A$4:$C$1000,3,FALSE)</f>
        <v>Included in base game</v>
      </c>
    </row>
    <row r="265" spans="1:12" x14ac:dyDescent="0.25">
      <c r="A265">
        <v>477</v>
      </c>
      <c r="B265">
        <v>260</v>
      </c>
      <c r="C265">
        <v>383</v>
      </c>
      <c r="D265" t="s">
        <v>2412</v>
      </c>
      <c r="E265" t="str">
        <f>IF(NOT(ISERROR(VLOOKUP(D265,'ESO DungeonFinder'!$A$2:$A$999,1,FALSE))),"X","")</f>
        <v/>
      </c>
      <c r="F265" s="70" t="str">
        <f t="shared" si="20"/>
        <v/>
      </c>
      <c r="G265" s="70" t="str">
        <f t="shared" si="21"/>
        <v>Grahtwood</v>
      </c>
      <c r="H265" s="70">
        <f t="shared" si="22"/>
        <v>477</v>
      </c>
      <c r="I265" s="70">
        <f t="shared" si="23"/>
        <v>383</v>
      </c>
      <c r="J265">
        <v>0</v>
      </c>
      <c r="K265" s="3" t="str">
        <f>VLOOKUP(J265,ConstDLCIds!$A$4:$B$1000,2,FALSE)</f>
        <v>DLC_BASE_GAME</v>
      </c>
      <c r="L265" s="3" t="str">
        <f>VLOOKUP(J265,ConstDLCIds!$A$4:$C$1000,3,FALSE)</f>
        <v>Included in base game</v>
      </c>
    </row>
    <row r="266" spans="1:12" x14ac:dyDescent="0.25">
      <c r="A266">
        <v>478</v>
      </c>
      <c r="B266">
        <v>261</v>
      </c>
      <c r="C266">
        <v>383</v>
      </c>
      <c r="D266" t="s">
        <v>2413</v>
      </c>
      <c r="E266" t="str">
        <f>IF(NOT(ISERROR(VLOOKUP(D266,'ESO DungeonFinder'!$A$2:$A$999,1,FALSE))),"X","")</f>
        <v/>
      </c>
      <c r="F266" s="70" t="str">
        <f t="shared" si="20"/>
        <v/>
      </c>
      <c r="G266" s="70" t="str">
        <f t="shared" si="21"/>
        <v>Grahtwood</v>
      </c>
      <c r="H266" s="70">
        <f t="shared" si="22"/>
        <v>478</v>
      </c>
      <c r="I266" s="70">
        <f t="shared" si="23"/>
        <v>383</v>
      </c>
      <c r="J266">
        <v>0</v>
      </c>
      <c r="K266" s="3" t="str">
        <f>VLOOKUP(J266,ConstDLCIds!$A$4:$B$1000,2,FALSE)</f>
        <v>DLC_BASE_GAME</v>
      </c>
      <c r="L266" s="3" t="str">
        <f>VLOOKUP(J266,ConstDLCIds!$A$4:$C$1000,3,FALSE)</f>
        <v>Included in base game</v>
      </c>
    </row>
    <row r="267" spans="1:12" x14ac:dyDescent="0.25">
      <c r="A267">
        <v>480</v>
      </c>
      <c r="B267">
        <v>262</v>
      </c>
      <c r="C267">
        <v>103</v>
      </c>
      <c r="D267" t="s">
        <v>2414</v>
      </c>
      <c r="E267" t="str">
        <f>IF(NOT(ISERROR(VLOOKUP(D267,'ESO DungeonFinder'!$A$2:$A$999,1,FALSE))),"X","")</f>
        <v/>
      </c>
      <c r="F267" s="70" t="str">
        <f t="shared" si="20"/>
        <v/>
      </c>
      <c r="G267" s="70" t="str">
        <f t="shared" si="21"/>
        <v>The Rift</v>
      </c>
      <c r="H267" s="70">
        <f t="shared" si="22"/>
        <v>480</v>
      </c>
      <c r="I267" s="70">
        <f t="shared" si="23"/>
        <v>103</v>
      </c>
      <c r="J267">
        <v>0</v>
      </c>
      <c r="K267" s="3" t="str">
        <f>VLOOKUP(J267,ConstDLCIds!$A$4:$B$1000,2,FALSE)</f>
        <v>DLC_BASE_GAME</v>
      </c>
      <c r="L267" s="3" t="str">
        <f>VLOOKUP(J267,ConstDLCIds!$A$4:$C$1000,3,FALSE)</f>
        <v>Included in base game</v>
      </c>
    </row>
    <row r="268" spans="1:12" x14ac:dyDescent="0.25">
      <c r="A268">
        <v>481</v>
      </c>
      <c r="B268">
        <v>263</v>
      </c>
      <c r="C268">
        <v>103</v>
      </c>
      <c r="D268" t="s">
        <v>2415</v>
      </c>
      <c r="E268" t="str">
        <f>IF(NOT(ISERROR(VLOOKUP(D268,'ESO DungeonFinder'!$A$2:$A$999,1,FALSE))),"X","")</f>
        <v/>
      </c>
      <c r="F268" s="70" t="str">
        <f t="shared" si="20"/>
        <v/>
      </c>
      <c r="G268" s="70" t="str">
        <f t="shared" si="21"/>
        <v>The Rift</v>
      </c>
      <c r="H268" s="70">
        <f t="shared" si="22"/>
        <v>481</v>
      </c>
      <c r="I268" s="70">
        <f t="shared" si="23"/>
        <v>103</v>
      </c>
      <c r="J268">
        <v>0</v>
      </c>
      <c r="K268" s="3" t="str">
        <f>VLOOKUP(J268,ConstDLCIds!$A$4:$B$1000,2,FALSE)</f>
        <v>DLC_BASE_GAME</v>
      </c>
      <c r="L268" s="3" t="str">
        <f>VLOOKUP(J268,ConstDLCIds!$A$4:$C$1000,3,FALSE)</f>
        <v>Included in base game</v>
      </c>
    </row>
    <row r="269" spans="1:12" x14ac:dyDescent="0.25">
      <c r="A269">
        <v>482</v>
      </c>
      <c r="B269">
        <v>264</v>
      </c>
      <c r="C269">
        <v>103</v>
      </c>
      <c r="D269" t="s">
        <v>2416</v>
      </c>
      <c r="E269" t="str">
        <f>IF(NOT(ISERROR(VLOOKUP(D269,'ESO DungeonFinder'!$A$2:$A$999,1,FALSE))),"X","")</f>
        <v/>
      </c>
      <c r="F269" s="70" t="str">
        <f t="shared" si="20"/>
        <v/>
      </c>
      <c r="G269" s="70" t="str">
        <f t="shared" si="21"/>
        <v>The Rift</v>
      </c>
      <c r="H269" s="70">
        <f t="shared" si="22"/>
        <v>482</v>
      </c>
      <c r="I269" s="70">
        <f t="shared" si="23"/>
        <v>103</v>
      </c>
      <c r="J269">
        <v>0</v>
      </c>
      <c r="K269" s="3" t="str">
        <f>VLOOKUP(J269,ConstDLCIds!$A$4:$B$1000,2,FALSE)</f>
        <v>DLC_BASE_GAME</v>
      </c>
      <c r="L269" s="3" t="str">
        <f>VLOOKUP(J269,ConstDLCIds!$A$4:$C$1000,3,FALSE)</f>
        <v>Included in base game</v>
      </c>
    </row>
    <row r="270" spans="1:12" x14ac:dyDescent="0.25">
      <c r="A270">
        <v>484</v>
      </c>
      <c r="B270">
        <v>265</v>
      </c>
      <c r="C270">
        <v>103</v>
      </c>
      <c r="D270" t="s">
        <v>2417</v>
      </c>
      <c r="E270" t="str">
        <f>IF(NOT(ISERROR(VLOOKUP(D270,'ESO DungeonFinder'!$A$2:$A$999,1,FALSE))),"X","")</f>
        <v/>
      </c>
      <c r="F270" s="70" t="str">
        <f t="shared" si="20"/>
        <v/>
      </c>
      <c r="G270" s="70" t="str">
        <f t="shared" si="21"/>
        <v>The Rift</v>
      </c>
      <c r="H270" s="70">
        <f t="shared" si="22"/>
        <v>484</v>
      </c>
      <c r="I270" s="70">
        <f t="shared" si="23"/>
        <v>103</v>
      </c>
      <c r="J270">
        <v>0</v>
      </c>
      <c r="K270" s="3" t="str">
        <f>VLOOKUP(J270,ConstDLCIds!$A$4:$B$1000,2,FALSE)</f>
        <v>DLC_BASE_GAME</v>
      </c>
      <c r="L270" s="3" t="str">
        <f>VLOOKUP(J270,ConstDLCIds!$A$4:$C$1000,3,FALSE)</f>
        <v>Included in base game</v>
      </c>
    </row>
    <row r="271" spans="1:12" x14ac:dyDescent="0.25">
      <c r="A271">
        <v>485</v>
      </c>
      <c r="B271">
        <v>266</v>
      </c>
      <c r="C271">
        <v>103</v>
      </c>
      <c r="D271" t="s">
        <v>2418</v>
      </c>
      <c r="E271" t="str">
        <f>IF(NOT(ISERROR(VLOOKUP(D271,'ESO DungeonFinder'!$A$2:$A$999,1,FALSE))),"X","")</f>
        <v/>
      </c>
      <c r="F271" s="70" t="str">
        <f t="shared" si="20"/>
        <v/>
      </c>
      <c r="G271" s="70" t="str">
        <f t="shared" si="21"/>
        <v>The Rift</v>
      </c>
      <c r="H271" s="70">
        <f t="shared" si="22"/>
        <v>485</v>
      </c>
      <c r="I271" s="70">
        <f t="shared" si="23"/>
        <v>103</v>
      </c>
      <c r="J271">
        <v>0</v>
      </c>
      <c r="K271" s="3" t="str">
        <f>VLOOKUP(J271,ConstDLCIds!$A$4:$B$1000,2,FALSE)</f>
        <v>DLC_BASE_GAME</v>
      </c>
      <c r="L271" s="3" t="str">
        <f>VLOOKUP(J271,ConstDLCIds!$A$4:$C$1000,3,FALSE)</f>
        <v>Included in base game</v>
      </c>
    </row>
    <row r="272" spans="1:12" x14ac:dyDescent="0.25">
      <c r="A272">
        <v>486</v>
      </c>
      <c r="B272">
        <v>267</v>
      </c>
      <c r="C272">
        <v>381</v>
      </c>
      <c r="D272" t="s">
        <v>2184</v>
      </c>
      <c r="E272" t="str">
        <f>IF(NOT(ISERROR(VLOOKUP(D272,'ESO DungeonFinder'!$A$2:$A$999,1,FALSE))),"X","")</f>
        <v/>
      </c>
      <c r="F272" s="70" t="str">
        <f t="shared" si="20"/>
        <v/>
      </c>
      <c r="G272" s="70" t="str">
        <f t="shared" si="21"/>
        <v>Auridon</v>
      </c>
      <c r="H272" s="70">
        <f t="shared" si="22"/>
        <v>486</v>
      </c>
      <c r="I272" s="70">
        <f t="shared" si="23"/>
        <v>381</v>
      </c>
      <c r="J272">
        <v>0</v>
      </c>
      <c r="K272" s="3" t="str">
        <f>VLOOKUP(J272,ConstDLCIds!$A$4:$B$1000,2,FALSE)</f>
        <v>DLC_BASE_GAME</v>
      </c>
      <c r="L272" s="3" t="str">
        <f>VLOOKUP(J272,ConstDLCIds!$A$4:$C$1000,3,FALSE)</f>
        <v>Included in base game</v>
      </c>
    </row>
    <row r="273" spans="1:12" x14ac:dyDescent="0.25">
      <c r="A273">
        <v>487</v>
      </c>
      <c r="B273">
        <v>268</v>
      </c>
      <c r="C273">
        <v>382</v>
      </c>
      <c r="D273" t="s">
        <v>2185</v>
      </c>
      <c r="E273" t="str">
        <f>IF(NOT(ISERROR(VLOOKUP(D273,'ESO DungeonFinder'!$A$2:$A$999,1,FALSE))),"X","")</f>
        <v/>
      </c>
      <c r="F273" s="70" t="str">
        <f t="shared" si="20"/>
        <v/>
      </c>
      <c r="G273" s="70" t="str">
        <f t="shared" si="21"/>
        <v>Reaper's March</v>
      </c>
      <c r="H273" s="70">
        <f t="shared" si="22"/>
        <v>487</v>
      </c>
      <c r="I273" s="70">
        <f t="shared" si="23"/>
        <v>382</v>
      </c>
      <c r="J273">
        <v>0</v>
      </c>
      <c r="K273" s="3" t="str">
        <f>VLOOKUP(J273,ConstDLCIds!$A$4:$B$1000,2,FALSE)</f>
        <v>DLC_BASE_GAME</v>
      </c>
      <c r="L273" s="3" t="str">
        <f>VLOOKUP(J273,ConstDLCIds!$A$4:$C$1000,3,FALSE)</f>
        <v>Included in base game</v>
      </c>
    </row>
    <row r="274" spans="1:12" x14ac:dyDescent="0.25">
      <c r="A274">
        <v>492</v>
      </c>
      <c r="B274">
        <v>269</v>
      </c>
      <c r="C274">
        <v>41</v>
      </c>
      <c r="D274" t="s">
        <v>2419</v>
      </c>
      <c r="E274" t="str">
        <f>IF(NOT(ISERROR(VLOOKUP(D274,'ESO DungeonFinder'!$A$2:$A$999,1,FALSE))),"X","")</f>
        <v/>
      </c>
      <c r="F274" s="70" t="str">
        <f t="shared" si="20"/>
        <v/>
      </c>
      <c r="G274" s="70" t="str">
        <f t="shared" si="21"/>
        <v>Stonefalls</v>
      </c>
      <c r="H274" s="70">
        <f t="shared" si="22"/>
        <v>492</v>
      </c>
      <c r="I274" s="70">
        <f t="shared" si="23"/>
        <v>41</v>
      </c>
      <c r="J274">
        <v>0</v>
      </c>
      <c r="K274" s="3" t="str">
        <f>VLOOKUP(J274,ConstDLCIds!$A$4:$B$1000,2,FALSE)</f>
        <v>DLC_BASE_GAME</v>
      </c>
      <c r="L274" s="3" t="str">
        <f>VLOOKUP(J274,ConstDLCIds!$A$4:$C$1000,3,FALSE)</f>
        <v>Included in base game</v>
      </c>
    </row>
    <row r="275" spans="1:12" x14ac:dyDescent="0.25">
      <c r="A275">
        <v>493</v>
      </c>
      <c r="B275">
        <v>270</v>
      </c>
      <c r="C275">
        <v>181</v>
      </c>
      <c r="D275" t="s">
        <v>2420</v>
      </c>
      <c r="E275" t="str">
        <f>IF(NOT(ISERROR(VLOOKUP(D275,'ESO DungeonFinder'!$A$2:$A$999,1,FALSE))),"X","")</f>
        <v/>
      </c>
      <c r="F275" s="70" t="str">
        <f t="shared" si="20"/>
        <v/>
      </c>
      <c r="G275" s="70" t="str">
        <f t="shared" si="21"/>
        <v>Cyrodiil</v>
      </c>
      <c r="H275" s="70">
        <f t="shared" si="22"/>
        <v>493</v>
      </c>
      <c r="I275" s="70">
        <f t="shared" si="23"/>
        <v>181</v>
      </c>
      <c r="J275">
        <v>0</v>
      </c>
      <c r="K275" s="3" t="str">
        <f>VLOOKUP(J275,ConstDLCIds!$A$4:$B$1000,2,FALSE)</f>
        <v>DLC_BASE_GAME</v>
      </c>
      <c r="L275" s="3" t="str">
        <f>VLOOKUP(J275,ConstDLCIds!$A$4:$C$1000,3,FALSE)</f>
        <v>Included in base game</v>
      </c>
    </row>
    <row r="276" spans="1:12" x14ac:dyDescent="0.25">
      <c r="A276">
        <v>494</v>
      </c>
      <c r="B276">
        <v>271</v>
      </c>
      <c r="C276">
        <v>181</v>
      </c>
      <c r="D276" t="s">
        <v>2421</v>
      </c>
      <c r="E276" t="str">
        <f>IF(NOT(ISERROR(VLOOKUP(D276,'ESO DungeonFinder'!$A$2:$A$999,1,FALSE))),"X","")</f>
        <v/>
      </c>
      <c r="F276" s="70" t="str">
        <f t="shared" si="20"/>
        <v/>
      </c>
      <c r="G276" s="70" t="str">
        <f t="shared" si="21"/>
        <v>Cyrodiil</v>
      </c>
      <c r="H276" s="70">
        <f t="shared" si="22"/>
        <v>494</v>
      </c>
      <c r="I276" s="70">
        <f t="shared" si="23"/>
        <v>181</v>
      </c>
      <c r="J276">
        <v>0</v>
      </c>
      <c r="K276" s="3" t="str">
        <f>VLOOKUP(J276,ConstDLCIds!$A$4:$B$1000,2,FALSE)</f>
        <v>DLC_BASE_GAME</v>
      </c>
      <c r="L276" s="3" t="str">
        <f>VLOOKUP(J276,ConstDLCIds!$A$4:$C$1000,3,FALSE)</f>
        <v>Included in base game</v>
      </c>
    </row>
    <row r="277" spans="1:12" x14ac:dyDescent="0.25">
      <c r="A277">
        <v>495</v>
      </c>
      <c r="B277">
        <v>272</v>
      </c>
      <c r="C277">
        <v>181</v>
      </c>
      <c r="D277" t="s">
        <v>2422</v>
      </c>
      <c r="E277" t="str">
        <f>IF(NOT(ISERROR(VLOOKUP(D277,'ESO DungeonFinder'!$A$2:$A$999,1,FALSE))),"X","")</f>
        <v/>
      </c>
      <c r="F277" s="70" t="str">
        <f t="shared" si="20"/>
        <v/>
      </c>
      <c r="G277" s="70" t="str">
        <f t="shared" si="21"/>
        <v>Cyrodiil</v>
      </c>
      <c r="H277" s="70">
        <f t="shared" si="22"/>
        <v>495</v>
      </c>
      <c r="I277" s="70">
        <f t="shared" si="23"/>
        <v>181</v>
      </c>
      <c r="J277">
        <v>0</v>
      </c>
      <c r="K277" s="3" t="str">
        <f>VLOOKUP(J277,ConstDLCIds!$A$4:$B$1000,2,FALSE)</f>
        <v>DLC_BASE_GAME</v>
      </c>
      <c r="L277" s="3" t="str">
        <f>VLOOKUP(J277,ConstDLCIds!$A$4:$C$1000,3,FALSE)</f>
        <v>Included in base game</v>
      </c>
    </row>
    <row r="278" spans="1:12" x14ac:dyDescent="0.25">
      <c r="A278">
        <v>496</v>
      </c>
      <c r="B278">
        <v>273</v>
      </c>
      <c r="C278">
        <v>181</v>
      </c>
      <c r="D278" t="s">
        <v>2423</v>
      </c>
      <c r="E278" t="str">
        <f>IF(NOT(ISERROR(VLOOKUP(D278,'ESO DungeonFinder'!$A$2:$A$999,1,FALSE))),"X","")</f>
        <v/>
      </c>
      <c r="F278" s="70" t="str">
        <f t="shared" si="20"/>
        <v/>
      </c>
      <c r="G278" s="70" t="str">
        <f t="shared" si="21"/>
        <v>Cyrodiil</v>
      </c>
      <c r="H278" s="70">
        <f t="shared" si="22"/>
        <v>496</v>
      </c>
      <c r="I278" s="70">
        <f t="shared" si="23"/>
        <v>181</v>
      </c>
      <c r="J278">
        <v>0</v>
      </c>
      <c r="K278" s="3" t="str">
        <f>VLOOKUP(J278,ConstDLCIds!$A$4:$B$1000,2,FALSE)</f>
        <v>DLC_BASE_GAME</v>
      </c>
      <c r="L278" s="3" t="str">
        <f>VLOOKUP(J278,ConstDLCIds!$A$4:$C$1000,3,FALSE)</f>
        <v>Included in base game</v>
      </c>
    </row>
    <row r="279" spans="1:12" x14ac:dyDescent="0.25">
      <c r="A279">
        <v>497</v>
      </c>
      <c r="B279">
        <v>274</v>
      </c>
      <c r="C279">
        <v>181</v>
      </c>
      <c r="D279" t="s">
        <v>2424</v>
      </c>
      <c r="E279" t="str">
        <f>IF(NOT(ISERROR(VLOOKUP(D279,'ESO DungeonFinder'!$A$2:$A$999,1,FALSE))),"X","")</f>
        <v/>
      </c>
      <c r="F279" s="70" t="str">
        <f t="shared" si="20"/>
        <v/>
      </c>
      <c r="G279" s="70" t="str">
        <f t="shared" si="21"/>
        <v>Cyrodiil</v>
      </c>
      <c r="H279" s="70">
        <f t="shared" si="22"/>
        <v>497</v>
      </c>
      <c r="I279" s="70">
        <f t="shared" si="23"/>
        <v>181</v>
      </c>
      <c r="J279">
        <v>0</v>
      </c>
      <c r="K279" s="3" t="str">
        <f>VLOOKUP(J279,ConstDLCIds!$A$4:$B$1000,2,FALSE)</f>
        <v>DLC_BASE_GAME</v>
      </c>
      <c r="L279" s="3" t="str">
        <f>VLOOKUP(J279,ConstDLCIds!$A$4:$C$1000,3,FALSE)</f>
        <v>Included in base game</v>
      </c>
    </row>
    <row r="280" spans="1:12" x14ac:dyDescent="0.25">
      <c r="A280">
        <v>498</v>
      </c>
      <c r="B280">
        <v>275</v>
      </c>
      <c r="C280">
        <v>181</v>
      </c>
      <c r="D280" t="s">
        <v>2425</v>
      </c>
      <c r="E280" t="str">
        <f>IF(NOT(ISERROR(VLOOKUP(D280,'ESO DungeonFinder'!$A$2:$A$999,1,FALSE))),"X","")</f>
        <v/>
      </c>
      <c r="F280" s="70" t="str">
        <f t="shared" si="20"/>
        <v/>
      </c>
      <c r="G280" s="70" t="str">
        <f t="shared" si="21"/>
        <v>Cyrodiil</v>
      </c>
      <c r="H280" s="70">
        <f t="shared" si="22"/>
        <v>498</v>
      </c>
      <c r="I280" s="70">
        <f t="shared" si="23"/>
        <v>181</v>
      </c>
      <c r="J280">
        <v>0</v>
      </c>
      <c r="K280" s="3" t="str">
        <f>VLOOKUP(J280,ConstDLCIds!$A$4:$B$1000,2,FALSE)</f>
        <v>DLC_BASE_GAME</v>
      </c>
      <c r="L280" s="3" t="str">
        <f>VLOOKUP(J280,ConstDLCIds!$A$4:$C$1000,3,FALSE)</f>
        <v>Included in base game</v>
      </c>
    </row>
    <row r="281" spans="1:12" x14ac:dyDescent="0.25">
      <c r="A281">
        <v>499</v>
      </c>
      <c r="B281">
        <v>276</v>
      </c>
      <c r="C281">
        <v>181</v>
      </c>
      <c r="D281" t="s">
        <v>2426</v>
      </c>
      <c r="E281" t="str">
        <f>IF(NOT(ISERROR(VLOOKUP(D281,'ESO DungeonFinder'!$A$2:$A$999,1,FALSE))),"X","")</f>
        <v/>
      </c>
      <c r="F281" s="70" t="str">
        <f t="shared" si="20"/>
        <v/>
      </c>
      <c r="G281" s="70" t="str">
        <f t="shared" si="21"/>
        <v>Cyrodiil</v>
      </c>
      <c r="H281" s="70">
        <f t="shared" si="22"/>
        <v>499</v>
      </c>
      <c r="I281" s="70">
        <f t="shared" si="23"/>
        <v>181</v>
      </c>
      <c r="J281">
        <v>0</v>
      </c>
      <c r="K281" s="3" t="str">
        <f>VLOOKUP(J281,ConstDLCIds!$A$4:$B$1000,2,FALSE)</f>
        <v>DLC_BASE_GAME</v>
      </c>
      <c r="L281" s="3" t="str">
        <f>VLOOKUP(J281,ConstDLCIds!$A$4:$C$1000,3,FALSE)</f>
        <v>Included in base game</v>
      </c>
    </row>
    <row r="282" spans="1:12" x14ac:dyDescent="0.25">
      <c r="A282">
        <v>500</v>
      </c>
      <c r="B282">
        <v>277</v>
      </c>
      <c r="C282">
        <v>181</v>
      </c>
      <c r="D282" t="s">
        <v>2427</v>
      </c>
      <c r="E282" t="str">
        <f>IF(NOT(ISERROR(VLOOKUP(D282,'ESO DungeonFinder'!$A$2:$A$999,1,FALSE))),"X","")</f>
        <v/>
      </c>
      <c r="F282" s="70" t="str">
        <f t="shared" si="20"/>
        <v/>
      </c>
      <c r="G282" s="70" t="str">
        <f t="shared" si="21"/>
        <v>Cyrodiil</v>
      </c>
      <c r="H282" s="70">
        <f t="shared" si="22"/>
        <v>500</v>
      </c>
      <c r="I282" s="70">
        <f t="shared" si="23"/>
        <v>181</v>
      </c>
      <c r="J282">
        <v>0</v>
      </c>
      <c r="K282" s="3" t="str">
        <f>VLOOKUP(J282,ConstDLCIds!$A$4:$B$1000,2,FALSE)</f>
        <v>DLC_BASE_GAME</v>
      </c>
      <c r="L282" s="3" t="str">
        <f>VLOOKUP(J282,ConstDLCIds!$A$4:$C$1000,3,FALSE)</f>
        <v>Included in base game</v>
      </c>
    </row>
    <row r="283" spans="1:12" x14ac:dyDescent="0.25">
      <c r="A283">
        <v>501</v>
      </c>
      <c r="B283">
        <v>278</v>
      </c>
      <c r="C283">
        <v>181</v>
      </c>
      <c r="D283" t="s">
        <v>2428</v>
      </c>
      <c r="E283" t="str">
        <f>IF(NOT(ISERROR(VLOOKUP(D283,'ESO DungeonFinder'!$A$2:$A$999,1,FALSE))),"X","")</f>
        <v/>
      </c>
      <c r="F283" s="70" t="str">
        <f t="shared" si="20"/>
        <v/>
      </c>
      <c r="G283" s="70" t="str">
        <f t="shared" si="21"/>
        <v>Cyrodiil</v>
      </c>
      <c r="H283" s="70">
        <f t="shared" si="22"/>
        <v>501</v>
      </c>
      <c r="I283" s="70">
        <f t="shared" si="23"/>
        <v>181</v>
      </c>
      <c r="J283">
        <v>0</v>
      </c>
      <c r="K283" s="3" t="str">
        <f>VLOOKUP(J283,ConstDLCIds!$A$4:$B$1000,2,FALSE)</f>
        <v>DLC_BASE_GAME</v>
      </c>
      <c r="L283" s="3" t="str">
        <f>VLOOKUP(J283,ConstDLCIds!$A$4:$C$1000,3,FALSE)</f>
        <v>Included in base game</v>
      </c>
    </row>
    <row r="284" spans="1:12" x14ac:dyDescent="0.25">
      <c r="A284">
        <v>502</v>
      </c>
      <c r="B284">
        <v>279</v>
      </c>
      <c r="C284">
        <v>181</v>
      </c>
      <c r="D284" t="s">
        <v>2429</v>
      </c>
      <c r="E284" t="str">
        <f>IF(NOT(ISERROR(VLOOKUP(D284,'ESO DungeonFinder'!$A$2:$A$999,1,FALSE))),"X","")</f>
        <v/>
      </c>
      <c r="F284" s="70" t="str">
        <f t="shared" si="20"/>
        <v/>
      </c>
      <c r="G284" s="70" t="str">
        <f t="shared" si="21"/>
        <v>Cyrodiil</v>
      </c>
      <c r="H284" s="70">
        <f t="shared" si="22"/>
        <v>502</v>
      </c>
      <c r="I284" s="70">
        <f t="shared" si="23"/>
        <v>181</v>
      </c>
      <c r="J284">
        <v>0</v>
      </c>
      <c r="K284" s="3" t="str">
        <f>VLOOKUP(J284,ConstDLCIds!$A$4:$B$1000,2,FALSE)</f>
        <v>DLC_BASE_GAME</v>
      </c>
      <c r="L284" s="3" t="str">
        <f>VLOOKUP(J284,ConstDLCIds!$A$4:$C$1000,3,FALSE)</f>
        <v>Included in base game</v>
      </c>
    </row>
    <row r="285" spans="1:12" x14ac:dyDescent="0.25">
      <c r="A285">
        <v>503</v>
      </c>
      <c r="B285">
        <v>280</v>
      </c>
      <c r="C285">
        <v>181</v>
      </c>
      <c r="D285" t="s">
        <v>2430</v>
      </c>
      <c r="E285" t="str">
        <f>IF(NOT(ISERROR(VLOOKUP(D285,'ESO DungeonFinder'!$A$2:$A$999,1,FALSE))),"X","")</f>
        <v/>
      </c>
      <c r="F285" s="70" t="str">
        <f t="shared" si="20"/>
        <v/>
      </c>
      <c r="G285" s="70" t="str">
        <f t="shared" si="21"/>
        <v>Cyrodiil</v>
      </c>
      <c r="H285" s="70">
        <f t="shared" si="22"/>
        <v>503</v>
      </c>
      <c r="I285" s="70">
        <f t="shared" si="23"/>
        <v>181</v>
      </c>
      <c r="J285">
        <v>0</v>
      </c>
      <c r="K285" s="3" t="str">
        <f>VLOOKUP(J285,ConstDLCIds!$A$4:$B$1000,2,FALSE)</f>
        <v>DLC_BASE_GAME</v>
      </c>
      <c r="L285" s="3" t="str">
        <f>VLOOKUP(J285,ConstDLCIds!$A$4:$C$1000,3,FALSE)</f>
        <v>Included in base game</v>
      </c>
    </row>
    <row r="286" spans="1:12" x14ac:dyDescent="0.25">
      <c r="A286">
        <v>504</v>
      </c>
      <c r="B286">
        <v>281</v>
      </c>
      <c r="C286">
        <v>181</v>
      </c>
      <c r="D286" t="s">
        <v>2431</v>
      </c>
      <c r="E286" t="str">
        <f>IF(NOT(ISERROR(VLOOKUP(D286,'ESO DungeonFinder'!$A$2:$A$999,1,FALSE))),"X","")</f>
        <v/>
      </c>
      <c r="F286" s="70" t="str">
        <f t="shared" si="20"/>
        <v/>
      </c>
      <c r="G286" s="70" t="str">
        <f t="shared" si="21"/>
        <v>Cyrodiil</v>
      </c>
      <c r="H286" s="70">
        <f t="shared" si="22"/>
        <v>504</v>
      </c>
      <c r="I286" s="70">
        <f t="shared" si="23"/>
        <v>181</v>
      </c>
      <c r="J286">
        <v>0</v>
      </c>
      <c r="K286" s="3" t="str">
        <f>VLOOKUP(J286,ConstDLCIds!$A$4:$B$1000,2,FALSE)</f>
        <v>DLC_BASE_GAME</v>
      </c>
      <c r="L286" s="3" t="str">
        <f>VLOOKUP(J286,ConstDLCIds!$A$4:$C$1000,3,FALSE)</f>
        <v>Included in base game</v>
      </c>
    </row>
    <row r="287" spans="1:12" x14ac:dyDescent="0.25">
      <c r="A287">
        <v>505</v>
      </c>
      <c r="B287">
        <v>282</v>
      </c>
      <c r="C287">
        <v>181</v>
      </c>
      <c r="D287" t="s">
        <v>2432</v>
      </c>
      <c r="E287" t="str">
        <f>IF(NOT(ISERROR(VLOOKUP(D287,'ESO DungeonFinder'!$A$2:$A$999,1,FALSE))),"X","")</f>
        <v/>
      </c>
      <c r="F287" s="70" t="str">
        <f t="shared" si="20"/>
        <v/>
      </c>
      <c r="G287" s="70" t="str">
        <f t="shared" si="21"/>
        <v>Cyrodiil</v>
      </c>
      <c r="H287" s="70">
        <f t="shared" si="22"/>
        <v>505</v>
      </c>
      <c r="I287" s="70">
        <f t="shared" si="23"/>
        <v>181</v>
      </c>
      <c r="J287">
        <v>0</v>
      </c>
      <c r="K287" s="3" t="str">
        <f>VLOOKUP(J287,ConstDLCIds!$A$4:$B$1000,2,FALSE)</f>
        <v>DLC_BASE_GAME</v>
      </c>
      <c r="L287" s="3" t="str">
        <f>VLOOKUP(J287,ConstDLCIds!$A$4:$C$1000,3,FALSE)</f>
        <v>Included in base game</v>
      </c>
    </row>
    <row r="288" spans="1:12" x14ac:dyDescent="0.25">
      <c r="A288">
        <v>506</v>
      </c>
      <c r="B288">
        <v>283</v>
      </c>
      <c r="C288">
        <v>181</v>
      </c>
      <c r="D288" t="s">
        <v>2433</v>
      </c>
      <c r="E288" t="str">
        <f>IF(NOT(ISERROR(VLOOKUP(D288,'ESO DungeonFinder'!$A$2:$A$999,1,FALSE))),"X","")</f>
        <v/>
      </c>
      <c r="F288" s="70" t="str">
        <f t="shared" si="20"/>
        <v/>
      </c>
      <c r="G288" s="70" t="str">
        <f t="shared" si="21"/>
        <v>Cyrodiil</v>
      </c>
      <c r="H288" s="70">
        <f t="shared" si="22"/>
        <v>506</v>
      </c>
      <c r="I288" s="70">
        <f t="shared" si="23"/>
        <v>181</v>
      </c>
      <c r="J288">
        <v>0</v>
      </c>
      <c r="K288" s="3" t="str">
        <f>VLOOKUP(J288,ConstDLCIds!$A$4:$B$1000,2,FALSE)</f>
        <v>DLC_BASE_GAME</v>
      </c>
      <c r="L288" s="3" t="str">
        <f>VLOOKUP(J288,ConstDLCIds!$A$4:$C$1000,3,FALSE)</f>
        <v>Included in base game</v>
      </c>
    </row>
    <row r="289" spans="1:12" x14ac:dyDescent="0.25">
      <c r="A289">
        <v>507</v>
      </c>
      <c r="B289">
        <v>284</v>
      </c>
      <c r="C289">
        <v>181</v>
      </c>
      <c r="D289" t="s">
        <v>2434</v>
      </c>
      <c r="E289" t="str">
        <f>IF(NOT(ISERROR(VLOOKUP(D289,'ESO DungeonFinder'!$A$2:$A$999,1,FALSE))),"X","")</f>
        <v/>
      </c>
      <c r="F289" s="70" t="str">
        <f t="shared" si="20"/>
        <v/>
      </c>
      <c r="G289" s="70" t="str">
        <f t="shared" si="21"/>
        <v>Cyrodiil</v>
      </c>
      <c r="H289" s="70">
        <f t="shared" si="22"/>
        <v>507</v>
      </c>
      <c r="I289" s="70">
        <f t="shared" si="23"/>
        <v>181</v>
      </c>
      <c r="J289">
        <v>0</v>
      </c>
      <c r="K289" s="3" t="str">
        <f>VLOOKUP(J289,ConstDLCIds!$A$4:$B$1000,2,FALSE)</f>
        <v>DLC_BASE_GAME</v>
      </c>
      <c r="L289" s="3" t="str">
        <f>VLOOKUP(J289,ConstDLCIds!$A$4:$C$1000,3,FALSE)</f>
        <v>Included in base game</v>
      </c>
    </row>
    <row r="290" spans="1:12" x14ac:dyDescent="0.25">
      <c r="A290">
        <v>508</v>
      </c>
      <c r="B290">
        <v>285</v>
      </c>
      <c r="C290">
        <v>849</v>
      </c>
      <c r="D290" t="s">
        <v>2435</v>
      </c>
      <c r="E290" t="str">
        <f>IF(NOT(ISERROR(VLOOKUP(D290,'ESO DungeonFinder'!$A$2:$A$999,1,FALSE))),"X","")</f>
        <v/>
      </c>
      <c r="F290" s="70" t="str">
        <f t="shared" si="20"/>
        <v/>
      </c>
      <c r="G290" s="70" t="str">
        <f t="shared" si="21"/>
        <v>Vvardenfell</v>
      </c>
      <c r="H290" s="70">
        <f t="shared" si="22"/>
        <v>508</v>
      </c>
      <c r="I290" s="70">
        <f t="shared" si="23"/>
        <v>849</v>
      </c>
      <c r="J290">
        <v>6</v>
      </c>
      <c r="K290" s="3" t="str">
        <f ca="1">VLOOKUP(J290,ConstDLCIds!$A$4:$B$1000,2,FALSE)</f>
        <v>DLC_MORROWIND</v>
      </c>
      <c r="L290" s="3" t="str">
        <f ca="1">VLOOKUP(J290,ConstDLCIds!$A$4:$C$1000,3,FALSE)</f>
        <v>Morrowind</v>
      </c>
    </row>
    <row r="291" spans="1:12" x14ac:dyDescent="0.25">
      <c r="A291">
        <v>509</v>
      </c>
      <c r="B291">
        <v>286</v>
      </c>
      <c r="C291">
        <v>849</v>
      </c>
      <c r="D291" t="s">
        <v>2436</v>
      </c>
      <c r="E291" t="str">
        <f>IF(NOT(ISERROR(VLOOKUP(D291,'ESO DungeonFinder'!$A$2:$A$999,1,FALSE))),"X","")</f>
        <v/>
      </c>
      <c r="F291" s="70" t="str">
        <f t="shared" si="20"/>
        <v/>
      </c>
      <c r="G291" s="70" t="str">
        <f t="shared" si="21"/>
        <v>Vvardenfell</v>
      </c>
      <c r="H291" s="70">
        <f t="shared" si="22"/>
        <v>509</v>
      </c>
      <c r="I291" s="70">
        <f t="shared" si="23"/>
        <v>849</v>
      </c>
      <c r="J291">
        <v>6</v>
      </c>
      <c r="K291" s="3" t="str">
        <f ca="1">VLOOKUP(J291,ConstDLCIds!$A$4:$B$1000,2,FALSE)</f>
        <v>DLC_MORROWIND</v>
      </c>
      <c r="L291" s="3" t="str">
        <f ca="1">VLOOKUP(J291,ConstDLCIds!$A$4:$C$1000,3,FALSE)</f>
        <v>Morrowind</v>
      </c>
    </row>
    <row r="292" spans="1:12" x14ac:dyDescent="0.25">
      <c r="A292">
        <v>510</v>
      </c>
      <c r="B292">
        <v>287</v>
      </c>
      <c r="C292">
        <v>849</v>
      </c>
      <c r="D292" t="s">
        <v>2437</v>
      </c>
      <c r="E292" t="str">
        <f>IF(NOT(ISERROR(VLOOKUP(D292,'ESO DungeonFinder'!$A$2:$A$999,1,FALSE))),"X","")</f>
        <v/>
      </c>
      <c r="F292" s="70" t="str">
        <f t="shared" si="20"/>
        <v/>
      </c>
      <c r="G292" s="70" t="str">
        <f t="shared" si="21"/>
        <v>Vvardenfell</v>
      </c>
      <c r="H292" s="70">
        <f t="shared" si="22"/>
        <v>510</v>
      </c>
      <c r="I292" s="70">
        <f t="shared" si="23"/>
        <v>849</v>
      </c>
      <c r="J292">
        <v>6</v>
      </c>
      <c r="K292" s="3" t="str">
        <f ca="1">VLOOKUP(J292,ConstDLCIds!$A$4:$B$1000,2,FALSE)</f>
        <v>DLC_MORROWIND</v>
      </c>
      <c r="L292" s="3" t="str">
        <f ca="1">VLOOKUP(J292,ConstDLCIds!$A$4:$C$1000,3,FALSE)</f>
        <v>Morrowind</v>
      </c>
    </row>
    <row r="293" spans="1:12" x14ac:dyDescent="0.25">
      <c r="A293">
        <v>511</v>
      </c>
      <c r="B293">
        <v>288</v>
      </c>
      <c r="C293">
        <v>511</v>
      </c>
      <c r="D293" t="s">
        <v>2438</v>
      </c>
      <c r="E293" t="str">
        <f>IF(NOT(ISERROR(VLOOKUP(D293,'ESO DungeonFinder'!$A$2:$A$999,1,FALSE))),"X","")</f>
        <v/>
      </c>
      <c r="F293" s="70" t="str">
        <f t="shared" si="20"/>
        <v>X</v>
      </c>
      <c r="G293" s="70" t="str">
        <f t="shared" si="21"/>
        <v/>
      </c>
      <c r="H293" s="70">
        <f t="shared" si="22"/>
        <v>511</v>
      </c>
      <c r="I293" s="70">
        <f t="shared" si="23"/>
        <v>511</v>
      </c>
      <c r="J293">
        <v>0</v>
      </c>
      <c r="K293" s="3" t="str">
        <f>VLOOKUP(J293,ConstDLCIds!$A$4:$B$1000,2,FALSE)</f>
        <v>DLC_BASE_GAME</v>
      </c>
      <c r="L293" s="3" t="str">
        <f>VLOOKUP(J293,ConstDLCIds!$A$4:$C$1000,3,FALSE)</f>
        <v>Included in base game</v>
      </c>
    </row>
    <row r="294" spans="1:12" x14ac:dyDescent="0.25">
      <c r="A294">
        <v>512</v>
      </c>
      <c r="B294">
        <v>289</v>
      </c>
      <c r="C294">
        <v>512</v>
      </c>
      <c r="D294" t="s">
        <v>2439</v>
      </c>
      <c r="E294" t="str">
        <f>IF(NOT(ISERROR(VLOOKUP(D294,'ESO DungeonFinder'!$A$2:$A$999,1,FALSE))),"X","")</f>
        <v/>
      </c>
      <c r="F294" s="70" t="str">
        <f t="shared" si="20"/>
        <v>X</v>
      </c>
      <c r="G294" s="70" t="str">
        <f t="shared" si="21"/>
        <v/>
      </c>
      <c r="H294" s="70">
        <f t="shared" si="22"/>
        <v>512</v>
      </c>
      <c r="I294" s="70">
        <f t="shared" si="23"/>
        <v>512</v>
      </c>
      <c r="J294">
        <v>0</v>
      </c>
      <c r="K294" s="3" t="str">
        <f>VLOOKUP(J294,ConstDLCIds!$A$4:$B$1000,2,FALSE)</f>
        <v>DLC_BASE_GAME</v>
      </c>
      <c r="L294" s="3" t="str">
        <f>VLOOKUP(J294,ConstDLCIds!$A$4:$C$1000,3,FALSE)</f>
        <v>Included in base game</v>
      </c>
    </row>
    <row r="295" spans="1:12" x14ac:dyDescent="0.25">
      <c r="A295">
        <v>513</v>
      </c>
      <c r="B295">
        <v>290</v>
      </c>
      <c r="C295">
        <v>513</v>
      </c>
      <c r="D295" t="s">
        <v>2440</v>
      </c>
      <c r="E295" t="str">
        <f>IF(NOT(ISERROR(VLOOKUP(D295,'ESO DungeonFinder'!$A$2:$A$999,1,FALSE))),"X","")</f>
        <v/>
      </c>
      <c r="F295" s="70" t="str">
        <f t="shared" si="20"/>
        <v>X</v>
      </c>
      <c r="G295" s="70" t="str">
        <f t="shared" si="21"/>
        <v/>
      </c>
      <c r="H295" s="70">
        <f t="shared" si="22"/>
        <v>513</v>
      </c>
      <c r="I295" s="70">
        <f t="shared" si="23"/>
        <v>513</v>
      </c>
      <c r="J295">
        <v>0</v>
      </c>
      <c r="K295" s="3" t="str">
        <f>VLOOKUP(J295,ConstDLCIds!$A$4:$B$1000,2,FALSE)</f>
        <v>DLC_BASE_GAME</v>
      </c>
      <c r="L295" s="3" t="str">
        <f>VLOOKUP(J295,ConstDLCIds!$A$4:$C$1000,3,FALSE)</f>
        <v>Included in base game</v>
      </c>
    </row>
    <row r="296" spans="1:12" x14ac:dyDescent="0.25">
      <c r="A296">
        <v>514</v>
      </c>
      <c r="B296">
        <v>291</v>
      </c>
      <c r="C296">
        <v>514</v>
      </c>
      <c r="D296" t="s">
        <v>2441</v>
      </c>
      <c r="E296" t="str">
        <f>IF(NOT(ISERROR(VLOOKUP(D296,'ESO DungeonFinder'!$A$2:$A$999,1,FALSE))),"X","")</f>
        <v/>
      </c>
      <c r="F296" s="70" t="str">
        <f t="shared" si="20"/>
        <v>X</v>
      </c>
      <c r="G296" s="70" t="str">
        <f t="shared" si="21"/>
        <v/>
      </c>
      <c r="H296" s="70">
        <f t="shared" si="22"/>
        <v>514</v>
      </c>
      <c r="I296" s="70">
        <f t="shared" si="23"/>
        <v>514</v>
      </c>
      <c r="J296">
        <v>0</v>
      </c>
      <c r="K296" s="3" t="str">
        <f>VLOOKUP(J296,ConstDLCIds!$A$4:$B$1000,2,FALSE)</f>
        <v>DLC_BASE_GAME</v>
      </c>
      <c r="L296" s="3" t="str">
        <f>VLOOKUP(J296,ConstDLCIds!$A$4:$C$1000,3,FALSE)</f>
        <v>Included in base game</v>
      </c>
    </row>
    <row r="297" spans="1:12" x14ac:dyDescent="0.25">
      <c r="A297">
        <v>515</v>
      </c>
      <c r="B297">
        <v>292</v>
      </c>
      <c r="C297">
        <v>515</v>
      </c>
      <c r="D297" t="s">
        <v>2442</v>
      </c>
      <c r="E297" t="str">
        <f>IF(NOT(ISERROR(VLOOKUP(D297,'ESO DungeonFinder'!$A$2:$A$999,1,FALSE))),"X","")</f>
        <v/>
      </c>
      <c r="F297" s="70" t="str">
        <f t="shared" si="20"/>
        <v>X</v>
      </c>
      <c r="G297" s="70" t="str">
        <f t="shared" si="21"/>
        <v/>
      </c>
      <c r="H297" s="70">
        <f t="shared" si="22"/>
        <v>515</v>
      </c>
      <c r="I297" s="70">
        <f t="shared" si="23"/>
        <v>515</v>
      </c>
      <c r="J297">
        <v>0</v>
      </c>
      <c r="K297" s="3" t="str">
        <f>VLOOKUP(J297,ConstDLCIds!$A$4:$B$1000,2,FALSE)</f>
        <v>DLC_BASE_GAME</v>
      </c>
      <c r="L297" s="3" t="str">
        <f>VLOOKUP(J297,ConstDLCIds!$A$4:$C$1000,3,FALSE)</f>
        <v>Included in base game</v>
      </c>
    </row>
    <row r="298" spans="1:12" x14ac:dyDescent="0.25">
      <c r="A298">
        <v>516</v>
      </c>
      <c r="B298">
        <v>293</v>
      </c>
      <c r="C298">
        <v>516</v>
      </c>
      <c r="D298" t="s">
        <v>2436</v>
      </c>
      <c r="E298" t="str">
        <f>IF(NOT(ISERROR(VLOOKUP(D298,'ESO DungeonFinder'!$A$2:$A$999,1,FALSE))),"X","")</f>
        <v/>
      </c>
      <c r="F298" s="70" t="str">
        <f t="shared" si="20"/>
        <v>X</v>
      </c>
      <c r="G298" s="70" t="str">
        <f t="shared" si="21"/>
        <v/>
      </c>
      <c r="H298" s="70">
        <f t="shared" si="22"/>
        <v>516</v>
      </c>
      <c r="I298" s="70">
        <f t="shared" si="23"/>
        <v>516</v>
      </c>
      <c r="J298">
        <v>0</v>
      </c>
      <c r="K298" s="3" t="str">
        <f>VLOOKUP(J298,ConstDLCIds!$A$4:$B$1000,2,FALSE)</f>
        <v>DLC_BASE_GAME</v>
      </c>
      <c r="L298" s="3" t="str">
        <f>VLOOKUP(J298,ConstDLCIds!$A$4:$C$1000,3,FALSE)</f>
        <v>Included in base game</v>
      </c>
    </row>
    <row r="299" spans="1:12" x14ac:dyDescent="0.25">
      <c r="A299">
        <v>517</v>
      </c>
      <c r="B299">
        <v>294</v>
      </c>
      <c r="C299">
        <v>517</v>
      </c>
      <c r="D299" t="s">
        <v>2443</v>
      </c>
      <c r="E299" t="str">
        <f>IF(NOT(ISERROR(VLOOKUP(D299,'ESO DungeonFinder'!$A$2:$A$999,1,FALSE))),"X","")</f>
        <v/>
      </c>
      <c r="F299" s="70" t="str">
        <f t="shared" si="20"/>
        <v>X</v>
      </c>
      <c r="G299" s="70" t="str">
        <f t="shared" si="21"/>
        <v/>
      </c>
      <c r="H299" s="70">
        <f t="shared" si="22"/>
        <v>517</v>
      </c>
      <c r="I299" s="70">
        <f t="shared" si="23"/>
        <v>517</v>
      </c>
      <c r="J299">
        <v>0</v>
      </c>
      <c r="K299" s="3" t="str">
        <f>VLOOKUP(J299,ConstDLCIds!$A$4:$B$1000,2,FALSE)</f>
        <v>DLC_BASE_GAME</v>
      </c>
      <c r="L299" s="3" t="str">
        <f>VLOOKUP(J299,ConstDLCIds!$A$4:$C$1000,3,FALSE)</f>
        <v>Included in base game</v>
      </c>
    </row>
    <row r="300" spans="1:12" x14ac:dyDescent="0.25">
      <c r="A300">
        <v>518</v>
      </c>
      <c r="B300">
        <v>295</v>
      </c>
      <c r="C300">
        <v>518</v>
      </c>
      <c r="D300" t="s">
        <v>2443</v>
      </c>
      <c r="E300" t="str">
        <f>IF(NOT(ISERROR(VLOOKUP(D300,'ESO DungeonFinder'!$A$2:$A$999,1,FALSE))),"X","")</f>
        <v/>
      </c>
      <c r="F300" s="70" t="str">
        <f t="shared" si="20"/>
        <v>X</v>
      </c>
      <c r="G300" s="70" t="str">
        <f t="shared" si="21"/>
        <v/>
      </c>
      <c r="H300" s="70">
        <f t="shared" si="22"/>
        <v>518</v>
      </c>
      <c r="I300" s="70">
        <f t="shared" si="23"/>
        <v>518</v>
      </c>
      <c r="J300">
        <v>0</v>
      </c>
      <c r="K300" s="3" t="str">
        <f>VLOOKUP(J300,ConstDLCIds!$A$4:$B$1000,2,FALSE)</f>
        <v>DLC_BASE_GAME</v>
      </c>
      <c r="L300" s="3" t="str">
        <f>VLOOKUP(J300,ConstDLCIds!$A$4:$C$1000,3,FALSE)</f>
        <v>Included in base game</v>
      </c>
    </row>
    <row r="301" spans="1:12" x14ac:dyDescent="0.25">
      <c r="A301">
        <v>520</v>
      </c>
      <c r="B301">
        <v>296</v>
      </c>
      <c r="C301">
        <v>520</v>
      </c>
      <c r="D301" t="s">
        <v>2444</v>
      </c>
      <c r="E301" t="str">
        <f>IF(NOT(ISERROR(VLOOKUP(D301,'ESO DungeonFinder'!$A$2:$A$999,1,FALSE))),"X","")</f>
        <v/>
      </c>
      <c r="F301" s="70" t="str">
        <f t="shared" si="20"/>
        <v>X</v>
      </c>
      <c r="G301" s="70" t="str">
        <f t="shared" si="21"/>
        <v/>
      </c>
      <c r="H301" s="70">
        <f t="shared" si="22"/>
        <v>520</v>
      </c>
      <c r="I301" s="70">
        <f t="shared" si="23"/>
        <v>520</v>
      </c>
      <c r="J301">
        <v>0</v>
      </c>
      <c r="K301" s="3" t="str">
        <f>VLOOKUP(J301,ConstDLCIds!$A$4:$B$1000,2,FALSE)</f>
        <v>DLC_BASE_GAME</v>
      </c>
      <c r="L301" s="3" t="str">
        <f>VLOOKUP(J301,ConstDLCIds!$A$4:$C$1000,3,FALSE)</f>
        <v>Included in base game</v>
      </c>
    </row>
    <row r="302" spans="1:12" x14ac:dyDescent="0.25">
      <c r="A302">
        <v>525</v>
      </c>
      <c r="B302">
        <v>297</v>
      </c>
      <c r="C302">
        <v>181</v>
      </c>
      <c r="D302" t="s">
        <v>2217</v>
      </c>
      <c r="E302" t="str">
        <f>IF(NOT(ISERROR(VLOOKUP(D302,'ESO DungeonFinder'!$A$2:$A$999,1,FALSE))),"X","")</f>
        <v/>
      </c>
      <c r="F302" s="70" t="str">
        <f t="shared" si="20"/>
        <v/>
      </c>
      <c r="G302" s="70" t="str">
        <f t="shared" si="21"/>
        <v>Cyrodiil</v>
      </c>
      <c r="H302" s="70">
        <f t="shared" si="22"/>
        <v>525</v>
      </c>
      <c r="I302" s="70">
        <f t="shared" si="23"/>
        <v>181</v>
      </c>
      <c r="J302">
        <v>0</v>
      </c>
      <c r="K302" s="3" t="str">
        <f>VLOOKUP(J302,ConstDLCIds!$A$4:$B$1000,2,FALSE)</f>
        <v>DLC_BASE_GAME</v>
      </c>
      <c r="L302" s="3" t="str">
        <f>VLOOKUP(J302,ConstDLCIds!$A$4:$C$1000,3,FALSE)</f>
        <v>Included in base game</v>
      </c>
    </row>
    <row r="303" spans="1:12" x14ac:dyDescent="0.25">
      <c r="A303">
        <v>526</v>
      </c>
      <c r="B303">
        <v>298</v>
      </c>
      <c r="C303">
        <v>382</v>
      </c>
      <c r="D303" t="s">
        <v>2445</v>
      </c>
      <c r="E303" t="str">
        <f>IF(NOT(ISERROR(VLOOKUP(D303,'ESO DungeonFinder'!$A$2:$A$999,1,FALSE))),"X","")</f>
        <v/>
      </c>
      <c r="F303" s="70" t="str">
        <f t="shared" si="20"/>
        <v/>
      </c>
      <c r="G303" s="70" t="str">
        <f t="shared" si="21"/>
        <v>Reaper's March</v>
      </c>
      <c r="H303" s="70">
        <f t="shared" si="22"/>
        <v>526</v>
      </c>
      <c r="I303" s="70">
        <f t="shared" si="23"/>
        <v>382</v>
      </c>
      <c r="J303">
        <v>0</v>
      </c>
      <c r="K303" s="3" t="str">
        <f>VLOOKUP(J303,ConstDLCIds!$A$4:$B$1000,2,FALSE)</f>
        <v>DLC_BASE_GAME</v>
      </c>
      <c r="L303" s="3" t="str">
        <f>VLOOKUP(J303,ConstDLCIds!$A$4:$C$1000,3,FALSE)</f>
        <v>Included in base game</v>
      </c>
    </row>
    <row r="304" spans="1:12" x14ac:dyDescent="0.25">
      <c r="A304">
        <v>527</v>
      </c>
      <c r="B304">
        <v>299</v>
      </c>
      <c r="C304">
        <v>0</v>
      </c>
      <c r="D304" t="s">
        <v>2446</v>
      </c>
      <c r="E304" t="str">
        <f>IF(NOT(ISERROR(VLOOKUP(D304,'ESO DungeonFinder'!$A$2:$A$999,1,FALSE))),"X","")</f>
        <v/>
      </c>
      <c r="F304" s="70" t="str">
        <f t="shared" si="20"/>
        <v/>
      </c>
      <c r="G304" s="70" t="str">
        <f t="shared" si="21"/>
        <v>Tamriel Map</v>
      </c>
      <c r="H304" s="70">
        <f t="shared" si="22"/>
        <v>527</v>
      </c>
      <c r="I304" s="70">
        <f t="shared" si="23"/>
        <v>0</v>
      </c>
      <c r="J304">
        <v>0</v>
      </c>
      <c r="K304" s="3" t="str">
        <f>VLOOKUP(J304,ConstDLCIds!$A$4:$B$1000,2,FALSE)</f>
        <v>DLC_BASE_GAME</v>
      </c>
      <c r="L304" s="3" t="str">
        <f>VLOOKUP(J304,ConstDLCIds!$A$4:$C$1000,3,FALSE)</f>
        <v>Included in base game</v>
      </c>
    </row>
    <row r="305" spans="1:12" x14ac:dyDescent="0.25">
      <c r="A305">
        <v>529</v>
      </c>
      <c r="B305">
        <v>300</v>
      </c>
      <c r="C305">
        <v>267</v>
      </c>
      <c r="D305" t="s">
        <v>2447</v>
      </c>
      <c r="E305" t="str">
        <f>IF(NOT(ISERROR(VLOOKUP(D305,'ESO DungeonFinder'!$A$2:$A$999,1,FALSE))),"X","")</f>
        <v/>
      </c>
      <c r="F305" s="70" t="str">
        <f t="shared" si="20"/>
        <v/>
      </c>
      <c r="G305" s="70" t="str">
        <f t="shared" si="21"/>
        <v>Eyevea</v>
      </c>
      <c r="H305" s="70">
        <f t="shared" si="22"/>
        <v>529</v>
      </c>
      <c r="I305" s="70">
        <f t="shared" si="23"/>
        <v>267</v>
      </c>
      <c r="J305">
        <v>0</v>
      </c>
      <c r="K305" s="3" t="str">
        <f>VLOOKUP(J305,ConstDLCIds!$A$4:$B$1000,2,FALSE)</f>
        <v>DLC_BASE_GAME</v>
      </c>
      <c r="L305" s="3" t="str">
        <f>VLOOKUP(J305,ConstDLCIds!$A$4:$C$1000,3,FALSE)</f>
        <v>Included in base game</v>
      </c>
    </row>
    <row r="306" spans="1:12" x14ac:dyDescent="0.25">
      <c r="A306">
        <v>530</v>
      </c>
      <c r="B306">
        <v>301</v>
      </c>
      <c r="C306">
        <v>347</v>
      </c>
      <c r="D306" t="s">
        <v>2448</v>
      </c>
      <c r="E306" t="str">
        <f>IF(NOT(ISERROR(VLOOKUP(D306,'ESO DungeonFinder'!$A$2:$A$999,1,FALSE))),"X","")</f>
        <v/>
      </c>
      <c r="F306" s="70" t="str">
        <f t="shared" si="20"/>
        <v/>
      </c>
      <c r="G306" s="70" t="str">
        <f t="shared" si="21"/>
        <v>Coldharbour</v>
      </c>
      <c r="H306" s="70">
        <f t="shared" si="22"/>
        <v>530</v>
      </c>
      <c r="I306" s="70">
        <f t="shared" si="23"/>
        <v>347</v>
      </c>
      <c r="J306">
        <v>0</v>
      </c>
      <c r="K306" s="3" t="str">
        <f>VLOOKUP(J306,ConstDLCIds!$A$4:$B$1000,2,FALSE)</f>
        <v>DLC_BASE_GAME</v>
      </c>
      <c r="L306" s="3" t="str">
        <f>VLOOKUP(J306,ConstDLCIds!$A$4:$C$1000,3,FALSE)</f>
        <v>Included in base game</v>
      </c>
    </row>
    <row r="307" spans="1:12" x14ac:dyDescent="0.25">
      <c r="A307">
        <v>531</v>
      </c>
      <c r="B307">
        <v>302</v>
      </c>
      <c r="C307">
        <v>181</v>
      </c>
      <c r="D307" t="s">
        <v>2449</v>
      </c>
      <c r="E307" t="str">
        <f>IF(NOT(ISERROR(VLOOKUP(D307,'ESO DungeonFinder'!$A$2:$A$999,1,FALSE))),"X","")</f>
        <v/>
      </c>
      <c r="F307" s="70" t="str">
        <f t="shared" si="20"/>
        <v/>
      </c>
      <c r="G307" s="70" t="str">
        <f t="shared" si="21"/>
        <v>Cyrodiil</v>
      </c>
      <c r="H307" s="70">
        <f t="shared" si="22"/>
        <v>531</v>
      </c>
      <c r="I307" s="70">
        <f t="shared" si="23"/>
        <v>181</v>
      </c>
      <c r="J307">
        <v>0</v>
      </c>
      <c r="K307" s="3" t="str">
        <f>VLOOKUP(J307,ConstDLCIds!$A$4:$B$1000,2,FALSE)</f>
        <v>DLC_BASE_GAME</v>
      </c>
      <c r="L307" s="3" t="str">
        <f>VLOOKUP(J307,ConstDLCIds!$A$4:$C$1000,3,FALSE)</f>
        <v>Included in base game</v>
      </c>
    </row>
    <row r="308" spans="1:12" x14ac:dyDescent="0.25">
      <c r="A308">
        <v>532</v>
      </c>
      <c r="B308">
        <v>303</v>
      </c>
      <c r="C308">
        <v>181</v>
      </c>
      <c r="D308" t="s">
        <v>2450</v>
      </c>
      <c r="E308" t="str">
        <f>IF(NOT(ISERROR(VLOOKUP(D308,'ESO DungeonFinder'!$A$2:$A$999,1,FALSE))),"X","")</f>
        <v/>
      </c>
      <c r="F308" s="70" t="str">
        <f t="shared" si="20"/>
        <v/>
      </c>
      <c r="G308" s="70" t="str">
        <f t="shared" si="21"/>
        <v>Cyrodiil</v>
      </c>
      <c r="H308" s="70">
        <f t="shared" si="22"/>
        <v>532</v>
      </c>
      <c r="I308" s="70">
        <f t="shared" si="23"/>
        <v>181</v>
      </c>
      <c r="J308">
        <v>0</v>
      </c>
      <c r="K308" s="3" t="str">
        <f>VLOOKUP(J308,ConstDLCIds!$A$4:$B$1000,2,FALSE)</f>
        <v>DLC_BASE_GAME</v>
      </c>
      <c r="L308" s="3" t="str">
        <f>VLOOKUP(J308,ConstDLCIds!$A$4:$C$1000,3,FALSE)</f>
        <v>Included in base game</v>
      </c>
    </row>
    <row r="309" spans="1:12" x14ac:dyDescent="0.25">
      <c r="A309">
        <v>533</v>
      </c>
      <c r="B309">
        <v>304</v>
      </c>
      <c r="C309">
        <v>181</v>
      </c>
      <c r="D309" t="s">
        <v>2451</v>
      </c>
      <c r="E309" t="str">
        <f>IF(NOT(ISERROR(VLOOKUP(D309,'ESO DungeonFinder'!$A$2:$A$999,1,FALSE))),"X","")</f>
        <v/>
      </c>
      <c r="F309" s="70" t="str">
        <f t="shared" si="20"/>
        <v/>
      </c>
      <c r="G309" s="70" t="str">
        <f t="shared" si="21"/>
        <v>Cyrodiil</v>
      </c>
      <c r="H309" s="70">
        <f t="shared" si="22"/>
        <v>533</v>
      </c>
      <c r="I309" s="70">
        <f t="shared" si="23"/>
        <v>181</v>
      </c>
      <c r="J309">
        <v>0</v>
      </c>
      <c r="K309" s="3" t="str">
        <f>VLOOKUP(J309,ConstDLCIds!$A$4:$B$1000,2,FALSE)</f>
        <v>DLC_BASE_GAME</v>
      </c>
      <c r="L309" s="3" t="str">
        <f>VLOOKUP(J309,ConstDLCIds!$A$4:$C$1000,3,FALSE)</f>
        <v>Included in base game</v>
      </c>
    </row>
    <row r="310" spans="1:12" x14ac:dyDescent="0.25">
      <c r="A310">
        <v>534</v>
      </c>
      <c r="B310">
        <v>305</v>
      </c>
      <c r="C310">
        <v>534</v>
      </c>
      <c r="D310" t="s">
        <v>2452</v>
      </c>
      <c r="E310" t="str">
        <f>IF(NOT(ISERROR(VLOOKUP(D310,'ESO DungeonFinder'!$A$2:$A$999,1,FALSE))),"X","")</f>
        <v/>
      </c>
      <c r="F310" s="70" t="str">
        <f t="shared" si="20"/>
        <v>X</v>
      </c>
      <c r="G310" s="70" t="str">
        <f t="shared" si="21"/>
        <v/>
      </c>
      <c r="H310" s="70">
        <f t="shared" si="22"/>
        <v>534</v>
      </c>
      <c r="I310" s="70">
        <f t="shared" si="23"/>
        <v>534</v>
      </c>
      <c r="J310">
        <v>0</v>
      </c>
      <c r="K310" s="3" t="str">
        <f>VLOOKUP(J310,ConstDLCIds!$A$4:$B$1000,2,FALSE)</f>
        <v>DLC_BASE_GAME</v>
      </c>
      <c r="L310" s="3" t="str">
        <f>VLOOKUP(J310,ConstDLCIds!$A$4:$C$1000,3,FALSE)</f>
        <v>Included in base game</v>
      </c>
    </row>
    <row r="311" spans="1:12" x14ac:dyDescent="0.25">
      <c r="A311">
        <v>535</v>
      </c>
      <c r="B311">
        <v>306</v>
      </c>
      <c r="C311">
        <v>535</v>
      </c>
      <c r="D311" t="s">
        <v>1450</v>
      </c>
      <c r="E311" t="str">
        <f>IF(NOT(ISERROR(VLOOKUP(D311,'ESO DungeonFinder'!$A$2:$A$999,1,FALSE))),"X","")</f>
        <v/>
      </c>
      <c r="F311" s="70" t="str">
        <f t="shared" si="20"/>
        <v>X</v>
      </c>
      <c r="G311" s="70" t="str">
        <f t="shared" si="21"/>
        <v/>
      </c>
      <c r="H311" s="70">
        <f t="shared" si="22"/>
        <v>535</v>
      </c>
      <c r="I311" s="70">
        <f t="shared" si="23"/>
        <v>535</v>
      </c>
      <c r="J311">
        <v>0</v>
      </c>
      <c r="K311" s="3" t="str">
        <f>VLOOKUP(J311,ConstDLCIds!$A$4:$B$1000,2,FALSE)</f>
        <v>DLC_BASE_GAME</v>
      </c>
      <c r="L311" s="3" t="str">
        <f>VLOOKUP(J311,ConstDLCIds!$A$4:$C$1000,3,FALSE)</f>
        <v>Included in base game</v>
      </c>
    </row>
    <row r="312" spans="1:12" x14ac:dyDescent="0.25">
      <c r="A312">
        <v>537</v>
      </c>
      <c r="B312">
        <v>307</v>
      </c>
      <c r="C312">
        <v>537</v>
      </c>
      <c r="D312" t="s">
        <v>2453</v>
      </c>
      <c r="E312" t="str">
        <f>IF(NOT(ISERROR(VLOOKUP(D312,'ESO DungeonFinder'!$A$2:$A$999,1,FALSE))),"X","")</f>
        <v/>
      </c>
      <c r="F312" s="70" t="str">
        <f t="shared" si="20"/>
        <v>X</v>
      </c>
      <c r="G312" s="70" t="str">
        <f t="shared" si="21"/>
        <v/>
      </c>
      <c r="H312" s="70">
        <f t="shared" si="22"/>
        <v>537</v>
      </c>
      <c r="I312" s="70">
        <f t="shared" si="23"/>
        <v>537</v>
      </c>
      <c r="J312">
        <v>0</v>
      </c>
      <c r="K312" s="3" t="str">
        <f>VLOOKUP(J312,ConstDLCIds!$A$4:$B$1000,2,FALSE)</f>
        <v>DLC_BASE_GAME</v>
      </c>
      <c r="L312" s="3" t="str">
        <f>VLOOKUP(J312,ConstDLCIds!$A$4:$C$1000,3,FALSE)</f>
        <v>Included in base game</v>
      </c>
    </row>
    <row r="313" spans="1:12" x14ac:dyDescent="0.25">
      <c r="A313">
        <v>539</v>
      </c>
      <c r="B313">
        <v>308</v>
      </c>
      <c r="C313">
        <v>535</v>
      </c>
      <c r="D313" t="s">
        <v>2454</v>
      </c>
      <c r="E313" t="str">
        <f>IF(NOT(ISERROR(VLOOKUP(D313,'ESO DungeonFinder'!$A$2:$A$999,1,FALSE))),"X","")</f>
        <v/>
      </c>
      <c r="F313" s="70" t="str">
        <f t="shared" si="20"/>
        <v/>
      </c>
      <c r="G313" s="70" t="str">
        <f t="shared" si="21"/>
        <v>Betnikh</v>
      </c>
      <c r="H313" s="70">
        <f t="shared" si="22"/>
        <v>539</v>
      </c>
      <c r="I313" s="70">
        <f t="shared" si="23"/>
        <v>535</v>
      </c>
      <c r="J313">
        <v>0</v>
      </c>
      <c r="K313" s="3" t="str">
        <f>VLOOKUP(J313,ConstDLCIds!$A$4:$B$1000,2,FALSE)</f>
        <v>DLC_BASE_GAME</v>
      </c>
      <c r="L313" s="3" t="str">
        <f>VLOOKUP(J313,ConstDLCIds!$A$4:$C$1000,3,FALSE)</f>
        <v>Included in base game</v>
      </c>
    </row>
    <row r="314" spans="1:12" x14ac:dyDescent="0.25">
      <c r="A314">
        <v>541</v>
      </c>
      <c r="B314">
        <v>309</v>
      </c>
      <c r="C314">
        <v>267</v>
      </c>
      <c r="D314" t="s">
        <v>2455</v>
      </c>
      <c r="E314" t="str">
        <f>IF(NOT(ISERROR(VLOOKUP(D314,'ESO DungeonFinder'!$A$2:$A$999,1,FALSE))),"X","")</f>
        <v/>
      </c>
      <c r="F314" s="70" t="str">
        <f t="shared" si="20"/>
        <v/>
      </c>
      <c r="G314" s="70" t="str">
        <f t="shared" si="21"/>
        <v>Eyevea</v>
      </c>
      <c r="H314" s="70">
        <f t="shared" si="22"/>
        <v>541</v>
      </c>
      <c r="I314" s="70">
        <f t="shared" si="23"/>
        <v>267</v>
      </c>
      <c r="J314">
        <v>0</v>
      </c>
      <c r="K314" s="3" t="str">
        <f>VLOOKUP(J314,ConstDLCIds!$A$4:$B$1000,2,FALSE)</f>
        <v>DLC_BASE_GAME</v>
      </c>
      <c r="L314" s="3" t="str">
        <f>VLOOKUP(J314,ConstDLCIds!$A$4:$C$1000,3,FALSE)</f>
        <v>Included in base game</v>
      </c>
    </row>
    <row r="315" spans="1:12" x14ac:dyDescent="0.25">
      <c r="A315">
        <v>542</v>
      </c>
      <c r="B315">
        <v>310</v>
      </c>
      <c r="C315">
        <v>208</v>
      </c>
      <c r="D315" t="s">
        <v>2456</v>
      </c>
      <c r="E315" t="str">
        <f>IF(NOT(ISERROR(VLOOKUP(D315,'ESO DungeonFinder'!$A$2:$A$999,1,FALSE))),"X","")</f>
        <v/>
      </c>
      <c r="F315" s="70" t="str">
        <f t="shared" si="20"/>
        <v/>
      </c>
      <c r="G315" s="70" t="str">
        <f t="shared" si="21"/>
        <v>The Earth Forge</v>
      </c>
      <c r="H315" s="70">
        <f t="shared" si="22"/>
        <v>542</v>
      </c>
      <c r="I315" s="70">
        <f t="shared" si="23"/>
        <v>208</v>
      </c>
      <c r="J315">
        <v>0</v>
      </c>
      <c r="K315" s="3" t="str">
        <f>VLOOKUP(J315,ConstDLCIds!$A$4:$B$1000,2,FALSE)</f>
        <v>DLC_BASE_GAME</v>
      </c>
      <c r="L315" s="3" t="str">
        <f>VLOOKUP(J315,ConstDLCIds!$A$4:$C$1000,3,FALSE)</f>
        <v>Included in base game</v>
      </c>
    </row>
    <row r="316" spans="1:12" x14ac:dyDescent="0.25">
      <c r="A316">
        <v>543</v>
      </c>
      <c r="B316">
        <v>311</v>
      </c>
      <c r="C316">
        <v>208</v>
      </c>
      <c r="D316" t="s">
        <v>2457</v>
      </c>
      <c r="E316" t="str">
        <f>IF(NOT(ISERROR(VLOOKUP(D316,'ESO DungeonFinder'!$A$2:$A$999,1,FALSE))),"X","")</f>
        <v/>
      </c>
      <c r="F316" s="70" t="str">
        <f t="shared" si="20"/>
        <v/>
      </c>
      <c r="G316" s="70" t="str">
        <f t="shared" si="21"/>
        <v>The Earth Forge</v>
      </c>
      <c r="H316" s="70">
        <f t="shared" si="22"/>
        <v>543</v>
      </c>
      <c r="I316" s="70">
        <f t="shared" si="23"/>
        <v>208</v>
      </c>
      <c r="J316">
        <v>0</v>
      </c>
      <c r="K316" s="3" t="str">
        <f>VLOOKUP(J316,ConstDLCIds!$A$4:$B$1000,2,FALSE)</f>
        <v>DLC_BASE_GAME</v>
      </c>
      <c r="L316" s="3" t="str">
        <f>VLOOKUP(J316,ConstDLCIds!$A$4:$C$1000,3,FALSE)</f>
        <v>Included in base game</v>
      </c>
    </row>
    <row r="317" spans="1:12" x14ac:dyDescent="0.25">
      <c r="A317">
        <v>544</v>
      </c>
      <c r="B317">
        <v>312</v>
      </c>
      <c r="C317">
        <v>208</v>
      </c>
      <c r="D317" t="s">
        <v>2458</v>
      </c>
      <c r="E317" t="str">
        <f>IF(NOT(ISERROR(VLOOKUP(D317,'ESO DungeonFinder'!$A$2:$A$999,1,FALSE))),"X","")</f>
        <v/>
      </c>
      <c r="F317" s="70" t="str">
        <f t="shared" si="20"/>
        <v/>
      </c>
      <c r="G317" s="70" t="str">
        <f t="shared" si="21"/>
        <v>The Earth Forge</v>
      </c>
      <c r="H317" s="70">
        <f t="shared" si="22"/>
        <v>544</v>
      </c>
      <c r="I317" s="70">
        <f t="shared" si="23"/>
        <v>208</v>
      </c>
      <c r="J317">
        <v>0</v>
      </c>
      <c r="K317" s="3" t="str">
        <f>VLOOKUP(J317,ConstDLCIds!$A$4:$B$1000,2,FALSE)</f>
        <v>DLC_BASE_GAME</v>
      </c>
      <c r="L317" s="3" t="str">
        <f>VLOOKUP(J317,ConstDLCIds!$A$4:$C$1000,3,FALSE)</f>
        <v>Included in base game</v>
      </c>
    </row>
    <row r="318" spans="1:12" x14ac:dyDescent="0.25">
      <c r="A318">
        <v>545</v>
      </c>
      <c r="B318">
        <v>313</v>
      </c>
      <c r="C318">
        <v>19</v>
      </c>
      <c r="D318" t="s">
        <v>2459</v>
      </c>
      <c r="E318" t="str">
        <f>IF(NOT(ISERROR(VLOOKUP(D318,'ESO DungeonFinder'!$A$2:$A$999,1,FALSE))),"X","")</f>
        <v/>
      </c>
      <c r="F318" s="70" t="str">
        <f t="shared" si="20"/>
        <v/>
      </c>
      <c r="G318" s="70" t="str">
        <f t="shared" si="21"/>
        <v>Stormhaven</v>
      </c>
      <c r="H318" s="70">
        <f t="shared" si="22"/>
        <v>545</v>
      </c>
      <c r="I318" s="70">
        <f t="shared" si="23"/>
        <v>19</v>
      </c>
      <c r="J318">
        <v>0</v>
      </c>
      <c r="K318" s="3" t="str">
        <f>VLOOKUP(J318,ConstDLCIds!$A$4:$B$1000,2,FALSE)</f>
        <v>DLC_BASE_GAME</v>
      </c>
      <c r="L318" s="3" t="str">
        <f>VLOOKUP(J318,ConstDLCIds!$A$4:$C$1000,3,FALSE)</f>
        <v>Included in base game</v>
      </c>
    </row>
    <row r="319" spans="1:12" x14ac:dyDescent="0.25">
      <c r="A319">
        <v>546</v>
      </c>
      <c r="B319">
        <v>314</v>
      </c>
      <c r="C319">
        <v>19</v>
      </c>
      <c r="D319" t="s">
        <v>2460</v>
      </c>
      <c r="E319" t="str">
        <f>IF(NOT(ISERROR(VLOOKUP(D319,'ESO DungeonFinder'!$A$2:$A$999,1,FALSE))),"X","")</f>
        <v/>
      </c>
      <c r="F319" s="70" t="str">
        <f t="shared" si="20"/>
        <v/>
      </c>
      <c r="G319" s="70" t="str">
        <f t="shared" si="21"/>
        <v>Stormhaven</v>
      </c>
      <c r="H319" s="70">
        <f t="shared" si="22"/>
        <v>546</v>
      </c>
      <c r="I319" s="70">
        <f t="shared" si="23"/>
        <v>19</v>
      </c>
      <c r="J319">
        <v>0</v>
      </c>
      <c r="K319" s="3" t="str">
        <f>VLOOKUP(J319,ConstDLCIds!$A$4:$B$1000,2,FALSE)</f>
        <v>DLC_BASE_GAME</v>
      </c>
      <c r="L319" s="3" t="str">
        <f>VLOOKUP(J319,ConstDLCIds!$A$4:$C$1000,3,FALSE)</f>
        <v>Included in base game</v>
      </c>
    </row>
    <row r="320" spans="1:12" x14ac:dyDescent="0.25">
      <c r="A320">
        <v>547</v>
      </c>
      <c r="B320">
        <v>315</v>
      </c>
      <c r="C320">
        <v>108</v>
      </c>
      <c r="D320" t="s">
        <v>2461</v>
      </c>
      <c r="E320" t="str">
        <f>IF(NOT(ISERROR(VLOOKUP(D320,'ESO DungeonFinder'!$A$2:$A$999,1,FALSE))),"X","")</f>
        <v/>
      </c>
      <c r="F320" s="70" t="str">
        <f t="shared" si="20"/>
        <v/>
      </c>
      <c r="G320" s="70" t="str">
        <f t="shared" si="21"/>
        <v>Greenshade</v>
      </c>
      <c r="H320" s="70">
        <f t="shared" si="22"/>
        <v>547</v>
      </c>
      <c r="I320" s="70">
        <f t="shared" si="23"/>
        <v>108</v>
      </c>
      <c r="J320">
        <v>0</v>
      </c>
      <c r="K320" s="3" t="str">
        <f>VLOOKUP(J320,ConstDLCIds!$A$4:$B$1000,2,FALSE)</f>
        <v>DLC_BASE_GAME</v>
      </c>
      <c r="L320" s="3" t="str">
        <f>VLOOKUP(J320,ConstDLCIds!$A$4:$C$1000,3,FALSE)</f>
        <v>Included in base game</v>
      </c>
    </row>
    <row r="321" spans="1:12" x14ac:dyDescent="0.25">
      <c r="A321">
        <v>548</v>
      </c>
      <c r="B321">
        <v>316</v>
      </c>
      <c r="C321">
        <v>108</v>
      </c>
      <c r="D321" t="s">
        <v>2462</v>
      </c>
      <c r="E321" t="str">
        <f>IF(NOT(ISERROR(VLOOKUP(D321,'ESO DungeonFinder'!$A$2:$A$999,1,FALSE))),"X","")</f>
        <v/>
      </c>
      <c r="F321" s="70" t="str">
        <f t="shared" si="20"/>
        <v/>
      </c>
      <c r="G321" s="70" t="str">
        <f t="shared" si="21"/>
        <v>Greenshade</v>
      </c>
      <c r="H321" s="70">
        <f t="shared" si="22"/>
        <v>548</v>
      </c>
      <c r="I321" s="70">
        <f t="shared" si="23"/>
        <v>108</v>
      </c>
      <c r="J321">
        <v>0</v>
      </c>
      <c r="K321" s="3" t="str">
        <f>VLOOKUP(J321,ConstDLCIds!$A$4:$B$1000,2,FALSE)</f>
        <v>DLC_BASE_GAME</v>
      </c>
      <c r="L321" s="3" t="str">
        <f>VLOOKUP(J321,ConstDLCIds!$A$4:$C$1000,3,FALSE)</f>
        <v>Included in base game</v>
      </c>
    </row>
    <row r="322" spans="1:12" x14ac:dyDescent="0.25">
      <c r="A322">
        <v>549</v>
      </c>
      <c r="B322">
        <v>317</v>
      </c>
      <c r="C322">
        <v>383</v>
      </c>
      <c r="D322" t="s">
        <v>2463</v>
      </c>
      <c r="E322" t="str">
        <f>IF(NOT(ISERROR(VLOOKUP(D322,'ESO DungeonFinder'!$A$2:$A$999,1,FALSE))),"X","")</f>
        <v/>
      </c>
      <c r="F322" s="70" t="str">
        <f t="shared" si="20"/>
        <v/>
      </c>
      <c r="G322" s="70" t="str">
        <f t="shared" si="21"/>
        <v>Grahtwood</v>
      </c>
      <c r="H322" s="70">
        <f t="shared" si="22"/>
        <v>549</v>
      </c>
      <c r="I322" s="70">
        <f t="shared" si="23"/>
        <v>383</v>
      </c>
      <c r="J322">
        <v>0</v>
      </c>
      <c r="K322" s="3" t="str">
        <f>VLOOKUP(J322,ConstDLCIds!$A$4:$B$1000,2,FALSE)</f>
        <v>DLC_BASE_GAME</v>
      </c>
      <c r="L322" s="3" t="str">
        <f>VLOOKUP(J322,ConstDLCIds!$A$4:$C$1000,3,FALSE)</f>
        <v>Included in base game</v>
      </c>
    </row>
    <row r="323" spans="1:12" x14ac:dyDescent="0.25">
      <c r="A323">
        <v>551</v>
      </c>
      <c r="B323">
        <v>318</v>
      </c>
      <c r="C323">
        <v>108</v>
      </c>
      <c r="D323" t="s">
        <v>2464</v>
      </c>
      <c r="E323" t="str">
        <f>IF(NOT(ISERROR(VLOOKUP(D323,'ESO DungeonFinder'!$A$2:$A$999,1,FALSE))),"X","")</f>
        <v/>
      </c>
      <c r="F323" s="70" t="str">
        <f t="shared" si="20"/>
        <v/>
      </c>
      <c r="G323" s="70" t="str">
        <f t="shared" si="21"/>
        <v>Greenshade</v>
      </c>
      <c r="H323" s="70">
        <f t="shared" si="22"/>
        <v>551</v>
      </c>
      <c r="I323" s="70">
        <f t="shared" si="23"/>
        <v>108</v>
      </c>
      <c r="J323">
        <v>0</v>
      </c>
      <c r="K323" s="3" t="str">
        <f>VLOOKUP(J323,ConstDLCIds!$A$4:$B$1000,2,FALSE)</f>
        <v>DLC_BASE_GAME</v>
      </c>
      <c r="L323" s="3" t="str">
        <f>VLOOKUP(J323,ConstDLCIds!$A$4:$C$1000,3,FALSE)</f>
        <v>Included in base game</v>
      </c>
    </row>
    <row r="324" spans="1:12" x14ac:dyDescent="0.25">
      <c r="A324">
        <v>552</v>
      </c>
      <c r="B324">
        <v>319</v>
      </c>
      <c r="C324">
        <v>108</v>
      </c>
      <c r="D324" t="s">
        <v>2465</v>
      </c>
      <c r="E324" t="str">
        <f>IF(NOT(ISERROR(VLOOKUP(D324,'ESO DungeonFinder'!$A$2:$A$999,1,FALSE))),"X","")</f>
        <v/>
      </c>
      <c r="F324" s="70" t="str">
        <f t="shared" si="20"/>
        <v/>
      </c>
      <c r="G324" s="70" t="str">
        <f t="shared" si="21"/>
        <v>Greenshade</v>
      </c>
      <c r="H324" s="70">
        <f t="shared" si="22"/>
        <v>552</v>
      </c>
      <c r="I324" s="70">
        <f t="shared" si="23"/>
        <v>108</v>
      </c>
      <c r="J324">
        <v>0</v>
      </c>
      <c r="K324" s="3" t="str">
        <f>VLOOKUP(J324,ConstDLCIds!$A$4:$B$1000,2,FALSE)</f>
        <v>DLC_BASE_GAME</v>
      </c>
      <c r="L324" s="3" t="str">
        <f>VLOOKUP(J324,ConstDLCIds!$A$4:$C$1000,3,FALSE)</f>
        <v>Included in base game</v>
      </c>
    </row>
    <row r="325" spans="1:12" x14ac:dyDescent="0.25">
      <c r="A325">
        <v>553</v>
      </c>
      <c r="B325">
        <v>320</v>
      </c>
      <c r="C325">
        <v>108</v>
      </c>
      <c r="D325" t="s">
        <v>2466</v>
      </c>
      <c r="E325" t="str">
        <f>IF(NOT(ISERROR(VLOOKUP(D325,'ESO DungeonFinder'!$A$2:$A$999,1,FALSE))),"X","")</f>
        <v/>
      </c>
      <c r="F325" s="70" t="str">
        <f t="shared" si="20"/>
        <v/>
      </c>
      <c r="G325" s="70" t="str">
        <f t="shared" si="21"/>
        <v>Greenshade</v>
      </c>
      <c r="H325" s="70">
        <f t="shared" si="22"/>
        <v>553</v>
      </c>
      <c r="I325" s="70">
        <f t="shared" si="23"/>
        <v>108</v>
      </c>
      <c r="J325">
        <v>0</v>
      </c>
      <c r="K325" s="3" t="str">
        <f>VLOOKUP(J325,ConstDLCIds!$A$4:$B$1000,2,FALSE)</f>
        <v>DLC_BASE_GAME</v>
      </c>
      <c r="L325" s="3" t="str">
        <f>VLOOKUP(J325,ConstDLCIds!$A$4:$C$1000,3,FALSE)</f>
        <v>Included in base game</v>
      </c>
    </row>
    <row r="326" spans="1:12" x14ac:dyDescent="0.25">
      <c r="A326">
        <v>554</v>
      </c>
      <c r="B326">
        <v>321</v>
      </c>
      <c r="C326">
        <v>108</v>
      </c>
      <c r="D326" t="s">
        <v>2467</v>
      </c>
      <c r="E326" t="str">
        <f>IF(NOT(ISERROR(VLOOKUP(D326,'ESO DungeonFinder'!$A$2:$A$999,1,FALSE))),"X","")</f>
        <v/>
      </c>
      <c r="F326" s="70" t="str">
        <f t="shared" si="20"/>
        <v/>
      </c>
      <c r="G326" s="70" t="str">
        <f t="shared" si="21"/>
        <v>Greenshade</v>
      </c>
      <c r="H326" s="70">
        <f t="shared" si="22"/>
        <v>554</v>
      </c>
      <c r="I326" s="70">
        <f t="shared" si="23"/>
        <v>108</v>
      </c>
      <c r="J326">
        <v>0</v>
      </c>
      <c r="K326" s="3" t="str">
        <f>VLOOKUP(J326,ConstDLCIds!$A$4:$B$1000,2,FALSE)</f>
        <v>DLC_BASE_GAME</v>
      </c>
      <c r="L326" s="3" t="str">
        <f>VLOOKUP(J326,ConstDLCIds!$A$4:$C$1000,3,FALSE)</f>
        <v>Included in base game</v>
      </c>
    </row>
    <row r="327" spans="1:12" x14ac:dyDescent="0.25">
      <c r="A327">
        <v>555</v>
      </c>
      <c r="B327">
        <v>322</v>
      </c>
      <c r="C327">
        <v>108</v>
      </c>
      <c r="D327" t="s">
        <v>2468</v>
      </c>
      <c r="E327" t="str">
        <f>IF(NOT(ISERROR(VLOOKUP(D327,'ESO DungeonFinder'!$A$2:$A$999,1,FALSE))),"X","")</f>
        <v/>
      </c>
      <c r="F327" s="70" t="str">
        <f t="shared" ref="F327:F390" si="24">IF(EXACT(A327,C327),"X","")</f>
        <v/>
      </c>
      <c r="G327" s="70" t="str">
        <f t="shared" ref="G327:G390" si="25">IF(A327&lt;&gt;C327,VLOOKUP(C327,$A$5:$D$9956,4,FALSE),"")</f>
        <v>Greenshade</v>
      </c>
      <c r="H327" s="70">
        <f t="shared" ref="H327:H390" si="26">A327</f>
        <v>555</v>
      </c>
      <c r="I327" s="70">
        <f t="shared" ref="I327:I390" si="27">C327</f>
        <v>108</v>
      </c>
      <c r="J327">
        <v>0</v>
      </c>
      <c r="K327" s="3" t="str">
        <f>VLOOKUP(J327,ConstDLCIds!$A$4:$B$1000,2,FALSE)</f>
        <v>DLC_BASE_GAME</v>
      </c>
      <c r="L327" s="3" t="str">
        <f>VLOOKUP(J327,ConstDLCIds!$A$4:$C$1000,3,FALSE)</f>
        <v>Included in base game</v>
      </c>
    </row>
    <row r="328" spans="1:12" x14ac:dyDescent="0.25">
      <c r="A328">
        <v>556</v>
      </c>
      <c r="B328">
        <v>323</v>
      </c>
      <c r="C328">
        <v>108</v>
      </c>
      <c r="D328" t="s">
        <v>2469</v>
      </c>
      <c r="E328" t="str">
        <f>IF(NOT(ISERROR(VLOOKUP(D328,'ESO DungeonFinder'!$A$2:$A$999,1,FALSE))),"X","")</f>
        <v/>
      </c>
      <c r="F328" s="70" t="str">
        <f t="shared" si="24"/>
        <v/>
      </c>
      <c r="G328" s="70" t="str">
        <f t="shared" si="25"/>
        <v>Greenshade</v>
      </c>
      <c r="H328" s="70">
        <f t="shared" si="26"/>
        <v>556</v>
      </c>
      <c r="I328" s="70">
        <f t="shared" si="27"/>
        <v>108</v>
      </c>
      <c r="J328">
        <v>0</v>
      </c>
      <c r="K328" s="3" t="str">
        <f>VLOOKUP(J328,ConstDLCIds!$A$4:$B$1000,2,FALSE)</f>
        <v>DLC_BASE_GAME</v>
      </c>
      <c r="L328" s="3" t="str">
        <f>VLOOKUP(J328,ConstDLCIds!$A$4:$C$1000,3,FALSE)</f>
        <v>Included in base game</v>
      </c>
    </row>
    <row r="329" spans="1:12" x14ac:dyDescent="0.25">
      <c r="A329">
        <v>557</v>
      </c>
      <c r="B329">
        <v>324</v>
      </c>
      <c r="C329">
        <v>347</v>
      </c>
      <c r="D329" t="s">
        <v>2186</v>
      </c>
      <c r="E329" t="str">
        <f>IF(NOT(ISERROR(VLOOKUP(D329,'ESO DungeonFinder'!$A$2:$A$999,1,FALSE))),"X","")</f>
        <v/>
      </c>
      <c r="F329" s="70" t="str">
        <f t="shared" si="24"/>
        <v/>
      </c>
      <c r="G329" s="70" t="str">
        <f t="shared" si="25"/>
        <v>Coldharbour</v>
      </c>
      <c r="H329" s="70">
        <f t="shared" si="26"/>
        <v>557</v>
      </c>
      <c r="I329" s="70">
        <f t="shared" si="27"/>
        <v>347</v>
      </c>
      <c r="J329">
        <v>0</v>
      </c>
      <c r="K329" s="3" t="str">
        <f>VLOOKUP(J329,ConstDLCIds!$A$4:$B$1000,2,FALSE)</f>
        <v>DLC_BASE_GAME</v>
      </c>
      <c r="L329" s="3" t="str">
        <f>VLOOKUP(J329,ConstDLCIds!$A$4:$C$1000,3,FALSE)</f>
        <v>Included in base game</v>
      </c>
    </row>
    <row r="330" spans="1:12" x14ac:dyDescent="0.25">
      <c r="A330">
        <v>558</v>
      </c>
      <c r="B330">
        <v>325</v>
      </c>
      <c r="C330">
        <v>108</v>
      </c>
      <c r="D330" t="s">
        <v>2470</v>
      </c>
      <c r="E330" t="str">
        <f>IF(NOT(ISERROR(VLOOKUP(D330,'ESO DungeonFinder'!$A$2:$A$999,1,FALSE))),"X","")</f>
        <v/>
      </c>
      <c r="F330" s="70" t="str">
        <f t="shared" si="24"/>
        <v/>
      </c>
      <c r="G330" s="70" t="str">
        <f t="shared" si="25"/>
        <v>Greenshade</v>
      </c>
      <c r="H330" s="70">
        <f t="shared" si="26"/>
        <v>558</v>
      </c>
      <c r="I330" s="70">
        <f t="shared" si="27"/>
        <v>108</v>
      </c>
      <c r="J330">
        <v>0</v>
      </c>
      <c r="K330" s="3" t="str">
        <f>VLOOKUP(J330,ConstDLCIds!$A$4:$B$1000,2,FALSE)</f>
        <v>DLC_BASE_GAME</v>
      </c>
      <c r="L330" s="3" t="str">
        <f>VLOOKUP(J330,ConstDLCIds!$A$4:$C$1000,3,FALSE)</f>
        <v>Included in base game</v>
      </c>
    </row>
    <row r="331" spans="1:12" x14ac:dyDescent="0.25">
      <c r="A331">
        <v>559</v>
      </c>
      <c r="B331">
        <v>326</v>
      </c>
      <c r="C331">
        <v>108</v>
      </c>
      <c r="D331" t="s">
        <v>2471</v>
      </c>
      <c r="E331" t="str">
        <f>IF(NOT(ISERROR(VLOOKUP(D331,'ESO DungeonFinder'!$A$2:$A$999,1,FALSE))),"X","")</f>
        <v/>
      </c>
      <c r="F331" s="70" t="str">
        <f t="shared" si="24"/>
        <v/>
      </c>
      <c r="G331" s="70" t="str">
        <f t="shared" si="25"/>
        <v>Greenshade</v>
      </c>
      <c r="H331" s="70">
        <f t="shared" si="26"/>
        <v>559</v>
      </c>
      <c r="I331" s="70">
        <f t="shared" si="27"/>
        <v>108</v>
      </c>
      <c r="J331">
        <v>0</v>
      </c>
      <c r="K331" s="3" t="str">
        <f>VLOOKUP(J331,ConstDLCIds!$A$4:$B$1000,2,FALSE)</f>
        <v>DLC_BASE_GAME</v>
      </c>
      <c r="L331" s="3" t="str">
        <f>VLOOKUP(J331,ConstDLCIds!$A$4:$C$1000,3,FALSE)</f>
        <v>Included in base game</v>
      </c>
    </row>
    <row r="332" spans="1:12" x14ac:dyDescent="0.25">
      <c r="A332">
        <v>560</v>
      </c>
      <c r="B332">
        <v>327</v>
      </c>
      <c r="C332">
        <v>103</v>
      </c>
      <c r="D332" t="s">
        <v>2360</v>
      </c>
      <c r="E332" t="str">
        <f>IF(NOT(ISERROR(VLOOKUP(D332,'ESO DungeonFinder'!$A$2:$A$999,1,FALSE))),"X","")</f>
        <v/>
      </c>
      <c r="F332" s="70" t="str">
        <f t="shared" si="24"/>
        <v/>
      </c>
      <c r="G332" s="70" t="str">
        <f t="shared" si="25"/>
        <v>The Rift</v>
      </c>
      <c r="H332" s="70">
        <f t="shared" si="26"/>
        <v>560</v>
      </c>
      <c r="I332" s="70">
        <f t="shared" si="27"/>
        <v>103</v>
      </c>
      <c r="J332">
        <v>0</v>
      </c>
      <c r="K332" s="3" t="str">
        <f>VLOOKUP(J332,ConstDLCIds!$A$4:$B$1000,2,FALSE)</f>
        <v>DLC_BASE_GAME</v>
      </c>
      <c r="L332" s="3" t="str">
        <f>VLOOKUP(J332,ConstDLCIds!$A$4:$C$1000,3,FALSE)</f>
        <v>Included in base game</v>
      </c>
    </row>
    <row r="333" spans="1:12" x14ac:dyDescent="0.25">
      <c r="A333">
        <v>561</v>
      </c>
      <c r="B333">
        <v>328</v>
      </c>
      <c r="C333">
        <v>108</v>
      </c>
      <c r="D333" t="s">
        <v>2472</v>
      </c>
      <c r="E333" t="str">
        <f>IF(NOT(ISERROR(VLOOKUP(D333,'ESO DungeonFinder'!$A$2:$A$999,1,FALSE))),"X","")</f>
        <v/>
      </c>
      <c r="F333" s="70" t="str">
        <f t="shared" si="24"/>
        <v/>
      </c>
      <c r="G333" s="70" t="str">
        <f t="shared" si="25"/>
        <v>Greenshade</v>
      </c>
      <c r="H333" s="70">
        <f t="shared" si="26"/>
        <v>561</v>
      </c>
      <c r="I333" s="70">
        <f t="shared" si="27"/>
        <v>108</v>
      </c>
      <c r="J333">
        <v>0</v>
      </c>
      <c r="K333" s="3" t="str">
        <f>VLOOKUP(J333,ConstDLCIds!$A$4:$B$1000,2,FALSE)</f>
        <v>DLC_BASE_GAME</v>
      </c>
      <c r="L333" s="3" t="str">
        <f>VLOOKUP(J333,ConstDLCIds!$A$4:$C$1000,3,FALSE)</f>
        <v>Included in base game</v>
      </c>
    </row>
    <row r="334" spans="1:12" x14ac:dyDescent="0.25">
      <c r="A334">
        <v>562</v>
      </c>
      <c r="B334">
        <v>329</v>
      </c>
      <c r="C334">
        <v>382</v>
      </c>
      <c r="D334" t="s">
        <v>2473</v>
      </c>
      <c r="E334" t="str">
        <f>IF(NOT(ISERROR(VLOOKUP(D334,'ESO DungeonFinder'!$A$2:$A$999,1,FALSE))),"X","")</f>
        <v/>
      </c>
      <c r="F334" s="70" t="str">
        <f t="shared" si="24"/>
        <v/>
      </c>
      <c r="G334" s="70" t="str">
        <f t="shared" si="25"/>
        <v>Reaper's March</v>
      </c>
      <c r="H334" s="70">
        <f t="shared" si="26"/>
        <v>562</v>
      </c>
      <c r="I334" s="70">
        <f t="shared" si="27"/>
        <v>382</v>
      </c>
      <c r="J334">
        <v>0</v>
      </c>
      <c r="K334" s="3" t="str">
        <f>VLOOKUP(J334,ConstDLCIds!$A$4:$B$1000,2,FALSE)</f>
        <v>DLC_BASE_GAME</v>
      </c>
      <c r="L334" s="3" t="str">
        <f>VLOOKUP(J334,ConstDLCIds!$A$4:$C$1000,3,FALSE)</f>
        <v>Included in base game</v>
      </c>
    </row>
    <row r="335" spans="1:12" x14ac:dyDescent="0.25">
      <c r="A335">
        <v>565</v>
      </c>
      <c r="B335">
        <v>330</v>
      </c>
      <c r="C335">
        <v>382</v>
      </c>
      <c r="D335" t="s">
        <v>2474</v>
      </c>
      <c r="E335" t="str">
        <f>IF(NOT(ISERROR(VLOOKUP(D335,'ESO DungeonFinder'!$A$2:$A$999,1,FALSE))),"X","")</f>
        <v/>
      </c>
      <c r="F335" s="70" t="str">
        <f t="shared" si="24"/>
        <v/>
      </c>
      <c r="G335" s="70" t="str">
        <f t="shared" si="25"/>
        <v>Reaper's March</v>
      </c>
      <c r="H335" s="70">
        <f t="shared" si="26"/>
        <v>565</v>
      </c>
      <c r="I335" s="70">
        <f t="shared" si="27"/>
        <v>382</v>
      </c>
      <c r="J335">
        <v>0</v>
      </c>
      <c r="K335" s="3" t="str">
        <f>VLOOKUP(J335,ConstDLCIds!$A$4:$B$1000,2,FALSE)</f>
        <v>DLC_BASE_GAME</v>
      </c>
      <c r="L335" s="3" t="str">
        <f>VLOOKUP(J335,ConstDLCIds!$A$4:$C$1000,3,FALSE)</f>
        <v>Included in base game</v>
      </c>
    </row>
    <row r="336" spans="1:12" x14ac:dyDescent="0.25">
      <c r="A336">
        <v>566</v>
      </c>
      <c r="B336">
        <v>331</v>
      </c>
      <c r="C336">
        <v>3</v>
      </c>
      <c r="D336" t="s">
        <v>2475</v>
      </c>
      <c r="E336" t="str">
        <f>IF(NOT(ISERROR(VLOOKUP(D336,'ESO DungeonFinder'!$A$2:$A$999,1,FALSE))),"X","")</f>
        <v/>
      </c>
      <c r="F336" s="70" t="str">
        <f t="shared" si="24"/>
        <v/>
      </c>
      <c r="G336" s="70" t="str">
        <f t="shared" si="25"/>
        <v>Glenumbra</v>
      </c>
      <c r="H336" s="70">
        <f t="shared" si="26"/>
        <v>566</v>
      </c>
      <c r="I336" s="70">
        <f t="shared" si="27"/>
        <v>3</v>
      </c>
      <c r="J336">
        <v>0</v>
      </c>
      <c r="K336" s="3" t="str">
        <f>VLOOKUP(J336,ConstDLCIds!$A$4:$B$1000,2,FALSE)</f>
        <v>DLC_BASE_GAME</v>
      </c>
      <c r="L336" s="3" t="str">
        <f>VLOOKUP(J336,ConstDLCIds!$A$4:$C$1000,3,FALSE)</f>
        <v>Included in base game</v>
      </c>
    </row>
    <row r="337" spans="1:12" x14ac:dyDescent="0.25">
      <c r="A337">
        <v>567</v>
      </c>
      <c r="B337">
        <v>332</v>
      </c>
      <c r="C337">
        <v>103</v>
      </c>
      <c r="D337" t="s">
        <v>2359</v>
      </c>
      <c r="E337" t="str">
        <f>IF(NOT(ISERROR(VLOOKUP(D337,'ESO DungeonFinder'!$A$2:$A$999,1,FALSE))),"X","")</f>
        <v/>
      </c>
      <c r="F337" s="70" t="str">
        <f t="shared" si="24"/>
        <v/>
      </c>
      <c r="G337" s="70" t="str">
        <f t="shared" si="25"/>
        <v>The Rift</v>
      </c>
      <c r="H337" s="70">
        <f t="shared" si="26"/>
        <v>567</v>
      </c>
      <c r="I337" s="70">
        <f t="shared" si="27"/>
        <v>103</v>
      </c>
      <c r="J337">
        <v>0</v>
      </c>
      <c r="K337" s="3" t="str">
        <f>VLOOKUP(J337,ConstDLCIds!$A$4:$B$1000,2,FALSE)</f>
        <v>DLC_BASE_GAME</v>
      </c>
      <c r="L337" s="3" t="str">
        <f>VLOOKUP(J337,ConstDLCIds!$A$4:$C$1000,3,FALSE)</f>
        <v>Included in base game</v>
      </c>
    </row>
    <row r="338" spans="1:12" x14ac:dyDescent="0.25">
      <c r="A338">
        <v>569</v>
      </c>
      <c r="B338">
        <v>333</v>
      </c>
      <c r="C338">
        <v>104</v>
      </c>
      <c r="D338" t="s">
        <v>2476</v>
      </c>
      <c r="E338" t="str">
        <f>IF(NOT(ISERROR(VLOOKUP(D338,'ESO DungeonFinder'!$A$2:$A$999,1,FALSE))),"X","")</f>
        <v/>
      </c>
      <c r="F338" s="70" t="str">
        <f t="shared" si="24"/>
        <v/>
      </c>
      <c r="G338" s="70" t="str">
        <f t="shared" si="25"/>
        <v>Alik'r Desert</v>
      </c>
      <c r="H338" s="70">
        <f t="shared" si="26"/>
        <v>569</v>
      </c>
      <c r="I338" s="70">
        <f t="shared" si="27"/>
        <v>104</v>
      </c>
      <c r="J338">
        <v>0</v>
      </c>
      <c r="K338" s="3" t="str">
        <f>VLOOKUP(J338,ConstDLCIds!$A$4:$B$1000,2,FALSE)</f>
        <v>DLC_BASE_GAME</v>
      </c>
      <c r="L338" s="3" t="str">
        <f>VLOOKUP(J338,ConstDLCIds!$A$4:$C$1000,3,FALSE)</f>
        <v>Included in base game</v>
      </c>
    </row>
    <row r="339" spans="1:12" x14ac:dyDescent="0.25">
      <c r="A339">
        <v>570</v>
      </c>
      <c r="B339">
        <v>334</v>
      </c>
      <c r="C339">
        <v>104</v>
      </c>
      <c r="D339" t="s">
        <v>2477</v>
      </c>
      <c r="E339" t="str">
        <f>IF(NOT(ISERROR(VLOOKUP(D339,'ESO DungeonFinder'!$A$2:$A$999,1,FALSE))),"X","")</f>
        <v/>
      </c>
      <c r="F339" s="70" t="str">
        <f t="shared" si="24"/>
        <v/>
      </c>
      <c r="G339" s="70" t="str">
        <f t="shared" si="25"/>
        <v>Alik'r Desert</v>
      </c>
      <c r="H339" s="70">
        <f t="shared" si="26"/>
        <v>570</v>
      </c>
      <c r="I339" s="70">
        <f t="shared" si="27"/>
        <v>104</v>
      </c>
      <c r="J339">
        <v>0</v>
      </c>
      <c r="K339" s="3" t="str">
        <f>VLOOKUP(J339,ConstDLCIds!$A$4:$B$1000,2,FALSE)</f>
        <v>DLC_BASE_GAME</v>
      </c>
      <c r="L339" s="3" t="str">
        <f>VLOOKUP(J339,ConstDLCIds!$A$4:$C$1000,3,FALSE)</f>
        <v>Included in base game</v>
      </c>
    </row>
    <row r="340" spans="1:12" x14ac:dyDescent="0.25">
      <c r="A340">
        <v>571</v>
      </c>
      <c r="B340">
        <v>335</v>
      </c>
      <c r="C340">
        <v>104</v>
      </c>
      <c r="D340" t="s">
        <v>2478</v>
      </c>
      <c r="E340" t="str">
        <f>IF(NOT(ISERROR(VLOOKUP(D340,'ESO DungeonFinder'!$A$2:$A$999,1,FALSE))),"X","")</f>
        <v/>
      </c>
      <c r="F340" s="70" t="str">
        <f t="shared" si="24"/>
        <v/>
      </c>
      <c r="G340" s="70" t="str">
        <f t="shared" si="25"/>
        <v>Alik'r Desert</v>
      </c>
      <c r="H340" s="70">
        <f t="shared" si="26"/>
        <v>571</v>
      </c>
      <c r="I340" s="70">
        <f t="shared" si="27"/>
        <v>104</v>
      </c>
      <c r="J340">
        <v>0</v>
      </c>
      <c r="K340" s="3" t="str">
        <f>VLOOKUP(J340,ConstDLCIds!$A$4:$B$1000,2,FALSE)</f>
        <v>DLC_BASE_GAME</v>
      </c>
      <c r="L340" s="3" t="str">
        <f>VLOOKUP(J340,ConstDLCIds!$A$4:$C$1000,3,FALSE)</f>
        <v>Included in base game</v>
      </c>
    </row>
    <row r="341" spans="1:12" x14ac:dyDescent="0.25">
      <c r="A341">
        <v>572</v>
      </c>
      <c r="B341">
        <v>336</v>
      </c>
      <c r="C341">
        <v>572</v>
      </c>
      <c r="D341" t="s">
        <v>2479</v>
      </c>
      <c r="E341" t="str">
        <f>IF(NOT(ISERROR(VLOOKUP(D341,'ESO DungeonFinder'!$A$2:$A$999,1,FALSE))),"X","")</f>
        <v/>
      </c>
      <c r="F341" s="70" t="str">
        <f t="shared" si="24"/>
        <v>X</v>
      </c>
      <c r="G341" s="70" t="str">
        <f t="shared" si="25"/>
        <v/>
      </c>
      <c r="H341" s="70">
        <f t="shared" si="26"/>
        <v>572</v>
      </c>
      <c r="I341" s="70">
        <f t="shared" si="27"/>
        <v>572</v>
      </c>
      <c r="J341">
        <v>6</v>
      </c>
      <c r="K341" s="3" t="str">
        <f ca="1">VLOOKUP(J341,ConstDLCIds!$A$4:$B$1000,2,FALSE)</f>
        <v>DLC_MORROWIND</v>
      </c>
      <c r="L341" s="3" t="str">
        <f ca="1">VLOOKUP(J341,ConstDLCIds!$A$4:$C$1000,3,FALSE)</f>
        <v>Morrowind</v>
      </c>
    </row>
    <row r="342" spans="1:12" x14ac:dyDescent="0.25">
      <c r="A342">
        <v>573</v>
      </c>
      <c r="B342">
        <v>337</v>
      </c>
      <c r="C342">
        <v>0</v>
      </c>
      <c r="D342" t="s">
        <v>2480</v>
      </c>
      <c r="E342" t="str">
        <f>IF(NOT(ISERROR(VLOOKUP(D342,'ESO DungeonFinder'!$A$2:$A$999,1,FALSE))),"X","")</f>
        <v/>
      </c>
      <c r="F342" s="70" t="str">
        <f t="shared" si="24"/>
        <v/>
      </c>
      <c r="G342" s="70" t="str">
        <f t="shared" si="25"/>
        <v>Tamriel Map</v>
      </c>
      <c r="H342" s="70">
        <f t="shared" si="26"/>
        <v>573</v>
      </c>
      <c r="I342" s="70">
        <f t="shared" si="27"/>
        <v>0</v>
      </c>
      <c r="J342">
        <v>0</v>
      </c>
      <c r="K342" s="3" t="str">
        <f>VLOOKUP(J342,ConstDLCIds!$A$4:$B$1000,2,FALSE)</f>
        <v>DLC_BASE_GAME</v>
      </c>
      <c r="L342" s="3" t="str">
        <f>VLOOKUP(J342,ConstDLCIds!$A$4:$C$1000,3,FALSE)</f>
        <v>Included in base game</v>
      </c>
    </row>
    <row r="343" spans="1:12" x14ac:dyDescent="0.25">
      <c r="A343">
        <v>574</v>
      </c>
      <c r="B343">
        <v>338</v>
      </c>
      <c r="C343">
        <v>0</v>
      </c>
      <c r="D343" t="s">
        <v>2481</v>
      </c>
      <c r="E343" t="str">
        <f>IF(NOT(ISERROR(VLOOKUP(D343,'ESO DungeonFinder'!$A$2:$A$999,1,FALSE))),"X","")</f>
        <v/>
      </c>
      <c r="F343" s="70" t="str">
        <f t="shared" si="24"/>
        <v/>
      </c>
      <c r="G343" s="70" t="str">
        <f t="shared" si="25"/>
        <v>Tamriel Map</v>
      </c>
      <c r="H343" s="70">
        <f t="shared" si="26"/>
        <v>574</v>
      </c>
      <c r="I343" s="70">
        <f t="shared" si="27"/>
        <v>0</v>
      </c>
      <c r="J343">
        <v>0</v>
      </c>
      <c r="K343" s="3" t="str">
        <f>VLOOKUP(J343,ConstDLCIds!$A$4:$B$1000,2,FALSE)</f>
        <v>DLC_BASE_GAME</v>
      </c>
      <c r="L343" s="3" t="str">
        <f>VLOOKUP(J343,ConstDLCIds!$A$4:$C$1000,3,FALSE)</f>
        <v>Included in base game</v>
      </c>
    </row>
    <row r="344" spans="1:12" x14ac:dyDescent="0.25">
      <c r="A344">
        <v>575</v>
      </c>
      <c r="B344">
        <v>339</v>
      </c>
      <c r="C344">
        <v>108</v>
      </c>
      <c r="D344" t="s">
        <v>2482</v>
      </c>
      <c r="E344" t="str">
        <f>IF(NOT(ISERROR(VLOOKUP(D344,'ESO DungeonFinder'!$A$2:$A$999,1,FALSE))),"X","")</f>
        <v/>
      </c>
      <c r="F344" s="70" t="str">
        <f t="shared" si="24"/>
        <v/>
      </c>
      <c r="G344" s="70" t="str">
        <f t="shared" si="25"/>
        <v>Greenshade</v>
      </c>
      <c r="H344" s="70">
        <f t="shared" si="26"/>
        <v>575</v>
      </c>
      <c r="I344" s="70">
        <f t="shared" si="27"/>
        <v>108</v>
      </c>
      <c r="J344">
        <v>0</v>
      </c>
      <c r="K344" s="3" t="str">
        <f>VLOOKUP(J344,ConstDLCIds!$A$4:$B$1000,2,FALSE)</f>
        <v>DLC_BASE_GAME</v>
      </c>
      <c r="L344" s="3" t="str">
        <f>VLOOKUP(J344,ConstDLCIds!$A$4:$C$1000,3,FALSE)</f>
        <v>Included in base game</v>
      </c>
    </row>
    <row r="345" spans="1:12" x14ac:dyDescent="0.25">
      <c r="A345">
        <v>576</v>
      </c>
      <c r="B345">
        <v>340</v>
      </c>
      <c r="C345">
        <v>108</v>
      </c>
      <c r="D345" t="s">
        <v>2483</v>
      </c>
      <c r="E345" t="str">
        <f>IF(NOT(ISERROR(VLOOKUP(D345,'ESO DungeonFinder'!$A$2:$A$999,1,FALSE))),"X","")</f>
        <v/>
      </c>
      <c r="F345" s="70" t="str">
        <f t="shared" si="24"/>
        <v/>
      </c>
      <c r="G345" s="70" t="str">
        <f t="shared" si="25"/>
        <v>Greenshade</v>
      </c>
      <c r="H345" s="70">
        <f t="shared" si="26"/>
        <v>576</v>
      </c>
      <c r="I345" s="70">
        <f t="shared" si="27"/>
        <v>108</v>
      </c>
      <c r="J345">
        <v>0</v>
      </c>
      <c r="K345" s="3" t="str">
        <f>VLOOKUP(J345,ConstDLCIds!$A$4:$B$1000,2,FALSE)</f>
        <v>DLC_BASE_GAME</v>
      </c>
      <c r="L345" s="3" t="str">
        <f>VLOOKUP(J345,ConstDLCIds!$A$4:$C$1000,3,FALSE)</f>
        <v>Included in base game</v>
      </c>
    </row>
    <row r="346" spans="1:12" x14ac:dyDescent="0.25">
      <c r="A346">
        <v>577</v>
      </c>
      <c r="B346">
        <v>341</v>
      </c>
      <c r="C346">
        <v>108</v>
      </c>
      <c r="D346" t="s">
        <v>2484</v>
      </c>
      <c r="E346" t="str">
        <f>IF(NOT(ISERROR(VLOOKUP(D346,'ESO DungeonFinder'!$A$2:$A$999,1,FALSE))),"X","")</f>
        <v/>
      </c>
      <c r="F346" s="70" t="str">
        <f t="shared" si="24"/>
        <v/>
      </c>
      <c r="G346" s="70" t="str">
        <f t="shared" si="25"/>
        <v>Greenshade</v>
      </c>
      <c r="H346" s="70">
        <f t="shared" si="26"/>
        <v>577</v>
      </c>
      <c r="I346" s="70">
        <f t="shared" si="27"/>
        <v>108</v>
      </c>
      <c r="J346">
        <v>0</v>
      </c>
      <c r="K346" s="3" t="str">
        <f>VLOOKUP(J346,ConstDLCIds!$A$4:$B$1000,2,FALSE)</f>
        <v>DLC_BASE_GAME</v>
      </c>
      <c r="L346" s="3" t="str">
        <f>VLOOKUP(J346,ConstDLCIds!$A$4:$C$1000,3,FALSE)</f>
        <v>Included in base game</v>
      </c>
    </row>
    <row r="347" spans="1:12" x14ac:dyDescent="0.25">
      <c r="A347">
        <v>578</v>
      </c>
      <c r="B347">
        <v>342</v>
      </c>
      <c r="C347">
        <v>108</v>
      </c>
      <c r="D347" t="s">
        <v>2485</v>
      </c>
      <c r="E347" t="str">
        <f>IF(NOT(ISERROR(VLOOKUP(D347,'ESO DungeonFinder'!$A$2:$A$999,1,FALSE))),"X","")</f>
        <v/>
      </c>
      <c r="F347" s="70" t="str">
        <f t="shared" si="24"/>
        <v/>
      </c>
      <c r="G347" s="70" t="str">
        <f t="shared" si="25"/>
        <v>Greenshade</v>
      </c>
      <c r="H347" s="70">
        <f t="shared" si="26"/>
        <v>578</v>
      </c>
      <c r="I347" s="70">
        <f t="shared" si="27"/>
        <v>108</v>
      </c>
      <c r="J347">
        <v>0</v>
      </c>
      <c r="K347" s="3" t="str">
        <f>VLOOKUP(J347,ConstDLCIds!$A$4:$B$1000,2,FALSE)</f>
        <v>DLC_BASE_GAME</v>
      </c>
      <c r="L347" s="3" t="str">
        <f>VLOOKUP(J347,ConstDLCIds!$A$4:$C$1000,3,FALSE)</f>
        <v>Included in base game</v>
      </c>
    </row>
    <row r="348" spans="1:12" x14ac:dyDescent="0.25">
      <c r="A348">
        <v>579</v>
      </c>
      <c r="B348">
        <v>343</v>
      </c>
      <c r="C348">
        <v>108</v>
      </c>
      <c r="D348" t="s">
        <v>2486</v>
      </c>
      <c r="E348" t="str">
        <f>IF(NOT(ISERROR(VLOOKUP(D348,'ESO DungeonFinder'!$A$2:$A$999,1,FALSE))),"X","")</f>
        <v/>
      </c>
      <c r="F348" s="70" t="str">
        <f t="shared" si="24"/>
        <v/>
      </c>
      <c r="G348" s="70" t="str">
        <f t="shared" si="25"/>
        <v>Greenshade</v>
      </c>
      <c r="H348" s="70">
        <f t="shared" si="26"/>
        <v>579</v>
      </c>
      <c r="I348" s="70">
        <f t="shared" si="27"/>
        <v>108</v>
      </c>
      <c r="J348">
        <v>0</v>
      </c>
      <c r="K348" s="3" t="str">
        <f>VLOOKUP(J348,ConstDLCIds!$A$4:$B$1000,2,FALSE)</f>
        <v>DLC_BASE_GAME</v>
      </c>
      <c r="L348" s="3" t="str">
        <f>VLOOKUP(J348,ConstDLCIds!$A$4:$C$1000,3,FALSE)</f>
        <v>Included in base game</v>
      </c>
    </row>
    <row r="349" spans="1:12" x14ac:dyDescent="0.25">
      <c r="A349">
        <v>580</v>
      </c>
      <c r="B349">
        <v>344</v>
      </c>
      <c r="C349">
        <v>108</v>
      </c>
      <c r="D349" t="s">
        <v>2487</v>
      </c>
      <c r="E349" t="str">
        <f>IF(NOT(ISERROR(VLOOKUP(D349,'ESO DungeonFinder'!$A$2:$A$999,1,FALSE))),"X","")</f>
        <v/>
      </c>
      <c r="F349" s="70" t="str">
        <f t="shared" si="24"/>
        <v/>
      </c>
      <c r="G349" s="70" t="str">
        <f t="shared" si="25"/>
        <v>Greenshade</v>
      </c>
      <c r="H349" s="70">
        <f t="shared" si="26"/>
        <v>580</v>
      </c>
      <c r="I349" s="70">
        <f t="shared" si="27"/>
        <v>108</v>
      </c>
      <c r="J349">
        <v>0</v>
      </c>
      <c r="K349" s="3" t="str">
        <f>VLOOKUP(J349,ConstDLCIds!$A$4:$B$1000,2,FALSE)</f>
        <v>DLC_BASE_GAME</v>
      </c>
      <c r="L349" s="3" t="str">
        <f>VLOOKUP(J349,ConstDLCIds!$A$4:$C$1000,3,FALSE)</f>
        <v>Included in base game</v>
      </c>
    </row>
    <row r="350" spans="1:12" x14ac:dyDescent="0.25">
      <c r="A350">
        <v>581</v>
      </c>
      <c r="B350">
        <v>345</v>
      </c>
      <c r="C350">
        <v>0</v>
      </c>
      <c r="D350" t="s">
        <v>2488</v>
      </c>
      <c r="E350" t="str">
        <f>IF(NOT(ISERROR(VLOOKUP(D350,'ESO DungeonFinder'!$A$2:$A$999,1,FALSE))),"X","")</f>
        <v/>
      </c>
      <c r="F350" s="70" t="str">
        <f t="shared" si="24"/>
        <v/>
      </c>
      <c r="G350" s="70" t="str">
        <f t="shared" si="25"/>
        <v>Tamriel Map</v>
      </c>
      <c r="H350" s="70">
        <f t="shared" si="26"/>
        <v>581</v>
      </c>
      <c r="I350" s="70">
        <f t="shared" si="27"/>
        <v>0</v>
      </c>
      <c r="J350">
        <v>0</v>
      </c>
      <c r="K350" s="3" t="str">
        <f>VLOOKUP(J350,ConstDLCIds!$A$4:$B$1000,2,FALSE)</f>
        <v>DLC_BASE_GAME</v>
      </c>
      <c r="L350" s="3" t="str">
        <f>VLOOKUP(J350,ConstDLCIds!$A$4:$C$1000,3,FALSE)</f>
        <v>Included in base game</v>
      </c>
    </row>
    <row r="351" spans="1:12" x14ac:dyDescent="0.25">
      <c r="A351">
        <v>582</v>
      </c>
      <c r="B351">
        <v>346</v>
      </c>
      <c r="C351">
        <v>381</v>
      </c>
      <c r="D351" t="s">
        <v>2489</v>
      </c>
      <c r="E351" t="str">
        <f>IF(NOT(ISERROR(VLOOKUP(D351,'ESO DungeonFinder'!$A$2:$A$999,1,FALSE))),"X","")</f>
        <v/>
      </c>
      <c r="F351" s="70" t="str">
        <f t="shared" si="24"/>
        <v/>
      </c>
      <c r="G351" s="70" t="str">
        <f t="shared" si="25"/>
        <v>Auridon</v>
      </c>
      <c r="H351" s="70">
        <f t="shared" si="26"/>
        <v>582</v>
      </c>
      <c r="I351" s="70">
        <f t="shared" si="27"/>
        <v>381</v>
      </c>
      <c r="J351">
        <v>0</v>
      </c>
      <c r="K351" s="3" t="str">
        <f>VLOOKUP(J351,ConstDLCIds!$A$4:$B$1000,2,FALSE)</f>
        <v>DLC_BASE_GAME</v>
      </c>
      <c r="L351" s="3" t="str">
        <f>VLOOKUP(J351,ConstDLCIds!$A$4:$C$1000,3,FALSE)</f>
        <v>Included in base game</v>
      </c>
    </row>
    <row r="352" spans="1:12" x14ac:dyDescent="0.25">
      <c r="A352">
        <v>584</v>
      </c>
      <c r="B352">
        <v>347</v>
      </c>
      <c r="C352">
        <v>584</v>
      </c>
      <c r="D352" t="s">
        <v>11</v>
      </c>
      <c r="E352" t="str">
        <f>IF(NOT(ISERROR(VLOOKUP(D352,'ESO DungeonFinder'!$A$2:$A$999,1,FALSE))),"X","")</f>
        <v/>
      </c>
      <c r="F352" s="70" t="str">
        <f t="shared" si="24"/>
        <v>X</v>
      </c>
      <c r="G352" s="70" t="str">
        <f t="shared" si="25"/>
        <v/>
      </c>
      <c r="H352" s="70">
        <f t="shared" si="26"/>
        <v>584</v>
      </c>
      <c r="I352" s="70">
        <f t="shared" si="27"/>
        <v>584</v>
      </c>
      <c r="J352">
        <v>1</v>
      </c>
      <c r="K352" s="3" t="str">
        <f ca="1">VLOOKUP(J352,ConstDLCIds!$A$4:$B$1000,2,FALSE)</f>
        <v>DLC_IMPERIAL_CITY</v>
      </c>
      <c r="L352" s="3" t="str">
        <f ca="1">VLOOKUP(J352,ConstDLCIds!$A$4:$C$1000,3,FALSE)</f>
        <v>Imperial City</v>
      </c>
    </row>
    <row r="353" spans="1:12" x14ac:dyDescent="0.25">
      <c r="A353">
        <v>585</v>
      </c>
      <c r="B353">
        <v>348</v>
      </c>
      <c r="C353">
        <v>92</v>
      </c>
      <c r="D353" t="s">
        <v>2490</v>
      </c>
      <c r="E353" t="str">
        <f>IF(NOT(ISERROR(VLOOKUP(D353,'ESO DungeonFinder'!$A$2:$A$999,1,FALSE))),"X","")</f>
        <v/>
      </c>
      <c r="F353" s="70" t="str">
        <f t="shared" si="24"/>
        <v/>
      </c>
      <c r="G353" s="70" t="str">
        <f t="shared" si="25"/>
        <v>Bangkorai</v>
      </c>
      <c r="H353" s="70">
        <f t="shared" si="26"/>
        <v>585</v>
      </c>
      <c r="I353" s="70">
        <f t="shared" si="27"/>
        <v>92</v>
      </c>
      <c r="J353">
        <v>0</v>
      </c>
      <c r="K353" s="3" t="str">
        <f>VLOOKUP(J353,ConstDLCIds!$A$4:$B$1000,2,FALSE)</f>
        <v>DLC_BASE_GAME</v>
      </c>
      <c r="L353" s="3" t="str">
        <f>VLOOKUP(J353,ConstDLCIds!$A$4:$C$1000,3,FALSE)</f>
        <v>Included in base game</v>
      </c>
    </row>
    <row r="354" spans="1:12" x14ac:dyDescent="0.25">
      <c r="A354">
        <v>586</v>
      </c>
      <c r="B354">
        <v>349</v>
      </c>
      <c r="C354">
        <v>586</v>
      </c>
      <c r="D354" t="s">
        <v>2491</v>
      </c>
      <c r="E354" t="str">
        <f>IF(NOT(ISERROR(VLOOKUP(D354,'ESO DungeonFinder'!$A$2:$A$999,1,FALSE))),"X","")</f>
        <v/>
      </c>
      <c r="F354" s="70" t="str">
        <f t="shared" si="24"/>
        <v>X</v>
      </c>
      <c r="G354" s="70" t="str">
        <f t="shared" si="25"/>
        <v/>
      </c>
      <c r="H354" s="70">
        <f t="shared" si="26"/>
        <v>586</v>
      </c>
      <c r="I354" s="70">
        <f t="shared" si="27"/>
        <v>586</v>
      </c>
      <c r="J354">
        <v>0</v>
      </c>
      <c r="K354" s="3" t="str">
        <f>VLOOKUP(J354,ConstDLCIds!$A$4:$B$1000,2,FALSE)</f>
        <v>DLC_BASE_GAME</v>
      </c>
      <c r="L354" s="3" t="str">
        <f>VLOOKUP(J354,ConstDLCIds!$A$4:$C$1000,3,FALSE)</f>
        <v>Included in base game</v>
      </c>
    </row>
    <row r="355" spans="1:12" x14ac:dyDescent="0.25">
      <c r="A355">
        <v>587</v>
      </c>
      <c r="B355">
        <v>350</v>
      </c>
      <c r="C355">
        <v>20</v>
      </c>
      <c r="D355" t="s">
        <v>2492</v>
      </c>
      <c r="E355" t="str">
        <f>IF(NOT(ISERROR(VLOOKUP(D355,'ESO DungeonFinder'!$A$2:$A$999,1,FALSE))),"X","")</f>
        <v/>
      </c>
      <c r="F355" s="70" t="str">
        <f t="shared" si="24"/>
        <v/>
      </c>
      <c r="G355" s="70" t="str">
        <f t="shared" si="25"/>
        <v>Rivenspire</v>
      </c>
      <c r="H355" s="70">
        <f t="shared" si="26"/>
        <v>587</v>
      </c>
      <c r="I355" s="70">
        <f t="shared" si="27"/>
        <v>20</v>
      </c>
      <c r="J355">
        <v>0</v>
      </c>
      <c r="K355" s="3" t="str">
        <f>VLOOKUP(J355,ConstDLCIds!$A$4:$B$1000,2,FALSE)</f>
        <v>DLC_BASE_GAME</v>
      </c>
      <c r="L355" s="3" t="str">
        <f>VLOOKUP(J355,ConstDLCIds!$A$4:$C$1000,3,FALSE)</f>
        <v>Included in base game</v>
      </c>
    </row>
    <row r="356" spans="1:12" x14ac:dyDescent="0.25">
      <c r="A356">
        <v>588</v>
      </c>
      <c r="B356">
        <v>351</v>
      </c>
      <c r="C356">
        <v>20</v>
      </c>
      <c r="D356" t="s">
        <v>2493</v>
      </c>
      <c r="E356" t="str">
        <f>IF(NOT(ISERROR(VLOOKUP(D356,'ESO DungeonFinder'!$A$2:$A$999,1,FALSE))),"X","")</f>
        <v/>
      </c>
      <c r="F356" s="70" t="str">
        <f t="shared" si="24"/>
        <v/>
      </c>
      <c r="G356" s="70" t="str">
        <f t="shared" si="25"/>
        <v>Rivenspire</v>
      </c>
      <c r="H356" s="70">
        <f t="shared" si="26"/>
        <v>588</v>
      </c>
      <c r="I356" s="70">
        <f t="shared" si="27"/>
        <v>20</v>
      </c>
      <c r="J356">
        <v>0</v>
      </c>
      <c r="K356" s="3" t="str">
        <f>VLOOKUP(J356,ConstDLCIds!$A$4:$B$1000,2,FALSE)</f>
        <v>DLC_BASE_GAME</v>
      </c>
      <c r="L356" s="3" t="str">
        <f>VLOOKUP(J356,ConstDLCIds!$A$4:$C$1000,3,FALSE)</f>
        <v>Included in base game</v>
      </c>
    </row>
    <row r="357" spans="1:12" x14ac:dyDescent="0.25">
      <c r="A357">
        <v>589</v>
      </c>
      <c r="B357">
        <v>352</v>
      </c>
      <c r="C357">
        <v>20</v>
      </c>
      <c r="D357" t="s">
        <v>2494</v>
      </c>
      <c r="E357" t="str">
        <f>IF(NOT(ISERROR(VLOOKUP(D357,'ESO DungeonFinder'!$A$2:$A$999,1,FALSE))),"X","")</f>
        <v/>
      </c>
      <c r="F357" s="70" t="str">
        <f t="shared" si="24"/>
        <v/>
      </c>
      <c r="G357" s="70" t="str">
        <f t="shared" si="25"/>
        <v>Rivenspire</v>
      </c>
      <c r="H357" s="70">
        <f t="shared" si="26"/>
        <v>589</v>
      </c>
      <c r="I357" s="70">
        <f t="shared" si="27"/>
        <v>20</v>
      </c>
      <c r="J357">
        <v>0</v>
      </c>
      <c r="K357" s="3" t="str">
        <f>VLOOKUP(J357,ConstDLCIds!$A$4:$B$1000,2,FALSE)</f>
        <v>DLC_BASE_GAME</v>
      </c>
      <c r="L357" s="3" t="str">
        <f>VLOOKUP(J357,ConstDLCIds!$A$4:$C$1000,3,FALSE)</f>
        <v>Included in base game</v>
      </c>
    </row>
    <row r="358" spans="1:12" x14ac:dyDescent="0.25">
      <c r="A358">
        <v>590</v>
      </c>
      <c r="B358">
        <v>353</v>
      </c>
      <c r="C358">
        <v>20</v>
      </c>
      <c r="D358" t="s">
        <v>2495</v>
      </c>
      <c r="E358" t="str">
        <f>IF(NOT(ISERROR(VLOOKUP(D358,'ESO DungeonFinder'!$A$2:$A$999,1,FALSE))),"X","")</f>
        <v/>
      </c>
      <c r="F358" s="70" t="str">
        <f t="shared" si="24"/>
        <v/>
      </c>
      <c r="G358" s="70" t="str">
        <f t="shared" si="25"/>
        <v>Rivenspire</v>
      </c>
      <c r="H358" s="70">
        <f t="shared" si="26"/>
        <v>590</v>
      </c>
      <c r="I358" s="70">
        <f t="shared" si="27"/>
        <v>20</v>
      </c>
      <c r="J358">
        <v>0</v>
      </c>
      <c r="K358" s="3" t="str">
        <f>VLOOKUP(J358,ConstDLCIds!$A$4:$B$1000,2,FALSE)</f>
        <v>DLC_BASE_GAME</v>
      </c>
      <c r="L358" s="3" t="str">
        <f>VLOOKUP(J358,ConstDLCIds!$A$4:$C$1000,3,FALSE)</f>
        <v>Included in base game</v>
      </c>
    </row>
    <row r="359" spans="1:12" x14ac:dyDescent="0.25">
      <c r="A359">
        <v>591</v>
      </c>
      <c r="B359">
        <v>354</v>
      </c>
      <c r="C359">
        <v>20</v>
      </c>
      <c r="D359" t="s">
        <v>2496</v>
      </c>
      <c r="E359" t="str">
        <f>IF(NOT(ISERROR(VLOOKUP(D359,'ESO DungeonFinder'!$A$2:$A$999,1,FALSE))),"X","")</f>
        <v/>
      </c>
      <c r="F359" s="70" t="str">
        <f t="shared" si="24"/>
        <v/>
      </c>
      <c r="G359" s="70" t="str">
        <f t="shared" si="25"/>
        <v>Rivenspire</v>
      </c>
      <c r="H359" s="70">
        <f t="shared" si="26"/>
        <v>591</v>
      </c>
      <c r="I359" s="70">
        <f t="shared" si="27"/>
        <v>20</v>
      </c>
      <c r="J359">
        <v>0</v>
      </c>
      <c r="K359" s="3" t="str">
        <f>VLOOKUP(J359,ConstDLCIds!$A$4:$B$1000,2,FALSE)</f>
        <v>DLC_BASE_GAME</v>
      </c>
      <c r="L359" s="3" t="str">
        <f>VLOOKUP(J359,ConstDLCIds!$A$4:$C$1000,3,FALSE)</f>
        <v>Included in base game</v>
      </c>
    </row>
    <row r="360" spans="1:12" x14ac:dyDescent="0.25">
      <c r="A360">
        <v>592</v>
      </c>
      <c r="B360">
        <v>355</v>
      </c>
      <c r="C360">
        <v>20</v>
      </c>
      <c r="D360" t="s">
        <v>2497</v>
      </c>
      <c r="E360" t="str">
        <f>IF(NOT(ISERROR(VLOOKUP(D360,'ESO DungeonFinder'!$A$2:$A$999,1,FALSE))),"X","")</f>
        <v/>
      </c>
      <c r="F360" s="70" t="str">
        <f t="shared" si="24"/>
        <v/>
      </c>
      <c r="G360" s="70" t="str">
        <f t="shared" si="25"/>
        <v>Rivenspire</v>
      </c>
      <c r="H360" s="70">
        <f t="shared" si="26"/>
        <v>592</v>
      </c>
      <c r="I360" s="70">
        <f t="shared" si="27"/>
        <v>20</v>
      </c>
      <c r="J360">
        <v>0</v>
      </c>
      <c r="K360" s="3" t="str">
        <f>VLOOKUP(J360,ConstDLCIds!$A$4:$B$1000,2,FALSE)</f>
        <v>DLC_BASE_GAME</v>
      </c>
      <c r="L360" s="3" t="str">
        <f>VLOOKUP(J360,ConstDLCIds!$A$4:$C$1000,3,FALSE)</f>
        <v>Included in base game</v>
      </c>
    </row>
    <row r="361" spans="1:12" x14ac:dyDescent="0.25">
      <c r="A361">
        <v>593</v>
      </c>
      <c r="B361">
        <v>356</v>
      </c>
      <c r="C361">
        <v>92</v>
      </c>
      <c r="D361" t="s">
        <v>2231</v>
      </c>
      <c r="E361" t="str">
        <f>IF(NOT(ISERROR(VLOOKUP(D361,'ESO DungeonFinder'!$A$2:$A$999,1,FALSE))),"X","")</f>
        <v/>
      </c>
      <c r="F361" s="70" t="str">
        <f t="shared" si="24"/>
        <v/>
      </c>
      <c r="G361" s="70" t="str">
        <f t="shared" si="25"/>
        <v>Bangkorai</v>
      </c>
      <c r="H361" s="70">
        <f t="shared" si="26"/>
        <v>593</v>
      </c>
      <c r="I361" s="70">
        <f t="shared" si="27"/>
        <v>92</v>
      </c>
      <c r="J361">
        <v>0</v>
      </c>
      <c r="K361" s="3" t="str">
        <f>VLOOKUP(J361,ConstDLCIds!$A$4:$B$1000,2,FALSE)</f>
        <v>DLC_BASE_GAME</v>
      </c>
      <c r="L361" s="3" t="str">
        <f>VLOOKUP(J361,ConstDLCIds!$A$4:$C$1000,3,FALSE)</f>
        <v>Included in base game</v>
      </c>
    </row>
    <row r="362" spans="1:12" x14ac:dyDescent="0.25">
      <c r="A362">
        <v>594</v>
      </c>
      <c r="B362">
        <v>357</v>
      </c>
      <c r="C362">
        <v>92</v>
      </c>
      <c r="D362" t="s">
        <v>2498</v>
      </c>
      <c r="E362" t="str">
        <f>IF(NOT(ISERROR(VLOOKUP(D362,'ESO DungeonFinder'!$A$2:$A$999,1,FALSE))),"X","")</f>
        <v/>
      </c>
      <c r="F362" s="70" t="str">
        <f t="shared" si="24"/>
        <v/>
      </c>
      <c r="G362" s="70" t="str">
        <f t="shared" si="25"/>
        <v>Bangkorai</v>
      </c>
      <c r="H362" s="70">
        <f t="shared" si="26"/>
        <v>594</v>
      </c>
      <c r="I362" s="70">
        <f t="shared" si="27"/>
        <v>92</v>
      </c>
      <c r="J362">
        <v>0</v>
      </c>
      <c r="K362" s="3" t="str">
        <f>VLOOKUP(J362,ConstDLCIds!$A$4:$B$1000,2,FALSE)</f>
        <v>DLC_BASE_GAME</v>
      </c>
      <c r="L362" s="3" t="str">
        <f>VLOOKUP(J362,ConstDLCIds!$A$4:$C$1000,3,FALSE)</f>
        <v>Included in base game</v>
      </c>
    </row>
    <row r="363" spans="1:12" x14ac:dyDescent="0.25">
      <c r="A363">
        <v>595</v>
      </c>
      <c r="B363">
        <v>358</v>
      </c>
      <c r="C363">
        <v>208</v>
      </c>
      <c r="D363" t="s">
        <v>2499</v>
      </c>
      <c r="E363" t="str">
        <f>IF(NOT(ISERROR(VLOOKUP(D363,'ESO DungeonFinder'!$A$2:$A$999,1,FALSE))),"X","")</f>
        <v/>
      </c>
      <c r="F363" s="70" t="str">
        <f t="shared" si="24"/>
        <v/>
      </c>
      <c r="G363" s="70" t="str">
        <f t="shared" si="25"/>
        <v>The Earth Forge</v>
      </c>
      <c r="H363" s="70">
        <f t="shared" si="26"/>
        <v>595</v>
      </c>
      <c r="I363" s="70">
        <f t="shared" si="27"/>
        <v>208</v>
      </c>
      <c r="J363">
        <v>0</v>
      </c>
      <c r="K363" s="3" t="str">
        <f>VLOOKUP(J363,ConstDLCIds!$A$4:$B$1000,2,FALSE)</f>
        <v>DLC_BASE_GAME</v>
      </c>
      <c r="L363" s="3" t="str">
        <f>VLOOKUP(J363,ConstDLCIds!$A$4:$C$1000,3,FALSE)</f>
        <v>Included in base game</v>
      </c>
    </row>
    <row r="364" spans="1:12" x14ac:dyDescent="0.25">
      <c r="A364">
        <v>596</v>
      </c>
      <c r="B364">
        <v>359</v>
      </c>
      <c r="C364">
        <v>103</v>
      </c>
      <c r="D364" t="s">
        <v>2500</v>
      </c>
      <c r="E364" t="str">
        <f>IF(NOT(ISERROR(VLOOKUP(D364,'ESO DungeonFinder'!$A$2:$A$999,1,FALSE))),"X","")</f>
        <v/>
      </c>
      <c r="F364" s="70" t="str">
        <f t="shared" si="24"/>
        <v/>
      </c>
      <c r="G364" s="70" t="str">
        <f t="shared" si="25"/>
        <v>The Rift</v>
      </c>
      <c r="H364" s="70">
        <f t="shared" si="26"/>
        <v>596</v>
      </c>
      <c r="I364" s="70">
        <f t="shared" si="27"/>
        <v>103</v>
      </c>
      <c r="J364">
        <v>0</v>
      </c>
      <c r="K364" s="3" t="str">
        <f>VLOOKUP(J364,ConstDLCIds!$A$4:$B$1000,2,FALSE)</f>
        <v>DLC_BASE_GAME</v>
      </c>
      <c r="L364" s="3" t="str">
        <f>VLOOKUP(J364,ConstDLCIds!$A$4:$C$1000,3,FALSE)</f>
        <v>Included in base game</v>
      </c>
    </row>
    <row r="365" spans="1:12" x14ac:dyDescent="0.25">
      <c r="A365">
        <v>598</v>
      </c>
      <c r="B365">
        <v>360</v>
      </c>
      <c r="C365">
        <v>0</v>
      </c>
      <c r="D365" t="s">
        <v>2501</v>
      </c>
      <c r="E365" t="str">
        <f>IF(NOT(ISERROR(VLOOKUP(D365,'ESO DungeonFinder'!$A$2:$A$999,1,FALSE))),"X","")</f>
        <v/>
      </c>
      <c r="F365" s="70" t="str">
        <f t="shared" si="24"/>
        <v/>
      </c>
      <c r="G365" s="70" t="str">
        <f t="shared" si="25"/>
        <v>Tamriel Map</v>
      </c>
      <c r="H365" s="70">
        <f t="shared" si="26"/>
        <v>598</v>
      </c>
      <c r="I365" s="70">
        <f t="shared" si="27"/>
        <v>0</v>
      </c>
      <c r="J365">
        <v>0</v>
      </c>
      <c r="K365" s="3" t="str">
        <f>VLOOKUP(J365,ConstDLCIds!$A$4:$B$1000,2,FALSE)</f>
        <v>DLC_BASE_GAME</v>
      </c>
      <c r="L365" s="3" t="str">
        <f>VLOOKUP(J365,ConstDLCIds!$A$4:$C$1000,3,FALSE)</f>
        <v>Included in base game</v>
      </c>
    </row>
    <row r="366" spans="1:12" x14ac:dyDescent="0.25">
      <c r="A366">
        <v>599</v>
      </c>
      <c r="B366">
        <v>361</v>
      </c>
      <c r="C366">
        <v>572</v>
      </c>
      <c r="D366" t="s">
        <v>2502</v>
      </c>
      <c r="E366" t="str">
        <f>IF(NOT(ISERROR(VLOOKUP(D366,'ESO DungeonFinder'!$A$2:$A$999,1,FALSE))),"X","")</f>
        <v/>
      </c>
      <c r="F366" s="70" t="str">
        <f t="shared" si="24"/>
        <v/>
      </c>
      <c r="G366" s="70" t="str">
        <f t="shared" si="25"/>
        <v>Stirk</v>
      </c>
      <c r="H366" s="70">
        <f t="shared" si="26"/>
        <v>599</v>
      </c>
      <c r="I366" s="70">
        <f t="shared" si="27"/>
        <v>572</v>
      </c>
      <c r="J366">
        <v>0</v>
      </c>
      <c r="K366" s="3" t="str">
        <f>VLOOKUP(J366,ConstDLCIds!$A$4:$B$1000,2,FALSE)</f>
        <v>DLC_BASE_GAME</v>
      </c>
      <c r="L366" s="3" t="str">
        <f>VLOOKUP(J366,ConstDLCIds!$A$4:$C$1000,3,FALSE)</f>
        <v>Included in base game</v>
      </c>
    </row>
    <row r="367" spans="1:12" x14ac:dyDescent="0.25">
      <c r="A367">
        <v>600</v>
      </c>
      <c r="B367">
        <v>362</v>
      </c>
      <c r="C367">
        <v>572</v>
      </c>
      <c r="D367" t="s">
        <v>2503</v>
      </c>
      <c r="E367" t="str">
        <f>IF(NOT(ISERROR(VLOOKUP(D367,'ESO DungeonFinder'!$A$2:$A$999,1,FALSE))),"X","")</f>
        <v/>
      </c>
      <c r="F367" s="70" t="str">
        <f t="shared" si="24"/>
        <v/>
      </c>
      <c r="G367" s="70" t="str">
        <f t="shared" si="25"/>
        <v>Stirk</v>
      </c>
      <c r="H367" s="70">
        <f t="shared" si="26"/>
        <v>600</v>
      </c>
      <c r="I367" s="70">
        <f t="shared" si="27"/>
        <v>572</v>
      </c>
      <c r="J367">
        <v>0</v>
      </c>
      <c r="K367" s="3" t="str">
        <f>VLOOKUP(J367,ConstDLCIds!$A$4:$B$1000,2,FALSE)</f>
        <v>DLC_BASE_GAME</v>
      </c>
      <c r="L367" s="3" t="str">
        <f>VLOOKUP(J367,ConstDLCIds!$A$4:$C$1000,3,FALSE)</f>
        <v>Included in base game</v>
      </c>
    </row>
    <row r="368" spans="1:12" x14ac:dyDescent="0.25">
      <c r="A368">
        <v>601</v>
      </c>
      <c r="B368">
        <v>363</v>
      </c>
      <c r="C368">
        <v>572</v>
      </c>
      <c r="D368" t="s">
        <v>2504</v>
      </c>
      <c r="E368" t="str">
        <f>IF(NOT(ISERROR(VLOOKUP(D368,'ESO DungeonFinder'!$A$2:$A$999,1,FALSE))),"X","")</f>
        <v/>
      </c>
      <c r="F368" s="70" t="str">
        <f t="shared" si="24"/>
        <v/>
      </c>
      <c r="G368" s="70" t="str">
        <f t="shared" si="25"/>
        <v>Stirk</v>
      </c>
      <c r="H368" s="70">
        <f t="shared" si="26"/>
        <v>601</v>
      </c>
      <c r="I368" s="70">
        <f t="shared" si="27"/>
        <v>572</v>
      </c>
      <c r="J368">
        <v>0</v>
      </c>
      <c r="K368" s="3" t="str">
        <f>VLOOKUP(J368,ConstDLCIds!$A$4:$B$1000,2,FALSE)</f>
        <v>DLC_BASE_GAME</v>
      </c>
      <c r="L368" s="3" t="str">
        <f>VLOOKUP(J368,ConstDLCIds!$A$4:$C$1000,3,FALSE)</f>
        <v>Included in base game</v>
      </c>
    </row>
    <row r="369" spans="1:12" x14ac:dyDescent="0.25">
      <c r="A369">
        <v>628</v>
      </c>
      <c r="B369">
        <v>364</v>
      </c>
      <c r="C369">
        <v>20</v>
      </c>
      <c r="D369" t="s">
        <v>2493</v>
      </c>
      <c r="E369" t="str">
        <f>IF(NOT(ISERROR(VLOOKUP(D369,'ESO DungeonFinder'!$A$2:$A$999,1,FALSE))),"X","")</f>
        <v/>
      </c>
      <c r="F369" s="70" t="str">
        <f t="shared" si="24"/>
        <v/>
      </c>
      <c r="G369" s="70" t="str">
        <f t="shared" si="25"/>
        <v>Rivenspire</v>
      </c>
      <c r="H369" s="70">
        <f t="shared" si="26"/>
        <v>628</v>
      </c>
      <c r="I369" s="70">
        <f t="shared" si="27"/>
        <v>20</v>
      </c>
      <c r="J369">
        <v>0</v>
      </c>
      <c r="K369" s="3" t="str">
        <f>VLOOKUP(J369,ConstDLCIds!$A$4:$B$1000,2,FALSE)</f>
        <v>DLC_BASE_GAME</v>
      </c>
      <c r="L369" s="3" t="str">
        <f>VLOOKUP(J369,ConstDLCIds!$A$4:$C$1000,3,FALSE)</f>
        <v>Included in base game</v>
      </c>
    </row>
    <row r="370" spans="1:12" x14ac:dyDescent="0.25">
      <c r="A370">
        <v>632</v>
      </c>
      <c r="B370">
        <v>365</v>
      </c>
      <c r="C370">
        <v>888</v>
      </c>
      <c r="D370" t="s">
        <v>2505</v>
      </c>
      <c r="E370" t="str">
        <f>IF(NOT(ISERROR(VLOOKUP(D370,'ESO DungeonFinder'!$A$2:$A$999,1,FALSE))),"X","")</f>
        <v/>
      </c>
      <c r="F370" s="70" t="str">
        <f t="shared" si="24"/>
        <v/>
      </c>
      <c r="G370" s="70" t="str">
        <f t="shared" si="25"/>
        <v>Craglorn</v>
      </c>
      <c r="H370" s="70">
        <f t="shared" si="26"/>
        <v>632</v>
      </c>
      <c r="I370" s="70">
        <f t="shared" si="27"/>
        <v>888</v>
      </c>
      <c r="J370">
        <v>0</v>
      </c>
      <c r="K370" s="3" t="str">
        <f>VLOOKUP(J370,ConstDLCIds!$A$4:$B$1000,2,FALSE)</f>
        <v>DLC_BASE_GAME</v>
      </c>
      <c r="L370" s="3" t="str">
        <f>VLOOKUP(J370,ConstDLCIds!$A$4:$C$1000,3,FALSE)</f>
        <v>Included in base game</v>
      </c>
    </row>
    <row r="371" spans="1:12" x14ac:dyDescent="0.25">
      <c r="A371">
        <v>635</v>
      </c>
      <c r="B371">
        <v>366</v>
      </c>
      <c r="C371">
        <v>888</v>
      </c>
      <c r="D371" t="s">
        <v>416</v>
      </c>
      <c r="E371" t="str">
        <f>IF(NOT(ISERROR(VLOOKUP(D371,'ESO DungeonFinder'!$A$2:$A$999,1,FALSE))),"X","")</f>
        <v/>
      </c>
      <c r="F371" s="70" t="str">
        <f t="shared" si="24"/>
        <v/>
      </c>
      <c r="G371" s="70" t="str">
        <f t="shared" si="25"/>
        <v>Craglorn</v>
      </c>
      <c r="H371" s="70">
        <f t="shared" si="26"/>
        <v>635</v>
      </c>
      <c r="I371" s="70">
        <f t="shared" si="27"/>
        <v>888</v>
      </c>
      <c r="J371">
        <v>0</v>
      </c>
      <c r="K371" s="3" t="str">
        <f>VLOOKUP(J371,ConstDLCIds!$A$4:$B$1000,2,FALSE)</f>
        <v>DLC_BASE_GAME</v>
      </c>
      <c r="L371" s="3" t="str">
        <f>VLOOKUP(J371,ConstDLCIds!$A$4:$C$1000,3,FALSE)</f>
        <v>Included in base game</v>
      </c>
    </row>
    <row r="372" spans="1:12" x14ac:dyDescent="0.25">
      <c r="A372">
        <v>636</v>
      </c>
      <c r="B372">
        <v>367</v>
      </c>
      <c r="C372">
        <v>888</v>
      </c>
      <c r="D372" t="s">
        <v>666</v>
      </c>
      <c r="E372" t="str">
        <f>IF(NOT(ISERROR(VLOOKUP(D372,'ESO DungeonFinder'!$A$2:$A$999,1,FALSE))),"X","")</f>
        <v/>
      </c>
      <c r="F372" s="70" t="str">
        <f t="shared" si="24"/>
        <v/>
      </c>
      <c r="G372" s="70" t="str">
        <f t="shared" si="25"/>
        <v>Craglorn</v>
      </c>
      <c r="H372" s="70">
        <f t="shared" si="26"/>
        <v>636</v>
      </c>
      <c r="I372" s="70">
        <f t="shared" si="27"/>
        <v>888</v>
      </c>
      <c r="J372">
        <v>0</v>
      </c>
      <c r="K372" s="3" t="str">
        <f>VLOOKUP(J372,ConstDLCIds!$A$4:$B$1000,2,FALSE)</f>
        <v>DLC_BASE_GAME</v>
      </c>
      <c r="L372" s="3" t="str">
        <f>VLOOKUP(J372,ConstDLCIds!$A$4:$C$1000,3,FALSE)</f>
        <v>Included in base game</v>
      </c>
    </row>
    <row r="373" spans="1:12" x14ac:dyDescent="0.25">
      <c r="A373">
        <v>637</v>
      </c>
      <c r="B373">
        <v>368</v>
      </c>
      <c r="C373">
        <v>57</v>
      </c>
      <c r="D373" t="s">
        <v>2506</v>
      </c>
      <c r="E373" t="str">
        <f>IF(NOT(ISERROR(VLOOKUP(D373,'ESO DungeonFinder'!$A$2:$A$999,1,FALSE))),"X","")</f>
        <v/>
      </c>
      <c r="F373" s="70" t="str">
        <f t="shared" si="24"/>
        <v/>
      </c>
      <c r="G373" s="70" t="str">
        <f t="shared" si="25"/>
        <v>Deshaan</v>
      </c>
      <c r="H373" s="70">
        <f t="shared" si="26"/>
        <v>637</v>
      </c>
      <c r="I373" s="70">
        <f t="shared" si="27"/>
        <v>57</v>
      </c>
      <c r="J373">
        <v>0</v>
      </c>
      <c r="K373" s="3" t="str">
        <f>VLOOKUP(J373,ConstDLCIds!$A$4:$B$1000,2,FALSE)</f>
        <v>DLC_BASE_GAME</v>
      </c>
      <c r="L373" s="3" t="str">
        <f>VLOOKUP(J373,ConstDLCIds!$A$4:$C$1000,3,FALSE)</f>
        <v>Included in base game</v>
      </c>
    </row>
    <row r="374" spans="1:12" x14ac:dyDescent="0.25">
      <c r="A374">
        <v>638</v>
      </c>
      <c r="B374">
        <v>369</v>
      </c>
      <c r="C374">
        <v>888</v>
      </c>
      <c r="D374" t="s">
        <v>669</v>
      </c>
      <c r="E374" t="str">
        <f>IF(NOT(ISERROR(VLOOKUP(D374,'ESO DungeonFinder'!$A$2:$A$999,1,FALSE))),"X","")</f>
        <v/>
      </c>
      <c r="F374" s="70" t="str">
        <f t="shared" si="24"/>
        <v/>
      </c>
      <c r="G374" s="70" t="str">
        <f t="shared" si="25"/>
        <v>Craglorn</v>
      </c>
      <c r="H374" s="70">
        <f t="shared" si="26"/>
        <v>638</v>
      </c>
      <c r="I374" s="70">
        <f t="shared" si="27"/>
        <v>888</v>
      </c>
      <c r="J374">
        <v>0</v>
      </c>
      <c r="K374" s="3" t="str">
        <f>VLOOKUP(J374,ConstDLCIds!$A$4:$B$1000,2,FALSE)</f>
        <v>DLC_BASE_GAME</v>
      </c>
      <c r="L374" s="3" t="str">
        <f>VLOOKUP(J374,ConstDLCIds!$A$4:$C$1000,3,FALSE)</f>
        <v>Included in base game</v>
      </c>
    </row>
    <row r="375" spans="1:12" x14ac:dyDescent="0.25">
      <c r="A375">
        <v>639</v>
      </c>
      <c r="B375">
        <v>370</v>
      </c>
      <c r="C375">
        <v>888</v>
      </c>
      <c r="D375" t="s">
        <v>663</v>
      </c>
      <c r="E375" t="str">
        <f>IF(NOT(ISERROR(VLOOKUP(D375,'ESO DungeonFinder'!$A$2:$A$999,1,FALSE))),"X","")</f>
        <v/>
      </c>
      <c r="F375" s="70" t="str">
        <f t="shared" si="24"/>
        <v/>
      </c>
      <c r="G375" s="70" t="str">
        <f t="shared" si="25"/>
        <v>Craglorn</v>
      </c>
      <c r="H375" s="70">
        <f t="shared" si="26"/>
        <v>639</v>
      </c>
      <c r="I375" s="70">
        <f t="shared" si="27"/>
        <v>888</v>
      </c>
      <c r="J375">
        <v>0</v>
      </c>
      <c r="K375" s="3" t="str">
        <f>VLOOKUP(J375,ConstDLCIds!$A$4:$B$1000,2,FALSE)</f>
        <v>DLC_BASE_GAME</v>
      </c>
      <c r="L375" s="3" t="str">
        <f>VLOOKUP(J375,ConstDLCIds!$A$4:$C$1000,3,FALSE)</f>
        <v>Included in base game</v>
      </c>
    </row>
    <row r="376" spans="1:12" x14ac:dyDescent="0.25">
      <c r="A376">
        <v>640</v>
      </c>
      <c r="B376">
        <v>371</v>
      </c>
      <c r="C376">
        <v>19</v>
      </c>
      <c r="D376" t="s">
        <v>2507</v>
      </c>
      <c r="E376" t="str">
        <f>IF(NOT(ISERROR(VLOOKUP(D376,'ESO DungeonFinder'!$A$2:$A$999,1,FALSE))),"X","")</f>
        <v/>
      </c>
      <c r="F376" s="70" t="str">
        <f t="shared" si="24"/>
        <v/>
      </c>
      <c r="G376" s="70" t="str">
        <f t="shared" si="25"/>
        <v>Stormhaven</v>
      </c>
      <c r="H376" s="70">
        <f t="shared" si="26"/>
        <v>640</v>
      </c>
      <c r="I376" s="70">
        <f t="shared" si="27"/>
        <v>19</v>
      </c>
      <c r="J376">
        <v>0</v>
      </c>
      <c r="K376" s="3" t="str">
        <f>VLOOKUP(J376,ConstDLCIds!$A$4:$B$1000,2,FALSE)</f>
        <v>DLC_BASE_GAME</v>
      </c>
      <c r="L376" s="3" t="str">
        <f>VLOOKUP(J376,ConstDLCIds!$A$4:$C$1000,3,FALSE)</f>
        <v>Included in base game</v>
      </c>
    </row>
    <row r="377" spans="1:12" x14ac:dyDescent="0.25">
      <c r="A377">
        <v>641</v>
      </c>
      <c r="B377">
        <v>372</v>
      </c>
      <c r="C377">
        <v>3</v>
      </c>
      <c r="D377" t="s">
        <v>2508</v>
      </c>
      <c r="E377" t="str">
        <f>IF(NOT(ISERROR(VLOOKUP(D377,'ESO DungeonFinder'!$A$2:$A$999,1,FALSE))),"X","")</f>
        <v/>
      </c>
      <c r="F377" s="70" t="str">
        <f t="shared" si="24"/>
        <v/>
      </c>
      <c r="G377" s="70" t="str">
        <f t="shared" si="25"/>
        <v>Glenumbra</v>
      </c>
      <c r="H377" s="70">
        <f t="shared" si="26"/>
        <v>641</v>
      </c>
      <c r="I377" s="70">
        <f t="shared" si="27"/>
        <v>3</v>
      </c>
      <c r="J377">
        <v>0</v>
      </c>
      <c r="K377" s="3" t="str">
        <f>VLOOKUP(J377,ConstDLCIds!$A$4:$B$1000,2,FALSE)</f>
        <v>DLC_BASE_GAME</v>
      </c>
      <c r="L377" s="3" t="str">
        <f>VLOOKUP(J377,ConstDLCIds!$A$4:$C$1000,3,FALSE)</f>
        <v>Included in base game</v>
      </c>
    </row>
    <row r="378" spans="1:12" x14ac:dyDescent="0.25">
      <c r="A378">
        <v>642</v>
      </c>
      <c r="B378">
        <v>373</v>
      </c>
      <c r="C378">
        <v>642</v>
      </c>
      <c r="D378" t="s">
        <v>554</v>
      </c>
      <c r="E378" t="str">
        <f>IF(NOT(ISERROR(VLOOKUP(D378,'ESO DungeonFinder'!$A$2:$A$999,1,FALSE))),"X","")</f>
        <v/>
      </c>
      <c r="F378" s="70" t="str">
        <f t="shared" si="24"/>
        <v>X</v>
      </c>
      <c r="G378" s="70" t="str">
        <f t="shared" si="25"/>
        <v/>
      </c>
      <c r="H378" s="70">
        <f t="shared" si="26"/>
        <v>642</v>
      </c>
      <c r="I378" s="70">
        <f t="shared" si="27"/>
        <v>642</v>
      </c>
      <c r="J378">
        <v>6</v>
      </c>
      <c r="K378" s="3" t="str">
        <f ca="1">VLOOKUP(J378,ConstDLCIds!$A$4:$B$1000,2,FALSE)</f>
        <v>DLC_MORROWIND</v>
      </c>
      <c r="L378" s="3" t="str">
        <f ca="1">VLOOKUP(J378,ConstDLCIds!$A$4:$C$1000,3,FALSE)</f>
        <v>Morrowind</v>
      </c>
    </row>
    <row r="379" spans="1:12" x14ac:dyDescent="0.25">
      <c r="A379">
        <v>643</v>
      </c>
      <c r="B379">
        <v>374</v>
      </c>
      <c r="C379">
        <v>584</v>
      </c>
      <c r="D379" t="s">
        <v>764</v>
      </c>
      <c r="E379" t="str">
        <f>IF(NOT(ISERROR(VLOOKUP(D379,'ESO DungeonFinder'!$A$2:$A$999,1,FALSE))),"X","")</f>
        <v/>
      </c>
      <c r="F379" s="70" t="str">
        <f t="shared" si="24"/>
        <v/>
      </c>
      <c r="G379" s="70" t="str">
        <f t="shared" si="25"/>
        <v>Imperial City</v>
      </c>
      <c r="H379" s="70">
        <f t="shared" si="26"/>
        <v>643</v>
      </c>
      <c r="I379" s="70">
        <f t="shared" si="27"/>
        <v>584</v>
      </c>
      <c r="J379">
        <v>1</v>
      </c>
      <c r="K379" s="3" t="str">
        <f ca="1">VLOOKUP(J379,ConstDLCIds!$A$4:$B$1000,2,FALSE)</f>
        <v>DLC_IMPERIAL_CITY</v>
      </c>
      <c r="L379" s="3" t="str">
        <f ca="1">VLOOKUP(J379,ConstDLCIds!$A$4:$C$1000,3,FALSE)</f>
        <v>Imperial City</v>
      </c>
    </row>
    <row r="380" spans="1:12" x14ac:dyDescent="0.25">
      <c r="A380">
        <v>649</v>
      </c>
      <c r="B380">
        <v>375</v>
      </c>
      <c r="C380">
        <v>584</v>
      </c>
      <c r="D380" t="s">
        <v>2509</v>
      </c>
      <c r="E380" t="str">
        <f>IF(NOT(ISERROR(VLOOKUP(D380,'ESO DungeonFinder'!$A$2:$A$999,1,FALSE))),"X","")</f>
        <v/>
      </c>
      <c r="F380" s="70" t="str">
        <f t="shared" si="24"/>
        <v/>
      </c>
      <c r="G380" s="70" t="str">
        <f t="shared" si="25"/>
        <v>Imperial City</v>
      </c>
      <c r="H380" s="70">
        <f t="shared" si="26"/>
        <v>649</v>
      </c>
      <c r="I380" s="70">
        <f t="shared" si="27"/>
        <v>584</v>
      </c>
      <c r="J380">
        <v>10</v>
      </c>
      <c r="K380" s="3" t="str">
        <f ca="1">VLOOKUP(J380,ConstDLCIds!$A$4:$B$1000,2,FALSE)</f>
        <v>DLC_SUMMERSET</v>
      </c>
      <c r="L380" s="3" t="str">
        <f ca="1">VLOOKUP(J380,ConstDLCIds!$A$4:$C$1000,3,FALSE)</f>
        <v>Summerset</v>
      </c>
    </row>
    <row r="381" spans="1:12" x14ac:dyDescent="0.25">
      <c r="A381">
        <v>676</v>
      </c>
      <c r="B381">
        <v>376</v>
      </c>
      <c r="C381">
        <v>816</v>
      </c>
      <c r="D381" t="s">
        <v>2510</v>
      </c>
      <c r="E381" t="str">
        <f>IF(NOT(ISERROR(VLOOKUP(D381,'ESO DungeonFinder'!$A$2:$A$999,1,FALSE))),"X","")</f>
        <v/>
      </c>
      <c r="F381" s="70" t="str">
        <f t="shared" si="24"/>
        <v/>
      </c>
      <c r="G381" s="70" t="str">
        <f t="shared" si="25"/>
        <v>Hew's Bane</v>
      </c>
      <c r="H381" s="70">
        <f t="shared" si="26"/>
        <v>676</v>
      </c>
      <c r="I381" s="70">
        <f t="shared" si="27"/>
        <v>816</v>
      </c>
      <c r="J381">
        <v>3</v>
      </c>
      <c r="K381" s="3" t="str">
        <f ca="1">VLOOKUP(J381,ConstDLCIds!$A$4:$B$1000,2,FALSE)</f>
        <v>DLC_THIEVES_GUILD</v>
      </c>
      <c r="L381" s="3" t="str">
        <f ca="1">VLOOKUP(J381,ConstDLCIds!$A$4:$C$1000,3,FALSE)</f>
        <v>Thieves Guild</v>
      </c>
    </row>
    <row r="382" spans="1:12" x14ac:dyDescent="0.25">
      <c r="A382">
        <v>677</v>
      </c>
      <c r="B382">
        <v>377</v>
      </c>
      <c r="C382">
        <v>684</v>
      </c>
      <c r="D382" t="s">
        <v>818</v>
      </c>
      <c r="E382" t="str">
        <f>IF(NOT(ISERROR(VLOOKUP(D382,'ESO DungeonFinder'!$A$2:$A$999,1,FALSE))),"X","")</f>
        <v/>
      </c>
      <c r="F382" s="70" t="str">
        <f t="shared" si="24"/>
        <v/>
      </c>
      <c r="G382" s="70" t="str">
        <f t="shared" si="25"/>
        <v>Wrothgar</v>
      </c>
      <c r="H382" s="70">
        <f t="shared" si="26"/>
        <v>677</v>
      </c>
      <c r="I382" s="70">
        <f t="shared" si="27"/>
        <v>684</v>
      </c>
      <c r="J382">
        <v>2</v>
      </c>
      <c r="K382" s="3" t="str">
        <f ca="1">VLOOKUP(J382,ConstDLCIds!$A$4:$B$1000,2,FALSE)</f>
        <v>DLC_ORSINIUM</v>
      </c>
      <c r="L382" s="3" t="str">
        <f ca="1">VLOOKUP(J382,ConstDLCIds!$A$4:$C$1000,3,FALSE)</f>
        <v>Orsinium</v>
      </c>
    </row>
    <row r="383" spans="1:12" x14ac:dyDescent="0.25">
      <c r="A383">
        <v>678</v>
      </c>
      <c r="B383">
        <v>378</v>
      </c>
      <c r="C383">
        <v>584</v>
      </c>
      <c r="D383" t="s">
        <v>722</v>
      </c>
      <c r="E383" t="str">
        <f>IF(NOT(ISERROR(VLOOKUP(D383,'ESO DungeonFinder'!$A$2:$A$999,1,FALSE))),"X","")</f>
        <v>X</v>
      </c>
      <c r="F383" s="70" t="str">
        <f t="shared" si="24"/>
        <v/>
      </c>
      <c r="G383" s="70" t="str">
        <f t="shared" si="25"/>
        <v>Imperial City</v>
      </c>
      <c r="H383" s="70">
        <f t="shared" si="26"/>
        <v>678</v>
      </c>
      <c r="I383" s="70">
        <f t="shared" si="27"/>
        <v>584</v>
      </c>
      <c r="J383">
        <v>1</v>
      </c>
      <c r="K383" s="3" t="str">
        <f ca="1">VLOOKUP(J383,ConstDLCIds!$A$4:$B$1000,2,FALSE)</f>
        <v>DLC_IMPERIAL_CITY</v>
      </c>
      <c r="L383" s="3" t="str">
        <f ca="1">VLOOKUP(J383,ConstDLCIds!$A$4:$C$1000,3,FALSE)</f>
        <v>Imperial City</v>
      </c>
    </row>
    <row r="384" spans="1:12" x14ac:dyDescent="0.25">
      <c r="A384">
        <v>681</v>
      </c>
      <c r="B384">
        <v>379</v>
      </c>
      <c r="C384">
        <v>108</v>
      </c>
      <c r="D384" t="s">
        <v>744</v>
      </c>
      <c r="E384" t="str">
        <f>IF(NOT(ISERROR(VLOOKUP(D384,'ESO DungeonFinder'!$A$2:$A$999,1,FALSE))),"X","")</f>
        <v>X</v>
      </c>
      <c r="F384" s="70" t="str">
        <f t="shared" si="24"/>
        <v/>
      </c>
      <c r="G384" s="70" t="str">
        <f t="shared" si="25"/>
        <v>Greenshade</v>
      </c>
      <c r="H384" s="70">
        <f t="shared" si="26"/>
        <v>681</v>
      </c>
      <c r="I384" s="70">
        <f t="shared" si="27"/>
        <v>108</v>
      </c>
      <c r="J384">
        <v>0</v>
      </c>
      <c r="K384" s="3" t="str">
        <f>VLOOKUP(J384,ConstDLCIds!$A$4:$B$1000,2,FALSE)</f>
        <v>DLC_BASE_GAME</v>
      </c>
      <c r="L384" s="3" t="str">
        <f>VLOOKUP(J384,ConstDLCIds!$A$4:$C$1000,3,FALSE)</f>
        <v>Included in base game</v>
      </c>
    </row>
    <row r="385" spans="1:12" x14ac:dyDescent="0.25">
      <c r="A385">
        <v>684</v>
      </c>
      <c r="B385">
        <v>380</v>
      </c>
      <c r="C385">
        <v>684</v>
      </c>
      <c r="D385" t="s">
        <v>816</v>
      </c>
      <c r="E385" t="str">
        <f>IF(NOT(ISERROR(VLOOKUP(D385,'ESO DungeonFinder'!$A$2:$A$999,1,FALSE))),"X","")</f>
        <v/>
      </c>
      <c r="F385" s="70" t="str">
        <f t="shared" si="24"/>
        <v>X</v>
      </c>
      <c r="G385" s="70" t="str">
        <f t="shared" si="25"/>
        <v/>
      </c>
      <c r="H385" s="70">
        <f t="shared" si="26"/>
        <v>684</v>
      </c>
      <c r="I385" s="70">
        <f t="shared" si="27"/>
        <v>684</v>
      </c>
      <c r="J385">
        <v>2</v>
      </c>
      <c r="K385" s="3" t="str">
        <f ca="1">VLOOKUP(J385,ConstDLCIds!$A$4:$B$1000,2,FALSE)</f>
        <v>DLC_ORSINIUM</v>
      </c>
      <c r="L385" s="3" t="str">
        <f ca="1">VLOOKUP(J385,ConstDLCIds!$A$4:$C$1000,3,FALSE)</f>
        <v>Orsinium</v>
      </c>
    </row>
    <row r="386" spans="1:12" x14ac:dyDescent="0.25">
      <c r="A386">
        <v>688</v>
      </c>
      <c r="B386">
        <v>381</v>
      </c>
      <c r="C386">
        <v>584</v>
      </c>
      <c r="D386" t="s">
        <v>770</v>
      </c>
      <c r="E386" t="str">
        <f>IF(NOT(ISERROR(VLOOKUP(D386,'ESO DungeonFinder'!$A$2:$A$999,1,FALSE))),"X","")</f>
        <v>X</v>
      </c>
      <c r="F386" s="70" t="str">
        <f t="shared" si="24"/>
        <v/>
      </c>
      <c r="G386" s="70" t="str">
        <f t="shared" si="25"/>
        <v>Imperial City</v>
      </c>
      <c r="H386" s="70">
        <f t="shared" si="26"/>
        <v>688</v>
      </c>
      <c r="I386" s="70">
        <f t="shared" si="27"/>
        <v>584</v>
      </c>
      <c r="J386">
        <v>1</v>
      </c>
      <c r="K386" s="3" t="str">
        <f ca="1">VLOOKUP(J386,ConstDLCIds!$A$4:$B$1000,2,FALSE)</f>
        <v>DLC_IMPERIAL_CITY</v>
      </c>
      <c r="L386" s="3" t="str">
        <f ca="1">VLOOKUP(J386,ConstDLCIds!$A$4:$C$1000,3,FALSE)</f>
        <v>Imperial City</v>
      </c>
    </row>
    <row r="387" spans="1:12" x14ac:dyDescent="0.25">
      <c r="A387">
        <v>689</v>
      </c>
      <c r="B387">
        <v>382</v>
      </c>
      <c r="C387">
        <v>684</v>
      </c>
      <c r="D387" t="s">
        <v>2511</v>
      </c>
      <c r="E387" t="str">
        <f>IF(NOT(ISERROR(VLOOKUP(D387,'ESO DungeonFinder'!$A$2:$A$999,1,FALSE))),"X","")</f>
        <v/>
      </c>
      <c r="F387" s="70" t="str">
        <f t="shared" si="24"/>
        <v/>
      </c>
      <c r="G387" s="70" t="str">
        <f t="shared" si="25"/>
        <v>Wrothgar</v>
      </c>
      <c r="H387" s="70">
        <f t="shared" si="26"/>
        <v>689</v>
      </c>
      <c r="I387" s="70">
        <f t="shared" si="27"/>
        <v>684</v>
      </c>
      <c r="J387">
        <v>2</v>
      </c>
      <c r="K387" s="3" t="str">
        <f ca="1">VLOOKUP(J387,ConstDLCIds!$A$4:$B$1000,2,FALSE)</f>
        <v>DLC_ORSINIUM</v>
      </c>
      <c r="L387" s="3" t="str">
        <f ca="1">VLOOKUP(J387,ConstDLCIds!$A$4:$C$1000,3,FALSE)</f>
        <v>Orsinium</v>
      </c>
    </row>
    <row r="388" spans="1:12" x14ac:dyDescent="0.25">
      <c r="A388">
        <v>691</v>
      </c>
      <c r="B388">
        <v>383</v>
      </c>
      <c r="C388">
        <v>684</v>
      </c>
      <c r="D388" t="s">
        <v>2512</v>
      </c>
      <c r="E388" t="str">
        <f>IF(NOT(ISERROR(VLOOKUP(D388,'ESO DungeonFinder'!$A$2:$A$999,1,FALSE))),"X","")</f>
        <v/>
      </c>
      <c r="F388" s="70" t="str">
        <f t="shared" si="24"/>
        <v/>
      </c>
      <c r="G388" s="70" t="str">
        <f t="shared" si="25"/>
        <v>Wrothgar</v>
      </c>
      <c r="H388" s="70">
        <f t="shared" si="26"/>
        <v>691</v>
      </c>
      <c r="I388" s="70">
        <f t="shared" si="27"/>
        <v>684</v>
      </c>
      <c r="J388">
        <v>2</v>
      </c>
      <c r="K388" s="3" t="str">
        <f ca="1">VLOOKUP(J388,ConstDLCIds!$A$4:$B$1000,2,FALSE)</f>
        <v>DLC_ORSINIUM</v>
      </c>
      <c r="L388" s="3" t="str">
        <f ca="1">VLOOKUP(J388,ConstDLCIds!$A$4:$C$1000,3,FALSE)</f>
        <v>Orsinium</v>
      </c>
    </row>
    <row r="389" spans="1:12" x14ac:dyDescent="0.25">
      <c r="A389">
        <v>692</v>
      </c>
      <c r="B389">
        <v>384</v>
      </c>
      <c r="C389">
        <v>684</v>
      </c>
      <c r="D389" t="s">
        <v>2513</v>
      </c>
      <c r="E389" t="str">
        <f>IF(NOT(ISERROR(VLOOKUP(D389,'ESO DungeonFinder'!$A$2:$A$999,1,FALSE))),"X","")</f>
        <v/>
      </c>
      <c r="F389" s="70" t="str">
        <f t="shared" si="24"/>
        <v/>
      </c>
      <c r="G389" s="70" t="str">
        <f t="shared" si="25"/>
        <v>Wrothgar</v>
      </c>
      <c r="H389" s="70">
        <f t="shared" si="26"/>
        <v>692</v>
      </c>
      <c r="I389" s="70">
        <f t="shared" si="27"/>
        <v>684</v>
      </c>
      <c r="J389">
        <v>2</v>
      </c>
      <c r="K389" s="3" t="str">
        <f ca="1">VLOOKUP(J389,ConstDLCIds!$A$4:$B$1000,2,FALSE)</f>
        <v>DLC_ORSINIUM</v>
      </c>
      <c r="L389" s="3" t="str">
        <f ca="1">VLOOKUP(J389,ConstDLCIds!$A$4:$C$1000,3,FALSE)</f>
        <v>Orsinium</v>
      </c>
    </row>
    <row r="390" spans="1:12" x14ac:dyDescent="0.25">
      <c r="A390">
        <v>693</v>
      </c>
      <c r="B390">
        <v>385</v>
      </c>
      <c r="C390">
        <v>684</v>
      </c>
      <c r="D390" t="s">
        <v>2514</v>
      </c>
      <c r="E390" t="str">
        <f>IF(NOT(ISERROR(VLOOKUP(D390,'ESO DungeonFinder'!$A$2:$A$999,1,FALSE))),"X","")</f>
        <v/>
      </c>
      <c r="F390" s="70" t="str">
        <f t="shared" si="24"/>
        <v/>
      </c>
      <c r="G390" s="70" t="str">
        <f t="shared" si="25"/>
        <v>Wrothgar</v>
      </c>
      <c r="H390" s="70">
        <f t="shared" si="26"/>
        <v>693</v>
      </c>
      <c r="I390" s="70">
        <f t="shared" si="27"/>
        <v>684</v>
      </c>
      <c r="J390">
        <v>2</v>
      </c>
      <c r="K390" s="3" t="str">
        <f ca="1">VLOOKUP(J390,ConstDLCIds!$A$4:$B$1000,2,FALSE)</f>
        <v>DLC_ORSINIUM</v>
      </c>
      <c r="L390" s="3" t="str">
        <f ca="1">VLOOKUP(J390,ConstDLCIds!$A$4:$C$1000,3,FALSE)</f>
        <v>Orsinium</v>
      </c>
    </row>
    <row r="391" spans="1:12" x14ac:dyDescent="0.25">
      <c r="A391">
        <v>694</v>
      </c>
      <c r="B391">
        <v>386</v>
      </c>
      <c r="C391">
        <v>684</v>
      </c>
      <c r="D391" t="s">
        <v>2090</v>
      </c>
      <c r="E391" t="str">
        <f>IF(NOT(ISERROR(VLOOKUP(D391,'ESO DungeonFinder'!$A$2:$A$999,1,FALSE))),"X","")</f>
        <v/>
      </c>
      <c r="F391" s="70" t="str">
        <f t="shared" ref="F391:F454" si="28">IF(EXACT(A391,C391),"X","")</f>
        <v/>
      </c>
      <c r="G391" s="70" t="str">
        <f t="shared" ref="G391:G454" si="29">IF(A391&lt;&gt;C391,VLOOKUP(C391,$A$5:$D$9956,4,FALSE),"")</f>
        <v>Wrothgar</v>
      </c>
      <c r="H391" s="70">
        <f t="shared" ref="H391:H454" si="30">A391</f>
        <v>694</v>
      </c>
      <c r="I391" s="70">
        <f t="shared" ref="I391:I454" si="31">C391</f>
        <v>684</v>
      </c>
      <c r="J391">
        <v>2</v>
      </c>
      <c r="K391" s="3" t="str">
        <f ca="1">VLOOKUP(J391,ConstDLCIds!$A$4:$B$1000,2,FALSE)</f>
        <v>DLC_ORSINIUM</v>
      </c>
      <c r="L391" s="3" t="str">
        <f ca="1">VLOOKUP(J391,ConstDLCIds!$A$4:$C$1000,3,FALSE)</f>
        <v>Orsinium</v>
      </c>
    </row>
    <row r="392" spans="1:12" x14ac:dyDescent="0.25">
      <c r="A392">
        <v>695</v>
      </c>
      <c r="B392">
        <v>387</v>
      </c>
      <c r="C392">
        <v>684</v>
      </c>
      <c r="D392" t="s">
        <v>2515</v>
      </c>
      <c r="E392" t="str">
        <f>IF(NOT(ISERROR(VLOOKUP(D392,'ESO DungeonFinder'!$A$2:$A$999,1,FALSE))),"X","")</f>
        <v/>
      </c>
      <c r="F392" s="70" t="str">
        <f t="shared" si="28"/>
        <v/>
      </c>
      <c r="G392" s="70" t="str">
        <f t="shared" si="29"/>
        <v>Wrothgar</v>
      </c>
      <c r="H392" s="70">
        <f t="shared" si="30"/>
        <v>695</v>
      </c>
      <c r="I392" s="70">
        <f t="shared" si="31"/>
        <v>684</v>
      </c>
      <c r="J392">
        <v>2</v>
      </c>
      <c r="K392" s="3" t="str">
        <f ca="1">VLOOKUP(J392,ConstDLCIds!$A$4:$B$1000,2,FALSE)</f>
        <v>DLC_ORSINIUM</v>
      </c>
      <c r="L392" s="3" t="str">
        <f ca="1">VLOOKUP(J392,ConstDLCIds!$A$4:$C$1000,3,FALSE)</f>
        <v>Orsinium</v>
      </c>
    </row>
    <row r="393" spans="1:12" x14ac:dyDescent="0.25">
      <c r="A393">
        <v>697</v>
      </c>
      <c r="B393">
        <v>388</v>
      </c>
      <c r="C393">
        <v>684</v>
      </c>
      <c r="D393" t="s">
        <v>2516</v>
      </c>
      <c r="E393" t="str">
        <f>IF(NOT(ISERROR(VLOOKUP(D393,'ESO DungeonFinder'!$A$2:$A$999,1,FALSE))),"X","")</f>
        <v/>
      </c>
      <c r="F393" s="70" t="str">
        <f t="shared" si="28"/>
        <v/>
      </c>
      <c r="G393" s="70" t="str">
        <f t="shared" si="29"/>
        <v>Wrothgar</v>
      </c>
      <c r="H393" s="70">
        <f t="shared" si="30"/>
        <v>697</v>
      </c>
      <c r="I393" s="70">
        <f t="shared" si="31"/>
        <v>684</v>
      </c>
      <c r="J393">
        <v>2</v>
      </c>
      <c r="K393" s="3" t="str">
        <f ca="1">VLOOKUP(J393,ConstDLCIds!$A$4:$B$1000,2,FALSE)</f>
        <v>DLC_ORSINIUM</v>
      </c>
      <c r="L393" s="3" t="str">
        <f ca="1">VLOOKUP(J393,ConstDLCIds!$A$4:$C$1000,3,FALSE)</f>
        <v>Orsinium</v>
      </c>
    </row>
    <row r="394" spans="1:12" x14ac:dyDescent="0.25">
      <c r="A394">
        <v>698</v>
      </c>
      <c r="B394">
        <v>389</v>
      </c>
      <c r="C394">
        <v>684</v>
      </c>
      <c r="D394" t="s">
        <v>2517</v>
      </c>
      <c r="E394" t="str">
        <f>IF(NOT(ISERROR(VLOOKUP(D394,'ESO DungeonFinder'!$A$2:$A$999,1,FALSE))),"X","")</f>
        <v/>
      </c>
      <c r="F394" s="70" t="str">
        <f t="shared" si="28"/>
        <v/>
      </c>
      <c r="G394" s="70" t="str">
        <f t="shared" si="29"/>
        <v>Wrothgar</v>
      </c>
      <c r="H394" s="70">
        <f t="shared" si="30"/>
        <v>698</v>
      </c>
      <c r="I394" s="70">
        <f t="shared" si="31"/>
        <v>684</v>
      </c>
      <c r="J394">
        <v>2</v>
      </c>
      <c r="K394" s="3" t="str">
        <f ca="1">VLOOKUP(J394,ConstDLCIds!$A$4:$B$1000,2,FALSE)</f>
        <v>DLC_ORSINIUM</v>
      </c>
      <c r="L394" s="3" t="str">
        <f ca="1">VLOOKUP(J394,ConstDLCIds!$A$4:$C$1000,3,FALSE)</f>
        <v>Orsinium</v>
      </c>
    </row>
    <row r="395" spans="1:12" x14ac:dyDescent="0.25">
      <c r="A395">
        <v>699</v>
      </c>
      <c r="B395">
        <v>390</v>
      </c>
      <c r="C395">
        <v>684</v>
      </c>
      <c r="D395" t="s">
        <v>2518</v>
      </c>
      <c r="E395" t="str">
        <f>IF(NOT(ISERROR(VLOOKUP(D395,'ESO DungeonFinder'!$A$2:$A$999,1,FALSE))),"X","")</f>
        <v/>
      </c>
      <c r="F395" s="70" t="str">
        <f t="shared" si="28"/>
        <v/>
      </c>
      <c r="G395" s="70" t="str">
        <f t="shared" si="29"/>
        <v>Wrothgar</v>
      </c>
      <c r="H395" s="70">
        <f t="shared" si="30"/>
        <v>699</v>
      </c>
      <c r="I395" s="70">
        <f t="shared" si="31"/>
        <v>684</v>
      </c>
      <c r="J395">
        <v>2</v>
      </c>
      <c r="K395" s="3" t="str">
        <f ca="1">VLOOKUP(J395,ConstDLCIds!$A$4:$B$1000,2,FALSE)</f>
        <v>DLC_ORSINIUM</v>
      </c>
      <c r="L395" s="3" t="str">
        <f ca="1">VLOOKUP(J395,ConstDLCIds!$A$4:$C$1000,3,FALSE)</f>
        <v>Orsinium</v>
      </c>
    </row>
    <row r="396" spans="1:12" x14ac:dyDescent="0.25">
      <c r="A396">
        <v>700</v>
      </c>
      <c r="B396">
        <v>391</v>
      </c>
      <c r="C396">
        <v>684</v>
      </c>
      <c r="D396" t="s">
        <v>2519</v>
      </c>
      <c r="E396" t="str">
        <f>IF(NOT(ISERROR(VLOOKUP(D396,'ESO DungeonFinder'!$A$2:$A$999,1,FALSE))),"X","")</f>
        <v/>
      </c>
      <c r="F396" s="70" t="str">
        <f t="shared" si="28"/>
        <v/>
      </c>
      <c r="G396" s="70" t="str">
        <f t="shared" si="29"/>
        <v>Wrothgar</v>
      </c>
      <c r="H396" s="70">
        <f t="shared" si="30"/>
        <v>700</v>
      </c>
      <c r="I396" s="70">
        <f t="shared" si="31"/>
        <v>684</v>
      </c>
      <c r="J396">
        <v>2</v>
      </c>
      <c r="K396" s="3" t="str">
        <f ca="1">VLOOKUP(J396,ConstDLCIds!$A$4:$B$1000,2,FALSE)</f>
        <v>DLC_ORSINIUM</v>
      </c>
      <c r="L396" s="3" t="str">
        <f ca="1">VLOOKUP(J396,ConstDLCIds!$A$4:$C$1000,3,FALSE)</f>
        <v>Orsinium</v>
      </c>
    </row>
    <row r="397" spans="1:12" x14ac:dyDescent="0.25">
      <c r="A397">
        <v>701</v>
      </c>
      <c r="B397">
        <v>392</v>
      </c>
      <c r="C397">
        <v>684</v>
      </c>
      <c r="D397" t="s">
        <v>2520</v>
      </c>
      <c r="E397" t="str">
        <f>IF(NOT(ISERROR(VLOOKUP(D397,'ESO DungeonFinder'!$A$2:$A$999,1,FALSE))),"X","")</f>
        <v/>
      </c>
      <c r="F397" s="70" t="str">
        <f t="shared" si="28"/>
        <v/>
      </c>
      <c r="G397" s="70" t="str">
        <f t="shared" si="29"/>
        <v>Wrothgar</v>
      </c>
      <c r="H397" s="70">
        <f t="shared" si="30"/>
        <v>701</v>
      </c>
      <c r="I397" s="70">
        <f t="shared" si="31"/>
        <v>684</v>
      </c>
      <c r="J397">
        <v>2</v>
      </c>
      <c r="K397" s="3" t="str">
        <f ca="1">VLOOKUP(J397,ConstDLCIds!$A$4:$B$1000,2,FALSE)</f>
        <v>DLC_ORSINIUM</v>
      </c>
      <c r="L397" s="3" t="str">
        <f ca="1">VLOOKUP(J397,ConstDLCIds!$A$4:$C$1000,3,FALSE)</f>
        <v>Orsinium</v>
      </c>
    </row>
    <row r="398" spans="1:12" x14ac:dyDescent="0.25">
      <c r="A398">
        <v>702</v>
      </c>
      <c r="B398">
        <v>393</v>
      </c>
      <c r="C398">
        <v>684</v>
      </c>
      <c r="D398" t="s">
        <v>2521</v>
      </c>
      <c r="E398" t="str">
        <f>IF(NOT(ISERROR(VLOOKUP(D398,'ESO DungeonFinder'!$A$2:$A$999,1,FALSE))),"X","")</f>
        <v/>
      </c>
      <c r="F398" s="70" t="str">
        <f t="shared" si="28"/>
        <v/>
      </c>
      <c r="G398" s="70" t="str">
        <f t="shared" si="29"/>
        <v>Wrothgar</v>
      </c>
      <c r="H398" s="70">
        <f t="shared" si="30"/>
        <v>702</v>
      </c>
      <c r="I398" s="70">
        <f t="shared" si="31"/>
        <v>684</v>
      </c>
      <c r="J398">
        <v>2</v>
      </c>
      <c r="K398" s="3" t="str">
        <f ca="1">VLOOKUP(J398,ConstDLCIds!$A$4:$B$1000,2,FALSE)</f>
        <v>DLC_ORSINIUM</v>
      </c>
      <c r="L398" s="3" t="str">
        <f ca="1">VLOOKUP(J398,ConstDLCIds!$A$4:$C$1000,3,FALSE)</f>
        <v>Orsinium</v>
      </c>
    </row>
    <row r="399" spans="1:12" x14ac:dyDescent="0.25">
      <c r="A399">
        <v>703</v>
      </c>
      <c r="B399">
        <v>394</v>
      </c>
      <c r="C399">
        <v>684</v>
      </c>
      <c r="D399" t="s">
        <v>2522</v>
      </c>
      <c r="E399" t="str">
        <f>IF(NOT(ISERROR(VLOOKUP(D399,'ESO DungeonFinder'!$A$2:$A$999,1,FALSE))),"X","")</f>
        <v/>
      </c>
      <c r="F399" s="70" t="str">
        <f t="shared" si="28"/>
        <v/>
      </c>
      <c r="G399" s="70" t="str">
        <f t="shared" si="29"/>
        <v>Wrothgar</v>
      </c>
      <c r="H399" s="70">
        <f t="shared" si="30"/>
        <v>703</v>
      </c>
      <c r="I399" s="70">
        <f t="shared" si="31"/>
        <v>684</v>
      </c>
      <c r="J399">
        <v>2</v>
      </c>
      <c r="K399" s="3" t="str">
        <f ca="1">VLOOKUP(J399,ConstDLCIds!$A$4:$B$1000,2,FALSE)</f>
        <v>DLC_ORSINIUM</v>
      </c>
      <c r="L399" s="3" t="str">
        <f ca="1">VLOOKUP(J399,ConstDLCIds!$A$4:$C$1000,3,FALSE)</f>
        <v>Orsinium</v>
      </c>
    </row>
    <row r="400" spans="1:12" x14ac:dyDescent="0.25">
      <c r="A400">
        <v>704</v>
      </c>
      <c r="B400">
        <v>395</v>
      </c>
      <c r="C400">
        <v>684</v>
      </c>
      <c r="D400" t="s">
        <v>2523</v>
      </c>
      <c r="E400" t="str">
        <f>IF(NOT(ISERROR(VLOOKUP(D400,'ESO DungeonFinder'!$A$2:$A$999,1,FALSE))),"X","")</f>
        <v/>
      </c>
      <c r="F400" s="70" t="str">
        <f t="shared" si="28"/>
        <v/>
      </c>
      <c r="G400" s="70" t="str">
        <f t="shared" si="29"/>
        <v>Wrothgar</v>
      </c>
      <c r="H400" s="70">
        <f t="shared" si="30"/>
        <v>704</v>
      </c>
      <c r="I400" s="70">
        <f t="shared" si="31"/>
        <v>684</v>
      </c>
      <c r="J400">
        <v>2</v>
      </c>
      <c r="K400" s="3" t="str">
        <f ca="1">VLOOKUP(J400,ConstDLCIds!$A$4:$B$1000,2,FALSE)</f>
        <v>DLC_ORSINIUM</v>
      </c>
      <c r="L400" s="3" t="str">
        <f ca="1">VLOOKUP(J400,ConstDLCIds!$A$4:$C$1000,3,FALSE)</f>
        <v>Orsinium</v>
      </c>
    </row>
    <row r="401" spans="1:12" x14ac:dyDescent="0.25">
      <c r="A401">
        <v>705</v>
      </c>
      <c r="B401">
        <v>396</v>
      </c>
      <c r="C401">
        <v>684</v>
      </c>
      <c r="D401" t="s">
        <v>2187</v>
      </c>
      <c r="E401" t="str">
        <f>IF(NOT(ISERROR(VLOOKUP(D401,'ESO DungeonFinder'!$A$2:$A$999,1,FALSE))),"X","")</f>
        <v/>
      </c>
      <c r="F401" s="70" t="str">
        <f t="shared" si="28"/>
        <v/>
      </c>
      <c r="G401" s="70" t="str">
        <f t="shared" si="29"/>
        <v>Wrothgar</v>
      </c>
      <c r="H401" s="70">
        <f t="shared" si="30"/>
        <v>705</v>
      </c>
      <c r="I401" s="70">
        <f t="shared" si="31"/>
        <v>684</v>
      </c>
      <c r="J401">
        <v>2</v>
      </c>
      <c r="K401" s="3" t="str">
        <f ca="1">VLOOKUP(J401,ConstDLCIds!$A$4:$B$1000,2,FALSE)</f>
        <v>DLC_ORSINIUM</v>
      </c>
      <c r="L401" s="3" t="str">
        <f ca="1">VLOOKUP(J401,ConstDLCIds!$A$4:$C$1000,3,FALSE)</f>
        <v>Orsinium</v>
      </c>
    </row>
    <row r="402" spans="1:12" x14ac:dyDescent="0.25">
      <c r="A402">
        <v>706</v>
      </c>
      <c r="B402">
        <v>397</v>
      </c>
      <c r="C402">
        <v>684</v>
      </c>
      <c r="D402" t="s">
        <v>2188</v>
      </c>
      <c r="E402" t="str">
        <f>IF(NOT(ISERROR(VLOOKUP(D402,'ESO DungeonFinder'!$A$2:$A$999,1,FALSE))),"X","")</f>
        <v/>
      </c>
      <c r="F402" s="70" t="str">
        <f t="shared" si="28"/>
        <v/>
      </c>
      <c r="G402" s="70" t="str">
        <f t="shared" si="29"/>
        <v>Wrothgar</v>
      </c>
      <c r="H402" s="70">
        <f t="shared" si="30"/>
        <v>706</v>
      </c>
      <c r="I402" s="70">
        <f t="shared" si="31"/>
        <v>684</v>
      </c>
      <c r="J402">
        <v>2</v>
      </c>
      <c r="K402" s="3" t="str">
        <f ca="1">VLOOKUP(J402,ConstDLCIds!$A$4:$B$1000,2,FALSE)</f>
        <v>DLC_ORSINIUM</v>
      </c>
      <c r="L402" s="3" t="str">
        <f ca="1">VLOOKUP(J402,ConstDLCIds!$A$4:$C$1000,3,FALSE)</f>
        <v>Orsinium</v>
      </c>
    </row>
    <row r="403" spans="1:12" x14ac:dyDescent="0.25">
      <c r="A403">
        <v>707</v>
      </c>
      <c r="B403">
        <v>398</v>
      </c>
      <c r="C403">
        <v>684</v>
      </c>
      <c r="D403" t="s">
        <v>2524</v>
      </c>
      <c r="E403" t="str">
        <f>IF(NOT(ISERROR(VLOOKUP(D403,'ESO DungeonFinder'!$A$2:$A$999,1,FALSE))),"X","")</f>
        <v/>
      </c>
      <c r="F403" s="70" t="str">
        <f t="shared" si="28"/>
        <v/>
      </c>
      <c r="G403" s="70" t="str">
        <f t="shared" si="29"/>
        <v>Wrothgar</v>
      </c>
      <c r="H403" s="70">
        <f t="shared" si="30"/>
        <v>707</v>
      </c>
      <c r="I403" s="70">
        <f t="shared" si="31"/>
        <v>684</v>
      </c>
      <c r="J403">
        <v>2</v>
      </c>
      <c r="K403" s="3" t="str">
        <f ca="1">VLOOKUP(J403,ConstDLCIds!$A$4:$B$1000,2,FALSE)</f>
        <v>DLC_ORSINIUM</v>
      </c>
      <c r="L403" s="3" t="str">
        <f ca="1">VLOOKUP(J403,ConstDLCIds!$A$4:$C$1000,3,FALSE)</f>
        <v>Orsinium</v>
      </c>
    </row>
    <row r="404" spans="1:12" x14ac:dyDescent="0.25">
      <c r="A404">
        <v>708</v>
      </c>
      <c r="B404">
        <v>399</v>
      </c>
      <c r="C404">
        <v>684</v>
      </c>
      <c r="D404" t="s">
        <v>2525</v>
      </c>
      <c r="E404" t="str">
        <f>IF(NOT(ISERROR(VLOOKUP(D404,'ESO DungeonFinder'!$A$2:$A$999,1,FALSE))),"X","")</f>
        <v/>
      </c>
      <c r="F404" s="70" t="str">
        <f t="shared" si="28"/>
        <v/>
      </c>
      <c r="G404" s="70" t="str">
        <f t="shared" si="29"/>
        <v>Wrothgar</v>
      </c>
      <c r="H404" s="70">
        <f t="shared" si="30"/>
        <v>708</v>
      </c>
      <c r="I404" s="70">
        <f t="shared" si="31"/>
        <v>684</v>
      </c>
      <c r="J404">
        <v>2</v>
      </c>
      <c r="K404" s="3" t="str">
        <f ca="1">VLOOKUP(J404,ConstDLCIds!$A$4:$B$1000,2,FALSE)</f>
        <v>DLC_ORSINIUM</v>
      </c>
      <c r="L404" s="3" t="str">
        <f ca="1">VLOOKUP(J404,ConstDLCIds!$A$4:$C$1000,3,FALSE)</f>
        <v>Orsinium</v>
      </c>
    </row>
    <row r="405" spans="1:12" x14ac:dyDescent="0.25">
      <c r="A405">
        <v>710</v>
      </c>
      <c r="B405">
        <v>400</v>
      </c>
      <c r="C405">
        <v>684</v>
      </c>
      <c r="D405" t="s">
        <v>2526</v>
      </c>
      <c r="E405" t="str">
        <f>IF(NOT(ISERROR(VLOOKUP(D405,'ESO DungeonFinder'!$A$2:$A$999,1,FALSE))),"X","")</f>
        <v/>
      </c>
      <c r="F405" s="70" t="str">
        <f t="shared" si="28"/>
        <v/>
      </c>
      <c r="G405" s="70" t="str">
        <f t="shared" si="29"/>
        <v>Wrothgar</v>
      </c>
      <c r="H405" s="70">
        <f t="shared" si="30"/>
        <v>710</v>
      </c>
      <c r="I405" s="70">
        <f t="shared" si="31"/>
        <v>684</v>
      </c>
      <c r="J405">
        <v>2</v>
      </c>
      <c r="K405" s="3" t="str">
        <f ca="1">VLOOKUP(J405,ConstDLCIds!$A$4:$B$1000,2,FALSE)</f>
        <v>DLC_ORSINIUM</v>
      </c>
      <c r="L405" s="3" t="str">
        <f ca="1">VLOOKUP(J405,ConstDLCIds!$A$4:$C$1000,3,FALSE)</f>
        <v>Orsinium</v>
      </c>
    </row>
    <row r="406" spans="1:12" x14ac:dyDescent="0.25">
      <c r="A406">
        <v>711</v>
      </c>
      <c r="B406">
        <v>401</v>
      </c>
      <c r="C406">
        <v>684</v>
      </c>
      <c r="D406" t="s">
        <v>2527</v>
      </c>
      <c r="E406" t="str">
        <f>IF(NOT(ISERROR(VLOOKUP(D406,'ESO DungeonFinder'!$A$2:$A$999,1,FALSE))),"X","")</f>
        <v/>
      </c>
      <c r="F406" s="70" t="str">
        <f t="shared" si="28"/>
        <v/>
      </c>
      <c r="G406" s="70" t="str">
        <f t="shared" si="29"/>
        <v>Wrothgar</v>
      </c>
      <c r="H406" s="70">
        <f t="shared" si="30"/>
        <v>711</v>
      </c>
      <c r="I406" s="70">
        <f t="shared" si="31"/>
        <v>684</v>
      </c>
      <c r="J406">
        <v>2</v>
      </c>
      <c r="K406" s="3" t="str">
        <f ca="1">VLOOKUP(J406,ConstDLCIds!$A$4:$B$1000,2,FALSE)</f>
        <v>DLC_ORSINIUM</v>
      </c>
      <c r="L406" s="3" t="str">
        <f ca="1">VLOOKUP(J406,ConstDLCIds!$A$4:$C$1000,3,FALSE)</f>
        <v>Orsinium</v>
      </c>
    </row>
    <row r="407" spans="1:12" x14ac:dyDescent="0.25">
      <c r="A407">
        <v>712</v>
      </c>
      <c r="B407">
        <v>402</v>
      </c>
      <c r="C407">
        <v>684</v>
      </c>
      <c r="D407" t="s">
        <v>2528</v>
      </c>
      <c r="E407" t="str">
        <f>IF(NOT(ISERROR(VLOOKUP(D407,'ESO DungeonFinder'!$A$2:$A$999,1,FALSE))),"X","")</f>
        <v/>
      </c>
      <c r="F407" s="70" t="str">
        <f t="shared" si="28"/>
        <v/>
      </c>
      <c r="G407" s="70" t="str">
        <f t="shared" si="29"/>
        <v>Wrothgar</v>
      </c>
      <c r="H407" s="70">
        <f t="shared" si="30"/>
        <v>712</v>
      </c>
      <c r="I407" s="70">
        <f t="shared" si="31"/>
        <v>684</v>
      </c>
      <c r="J407">
        <v>2</v>
      </c>
      <c r="K407" s="3" t="str">
        <f ca="1">VLOOKUP(J407,ConstDLCIds!$A$4:$B$1000,2,FALSE)</f>
        <v>DLC_ORSINIUM</v>
      </c>
      <c r="L407" s="3" t="str">
        <f ca="1">VLOOKUP(J407,ConstDLCIds!$A$4:$C$1000,3,FALSE)</f>
        <v>Orsinium</v>
      </c>
    </row>
    <row r="408" spans="1:12" x14ac:dyDescent="0.25">
      <c r="A408">
        <v>715</v>
      </c>
      <c r="B408">
        <v>403</v>
      </c>
      <c r="C408">
        <v>684</v>
      </c>
      <c r="D408" t="s">
        <v>2529</v>
      </c>
      <c r="E408" t="str">
        <f>IF(NOT(ISERROR(VLOOKUP(D408,'ESO DungeonFinder'!$A$2:$A$999,1,FALSE))),"X","")</f>
        <v/>
      </c>
      <c r="F408" s="70" t="str">
        <f t="shared" si="28"/>
        <v/>
      </c>
      <c r="G408" s="70" t="str">
        <f t="shared" si="29"/>
        <v>Wrothgar</v>
      </c>
      <c r="H408" s="70">
        <f t="shared" si="30"/>
        <v>715</v>
      </c>
      <c r="I408" s="70">
        <f t="shared" si="31"/>
        <v>684</v>
      </c>
      <c r="J408">
        <v>2</v>
      </c>
      <c r="K408" s="3" t="str">
        <f ca="1">VLOOKUP(J408,ConstDLCIds!$A$4:$B$1000,2,FALSE)</f>
        <v>DLC_ORSINIUM</v>
      </c>
      <c r="L408" s="3" t="str">
        <f ca="1">VLOOKUP(J408,ConstDLCIds!$A$4:$C$1000,3,FALSE)</f>
        <v>Orsinium</v>
      </c>
    </row>
    <row r="409" spans="1:12" x14ac:dyDescent="0.25">
      <c r="A409">
        <v>719</v>
      </c>
      <c r="B409">
        <v>404</v>
      </c>
      <c r="C409">
        <v>1011</v>
      </c>
      <c r="D409" t="s">
        <v>2530</v>
      </c>
      <c r="E409" t="str">
        <f>IF(NOT(ISERROR(VLOOKUP(D409,'ESO DungeonFinder'!$A$2:$A$999,1,FALSE))),"X","")</f>
        <v/>
      </c>
      <c r="F409" s="70" t="str">
        <f t="shared" si="28"/>
        <v/>
      </c>
      <c r="G409" s="70" t="str">
        <f t="shared" si="29"/>
        <v>Summerset</v>
      </c>
      <c r="H409" s="70">
        <f t="shared" si="30"/>
        <v>719</v>
      </c>
      <c r="I409" s="70">
        <f t="shared" si="31"/>
        <v>1011</v>
      </c>
      <c r="J409">
        <v>10</v>
      </c>
      <c r="K409" s="3" t="str">
        <f ca="1">VLOOKUP(J409,ConstDLCIds!$A$4:$B$1000,2,FALSE)</f>
        <v>DLC_SUMMERSET</v>
      </c>
      <c r="L409" s="3" t="str">
        <f ca="1">VLOOKUP(J409,ConstDLCIds!$A$4:$C$1000,3,FALSE)</f>
        <v>Summerset</v>
      </c>
    </row>
    <row r="410" spans="1:12" x14ac:dyDescent="0.25">
      <c r="A410">
        <v>723</v>
      </c>
      <c r="B410">
        <v>405</v>
      </c>
      <c r="C410">
        <v>0</v>
      </c>
      <c r="D410" t="s">
        <v>2488</v>
      </c>
      <c r="E410" t="str">
        <f>IF(NOT(ISERROR(VLOOKUP(D410,'ESO DungeonFinder'!$A$2:$A$999,1,FALSE))),"X","")</f>
        <v/>
      </c>
      <c r="F410" s="70" t="str">
        <f t="shared" si="28"/>
        <v/>
      </c>
      <c r="G410" s="70" t="str">
        <f t="shared" si="29"/>
        <v>Tamriel Map</v>
      </c>
      <c r="H410" s="70">
        <f t="shared" si="30"/>
        <v>723</v>
      </c>
      <c r="I410" s="70">
        <f t="shared" si="31"/>
        <v>0</v>
      </c>
      <c r="J410">
        <v>0</v>
      </c>
      <c r="K410" s="3" t="str">
        <f>VLOOKUP(J410,ConstDLCIds!$A$4:$B$1000,2,FALSE)</f>
        <v>DLC_BASE_GAME</v>
      </c>
      <c r="L410" s="3" t="str">
        <f>VLOOKUP(J410,ConstDLCIds!$A$4:$C$1000,3,FALSE)</f>
        <v>Included in base game</v>
      </c>
    </row>
    <row r="411" spans="1:12" x14ac:dyDescent="0.25">
      <c r="A411">
        <v>724</v>
      </c>
      <c r="B411">
        <v>406</v>
      </c>
      <c r="C411">
        <v>684</v>
      </c>
      <c r="D411" t="s">
        <v>2531</v>
      </c>
      <c r="E411" t="str">
        <f>IF(NOT(ISERROR(VLOOKUP(D411,'ESO DungeonFinder'!$A$2:$A$999,1,FALSE))),"X","")</f>
        <v/>
      </c>
      <c r="F411" s="70" t="str">
        <f t="shared" si="28"/>
        <v/>
      </c>
      <c r="G411" s="70" t="str">
        <f t="shared" si="29"/>
        <v>Wrothgar</v>
      </c>
      <c r="H411" s="70">
        <f t="shared" si="30"/>
        <v>724</v>
      </c>
      <c r="I411" s="70">
        <f t="shared" si="31"/>
        <v>684</v>
      </c>
      <c r="J411">
        <v>2</v>
      </c>
      <c r="K411" s="3" t="str">
        <f ca="1">VLOOKUP(J411,ConstDLCIds!$A$4:$B$1000,2,FALSE)</f>
        <v>DLC_ORSINIUM</v>
      </c>
      <c r="L411" s="3" t="str">
        <f ca="1">VLOOKUP(J411,ConstDLCIds!$A$4:$C$1000,3,FALSE)</f>
        <v>Orsinium</v>
      </c>
    </row>
    <row r="412" spans="1:12" x14ac:dyDescent="0.25">
      <c r="A412">
        <v>725</v>
      </c>
      <c r="B412">
        <v>407</v>
      </c>
      <c r="C412">
        <v>816</v>
      </c>
      <c r="D412" t="s">
        <v>846</v>
      </c>
      <c r="E412" t="str">
        <f>IF(NOT(ISERROR(VLOOKUP(D412,'ESO DungeonFinder'!$A$2:$A$999,1,FALSE))),"X","")</f>
        <v/>
      </c>
      <c r="F412" s="70" t="str">
        <f t="shared" si="28"/>
        <v/>
      </c>
      <c r="G412" s="70" t="str">
        <f t="shared" si="29"/>
        <v>Hew's Bane</v>
      </c>
      <c r="H412" s="70">
        <f t="shared" si="30"/>
        <v>725</v>
      </c>
      <c r="I412" s="70">
        <f t="shared" si="31"/>
        <v>816</v>
      </c>
      <c r="J412">
        <v>3</v>
      </c>
      <c r="K412" s="3" t="str">
        <f ca="1">VLOOKUP(J412,ConstDLCIds!$A$4:$B$1000,2,FALSE)</f>
        <v>DLC_THIEVES_GUILD</v>
      </c>
      <c r="L412" s="3" t="str">
        <f ca="1">VLOOKUP(J412,ConstDLCIds!$A$4:$C$1000,3,FALSE)</f>
        <v>Thieves Guild</v>
      </c>
    </row>
    <row r="413" spans="1:12" x14ac:dyDescent="0.25">
      <c r="A413">
        <v>726</v>
      </c>
      <c r="B413">
        <v>408</v>
      </c>
      <c r="C413">
        <v>726</v>
      </c>
      <c r="D413" t="s">
        <v>44</v>
      </c>
      <c r="E413" t="str">
        <f>IF(NOT(ISERROR(VLOOKUP(D413,'ESO DungeonFinder'!$A$2:$A$999,1,FALSE))),"X","")</f>
        <v/>
      </c>
      <c r="F413" s="70" t="str">
        <f t="shared" si="28"/>
        <v>X</v>
      </c>
      <c r="G413" s="70" t="str">
        <f t="shared" si="29"/>
        <v/>
      </c>
      <c r="H413" s="70">
        <f t="shared" si="30"/>
        <v>726</v>
      </c>
      <c r="I413" s="70">
        <f t="shared" si="31"/>
        <v>726</v>
      </c>
      <c r="J413">
        <v>14</v>
      </c>
      <c r="K413" s="3" t="str">
        <f ca="1">VLOOKUP(J413,ConstDLCIds!$A$4:$B$1000,2,FALSE)</f>
        <v>DLC_ELSWEYR</v>
      </c>
      <c r="L413" s="3" t="str">
        <f ca="1">VLOOKUP(J413,ConstDLCIds!$A$4:$C$1000,3,FALSE)</f>
        <v>Elsweyr</v>
      </c>
    </row>
    <row r="414" spans="1:12" x14ac:dyDescent="0.25">
      <c r="A414">
        <v>745</v>
      </c>
      <c r="B414">
        <v>409</v>
      </c>
      <c r="C414">
        <v>41</v>
      </c>
      <c r="D414" t="s">
        <v>2532</v>
      </c>
      <c r="E414" t="str">
        <f>IF(NOT(ISERROR(VLOOKUP(D414,'ESO DungeonFinder'!$A$2:$A$999,1,FALSE))),"X","")</f>
        <v/>
      </c>
      <c r="F414" s="70" t="str">
        <f t="shared" si="28"/>
        <v/>
      </c>
      <c r="G414" s="70" t="str">
        <f t="shared" si="29"/>
        <v>Stonefalls</v>
      </c>
      <c r="H414" s="70">
        <f t="shared" si="30"/>
        <v>745</v>
      </c>
      <c r="I414" s="70">
        <f t="shared" si="31"/>
        <v>41</v>
      </c>
      <c r="J414">
        <v>0</v>
      </c>
      <c r="K414" s="3" t="str">
        <f>VLOOKUP(J414,ConstDLCIds!$A$4:$B$1000,2,FALSE)</f>
        <v>DLC_BASE_GAME</v>
      </c>
      <c r="L414" s="3" t="str">
        <f>VLOOKUP(J414,ConstDLCIds!$A$4:$C$1000,3,FALSE)</f>
        <v>Included in base game</v>
      </c>
    </row>
    <row r="415" spans="1:12" x14ac:dyDescent="0.25">
      <c r="A415">
        <v>746</v>
      </c>
      <c r="B415">
        <v>410</v>
      </c>
      <c r="C415">
        <v>381</v>
      </c>
      <c r="D415" t="s">
        <v>2533</v>
      </c>
      <c r="E415" t="str">
        <f>IF(NOT(ISERROR(VLOOKUP(D415,'ESO DungeonFinder'!$A$2:$A$999,1,FALSE))),"X","")</f>
        <v/>
      </c>
      <c r="F415" s="70" t="str">
        <f t="shared" si="28"/>
        <v/>
      </c>
      <c r="G415" s="70" t="str">
        <f t="shared" si="29"/>
        <v>Auridon</v>
      </c>
      <c r="H415" s="70">
        <f t="shared" si="30"/>
        <v>746</v>
      </c>
      <c r="I415" s="70">
        <f t="shared" si="31"/>
        <v>381</v>
      </c>
      <c r="J415">
        <v>0</v>
      </c>
      <c r="K415" s="3" t="str">
        <f>VLOOKUP(J415,ConstDLCIds!$A$4:$B$1000,2,FALSE)</f>
        <v>DLC_BASE_GAME</v>
      </c>
      <c r="L415" s="3" t="str">
        <f>VLOOKUP(J415,ConstDLCIds!$A$4:$C$1000,3,FALSE)</f>
        <v>Included in base game</v>
      </c>
    </row>
    <row r="416" spans="1:12" x14ac:dyDescent="0.25">
      <c r="A416">
        <v>747</v>
      </c>
      <c r="B416">
        <v>411</v>
      </c>
      <c r="C416">
        <v>383</v>
      </c>
      <c r="D416" t="s">
        <v>2534</v>
      </c>
      <c r="E416" t="str">
        <f>IF(NOT(ISERROR(VLOOKUP(D416,'ESO DungeonFinder'!$A$2:$A$999,1,FALSE))),"X","")</f>
        <v/>
      </c>
      <c r="F416" s="70" t="str">
        <f t="shared" si="28"/>
        <v/>
      </c>
      <c r="G416" s="70" t="str">
        <f t="shared" si="29"/>
        <v>Grahtwood</v>
      </c>
      <c r="H416" s="70">
        <f t="shared" si="30"/>
        <v>747</v>
      </c>
      <c r="I416" s="70">
        <f t="shared" si="31"/>
        <v>383</v>
      </c>
      <c r="J416">
        <v>0</v>
      </c>
      <c r="K416" s="3" t="str">
        <f>VLOOKUP(J416,ConstDLCIds!$A$4:$B$1000,2,FALSE)</f>
        <v>DLC_BASE_GAME</v>
      </c>
      <c r="L416" s="3" t="str">
        <f>VLOOKUP(J416,ConstDLCIds!$A$4:$C$1000,3,FALSE)</f>
        <v>Included in base game</v>
      </c>
    </row>
    <row r="417" spans="1:12" x14ac:dyDescent="0.25">
      <c r="A417">
        <v>748</v>
      </c>
      <c r="B417">
        <v>412</v>
      </c>
      <c r="C417">
        <v>108</v>
      </c>
      <c r="D417" t="s">
        <v>2535</v>
      </c>
      <c r="E417" t="str">
        <f>IF(NOT(ISERROR(VLOOKUP(D417,'ESO DungeonFinder'!$A$2:$A$999,1,FALSE))),"X","")</f>
        <v/>
      </c>
      <c r="F417" s="70" t="str">
        <f t="shared" si="28"/>
        <v/>
      </c>
      <c r="G417" s="70" t="str">
        <f t="shared" si="29"/>
        <v>Greenshade</v>
      </c>
      <c r="H417" s="70">
        <f t="shared" si="30"/>
        <v>748</v>
      </c>
      <c r="I417" s="70">
        <f t="shared" si="31"/>
        <v>108</v>
      </c>
      <c r="J417">
        <v>0</v>
      </c>
      <c r="K417" s="3" t="str">
        <f>VLOOKUP(J417,ConstDLCIds!$A$4:$B$1000,2,FALSE)</f>
        <v>DLC_BASE_GAME</v>
      </c>
      <c r="L417" s="3" t="str">
        <f>VLOOKUP(J417,ConstDLCIds!$A$4:$C$1000,3,FALSE)</f>
        <v>Included in base game</v>
      </c>
    </row>
    <row r="418" spans="1:12" x14ac:dyDescent="0.25">
      <c r="A418">
        <v>749</v>
      </c>
      <c r="B418">
        <v>413</v>
      </c>
      <c r="C418">
        <v>58</v>
      </c>
      <c r="D418" t="s">
        <v>2536</v>
      </c>
      <c r="E418" t="str">
        <f>IF(NOT(ISERROR(VLOOKUP(D418,'ESO DungeonFinder'!$A$2:$A$999,1,FALSE))),"X","")</f>
        <v/>
      </c>
      <c r="F418" s="70" t="str">
        <f t="shared" si="28"/>
        <v/>
      </c>
      <c r="G418" s="70" t="str">
        <f t="shared" si="29"/>
        <v>Malabal Tor</v>
      </c>
      <c r="H418" s="70">
        <f t="shared" si="30"/>
        <v>749</v>
      </c>
      <c r="I418" s="70">
        <f t="shared" si="31"/>
        <v>58</v>
      </c>
      <c r="J418">
        <v>0</v>
      </c>
      <c r="K418" s="3" t="str">
        <f>VLOOKUP(J418,ConstDLCIds!$A$4:$B$1000,2,FALSE)</f>
        <v>DLC_BASE_GAME</v>
      </c>
      <c r="L418" s="3" t="str">
        <f>VLOOKUP(J418,ConstDLCIds!$A$4:$C$1000,3,FALSE)</f>
        <v>Included in base game</v>
      </c>
    </row>
    <row r="419" spans="1:12" x14ac:dyDescent="0.25">
      <c r="A419">
        <v>750</v>
      </c>
      <c r="B419">
        <v>414</v>
      </c>
      <c r="C419">
        <v>382</v>
      </c>
      <c r="D419" t="s">
        <v>2537</v>
      </c>
      <c r="E419" t="str">
        <f>IF(NOT(ISERROR(VLOOKUP(D419,'ESO DungeonFinder'!$A$2:$A$999,1,FALSE))),"X","")</f>
        <v/>
      </c>
      <c r="F419" s="70" t="str">
        <f t="shared" si="28"/>
        <v/>
      </c>
      <c r="G419" s="70" t="str">
        <f t="shared" si="29"/>
        <v>Reaper's March</v>
      </c>
      <c r="H419" s="70">
        <f t="shared" si="30"/>
        <v>750</v>
      </c>
      <c r="I419" s="70">
        <f t="shared" si="31"/>
        <v>382</v>
      </c>
      <c r="J419">
        <v>0</v>
      </c>
      <c r="K419" s="3" t="str">
        <f>VLOOKUP(J419,ConstDLCIds!$A$4:$B$1000,2,FALSE)</f>
        <v>DLC_BASE_GAME</v>
      </c>
      <c r="L419" s="3" t="str">
        <f>VLOOKUP(J419,ConstDLCIds!$A$4:$C$1000,3,FALSE)</f>
        <v>Included in base game</v>
      </c>
    </row>
    <row r="420" spans="1:12" x14ac:dyDescent="0.25">
      <c r="A420">
        <v>751</v>
      </c>
      <c r="B420">
        <v>415</v>
      </c>
      <c r="C420">
        <v>888</v>
      </c>
      <c r="D420" t="s">
        <v>2538</v>
      </c>
      <c r="E420" t="str">
        <f>IF(NOT(ISERROR(VLOOKUP(D420,'ESO DungeonFinder'!$A$2:$A$999,1,FALSE))),"X","")</f>
        <v/>
      </c>
      <c r="F420" s="70" t="str">
        <f t="shared" si="28"/>
        <v/>
      </c>
      <c r="G420" s="70" t="str">
        <f t="shared" si="29"/>
        <v>Craglorn</v>
      </c>
      <c r="H420" s="70">
        <f t="shared" si="30"/>
        <v>751</v>
      </c>
      <c r="I420" s="70">
        <f t="shared" si="31"/>
        <v>888</v>
      </c>
      <c r="J420">
        <v>0</v>
      </c>
      <c r="K420" s="3" t="str">
        <f>VLOOKUP(J420,ConstDLCIds!$A$4:$B$1000,2,FALSE)</f>
        <v>DLC_BASE_GAME</v>
      </c>
      <c r="L420" s="3" t="str">
        <f>VLOOKUP(J420,ConstDLCIds!$A$4:$C$1000,3,FALSE)</f>
        <v>Included in base game</v>
      </c>
    </row>
    <row r="421" spans="1:12" x14ac:dyDescent="0.25">
      <c r="A421">
        <v>752</v>
      </c>
      <c r="B421">
        <v>416</v>
      </c>
      <c r="C421">
        <v>19</v>
      </c>
      <c r="D421" t="s">
        <v>2539</v>
      </c>
      <c r="E421" t="str">
        <f>IF(NOT(ISERROR(VLOOKUP(D421,'ESO DungeonFinder'!$A$2:$A$999,1,FALSE))),"X","")</f>
        <v/>
      </c>
      <c r="F421" s="70" t="str">
        <f t="shared" si="28"/>
        <v/>
      </c>
      <c r="G421" s="70" t="str">
        <f t="shared" si="29"/>
        <v>Stormhaven</v>
      </c>
      <c r="H421" s="70">
        <f t="shared" si="30"/>
        <v>752</v>
      </c>
      <c r="I421" s="70">
        <f t="shared" si="31"/>
        <v>19</v>
      </c>
      <c r="J421">
        <v>0</v>
      </c>
      <c r="K421" s="3" t="str">
        <f>VLOOKUP(J421,ConstDLCIds!$A$4:$B$1000,2,FALSE)</f>
        <v>DLC_BASE_GAME</v>
      </c>
      <c r="L421" s="3" t="str">
        <f>VLOOKUP(J421,ConstDLCIds!$A$4:$C$1000,3,FALSE)</f>
        <v>Included in base game</v>
      </c>
    </row>
    <row r="422" spans="1:12" x14ac:dyDescent="0.25">
      <c r="A422">
        <v>753</v>
      </c>
      <c r="B422">
        <v>417</v>
      </c>
      <c r="C422">
        <v>3</v>
      </c>
      <c r="D422" t="s">
        <v>2540</v>
      </c>
      <c r="E422" t="str">
        <f>IF(NOT(ISERROR(VLOOKUP(D422,'ESO DungeonFinder'!$A$2:$A$999,1,FALSE))),"X","")</f>
        <v/>
      </c>
      <c r="F422" s="70" t="str">
        <f t="shared" si="28"/>
        <v/>
      </c>
      <c r="G422" s="70" t="str">
        <f t="shared" si="29"/>
        <v>Glenumbra</v>
      </c>
      <c r="H422" s="70">
        <f t="shared" si="30"/>
        <v>753</v>
      </c>
      <c r="I422" s="70">
        <f t="shared" si="31"/>
        <v>3</v>
      </c>
      <c r="J422">
        <v>0</v>
      </c>
      <c r="K422" s="3" t="str">
        <f>VLOOKUP(J422,ConstDLCIds!$A$4:$B$1000,2,FALSE)</f>
        <v>DLC_BASE_GAME</v>
      </c>
      <c r="L422" s="3" t="str">
        <f>VLOOKUP(J422,ConstDLCIds!$A$4:$C$1000,3,FALSE)</f>
        <v>Included in base game</v>
      </c>
    </row>
    <row r="423" spans="1:12" x14ac:dyDescent="0.25">
      <c r="A423">
        <v>754</v>
      </c>
      <c r="B423">
        <v>418</v>
      </c>
      <c r="C423">
        <v>92</v>
      </c>
      <c r="D423" t="s">
        <v>2541</v>
      </c>
      <c r="E423" t="str">
        <f>IF(NOT(ISERROR(VLOOKUP(D423,'ESO DungeonFinder'!$A$2:$A$999,1,FALSE))),"X","")</f>
        <v/>
      </c>
      <c r="F423" s="70" t="str">
        <f t="shared" si="28"/>
        <v/>
      </c>
      <c r="G423" s="70" t="str">
        <f t="shared" si="29"/>
        <v>Bangkorai</v>
      </c>
      <c r="H423" s="70">
        <f t="shared" si="30"/>
        <v>754</v>
      </c>
      <c r="I423" s="70">
        <f t="shared" si="31"/>
        <v>92</v>
      </c>
      <c r="J423">
        <v>0</v>
      </c>
      <c r="K423" s="3" t="str">
        <f>VLOOKUP(J423,ConstDLCIds!$A$4:$B$1000,2,FALSE)</f>
        <v>DLC_BASE_GAME</v>
      </c>
      <c r="L423" s="3" t="str">
        <f>VLOOKUP(J423,ConstDLCIds!$A$4:$C$1000,3,FALSE)</f>
        <v>Included in base game</v>
      </c>
    </row>
    <row r="424" spans="1:12" x14ac:dyDescent="0.25">
      <c r="A424">
        <v>755</v>
      </c>
      <c r="B424">
        <v>419</v>
      </c>
      <c r="C424">
        <v>20</v>
      </c>
      <c r="D424" t="s">
        <v>2542</v>
      </c>
      <c r="E424" t="str">
        <f>IF(NOT(ISERROR(VLOOKUP(D424,'ESO DungeonFinder'!$A$2:$A$999,1,FALSE))),"X","")</f>
        <v/>
      </c>
      <c r="F424" s="70" t="str">
        <f t="shared" si="28"/>
        <v/>
      </c>
      <c r="G424" s="70" t="str">
        <f t="shared" si="29"/>
        <v>Rivenspire</v>
      </c>
      <c r="H424" s="70">
        <f t="shared" si="30"/>
        <v>755</v>
      </c>
      <c r="I424" s="70">
        <f t="shared" si="31"/>
        <v>20</v>
      </c>
      <c r="J424">
        <v>0</v>
      </c>
      <c r="K424" s="3" t="str">
        <f>VLOOKUP(J424,ConstDLCIds!$A$4:$B$1000,2,FALSE)</f>
        <v>DLC_BASE_GAME</v>
      </c>
      <c r="L424" s="3" t="str">
        <f>VLOOKUP(J424,ConstDLCIds!$A$4:$C$1000,3,FALSE)</f>
        <v>Included in base game</v>
      </c>
    </row>
    <row r="425" spans="1:12" x14ac:dyDescent="0.25">
      <c r="A425">
        <v>756</v>
      </c>
      <c r="B425">
        <v>420</v>
      </c>
      <c r="C425">
        <v>104</v>
      </c>
      <c r="D425" t="s">
        <v>2543</v>
      </c>
      <c r="E425" t="str">
        <f>IF(NOT(ISERROR(VLOOKUP(D425,'ESO DungeonFinder'!$A$2:$A$999,1,FALSE))),"X","")</f>
        <v/>
      </c>
      <c r="F425" s="70" t="str">
        <f t="shared" si="28"/>
        <v/>
      </c>
      <c r="G425" s="70" t="str">
        <f t="shared" si="29"/>
        <v>Alik'r Desert</v>
      </c>
      <c r="H425" s="70">
        <f t="shared" si="30"/>
        <v>756</v>
      </c>
      <c r="I425" s="70">
        <f t="shared" si="31"/>
        <v>104</v>
      </c>
      <c r="J425">
        <v>0</v>
      </c>
      <c r="K425" s="3" t="str">
        <f>VLOOKUP(J425,ConstDLCIds!$A$4:$B$1000,2,FALSE)</f>
        <v>DLC_BASE_GAME</v>
      </c>
      <c r="L425" s="3" t="str">
        <f>VLOOKUP(J425,ConstDLCIds!$A$4:$C$1000,3,FALSE)</f>
        <v>Included in base game</v>
      </c>
    </row>
    <row r="426" spans="1:12" x14ac:dyDescent="0.25">
      <c r="A426">
        <v>757</v>
      </c>
      <c r="B426">
        <v>421</v>
      </c>
      <c r="C426">
        <v>41</v>
      </c>
      <c r="D426" t="s">
        <v>2544</v>
      </c>
      <c r="E426" t="str">
        <f>IF(NOT(ISERROR(VLOOKUP(D426,'ESO DungeonFinder'!$A$2:$A$999,1,FALSE))),"X","")</f>
        <v/>
      </c>
      <c r="F426" s="70" t="str">
        <f t="shared" si="28"/>
        <v/>
      </c>
      <c r="G426" s="70" t="str">
        <f t="shared" si="29"/>
        <v>Stonefalls</v>
      </c>
      <c r="H426" s="70">
        <f t="shared" si="30"/>
        <v>757</v>
      </c>
      <c r="I426" s="70">
        <f t="shared" si="31"/>
        <v>41</v>
      </c>
      <c r="J426">
        <v>0</v>
      </c>
      <c r="K426" s="3" t="str">
        <f>VLOOKUP(J426,ConstDLCIds!$A$4:$B$1000,2,FALSE)</f>
        <v>DLC_BASE_GAME</v>
      </c>
      <c r="L426" s="3" t="str">
        <f>VLOOKUP(J426,ConstDLCIds!$A$4:$C$1000,3,FALSE)</f>
        <v>Included in base game</v>
      </c>
    </row>
    <row r="427" spans="1:12" x14ac:dyDescent="0.25">
      <c r="A427">
        <v>758</v>
      </c>
      <c r="B427">
        <v>422</v>
      </c>
      <c r="C427">
        <v>101</v>
      </c>
      <c r="D427" t="s">
        <v>2545</v>
      </c>
      <c r="E427" t="str">
        <f>IF(NOT(ISERROR(VLOOKUP(D427,'ESO DungeonFinder'!$A$2:$A$999,1,FALSE))),"X","")</f>
        <v/>
      </c>
      <c r="F427" s="70" t="str">
        <f t="shared" si="28"/>
        <v/>
      </c>
      <c r="G427" s="70" t="str">
        <f t="shared" si="29"/>
        <v>Eastmarch</v>
      </c>
      <c r="H427" s="70">
        <f t="shared" si="30"/>
        <v>758</v>
      </c>
      <c r="I427" s="70">
        <f t="shared" si="31"/>
        <v>101</v>
      </c>
      <c r="J427">
        <v>0</v>
      </c>
      <c r="K427" s="3" t="str">
        <f>VLOOKUP(J427,ConstDLCIds!$A$4:$B$1000,2,FALSE)</f>
        <v>DLC_BASE_GAME</v>
      </c>
      <c r="L427" s="3" t="str">
        <f>VLOOKUP(J427,ConstDLCIds!$A$4:$C$1000,3,FALSE)</f>
        <v>Included in base game</v>
      </c>
    </row>
    <row r="428" spans="1:12" x14ac:dyDescent="0.25">
      <c r="A428">
        <v>759</v>
      </c>
      <c r="B428">
        <v>423</v>
      </c>
      <c r="C428">
        <v>117</v>
      </c>
      <c r="D428" t="s">
        <v>2546</v>
      </c>
      <c r="E428" t="str">
        <f>IF(NOT(ISERROR(VLOOKUP(D428,'ESO DungeonFinder'!$A$2:$A$999,1,FALSE))),"X","")</f>
        <v/>
      </c>
      <c r="F428" s="70" t="str">
        <f t="shared" si="28"/>
        <v/>
      </c>
      <c r="G428" s="70" t="str">
        <f t="shared" si="29"/>
        <v>Shadowfen</v>
      </c>
      <c r="H428" s="70">
        <f t="shared" si="30"/>
        <v>759</v>
      </c>
      <c r="I428" s="70">
        <f t="shared" si="31"/>
        <v>117</v>
      </c>
      <c r="J428">
        <v>0</v>
      </c>
      <c r="K428" s="3" t="str">
        <f>VLOOKUP(J428,ConstDLCIds!$A$4:$B$1000,2,FALSE)</f>
        <v>DLC_BASE_GAME</v>
      </c>
      <c r="L428" s="3" t="str">
        <f>VLOOKUP(J428,ConstDLCIds!$A$4:$C$1000,3,FALSE)</f>
        <v>Included in base game</v>
      </c>
    </row>
    <row r="429" spans="1:12" x14ac:dyDescent="0.25">
      <c r="A429">
        <v>760</v>
      </c>
      <c r="B429">
        <v>424</v>
      </c>
      <c r="C429">
        <v>57</v>
      </c>
      <c r="D429" t="s">
        <v>2547</v>
      </c>
      <c r="E429" t="str">
        <f>IF(NOT(ISERROR(VLOOKUP(D429,'ESO DungeonFinder'!$A$2:$A$999,1,FALSE))),"X","")</f>
        <v/>
      </c>
      <c r="F429" s="70" t="str">
        <f t="shared" si="28"/>
        <v/>
      </c>
      <c r="G429" s="70" t="str">
        <f t="shared" si="29"/>
        <v>Deshaan</v>
      </c>
      <c r="H429" s="70">
        <f t="shared" si="30"/>
        <v>760</v>
      </c>
      <c r="I429" s="70">
        <f t="shared" si="31"/>
        <v>57</v>
      </c>
      <c r="J429">
        <v>0</v>
      </c>
      <c r="K429" s="3" t="str">
        <f>VLOOKUP(J429,ConstDLCIds!$A$4:$B$1000,2,FALSE)</f>
        <v>DLC_BASE_GAME</v>
      </c>
      <c r="L429" s="3" t="str">
        <f>VLOOKUP(J429,ConstDLCIds!$A$4:$C$1000,3,FALSE)</f>
        <v>Included in base game</v>
      </c>
    </row>
    <row r="430" spans="1:12" x14ac:dyDescent="0.25">
      <c r="A430">
        <v>761</v>
      </c>
      <c r="B430">
        <v>425</v>
      </c>
      <c r="C430">
        <v>103</v>
      </c>
      <c r="D430" t="s">
        <v>2548</v>
      </c>
      <c r="E430" t="str">
        <f>IF(NOT(ISERROR(VLOOKUP(D430,'ESO DungeonFinder'!$A$2:$A$999,1,FALSE))),"X","")</f>
        <v/>
      </c>
      <c r="F430" s="70" t="str">
        <f t="shared" si="28"/>
        <v/>
      </c>
      <c r="G430" s="70" t="str">
        <f t="shared" si="29"/>
        <v>The Rift</v>
      </c>
      <c r="H430" s="70">
        <f t="shared" si="30"/>
        <v>761</v>
      </c>
      <c r="I430" s="70">
        <f t="shared" si="31"/>
        <v>103</v>
      </c>
      <c r="J430">
        <v>0</v>
      </c>
      <c r="K430" s="3" t="str">
        <f>VLOOKUP(J430,ConstDLCIds!$A$4:$B$1000,2,FALSE)</f>
        <v>DLC_BASE_GAME</v>
      </c>
      <c r="L430" s="3" t="str">
        <f>VLOOKUP(J430,ConstDLCIds!$A$4:$C$1000,3,FALSE)</f>
        <v>Included in base game</v>
      </c>
    </row>
    <row r="431" spans="1:12" x14ac:dyDescent="0.25">
      <c r="A431">
        <v>763</v>
      </c>
      <c r="B431">
        <v>426</v>
      </c>
      <c r="C431">
        <v>816</v>
      </c>
      <c r="D431" t="s">
        <v>2549</v>
      </c>
      <c r="E431" t="str">
        <f>IF(NOT(ISERROR(VLOOKUP(D431,'ESO DungeonFinder'!$A$2:$A$999,1,FALSE))),"X","")</f>
        <v/>
      </c>
      <c r="F431" s="70" t="str">
        <f t="shared" si="28"/>
        <v/>
      </c>
      <c r="G431" s="70" t="str">
        <f t="shared" si="29"/>
        <v>Hew's Bane</v>
      </c>
      <c r="H431" s="70">
        <f t="shared" si="30"/>
        <v>763</v>
      </c>
      <c r="I431" s="70">
        <f t="shared" si="31"/>
        <v>816</v>
      </c>
      <c r="J431">
        <v>3</v>
      </c>
      <c r="K431" s="3" t="str">
        <f ca="1">VLOOKUP(J431,ConstDLCIds!$A$4:$B$1000,2,FALSE)</f>
        <v>DLC_THIEVES_GUILD</v>
      </c>
      <c r="L431" s="3" t="str">
        <f ca="1">VLOOKUP(J431,ConstDLCIds!$A$4:$C$1000,3,FALSE)</f>
        <v>Thieves Guild</v>
      </c>
    </row>
    <row r="432" spans="1:12" x14ac:dyDescent="0.25">
      <c r="A432">
        <v>764</v>
      </c>
      <c r="B432">
        <v>427</v>
      </c>
      <c r="C432">
        <v>816</v>
      </c>
      <c r="D432" t="s">
        <v>2550</v>
      </c>
      <c r="E432" t="str">
        <f>IF(NOT(ISERROR(VLOOKUP(D432,'ESO DungeonFinder'!$A$2:$A$999,1,FALSE))),"X","")</f>
        <v/>
      </c>
      <c r="F432" s="70" t="str">
        <f t="shared" si="28"/>
        <v/>
      </c>
      <c r="G432" s="70" t="str">
        <f t="shared" si="29"/>
        <v>Hew's Bane</v>
      </c>
      <c r="H432" s="70">
        <f t="shared" si="30"/>
        <v>764</v>
      </c>
      <c r="I432" s="70">
        <f t="shared" si="31"/>
        <v>816</v>
      </c>
      <c r="J432">
        <v>3</v>
      </c>
      <c r="K432" s="3" t="str">
        <f ca="1">VLOOKUP(J432,ConstDLCIds!$A$4:$B$1000,2,FALSE)</f>
        <v>DLC_THIEVES_GUILD</v>
      </c>
      <c r="L432" s="3" t="str">
        <f ca="1">VLOOKUP(J432,ConstDLCIds!$A$4:$C$1000,3,FALSE)</f>
        <v>Thieves Guild</v>
      </c>
    </row>
    <row r="433" spans="1:12" x14ac:dyDescent="0.25">
      <c r="A433">
        <v>765</v>
      </c>
      <c r="B433">
        <v>428</v>
      </c>
      <c r="C433">
        <v>823</v>
      </c>
      <c r="D433" t="s">
        <v>2551</v>
      </c>
      <c r="E433" t="str">
        <f>IF(NOT(ISERROR(VLOOKUP(D433,'ESO DungeonFinder'!$A$2:$A$999,1,FALSE))),"X","")</f>
        <v/>
      </c>
      <c r="F433" s="70" t="str">
        <f t="shared" si="28"/>
        <v/>
      </c>
      <c r="G433" s="70" t="str">
        <f t="shared" si="29"/>
        <v>Gold Coast</v>
      </c>
      <c r="H433" s="70">
        <f t="shared" si="30"/>
        <v>765</v>
      </c>
      <c r="I433" s="70">
        <f t="shared" si="31"/>
        <v>823</v>
      </c>
      <c r="J433">
        <v>4</v>
      </c>
      <c r="K433" s="3" t="str">
        <f ca="1">VLOOKUP(J433,ConstDLCIds!$A$4:$B$1000,2,FALSE)</f>
        <v>DLC_DARK_BROTHERHOOD</v>
      </c>
      <c r="L433" s="3" t="str">
        <f ca="1">VLOOKUP(J433,ConstDLCIds!$A$4:$C$1000,3,FALSE)</f>
        <v>Dark Brotherhood</v>
      </c>
    </row>
    <row r="434" spans="1:12" x14ac:dyDescent="0.25">
      <c r="A434">
        <v>766</v>
      </c>
      <c r="B434">
        <v>429</v>
      </c>
      <c r="C434">
        <v>823</v>
      </c>
      <c r="D434" t="s">
        <v>2552</v>
      </c>
      <c r="E434" t="str">
        <f>IF(NOT(ISERROR(VLOOKUP(D434,'ESO DungeonFinder'!$A$2:$A$999,1,FALSE))),"X","")</f>
        <v/>
      </c>
      <c r="F434" s="70" t="str">
        <f t="shared" si="28"/>
        <v/>
      </c>
      <c r="G434" s="70" t="str">
        <f t="shared" si="29"/>
        <v>Gold Coast</v>
      </c>
      <c r="H434" s="70">
        <f t="shared" si="30"/>
        <v>766</v>
      </c>
      <c r="I434" s="70">
        <f t="shared" si="31"/>
        <v>823</v>
      </c>
      <c r="J434">
        <v>4</v>
      </c>
      <c r="K434" s="3" t="str">
        <f ca="1">VLOOKUP(J434,ConstDLCIds!$A$4:$B$1000,2,FALSE)</f>
        <v>DLC_DARK_BROTHERHOOD</v>
      </c>
      <c r="L434" s="3" t="str">
        <f ca="1">VLOOKUP(J434,ConstDLCIds!$A$4:$C$1000,3,FALSE)</f>
        <v>Dark Brotherhood</v>
      </c>
    </row>
    <row r="435" spans="1:12" x14ac:dyDescent="0.25">
      <c r="A435">
        <v>767</v>
      </c>
      <c r="B435">
        <v>430</v>
      </c>
      <c r="C435">
        <v>816</v>
      </c>
      <c r="D435" t="s">
        <v>2553</v>
      </c>
      <c r="E435" t="str">
        <f>IF(NOT(ISERROR(VLOOKUP(D435,'ESO DungeonFinder'!$A$2:$A$999,1,FALSE))),"X","")</f>
        <v/>
      </c>
      <c r="F435" s="70" t="str">
        <f t="shared" si="28"/>
        <v/>
      </c>
      <c r="G435" s="70" t="str">
        <f t="shared" si="29"/>
        <v>Hew's Bane</v>
      </c>
      <c r="H435" s="70">
        <f t="shared" si="30"/>
        <v>767</v>
      </c>
      <c r="I435" s="70">
        <f t="shared" si="31"/>
        <v>816</v>
      </c>
      <c r="J435">
        <v>3</v>
      </c>
      <c r="K435" s="3" t="str">
        <f ca="1">VLOOKUP(J435,ConstDLCIds!$A$4:$B$1000,2,FALSE)</f>
        <v>DLC_THIEVES_GUILD</v>
      </c>
      <c r="L435" s="3" t="str">
        <f ca="1">VLOOKUP(J435,ConstDLCIds!$A$4:$C$1000,3,FALSE)</f>
        <v>Thieves Guild</v>
      </c>
    </row>
    <row r="436" spans="1:12" x14ac:dyDescent="0.25">
      <c r="A436">
        <v>769</v>
      </c>
      <c r="B436">
        <v>431</v>
      </c>
      <c r="C436">
        <v>823</v>
      </c>
      <c r="D436" t="s">
        <v>2554</v>
      </c>
      <c r="E436" t="str">
        <f>IF(NOT(ISERROR(VLOOKUP(D436,'ESO DungeonFinder'!$A$2:$A$999,1,FALSE))),"X","")</f>
        <v/>
      </c>
      <c r="F436" s="70" t="str">
        <f t="shared" si="28"/>
        <v/>
      </c>
      <c r="G436" s="70" t="str">
        <f t="shared" si="29"/>
        <v>Gold Coast</v>
      </c>
      <c r="H436" s="70">
        <f t="shared" si="30"/>
        <v>769</v>
      </c>
      <c r="I436" s="70">
        <f t="shared" si="31"/>
        <v>823</v>
      </c>
      <c r="J436">
        <v>4</v>
      </c>
      <c r="K436" s="3" t="str">
        <f ca="1">VLOOKUP(J436,ConstDLCIds!$A$4:$B$1000,2,FALSE)</f>
        <v>DLC_DARK_BROTHERHOOD</v>
      </c>
      <c r="L436" s="3" t="str">
        <f ca="1">VLOOKUP(J436,ConstDLCIds!$A$4:$C$1000,3,FALSE)</f>
        <v>Dark Brotherhood</v>
      </c>
    </row>
    <row r="437" spans="1:12" x14ac:dyDescent="0.25">
      <c r="A437">
        <v>770</v>
      </c>
      <c r="B437">
        <v>432</v>
      </c>
      <c r="C437">
        <v>816</v>
      </c>
      <c r="D437" t="s">
        <v>2555</v>
      </c>
      <c r="E437" t="str">
        <f>IF(NOT(ISERROR(VLOOKUP(D437,'ESO DungeonFinder'!$A$2:$A$999,1,FALSE))),"X","")</f>
        <v/>
      </c>
      <c r="F437" s="70" t="str">
        <f t="shared" si="28"/>
        <v/>
      </c>
      <c r="G437" s="70" t="str">
        <f t="shared" si="29"/>
        <v>Hew's Bane</v>
      </c>
      <c r="H437" s="70">
        <f t="shared" si="30"/>
        <v>770</v>
      </c>
      <c r="I437" s="70">
        <f t="shared" si="31"/>
        <v>816</v>
      </c>
      <c r="J437">
        <v>3</v>
      </c>
      <c r="K437" s="3" t="str">
        <f ca="1">VLOOKUP(J437,ConstDLCIds!$A$4:$B$1000,2,FALSE)</f>
        <v>DLC_THIEVES_GUILD</v>
      </c>
      <c r="L437" s="3" t="str">
        <f ca="1">VLOOKUP(J437,ConstDLCIds!$A$4:$C$1000,3,FALSE)</f>
        <v>Thieves Guild</v>
      </c>
    </row>
    <row r="438" spans="1:12" x14ac:dyDescent="0.25">
      <c r="A438">
        <v>771</v>
      </c>
      <c r="B438">
        <v>433</v>
      </c>
      <c r="C438">
        <v>816</v>
      </c>
      <c r="D438" t="s">
        <v>2556</v>
      </c>
      <c r="E438" t="str">
        <f>IF(NOT(ISERROR(VLOOKUP(D438,'ESO DungeonFinder'!$A$2:$A$999,1,FALSE))),"X","")</f>
        <v/>
      </c>
      <c r="F438" s="70" t="str">
        <f t="shared" si="28"/>
        <v/>
      </c>
      <c r="G438" s="70" t="str">
        <f t="shared" si="29"/>
        <v>Hew's Bane</v>
      </c>
      <c r="H438" s="70">
        <f t="shared" si="30"/>
        <v>771</v>
      </c>
      <c r="I438" s="70">
        <f t="shared" si="31"/>
        <v>816</v>
      </c>
      <c r="J438">
        <v>3</v>
      </c>
      <c r="K438" s="3" t="str">
        <f ca="1">VLOOKUP(J438,ConstDLCIds!$A$4:$B$1000,2,FALSE)</f>
        <v>DLC_THIEVES_GUILD</v>
      </c>
      <c r="L438" s="3" t="str">
        <f ca="1">VLOOKUP(J438,ConstDLCIds!$A$4:$C$1000,3,FALSE)</f>
        <v>Thieves Guild</v>
      </c>
    </row>
    <row r="439" spans="1:12" x14ac:dyDescent="0.25">
      <c r="A439">
        <v>773</v>
      </c>
      <c r="B439">
        <v>434</v>
      </c>
      <c r="C439">
        <v>117</v>
      </c>
      <c r="D439" t="s">
        <v>2557</v>
      </c>
      <c r="E439" t="str">
        <f>IF(NOT(ISERROR(VLOOKUP(D439,'ESO DungeonFinder'!$A$2:$A$999,1,FALSE))),"X","")</f>
        <v/>
      </c>
      <c r="F439" s="70" t="str">
        <f t="shared" si="28"/>
        <v/>
      </c>
      <c r="G439" s="70" t="str">
        <f t="shared" si="29"/>
        <v>Shadowfen</v>
      </c>
      <c r="H439" s="70">
        <f t="shared" si="30"/>
        <v>773</v>
      </c>
      <c r="I439" s="70">
        <f t="shared" si="31"/>
        <v>117</v>
      </c>
      <c r="J439">
        <v>0</v>
      </c>
      <c r="K439" s="3" t="str">
        <f>VLOOKUP(J439,ConstDLCIds!$A$4:$B$1000,2,FALSE)</f>
        <v>DLC_BASE_GAME</v>
      </c>
      <c r="L439" s="3" t="str">
        <f>VLOOKUP(J439,ConstDLCIds!$A$4:$C$1000,3,FALSE)</f>
        <v>Included in base game</v>
      </c>
    </row>
    <row r="440" spans="1:12" x14ac:dyDescent="0.25">
      <c r="A440">
        <v>774</v>
      </c>
      <c r="B440">
        <v>435</v>
      </c>
      <c r="C440">
        <v>1086</v>
      </c>
      <c r="D440" t="s">
        <v>2558</v>
      </c>
      <c r="E440" t="str">
        <f>IF(NOT(ISERROR(VLOOKUP(D440,'ESO DungeonFinder'!$A$2:$A$999,1,FALSE))),"X","")</f>
        <v/>
      </c>
      <c r="F440" s="70" t="str">
        <f t="shared" si="28"/>
        <v/>
      </c>
      <c r="G440" s="70" t="str">
        <f t="shared" si="29"/>
        <v>Northern Elsweyr</v>
      </c>
      <c r="H440" s="70">
        <f t="shared" si="30"/>
        <v>774</v>
      </c>
      <c r="I440" s="70">
        <f t="shared" si="31"/>
        <v>1086</v>
      </c>
      <c r="J440">
        <v>14</v>
      </c>
      <c r="K440" s="3" t="str">
        <f ca="1">VLOOKUP(J440,ConstDLCIds!$A$4:$B$1000,2,FALSE)</f>
        <v>DLC_ELSWEYR</v>
      </c>
      <c r="L440" s="3" t="str">
        <f ca="1">VLOOKUP(J440,ConstDLCIds!$A$4:$C$1000,3,FALSE)</f>
        <v>Elsweyr</v>
      </c>
    </row>
    <row r="441" spans="1:12" x14ac:dyDescent="0.25">
      <c r="A441">
        <v>780</v>
      </c>
      <c r="B441">
        <v>436</v>
      </c>
      <c r="C441">
        <v>684</v>
      </c>
      <c r="D441" t="s">
        <v>2559</v>
      </c>
      <c r="E441" t="str">
        <f>IF(NOT(ISERROR(VLOOKUP(D441,'ESO DungeonFinder'!$A$2:$A$999,1,FALSE))),"X","")</f>
        <v/>
      </c>
      <c r="F441" s="70" t="str">
        <f t="shared" si="28"/>
        <v/>
      </c>
      <c r="G441" s="70" t="str">
        <f t="shared" si="29"/>
        <v>Wrothgar</v>
      </c>
      <c r="H441" s="70">
        <f t="shared" si="30"/>
        <v>780</v>
      </c>
      <c r="I441" s="70">
        <f t="shared" si="31"/>
        <v>684</v>
      </c>
      <c r="J441">
        <v>2</v>
      </c>
      <c r="K441" s="3" t="str">
        <f ca="1">VLOOKUP(J441,ConstDLCIds!$A$4:$B$1000,2,FALSE)</f>
        <v>DLC_ORSINIUM</v>
      </c>
      <c r="L441" s="3" t="str">
        <f ca="1">VLOOKUP(J441,ConstDLCIds!$A$4:$C$1000,3,FALSE)</f>
        <v>Orsinium</v>
      </c>
    </row>
    <row r="442" spans="1:12" x14ac:dyDescent="0.25">
      <c r="A442">
        <v>808</v>
      </c>
      <c r="B442">
        <v>437</v>
      </c>
      <c r="C442">
        <v>1160</v>
      </c>
      <c r="D442" t="s">
        <v>2560</v>
      </c>
      <c r="E442" t="str">
        <f>IF(NOT(ISERROR(VLOOKUP(D442,'ESO DungeonFinder'!$A$2:$A$999,1,FALSE))),"X","")</f>
        <v/>
      </c>
      <c r="F442" s="70" t="str">
        <f t="shared" si="28"/>
        <v/>
      </c>
      <c r="G442" s="70" t="str">
        <f t="shared" si="29"/>
        <v>Western Skyrim</v>
      </c>
      <c r="H442" s="70">
        <f t="shared" si="30"/>
        <v>808</v>
      </c>
      <c r="I442" s="70">
        <f t="shared" si="31"/>
        <v>1160</v>
      </c>
      <c r="J442">
        <v>18</v>
      </c>
      <c r="K442" s="3" t="str">
        <f ca="1">VLOOKUP(J442,ConstDLCIds!$A$4:$B$1000,2,FALSE)</f>
        <v>DLC_GREYMOOR</v>
      </c>
      <c r="L442" s="3" t="str">
        <f ca="1">VLOOKUP(J442,ConstDLCIds!$A$4:$C$1000,3,FALSE)</f>
        <v>Greymoor</v>
      </c>
    </row>
    <row r="443" spans="1:12" x14ac:dyDescent="0.25">
      <c r="A443">
        <v>809</v>
      </c>
      <c r="B443">
        <v>438</v>
      </c>
      <c r="C443">
        <v>0</v>
      </c>
      <c r="D443" t="s">
        <v>2491</v>
      </c>
      <c r="E443" t="str">
        <f>IF(NOT(ISERROR(VLOOKUP(D443,'ESO DungeonFinder'!$A$2:$A$999,1,FALSE))),"X","")</f>
        <v/>
      </c>
      <c r="F443" s="70" t="str">
        <f t="shared" si="28"/>
        <v/>
      </c>
      <c r="G443" s="70" t="str">
        <f t="shared" si="29"/>
        <v>Tamriel Map</v>
      </c>
      <c r="H443" s="70">
        <f t="shared" si="30"/>
        <v>809</v>
      </c>
      <c r="I443" s="70">
        <f t="shared" si="31"/>
        <v>0</v>
      </c>
      <c r="J443">
        <v>0</v>
      </c>
      <c r="K443" s="3" t="str">
        <f>VLOOKUP(J443,ConstDLCIds!$A$4:$B$1000,2,FALSE)</f>
        <v>DLC_BASE_GAME</v>
      </c>
      <c r="L443" s="3" t="str">
        <f>VLOOKUP(J443,ConstDLCIds!$A$4:$C$1000,3,FALSE)</f>
        <v>Included in base game</v>
      </c>
    </row>
    <row r="444" spans="1:12" x14ac:dyDescent="0.25">
      <c r="A444">
        <v>810</v>
      </c>
      <c r="B444">
        <v>439</v>
      </c>
      <c r="C444">
        <v>381</v>
      </c>
      <c r="D444" t="s">
        <v>2561</v>
      </c>
      <c r="E444" t="str">
        <f>IF(NOT(ISERROR(VLOOKUP(D444,'ESO DungeonFinder'!$A$2:$A$999,1,FALSE))),"X","")</f>
        <v/>
      </c>
      <c r="F444" s="70" t="str">
        <f t="shared" si="28"/>
        <v/>
      </c>
      <c r="G444" s="70" t="str">
        <f t="shared" si="29"/>
        <v>Auridon</v>
      </c>
      <c r="H444" s="70">
        <f t="shared" si="30"/>
        <v>810</v>
      </c>
      <c r="I444" s="70">
        <f t="shared" si="31"/>
        <v>381</v>
      </c>
      <c r="J444">
        <v>0</v>
      </c>
      <c r="K444" s="3" t="str">
        <f>VLOOKUP(J444,ConstDLCIds!$A$4:$B$1000,2,FALSE)</f>
        <v>DLC_BASE_GAME</v>
      </c>
      <c r="L444" s="3" t="str">
        <f>VLOOKUP(J444,ConstDLCIds!$A$4:$C$1000,3,FALSE)</f>
        <v>Included in base game</v>
      </c>
    </row>
    <row r="445" spans="1:12" x14ac:dyDescent="0.25">
      <c r="A445">
        <v>811</v>
      </c>
      <c r="B445">
        <v>440</v>
      </c>
      <c r="C445">
        <v>535</v>
      </c>
      <c r="D445" t="s">
        <v>2562</v>
      </c>
      <c r="E445" t="str">
        <f>IF(NOT(ISERROR(VLOOKUP(D445,'ESO DungeonFinder'!$A$2:$A$999,1,FALSE))),"X","")</f>
        <v/>
      </c>
      <c r="F445" s="70" t="str">
        <f t="shared" si="28"/>
        <v/>
      </c>
      <c r="G445" s="70" t="str">
        <f t="shared" si="29"/>
        <v>Betnikh</v>
      </c>
      <c r="H445" s="70">
        <f t="shared" si="30"/>
        <v>811</v>
      </c>
      <c r="I445" s="70">
        <f t="shared" si="31"/>
        <v>535</v>
      </c>
      <c r="J445">
        <v>0</v>
      </c>
      <c r="K445" s="3" t="str">
        <f>VLOOKUP(J445,ConstDLCIds!$A$4:$B$1000,2,FALSE)</f>
        <v>DLC_BASE_GAME</v>
      </c>
      <c r="L445" s="3" t="str">
        <f>VLOOKUP(J445,ConstDLCIds!$A$4:$C$1000,3,FALSE)</f>
        <v>Included in base game</v>
      </c>
    </row>
    <row r="446" spans="1:12" x14ac:dyDescent="0.25">
      <c r="A446">
        <v>814</v>
      </c>
      <c r="B446">
        <v>441</v>
      </c>
      <c r="C446">
        <v>684</v>
      </c>
      <c r="D446" t="s">
        <v>2563</v>
      </c>
      <c r="E446" t="str">
        <f>IF(NOT(ISERROR(VLOOKUP(D446,'ESO DungeonFinder'!$A$2:$A$999,1,FALSE))),"X","")</f>
        <v/>
      </c>
      <c r="F446" s="70" t="str">
        <f t="shared" si="28"/>
        <v/>
      </c>
      <c r="G446" s="70" t="str">
        <f t="shared" si="29"/>
        <v>Wrothgar</v>
      </c>
      <c r="H446" s="70">
        <f t="shared" si="30"/>
        <v>814</v>
      </c>
      <c r="I446" s="70">
        <f t="shared" si="31"/>
        <v>684</v>
      </c>
      <c r="J446">
        <v>2</v>
      </c>
      <c r="K446" s="3" t="str">
        <f ca="1">VLOOKUP(J446,ConstDLCIds!$A$4:$B$1000,2,FALSE)</f>
        <v>DLC_ORSINIUM</v>
      </c>
      <c r="L446" s="3" t="str">
        <f ca="1">VLOOKUP(J446,ConstDLCIds!$A$4:$C$1000,3,FALSE)</f>
        <v>Orsinium</v>
      </c>
    </row>
    <row r="447" spans="1:12" x14ac:dyDescent="0.25">
      <c r="A447">
        <v>815</v>
      </c>
      <c r="B447">
        <v>442</v>
      </c>
      <c r="C447">
        <v>684</v>
      </c>
      <c r="D447" t="s">
        <v>2564</v>
      </c>
      <c r="E447" t="str">
        <f>IF(NOT(ISERROR(VLOOKUP(D447,'ESO DungeonFinder'!$A$2:$A$999,1,FALSE))),"X","")</f>
        <v/>
      </c>
      <c r="F447" s="70" t="str">
        <f t="shared" si="28"/>
        <v/>
      </c>
      <c r="G447" s="70" t="str">
        <f t="shared" si="29"/>
        <v>Wrothgar</v>
      </c>
      <c r="H447" s="70">
        <f t="shared" si="30"/>
        <v>815</v>
      </c>
      <c r="I447" s="70">
        <f t="shared" si="31"/>
        <v>684</v>
      </c>
      <c r="J447">
        <v>2</v>
      </c>
      <c r="K447" s="3" t="str">
        <f ca="1">VLOOKUP(J447,ConstDLCIds!$A$4:$B$1000,2,FALSE)</f>
        <v>DLC_ORSINIUM</v>
      </c>
      <c r="L447" s="3" t="str">
        <f ca="1">VLOOKUP(J447,ConstDLCIds!$A$4:$C$1000,3,FALSE)</f>
        <v>Orsinium</v>
      </c>
    </row>
    <row r="448" spans="1:12" x14ac:dyDescent="0.25">
      <c r="A448">
        <v>816</v>
      </c>
      <c r="B448">
        <v>443</v>
      </c>
      <c r="C448">
        <v>816</v>
      </c>
      <c r="D448" t="s">
        <v>841</v>
      </c>
      <c r="E448" t="str">
        <f>IF(NOT(ISERROR(VLOOKUP(D448,'ESO DungeonFinder'!$A$2:$A$999,1,FALSE))),"X","")</f>
        <v/>
      </c>
      <c r="F448" s="70" t="str">
        <f t="shared" si="28"/>
        <v>X</v>
      </c>
      <c r="G448" s="70" t="str">
        <f t="shared" si="29"/>
        <v/>
      </c>
      <c r="H448" s="70">
        <f t="shared" si="30"/>
        <v>816</v>
      </c>
      <c r="I448" s="70">
        <f t="shared" si="31"/>
        <v>816</v>
      </c>
      <c r="J448">
        <v>19</v>
      </c>
      <c r="K448" s="3" t="str">
        <f ca="1">VLOOKUP(J448,ConstDLCIds!$A$4:$B$1000,2,FALSE)</f>
        <v>DLC_STONETHORN</v>
      </c>
      <c r="L448" s="3" t="str">
        <f ca="1">VLOOKUP(J448,ConstDLCIds!$A$4:$C$1000,3,FALSE)</f>
        <v>Stonethorn</v>
      </c>
    </row>
    <row r="449" spans="1:12" x14ac:dyDescent="0.25">
      <c r="A449">
        <v>817</v>
      </c>
      <c r="B449">
        <v>444</v>
      </c>
      <c r="C449">
        <v>816</v>
      </c>
      <c r="D449" t="s">
        <v>2565</v>
      </c>
      <c r="E449" t="str">
        <f>IF(NOT(ISERROR(VLOOKUP(D449,'ESO DungeonFinder'!$A$2:$A$999,1,FALSE))),"X","")</f>
        <v/>
      </c>
      <c r="F449" s="70" t="str">
        <f t="shared" si="28"/>
        <v/>
      </c>
      <c r="G449" s="70" t="str">
        <f t="shared" si="29"/>
        <v>Hew's Bane</v>
      </c>
      <c r="H449" s="70">
        <f t="shared" si="30"/>
        <v>817</v>
      </c>
      <c r="I449" s="70">
        <f t="shared" si="31"/>
        <v>816</v>
      </c>
      <c r="J449">
        <v>3</v>
      </c>
      <c r="K449" s="3" t="str">
        <f ca="1">VLOOKUP(J449,ConstDLCIds!$A$4:$B$1000,2,FALSE)</f>
        <v>DLC_THIEVES_GUILD</v>
      </c>
      <c r="L449" s="3" t="str">
        <f ca="1">VLOOKUP(J449,ConstDLCIds!$A$4:$C$1000,3,FALSE)</f>
        <v>Thieves Guild</v>
      </c>
    </row>
    <row r="450" spans="1:12" x14ac:dyDescent="0.25">
      <c r="A450">
        <v>818</v>
      </c>
      <c r="B450">
        <v>445</v>
      </c>
      <c r="C450">
        <v>816</v>
      </c>
      <c r="D450" t="s">
        <v>2566</v>
      </c>
      <c r="E450" t="str">
        <f>IF(NOT(ISERROR(VLOOKUP(D450,'ESO DungeonFinder'!$A$2:$A$999,1,FALSE))),"X","")</f>
        <v/>
      </c>
      <c r="F450" s="70" t="str">
        <f t="shared" si="28"/>
        <v/>
      </c>
      <c r="G450" s="70" t="str">
        <f t="shared" si="29"/>
        <v>Hew's Bane</v>
      </c>
      <c r="H450" s="70">
        <f t="shared" si="30"/>
        <v>818</v>
      </c>
      <c r="I450" s="70">
        <f t="shared" si="31"/>
        <v>816</v>
      </c>
      <c r="J450">
        <v>3</v>
      </c>
      <c r="K450" s="3" t="str">
        <f ca="1">VLOOKUP(J450,ConstDLCIds!$A$4:$B$1000,2,FALSE)</f>
        <v>DLC_THIEVES_GUILD</v>
      </c>
      <c r="L450" s="3" t="str">
        <f ca="1">VLOOKUP(J450,ConstDLCIds!$A$4:$C$1000,3,FALSE)</f>
        <v>Thieves Guild</v>
      </c>
    </row>
    <row r="451" spans="1:12" x14ac:dyDescent="0.25">
      <c r="A451">
        <v>819</v>
      </c>
      <c r="B451">
        <v>446</v>
      </c>
      <c r="C451">
        <v>816</v>
      </c>
      <c r="D451" t="s">
        <v>2567</v>
      </c>
      <c r="E451" t="str">
        <f>IF(NOT(ISERROR(VLOOKUP(D451,'ESO DungeonFinder'!$A$2:$A$999,1,FALSE))),"X","")</f>
        <v/>
      </c>
      <c r="F451" s="70" t="str">
        <f t="shared" si="28"/>
        <v/>
      </c>
      <c r="G451" s="70" t="str">
        <f t="shared" si="29"/>
        <v>Hew's Bane</v>
      </c>
      <c r="H451" s="70">
        <f t="shared" si="30"/>
        <v>819</v>
      </c>
      <c r="I451" s="70">
        <f t="shared" si="31"/>
        <v>816</v>
      </c>
      <c r="J451">
        <v>3</v>
      </c>
      <c r="K451" s="3" t="str">
        <f ca="1">VLOOKUP(J451,ConstDLCIds!$A$4:$B$1000,2,FALSE)</f>
        <v>DLC_THIEVES_GUILD</v>
      </c>
      <c r="L451" s="3" t="str">
        <f ca="1">VLOOKUP(J451,ConstDLCIds!$A$4:$C$1000,3,FALSE)</f>
        <v>Thieves Guild</v>
      </c>
    </row>
    <row r="452" spans="1:12" x14ac:dyDescent="0.25">
      <c r="A452">
        <v>820</v>
      </c>
      <c r="B452">
        <v>447</v>
      </c>
      <c r="C452">
        <v>816</v>
      </c>
      <c r="D452" t="s">
        <v>2568</v>
      </c>
      <c r="E452" t="str">
        <f>IF(NOT(ISERROR(VLOOKUP(D452,'ESO DungeonFinder'!$A$2:$A$999,1,FALSE))),"X","")</f>
        <v/>
      </c>
      <c r="F452" s="70" t="str">
        <f t="shared" si="28"/>
        <v/>
      </c>
      <c r="G452" s="70" t="str">
        <f t="shared" si="29"/>
        <v>Hew's Bane</v>
      </c>
      <c r="H452" s="70">
        <f t="shared" si="30"/>
        <v>820</v>
      </c>
      <c r="I452" s="70">
        <f t="shared" si="31"/>
        <v>816</v>
      </c>
      <c r="J452">
        <v>3</v>
      </c>
      <c r="K452" s="3" t="str">
        <f ca="1">VLOOKUP(J452,ConstDLCIds!$A$4:$B$1000,2,FALSE)</f>
        <v>DLC_THIEVES_GUILD</v>
      </c>
      <c r="L452" s="3" t="str">
        <f ca="1">VLOOKUP(J452,ConstDLCIds!$A$4:$C$1000,3,FALSE)</f>
        <v>Thieves Guild</v>
      </c>
    </row>
    <row r="453" spans="1:12" x14ac:dyDescent="0.25">
      <c r="A453">
        <v>821</v>
      </c>
      <c r="B453">
        <v>448</v>
      </c>
      <c r="C453">
        <v>816</v>
      </c>
      <c r="D453" t="s">
        <v>2569</v>
      </c>
      <c r="E453" t="str">
        <f>IF(NOT(ISERROR(VLOOKUP(D453,'ESO DungeonFinder'!$A$2:$A$999,1,FALSE))),"X","")</f>
        <v/>
      </c>
      <c r="F453" s="70" t="str">
        <f t="shared" si="28"/>
        <v/>
      </c>
      <c r="G453" s="70" t="str">
        <f t="shared" si="29"/>
        <v>Hew's Bane</v>
      </c>
      <c r="H453" s="70">
        <f t="shared" si="30"/>
        <v>821</v>
      </c>
      <c r="I453" s="70">
        <f t="shared" si="31"/>
        <v>816</v>
      </c>
      <c r="J453">
        <v>3</v>
      </c>
      <c r="K453" s="3" t="str">
        <f ca="1">VLOOKUP(J453,ConstDLCIds!$A$4:$B$1000,2,FALSE)</f>
        <v>DLC_THIEVES_GUILD</v>
      </c>
      <c r="L453" s="3" t="str">
        <f ca="1">VLOOKUP(J453,ConstDLCIds!$A$4:$C$1000,3,FALSE)</f>
        <v>Thieves Guild</v>
      </c>
    </row>
    <row r="454" spans="1:12" x14ac:dyDescent="0.25">
      <c r="A454">
        <v>823</v>
      </c>
      <c r="B454">
        <v>449</v>
      </c>
      <c r="C454">
        <v>823</v>
      </c>
      <c r="D454" t="s">
        <v>873</v>
      </c>
      <c r="E454" t="str">
        <f>IF(NOT(ISERROR(VLOOKUP(D454,'ESO DungeonFinder'!$A$2:$A$999,1,FALSE))),"X","")</f>
        <v/>
      </c>
      <c r="F454" s="70" t="str">
        <f t="shared" si="28"/>
        <v>X</v>
      </c>
      <c r="G454" s="70" t="str">
        <f t="shared" si="29"/>
        <v/>
      </c>
      <c r="H454" s="70">
        <f t="shared" si="30"/>
        <v>823</v>
      </c>
      <c r="I454" s="70">
        <f t="shared" si="31"/>
        <v>823</v>
      </c>
      <c r="J454">
        <v>20</v>
      </c>
      <c r="K454" s="3" t="str">
        <f ca="1">VLOOKUP(J454,ConstDLCIds!$A$4:$B$1000,2,FALSE)</f>
        <v>DLC_MARKARTH</v>
      </c>
      <c r="L454" s="3" t="str">
        <f ca="1">VLOOKUP(J454,ConstDLCIds!$A$4:$C$1000,3,FALSE)</f>
        <v>Markarth</v>
      </c>
    </row>
    <row r="455" spans="1:12" x14ac:dyDescent="0.25">
      <c r="A455">
        <v>824</v>
      </c>
      <c r="B455">
        <v>450</v>
      </c>
      <c r="C455">
        <v>823</v>
      </c>
      <c r="D455" t="s">
        <v>2570</v>
      </c>
      <c r="E455" t="str">
        <f>IF(NOT(ISERROR(VLOOKUP(D455,'ESO DungeonFinder'!$A$2:$A$999,1,FALSE))),"X","")</f>
        <v/>
      </c>
      <c r="F455" s="70" t="str">
        <f t="shared" ref="F455:F518" si="32">IF(EXACT(A455,C455),"X","")</f>
        <v/>
      </c>
      <c r="G455" s="70" t="str">
        <f t="shared" ref="G455:G518" si="33">IF(A455&lt;&gt;C455,VLOOKUP(C455,$A$5:$D$9956,4,FALSE),"")</f>
        <v>Gold Coast</v>
      </c>
      <c r="H455" s="70">
        <f t="shared" ref="H455:H518" si="34">A455</f>
        <v>824</v>
      </c>
      <c r="I455" s="70">
        <f t="shared" ref="I455:I518" si="35">C455</f>
        <v>823</v>
      </c>
      <c r="J455">
        <v>4</v>
      </c>
      <c r="K455" s="3" t="str">
        <f ca="1">VLOOKUP(J455,ConstDLCIds!$A$4:$B$1000,2,FALSE)</f>
        <v>DLC_DARK_BROTHERHOOD</v>
      </c>
      <c r="L455" s="3" t="str">
        <f ca="1">VLOOKUP(J455,ConstDLCIds!$A$4:$C$1000,3,FALSE)</f>
        <v>Dark Brotherhood</v>
      </c>
    </row>
    <row r="456" spans="1:12" x14ac:dyDescent="0.25">
      <c r="A456">
        <v>825</v>
      </c>
      <c r="B456">
        <v>451</v>
      </c>
      <c r="C456">
        <v>823</v>
      </c>
      <c r="D456" t="s">
        <v>2571</v>
      </c>
      <c r="E456" t="str">
        <f>IF(NOT(ISERROR(VLOOKUP(D456,'ESO DungeonFinder'!$A$2:$A$999,1,FALSE))),"X","")</f>
        <v/>
      </c>
      <c r="F456" s="70" t="str">
        <f t="shared" si="32"/>
        <v/>
      </c>
      <c r="G456" s="70" t="str">
        <f t="shared" si="33"/>
        <v>Gold Coast</v>
      </c>
      <c r="H456" s="70">
        <f t="shared" si="34"/>
        <v>825</v>
      </c>
      <c r="I456" s="70">
        <f t="shared" si="35"/>
        <v>823</v>
      </c>
      <c r="J456">
        <v>4</v>
      </c>
      <c r="K456" s="3" t="str">
        <f ca="1">VLOOKUP(J456,ConstDLCIds!$A$4:$B$1000,2,FALSE)</f>
        <v>DLC_DARK_BROTHERHOOD</v>
      </c>
      <c r="L456" s="3" t="str">
        <f ca="1">VLOOKUP(J456,ConstDLCIds!$A$4:$C$1000,3,FALSE)</f>
        <v>Dark Brotherhood</v>
      </c>
    </row>
    <row r="457" spans="1:12" x14ac:dyDescent="0.25">
      <c r="A457">
        <v>826</v>
      </c>
      <c r="B457">
        <v>452</v>
      </c>
      <c r="C457">
        <v>823</v>
      </c>
      <c r="D457" t="s">
        <v>2572</v>
      </c>
      <c r="E457" t="str">
        <f>IF(NOT(ISERROR(VLOOKUP(D457,'ESO DungeonFinder'!$A$2:$A$999,1,FALSE))),"X","")</f>
        <v/>
      </c>
      <c r="F457" s="70" t="str">
        <f t="shared" si="32"/>
        <v/>
      </c>
      <c r="G457" s="70" t="str">
        <f t="shared" si="33"/>
        <v>Gold Coast</v>
      </c>
      <c r="H457" s="70">
        <f t="shared" si="34"/>
        <v>826</v>
      </c>
      <c r="I457" s="70">
        <f t="shared" si="35"/>
        <v>823</v>
      </c>
      <c r="J457">
        <v>4</v>
      </c>
      <c r="K457" s="3" t="str">
        <f ca="1">VLOOKUP(J457,ConstDLCIds!$A$4:$B$1000,2,FALSE)</f>
        <v>DLC_DARK_BROTHERHOOD</v>
      </c>
      <c r="L457" s="3" t="str">
        <f ca="1">VLOOKUP(J457,ConstDLCIds!$A$4:$C$1000,3,FALSE)</f>
        <v>Dark Brotherhood</v>
      </c>
    </row>
    <row r="458" spans="1:12" x14ac:dyDescent="0.25">
      <c r="A458">
        <v>827</v>
      </c>
      <c r="B458">
        <v>453</v>
      </c>
      <c r="C458">
        <v>823</v>
      </c>
      <c r="D458" t="s">
        <v>2573</v>
      </c>
      <c r="E458" t="str">
        <f>IF(NOT(ISERROR(VLOOKUP(D458,'ESO DungeonFinder'!$A$2:$A$999,1,FALSE))),"X","")</f>
        <v/>
      </c>
      <c r="F458" s="70" t="str">
        <f t="shared" si="32"/>
        <v/>
      </c>
      <c r="G458" s="70" t="str">
        <f t="shared" si="33"/>
        <v>Gold Coast</v>
      </c>
      <c r="H458" s="70">
        <f t="shared" si="34"/>
        <v>827</v>
      </c>
      <c r="I458" s="70">
        <f t="shared" si="35"/>
        <v>823</v>
      </c>
      <c r="J458">
        <v>4</v>
      </c>
      <c r="K458" s="3" t="str">
        <f ca="1">VLOOKUP(J458,ConstDLCIds!$A$4:$B$1000,2,FALSE)</f>
        <v>DLC_DARK_BROTHERHOOD</v>
      </c>
      <c r="L458" s="3" t="str">
        <f ca="1">VLOOKUP(J458,ConstDLCIds!$A$4:$C$1000,3,FALSE)</f>
        <v>Dark Brotherhood</v>
      </c>
    </row>
    <row r="459" spans="1:12" x14ac:dyDescent="0.25">
      <c r="A459">
        <v>828</v>
      </c>
      <c r="B459">
        <v>454</v>
      </c>
      <c r="C459">
        <v>823</v>
      </c>
      <c r="D459" t="s">
        <v>2574</v>
      </c>
      <c r="E459" t="str">
        <f>IF(NOT(ISERROR(VLOOKUP(D459,'ESO DungeonFinder'!$A$2:$A$999,1,FALSE))),"X","")</f>
        <v/>
      </c>
      <c r="F459" s="70" t="str">
        <f t="shared" si="32"/>
        <v/>
      </c>
      <c r="G459" s="70" t="str">
        <f t="shared" si="33"/>
        <v>Gold Coast</v>
      </c>
      <c r="H459" s="70">
        <f t="shared" si="34"/>
        <v>828</v>
      </c>
      <c r="I459" s="70">
        <f t="shared" si="35"/>
        <v>823</v>
      </c>
      <c r="J459">
        <v>4</v>
      </c>
      <c r="K459" s="3" t="str">
        <f ca="1">VLOOKUP(J459,ConstDLCIds!$A$4:$B$1000,2,FALSE)</f>
        <v>DLC_DARK_BROTHERHOOD</v>
      </c>
      <c r="L459" s="3" t="str">
        <f ca="1">VLOOKUP(J459,ConstDLCIds!$A$4:$C$1000,3,FALSE)</f>
        <v>Dark Brotherhood</v>
      </c>
    </row>
    <row r="460" spans="1:12" x14ac:dyDescent="0.25">
      <c r="A460">
        <v>829</v>
      </c>
      <c r="B460">
        <v>455</v>
      </c>
      <c r="C460">
        <v>823</v>
      </c>
      <c r="D460" t="s">
        <v>2575</v>
      </c>
      <c r="E460" t="str">
        <f>IF(NOT(ISERROR(VLOOKUP(D460,'ESO DungeonFinder'!$A$2:$A$999,1,FALSE))),"X","")</f>
        <v/>
      </c>
      <c r="F460" s="70" t="str">
        <f t="shared" si="32"/>
        <v/>
      </c>
      <c r="G460" s="70" t="str">
        <f t="shared" si="33"/>
        <v>Gold Coast</v>
      </c>
      <c r="H460" s="70">
        <f t="shared" si="34"/>
        <v>829</v>
      </c>
      <c r="I460" s="70">
        <f t="shared" si="35"/>
        <v>823</v>
      </c>
      <c r="J460">
        <v>4</v>
      </c>
      <c r="K460" s="3" t="str">
        <f ca="1">VLOOKUP(J460,ConstDLCIds!$A$4:$B$1000,2,FALSE)</f>
        <v>DLC_DARK_BROTHERHOOD</v>
      </c>
      <c r="L460" s="3" t="str">
        <f ca="1">VLOOKUP(J460,ConstDLCIds!$A$4:$C$1000,3,FALSE)</f>
        <v>Dark Brotherhood</v>
      </c>
    </row>
    <row r="461" spans="1:12" x14ac:dyDescent="0.25">
      <c r="A461">
        <v>831</v>
      </c>
      <c r="B461">
        <v>456</v>
      </c>
      <c r="C461">
        <v>823</v>
      </c>
      <c r="D461" t="s">
        <v>2576</v>
      </c>
      <c r="E461" t="str">
        <f>IF(NOT(ISERROR(VLOOKUP(D461,'ESO DungeonFinder'!$A$2:$A$999,1,FALSE))),"X","")</f>
        <v/>
      </c>
      <c r="F461" s="70" t="str">
        <f t="shared" si="32"/>
        <v/>
      </c>
      <c r="G461" s="70" t="str">
        <f t="shared" si="33"/>
        <v>Gold Coast</v>
      </c>
      <c r="H461" s="70">
        <f t="shared" si="34"/>
        <v>831</v>
      </c>
      <c r="I461" s="70">
        <f t="shared" si="35"/>
        <v>823</v>
      </c>
      <c r="J461">
        <v>4</v>
      </c>
      <c r="K461" s="3" t="str">
        <f ca="1">VLOOKUP(J461,ConstDLCIds!$A$4:$B$1000,2,FALSE)</f>
        <v>DLC_DARK_BROTHERHOOD</v>
      </c>
      <c r="L461" s="3" t="str">
        <f ca="1">VLOOKUP(J461,ConstDLCIds!$A$4:$C$1000,3,FALSE)</f>
        <v>Dark Brotherhood</v>
      </c>
    </row>
    <row r="462" spans="1:12" x14ac:dyDescent="0.25">
      <c r="A462">
        <v>832</v>
      </c>
      <c r="B462">
        <v>457</v>
      </c>
      <c r="C462">
        <v>823</v>
      </c>
      <c r="D462" t="s">
        <v>2577</v>
      </c>
      <c r="E462" t="str">
        <f>IF(NOT(ISERROR(VLOOKUP(D462,'ESO DungeonFinder'!$A$2:$A$999,1,FALSE))),"X","")</f>
        <v/>
      </c>
      <c r="F462" s="70" t="str">
        <f t="shared" si="32"/>
        <v/>
      </c>
      <c r="G462" s="70" t="str">
        <f t="shared" si="33"/>
        <v>Gold Coast</v>
      </c>
      <c r="H462" s="70">
        <f t="shared" si="34"/>
        <v>832</v>
      </c>
      <c r="I462" s="70">
        <f t="shared" si="35"/>
        <v>823</v>
      </c>
      <c r="J462">
        <v>4</v>
      </c>
      <c r="K462" s="3" t="str">
        <f ca="1">VLOOKUP(J462,ConstDLCIds!$A$4:$B$1000,2,FALSE)</f>
        <v>DLC_DARK_BROTHERHOOD</v>
      </c>
      <c r="L462" s="3" t="str">
        <f ca="1">VLOOKUP(J462,ConstDLCIds!$A$4:$C$1000,3,FALSE)</f>
        <v>Dark Brotherhood</v>
      </c>
    </row>
    <row r="463" spans="1:12" x14ac:dyDescent="0.25">
      <c r="A463">
        <v>833</v>
      </c>
      <c r="B463">
        <v>458</v>
      </c>
      <c r="C463">
        <v>823</v>
      </c>
      <c r="D463" t="s">
        <v>2578</v>
      </c>
      <c r="E463" t="str">
        <f>IF(NOT(ISERROR(VLOOKUP(D463,'ESO DungeonFinder'!$A$2:$A$999,1,FALSE))),"X","")</f>
        <v/>
      </c>
      <c r="F463" s="70" t="str">
        <f t="shared" si="32"/>
        <v/>
      </c>
      <c r="G463" s="70" t="str">
        <f t="shared" si="33"/>
        <v>Gold Coast</v>
      </c>
      <c r="H463" s="70">
        <f t="shared" si="34"/>
        <v>833</v>
      </c>
      <c r="I463" s="70">
        <f t="shared" si="35"/>
        <v>823</v>
      </c>
      <c r="J463">
        <v>4</v>
      </c>
      <c r="K463" s="3" t="str">
        <f ca="1">VLOOKUP(J463,ConstDLCIds!$A$4:$B$1000,2,FALSE)</f>
        <v>DLC_DARK_BROTHERHOOD</v>
      </c>
      <c r="L463" s="3" t="str">
        <f ca="1">VLOOKUP(J463,ConstDLCIds!$A$4:$C$1000,3,FALSE)</f>
        <v>Dark Brotherhood</v>
      </c>
    </row>
    <row r="464" spans="1:12" x14ac:dyDescent="0.25">
      <c r="A464">
        <v>834</v>
      </c>
      <c r="B464">
        <v>459</v>
      </c>
      <c r="C464">
        <v>816</v>
      </c>
      <c r="D464" t="s">
        <v>2579</v>
      </c>
      <c r="E464" t="str">
        <f>IF(NOT(ISERROR(VLOOKUP(D464,'ESO DungeonFinder'!$A$2:$A$999,1,FALSE))),"X","")</f>
        <v/>
      </c>
      <c r="F464" s="70" t="str">
        <f t="shared" si="32"/>
        <v/>
      </c>
      <c r="G464" s="70" t="str">
        <f t="shared" si="33"/>
        <v>Hew's Bane</v>
      </c>
      <c r="H464" s="70">
        <f t="shared" si="34"/>
        <v>834</v>
      </c>
      <c r="I464" s="70">
        <f t="shared" si="35"/>
        <v>816</v>
      </c>
      <c r="J464">
        <v>3</v>
      </c>
      <c r="K464" s="3" t="str">
        <f ca="1">VLOOKUP(J464,ConstDLCIds!$A$4:$B$1000,2,FALSE)</f>
        <v>DLC_THIEVES_GUILD</v>
      </c>
      <c r="L464" s="3" t="str">
        <f ca="1">VLOOKUP(J464,ConstDLCIds!$A$4:$C$1000,3,FALSE)</f>
        <v>Thieves Guild</v>
      </c>
    </row>
    <row r="465" spans="1:12" x14ac:dyDescent="0.25">
      <c r="A465">
        <v>836</v>
      </c>
      <c r="B465">
        <v>460</v>
      </c>
      <c r="C465">
        <v>823</v>
      </c>
      <c r="D465" t="s">
        <v>2580</v>
      </c>
      <c r="E465" t="str">
        <f>IF(NOT(ISERROR(VLOOKUP(D465,'ESO DungeonFinder'!$A$2:$A$999,1,FALSE))),"X","")</f>
        <v/>
      </c>
      <c r="F465" s="70" t="str">
        <f t="shared" si="32"/>
        <v/>
      </c>
      <c r="G465" s="70" t="str">
        <f t="shared" si="33"/>
        <v>Gold Coast</v>
      </c>
      <c r="H465" s="70">
        <f t="shared" si="34"/>
        <v>836</v>
      </c>
      <c r="I465" s="70">
        <f t="shared" si="35"/>
        <v>823</v>
      </c>
      <c r="J465">
        <v>4</v>
      </c>
      <c r="K465" s="3" t="str">
        <f ca="1">VLOOKUP(J465,ConstDLCIds!$A$4:$B$1000,2,FALSE)</f>
        <v>DLC_DARK_BROTHERHOOD</v>
      </c>
      <c r="L465" s="3" t="str">
        <f ca="1">VLOOKUP(J465,ConstDLCIds!$A$4:$C$1000,3,FALSE)</f>
        <v>Dark Brotherhood</v>
      </c>
    </row>
    <row r="466" spans="1:12" x14ac:dyDescent="0.25">
      <c r="A466">
        <v>837</v>
      </c>
      <c r="B466">
        <v>461</v>
      </c>
      <c r="C466">
        <v>823</v>
      </c>
      <c r="D466" t="s">
        <v>2581</v>
      </c>
      <c r="E466" t="str">
        <f>IF(NOT(ISERROR(VLOOKUP(D466,'ESO DungeonFinder'!$A$2:$A$999,1,FALSE))),"X","")</f>
        <v/>
      </c>
      <c r="F466" s="70" t="str">
        <f t="shared" si="32"/>
        <v/>
      </c>
      <c r="G466" s="70" t="str">
        <f t="shared" si="33"/>
        <v>Gold Coast</v>
      </c>
      <c r="H466" s="70">
        <f t="shared" si="34"/>
        <v>837</v>
      </c>
      <c r="I466" s="70">
        <f t="shared" si="35"/>
        <v>823</v>
      </c>
      <c r="J466">
        <v>4</v>
      </c>
      <c r="K466" s="3" t="str">
        <f ca="1">VLOOKUP(J466,ConstDLCIds!$A$4:$B$1000,2,FALSE)</f>
        <v>DLC_DARK_BROTHERHOOD</v>
      </c>
      <c r="L466" s="3" t="str">
        <f ca="1">VLOOKUP(J466,ConstDLCIds!$A$4:$C$1000,3,FALSE)</f>
        <v>Dark Brotherhood</v>
      </c>
    </row>
    <row r="467" spans="1:12" x14ac:dyDescent="0.25">
      <c r="A467">
        <v>841</v>
      </c>
      <c r="B467">
        <v>462</v>
      </c>
      <c r="C467">
        <v>823</v>
      </c>
      <c r="D467" t="s">
        <v>2582</v>
      </c>
      <c r="E467" t="str">
        <f>IF(NOT(ISERROR(VLOOKUP(D467,'ESO DungeonFinder'!$A$2:$A$999,1,FALSE))),"X","")</f>
        <v/>
      </c>
      <c r="F467" s="70" t="str">
        <f t="shared" si="32"/>
        <v/>
      </c>
      <c r="G467" s="70" t="str">
        <f t="shared" si="33"/>
        <v>Gold Coast</v>
      </c>
      <c r="H467" s="70">
        <f t="shared" si="34"/>
        <v>841</v>
      </c>
      <c r="I467" s="70">
        <f t="shared" si="35"/>
        <v>823</v>
      </c>
      <c r="J467">
        <v>4</v>
      </c>
      <c r="K467" s="3" t="str">
        <f ca="1">VLOOKUP(J467,ConstDLCIds!$A$4:$B$1000,2,FALSE)</f>
        <v>DLC_DARK_BROTHERHOOD</v>
      </c>
      <c r="L467" s="3" t="str">
        <f ca="1">VLOOKUP(J467,ConstDLCIds!$A$4:$C$1000,3,FALSE)</f>
        <v>Dark Brotherhood</v>
      </c>
    </row>
    <row r="468" spans="1:12" x14ac:dyDescent="0.25">
      <c r="A468">
        <v>842</v>
      </c>
      <c r="B468">
        <v>463</v>
      </c>
      <c r="C468">
        <v>823</v>
      </c>
      <c r="D468" t="s">
        <v>2583</v>
      </c>
      <c r="E468" t="str">
        <f>IF(NOT(ISERROR(VLOOKUP(D468,'ESO DungeonFinder'!$A$2:$A$999,1,FALSE))),"X","")</f>
        <v/>
      </c>
      <c r="F468" s="70" t="str">
        <f t="shared" si="32"/>
        <v/>
      </c>
      <c r="G468" s="70" t="str">
        <f t="shared" si="33"/>
        <v>Gold Coast</v>
      </c>
      <c r="H468" s="70">
        <f t="shared" si="34"/>
        <v>842</v>
      </c>
      <c r="I468" s="70">
        <f t="shared" si="35"/>
        <v>823</v>
      </c>
      <c r="J468">
        <v>4</v>
      </c>
      <c r="K468" s="3" t="str">
        <f ca="1">VLOOKUP(J468,ConstDLCIds!$A$4:$B$1000,2,FALSE)</f>
        <v>DLC_DARK_BROTHERHOOD</v>
      </c>
      <c r="L468" s="3" t="str">
        <f ca="1">VLOOKUP(J468,ConstDLCIds!$A$4:$C$1000,3,FALSE)</f>
        <v>Dark Brotherhood</v>
      </c>
    </row>
    <row r="469" spans="1:12" x14ac:dyDescent="0.25">
      <c r="A469">
        <v>843</v>
      </c>
      <c r="B469">
        <v>464</v>
      </c>
      <c r="C469">
        <v>117</v>
      </c>
      <c r="D469" t="s">
        <v>890</v>
      </c>
      <c r="E469" t="str">
        <f>IF(NOT(ISERROR(VLOOKUP(D469,'ESO DungeonFinder'!$A$2:$A$999,1,FALSE))),"X","")</f>
        <v>X</v>
      </c>
      <c r="F469" s="70" t="str">
        <f t="shared" si="32"/>
        <v/>
      </c>
      <c r="G469" s="70" t="str">
        <f t="shared" si="33"/>
        <v>Shadowfen</v>
      </c>
      <c r="H469" s="70">
        <f t="shared" si="34"/>
        <v>843</v>
      </c>
      <c r="I469" s="70">
        <f t="shared" si="35"/>
        <v>117</v>
      </c>
      <c r="J469">
        <v>5</v>
      </c>
      <c r="K469" s="3" t="str">
        <f ca="1">VLOOKUP(J469,ConstDLCIds!$A$4:$B$1000,2,FALSE)</f>
        <v>DLC_SHADOWS_OF_THE_HIST</v>
      </c>
      <c r="L469" s="3" t="str">
        <f ca="1">VLOOKUP(J469,ConstDLCIds!$A$4:$C$1000,3,FALSE)</f>
        <v>Shadows of the Hist</v>
      </c>
    </row>
    <row r="470" spans="1:12" x14ac:dyDescent="0.25">
      <c r="A470">
        <v>844</v>
      </c>
      <c r="B470">
        <v>465</v>
      </c>
      <c r="C470">
        <v>816</v>
      </c>
      <c r="D470" t="s">
        <v>2584</v>
      </c>
      <c r="E470" t="str">
        <f>IF(NOT(ISERROR(VLOOKUP(D470,'ESO DungeonFinder'!$A$2:$A$999,1,FALSE))),"X","")</f>
        <v/>
      </c>
      <c r="F470" s="70" t="str">
        <f t="shared" si="32"/>
        <v/>
      </c>
      <c r="G470" s="70" t="str">
        <f t="shared" si="33"/>
        <v>Hew's Bane</v>
      </c>
      <c r="H470" s="70">
        <f t="shared" si="34"/>
        <v>844</v>
      </c>
      <c r="I470" s="70">
        <f t="shared" si="35"/>
        <v>816</v>
      </c>
      <c r="J470">
        <v>3</v>
      </c>
      <c r="K470" s="3" t="str">
        <f ca="1">VLOOKUP(J470,ConstDLCIds!$A$4:$B$1000,2,FALSE)</f>
        <v>DLC_THIEVES_GUILD</v>
      </c>
      <c r="L470" s="3" t="str">
        <f ca="1">VLOOKUP(J470,ConstDLCIds!$A$4:$C$1000,3,FALSE)</f>
        <v>Thieves Guild</v>
      </c>
    </row>
    <row r="471" spans="1:12" x14ac:dyDescent="0.25">
      <c r="A471">
        <v>845</v>
      </c>
      <c r="B471">
        <v>466</v>
      </c>
      <c r="C471">
        <v>816</v>
      </c>
      <c r="D471" t="s">
        <v>2585</v>
      </c>
      <c r="E471" t="str">
        <f>IF(NOT(ISERROR(VLOOKUP(D471,'ESO DungeonFinder'!$A$2:$A$999,1,FALSE))),"X","")</f>
        <v/>
      </c>
      <c r="F471" s="70" t="str">
        <f t="shared" si="32"/>
        <v/>
      </c>
      <c r="G471" s="70" t="str">
        <f t="shared" si="33"/>
        <v>Hew's Bane</v>
      </c>
      <c r="H471" s="70">
        <f t="shared" si="34"/>
        <v>845</v>
      </c>
      <c r="I471" s="70">
        <f t="shared" si="35"/>
        <v>816</v>
      </c>
      <c r="J471">
        <v>3</v>
      </c>
      <c r="K471" s="3" t="str">
        <f ca="1">VLOOKUP(J471,ConstDLCIds!$A$4:$B$1000,2,FALSE)</f>
        <v>DLC_THIEVES_GUILD</v>
      </c>
      <c r="L471" s="3" t="str">
        <f ca="1">VLOOKUP(J471,ConstDLCIds!$A$4:$C$1000,3,FALSE)</f>
        <v>Thieves Guild</v>
      </c>
    </row>
    <row r="472" spans="1:12" x14ac:dyDescent="0.25">
      <c r="A472">
        <v>848</v>
      </c>
      <c r="B472">
        <v>467</v>
      </c>
      <c r="C472">
        <v>117</v>
      </c>
      <c r="D472" t="s">
        <v>894</v>
      </c>
      <c r="E472" t="str">
        <f>IF(NOT(ISERROR(VLOOKUP(D472,'ESO DungeonFinder'!$A$2:$A$999,1,FALSE))),"X","")</f>
        <v>X</v>
      </c>
      <c r="F472" s="70" t="str">
        <f t="shared" si="32"/>
        <v/>
      </c>
      <c r="G472" s="70" t="str">
        <f t="shared" si="33"/>
        <v>Shadowfen</v>
      </c>
      <c r="H472" s="70">
        <f t="shared" si="34"/>
        <v>848</v>
      </c>
      <c r="I472" s="70">
        <f t="shared" si="35"/>
        <v>117</v>
      </c>
      <c r="J472">
        <v>5</v>
      </c>
      <c r="K472" s="3" t="str">
        <f ca="1">VLOOKUP(J472,ConstDLCIds!$A$4:$B$1000,2,FALSE)</f>
        <v>DLC_SHADOWS_OF_THE_HIST</v>
      </c>
      <c r="L472" s="3" t="str">
        <f ca="1">VLOOKUP(J472,ConstDLCIds!$A$4:$C$1000,3,FALSE)</f>
        <v>Shadows of the Hist</v>
      </c>
    </row>
    <row r="473" spans="1:12" x14ac:dyDescent="0.25">
      <c r="A473">
        <v>849</v>
      </c>
      <c r="B473">
        <v>468</v>
      </c>
      <c r="C473">
        <v>849</v>
      </c>
      <c r="D473" t="s">
        <v>1037</v>
      </c>
      <c r="E473" t="str">
        <f>IF(NOT(ISERROR(VLOOKUP(D473,'ESO DungeonFinder'!$A$2:$A$999,1,FALSE))),"X","")</f>
        <v/>
      </c>
      <c r="F473" s="70" t="str">
        <f t="shared" si="32"/>
        <v>X</v>
      </c>
      <c r="G473" s="70" t="str">
        <f t="shared" si="33"/>
        <v/>
      </c>
      <c r="H473" s="70">
        <f t="shared" si="34"/>
        <v>849</v>
      </c>
      <c r="I473" s="70">
        <f t="shared" si="35"/>
        <v>849</v>
      </c>
      <c r="J473">
        <v>22</v>
      </c>
      <c r="K473" s="3" t="str">
        <f ca="1">VLOOKUP(J473,ConstDLCIds!$A$4:$B$1000,2,FALSE)</f>
        <v>DLC_BLACKWOOD</v>
      </c>
      <c r="L473" s="3" t="str">
        <f ca="1">VLOOKUP(J473,ConstDLCIds!$A$4:$C$1000,3,FALSE)</f>
        <v>Blackwood</v>
      </c>
    </row>
    <row r="474" spans="1:12" x14ac:dyDescent="0.25">
      <c r="A474">
        <v>852</v>
      </c>
      <c r="B474">
        <v>469</v>
      </c>
      <c r="C474">
        <v>3</v>
      </c>
      <c r="D474" t="s">
        <v>2586</v>
      </c>
      <c r="E474" t="str">
        <f>IF(NOT(ISERROR(VLOOKUP(D474,'ESO DungeonFinder'!$A$2:$A$999,1,FALSE))),"X","")</f>
        <v/>
      </c>
      <c r="F474" s="70" t="str">
        <f t="shared" si="32"/>
        <v/>
      </c>
      <c r="G474" s="70" t="str">
        <f t="shared" si="33"/>
        <v>Glenumbra</v>
      </c>
      <c r="H474" s="70">
        <f t="shared" si="34"/>
        <v>852</v>
      </c>
      <c r="I474" s="70">
        <f t="shared" si="35"/>
        <v>3</v>
      </c>
      <c r="J474">
        <v>0</v>
      </c>
      <c r="K474" s="3" t="str">
        <f>VLOOKUP(J474,ConstDLCIds!$A$4:$B$1000,2,FALSE)</f>
        <v>DLC_BASE_GAME</v>
      </c>
      <c r="L474" s="3" t="str">
        <f>VLOOKUP(J474,ConstDLCIds!$A$4:$C$1000,3,FALSE)</f>
        <v>Included in base game</v>
      </c>
    </row>
    <row r="475" spans="1:12" x14ac:dyDescent="0.25">
      <c r="A475">
        <v>853</v>
      </c>
      <c r="B475">
        <v>470</v>
      </c>
      <c r="C475">
        <v>20</v>
      </c>
      <c r="D475" t="s">
        <v>2587</v>
      </c>
      <c r="E475" t="str">
        <f>IF(NOT(ISERROR(VLOOKUP(D475,'ESO DungeonFinder'!$A$2:$A$999,1,FALSE))),"X","")</f>
        <v/>
      </c>
      <c r="F475" s="70" t="str">
        <f t="shared" si="32"/>
        <v/>
      </c>
      <c r="G475" s="70" t="str">
        <f t="shared" si="33"/>
        <v>Rivenspire</v>
      </c>
      <c r="H475" s="70">
        <f t="shared" si="34"/>
        <v>853</v>
      </c>
      <c r="I475" s="70">
        <f t="shared" si="35"/>
        <v>20</v>
      </c>
      <c r="J475">
        <v>0</v>
      </c>
      <c r="K475" s="3" t="str">
        <f>VLOOKUP(J475,ConstDLCIds!$A$4:$B$1000,2,FALSE)</f>
        <v>DLC_BASE_GAME</v>
      </c>
      <c r="L475" s="3" t="str">
        <f>VLOOKUP(J475,ConstDLCIds!$A$4:$C$1000,3,FALSE)</f>
        <v>Included in base game</v>
      </c>
    </row>
    <row r="476" spans="1:12" x14ac:dyDescent="0.25">
      <c r="A476">
        <v>854</v>
      </c>
      <c r="B476">
        <v>471</v>
      </c>
      <c r="C476">
        <v>92</v>
      </c>
      <c r="D476" t="s">
        <v>2588</v>
      </c>
      <c r="E476" t="str">
        <f>IF(NOT(ISERROR(VLOOKUP(D476,'ESO DungeonFinder'!$A$2:$A$999,1,FALSE))),"X","")</f>
        <v/>
      </c>
      <c r="F476" s="70" t="str">
        <f t="shared" si="32"/>
        <v/>
      </c>
      <c r="G476" s="70" t="str">
        <f t="shared" si="33"/>
        <v>Bangkorai</v>
      </c>
      <c r="H476" s="70">
        <f t="shared" si="34"/>
        <v>854</v>
      </c>
      <c r="I476" s="70">
        <f t="shared" si="35"/>
        <v>92</v>
      </c>
      <c r="J476">
        <v>0</v>
      </c>
      <c r="K476" s="3" t="str">
        <f>VLOOKUP(J476,ConstDLCIds!$A$4:$B$1000,2,FALSE)</f>
        <v>DLC_BASE_GAME</v>
      </c>
      <c r="L476" s="3" t="str">
        <f>VLOOKUP(J476,ConstDLCIds!$A$4:$C$1000,3,FALSE)</f>
        <v>Included in base game</v>
      </c>
    </row>
    <row r="477" spans="1:12" x14ac:dyDescent="0.25">
      <c r="A477">
        <v>855</v>
      </c>
      <c r="B477">
        <v>472</v>
      </c>
      <c r="C477">
        <v>19</v>
      </c>
      <c r="D477" t="s">
        <v>2589</v>
      </c>
      <c r="E477" t="str">
        <f>IF(NOT(ISERROR(VLOOKUP(D477,'ESO DungeonFinder'!$A$2:$A$999,1,FALSE))),"X","")</f>
        <v/>
      </c>
      <c r="F477" s="70" t="str">
        <f t="shared" si="32"/>
        <v/>
      </c>
      <c r="G477" s="70" t="str">
        <f t="shared" si="33"/>
        <v>Stormhaven</v>
      </c>
      <c r="H477" s="70">
        <f t="shared" si="34"/>
        <v>855</v>
      </c>
      <c r="I477" s="70">
        <f t="shared" si="35"/>
        <v>19</v>
      </c>
      <c r="J477">
        <v>0</v>
      </c>
      <c r="K477" s="3" t="str">
        <f>VLOOKUP(J477,ConstDLCIds!$A$4:$B$1000,2,FALSE)</f>
        <v>DLC_BASE_GAME</v>
      </c>
      <c r="L477" s="3" t="str">
        <f>VLOOKUP(J477,ConstDLCIds!$A$4:$C$1000,3,FALSE)</f>
        <v>Included in base game</v>
      </c>
    </row>
    <row r="478" spans="1:12" x14ac:dyDescent="0.25">
      <c r="A478">
        <v>856</v>
      </c>
      <c r="B478">
        <v>473</v>
      </c>
      <c r="C478">
        <v>92</v>
      </c>
      <c r="D478" t="s">
        <v>2590</v>
      </c>
      <c r="E478" t="str">
        <f>IF(NOT(ISERROR(VLOOKUP(D478,'ESO DungeonFinder'!$A$2:$A$999,1,FALSE))),"X","")</f>
        <v/>
      </c>
      <c r="F478" s="70" t="str">
        <f t="shared" si="32"/>
        <v/>
      </c>
      <c r="G478" s="70" t="str">
        <f t="shared" si="33"/>
        <v>Bangkorai</v>
      </c>
      <c r="H478" s="70">
        <f t="shared" si="34"/>
        <v>856</v>
      </c>
      <c r="I478" s="70">
        <f t="shared" si="35"/>
        <v>92</v>
      </c>
      <c r="J478">
        <v>0</v>
      </c>
      <c r="K478" s="3" t="str">
        <f>VLOOKUP(J478,ConstDLCIds!$A$4:$B$1000,2,FALSE)</f>
        <v>DLC_BASE_GAME</v>
      </c>
      <c r="L478" s="3" t="str">
        <f>VLOOKUP(J478,ConstDLCIds!$A$4:$C$1000,3,FALSE)</f>
        <v>Included in base game</v>
      </c>
    </row>
    <row r="479" spans="1:12" x14ac:dyDescent="0.25">
      <c r="A479">
        <v>857</v>
      </c>
      <c r="B479">
        <v>474</v>
      </c>
      <c r="C479">
        <v>104</v>
      </c>
      <c r="D479" t="s">
        <v>2591</v>
      </c>
      <c r="E479" t="str">
        <f>IF(NOT(ISERROR(VLOOKUP(D479,'ESO DungeonFinder'!$A$2:$A$999,1,FALSE))),"X","")</f>
        <v/>
      </c>
      <c r="F479" s="70" t="str">
        <f t="shared" si="32"/>
        <v/>
      </c>
      <c r="G479" s="70" t="str">
        <f t="shared" si="33"/>
        <v>Alik'r Desert</v>
      </c>
      <c r="H479" s="70">
        <f t="shared" si="34"/>
        <v>857</v>
      </c>
      <c r="I479" s="70">
        <f t="shared" si="35"/>
        <v>104</v>
      </c>
      <c r="J479">
        <v>0</v>
      </c>
      <c r="K479" s="3" t="str">
        <f>VLOOKUP(J479,ConstDLCIds!$A$4:$B$1000,2,FALSE)</f>
        <v>DLC_BASE_GAME</v>
      </c>
      <c r="L479" s="3" t="str">
        <f>VLOOKUP(J479,ConstDLCIds!$A$4:$C$1000,3,FALSE)</f>
        <v>Included in base game</v>
      </c>
    </row>
    <row r="480" spans="1:12" x14ac:dyDescent="0.25">
      <c r="A480">
        <v>858</v>
      </c>
      <c r="B480">
        <v>475</v>
      </c>
      <c r="C480">
        <v>108</v>
      </c>
      <c r="D480" t="s">
        <v>2592</v>
      </c>
      <c r="E480" t="str">
        <f>IF(NOT(ISERROR(VLOOKUP(D480,'ESO DungeonFinder'!$A$2:$A$999,1,FALSE))),"X","")</f>
        <v/>
      </c>
      <c r="F480" s="70" t="str">
        <f t="shared" si="32"/>
        <v/>
      </c>
      <c r="G480" s="70" t="str">
        <f t="shared" si="33"/>
        <v>Greenshade</v>
      </c>
      <c r="H480" s="70">
        <f t="shared" si="34"/>
        <v>858</v>
      </c>
      <c r="I480" s="70">
        <f t="shared" si="35"/>
        <v>108</v>
      </c>
      <c r="J480">
        <v>0</v>
      </c>
      <c r="K480" s="3" t="str">
        <f>VLOOKUP(J480,ConstDLCIds!$A$4:$B$1000,2,FALSE)</f>
        <v>DLC_BASE_GAME</v>
      </c>
      <c r="L480" s="3" t="str">
        <f>VLOOKUP(J480,ConstDLCIds!$A$4:$C$1000,3,FALSE)</f>
        <v>Included in base game</v>
      </c>
    </row>
    <row r="481" spans="1:12" x14ac:dyDescent="0.25">
      <c r="A481">
        <v>859</v>
      </c>
      <c r="B481">
        <v>476</v>
      </c>
      <c r="C481">
        <v>58</v>
      </c>
      <c r="D481" t="s">
        <v>2593</v>
      </c>
      <c r="E481" t="str">
        <f>IF(NOT(ISERROR(VLOOKUP(D481,'ESO DungeonFinder'!$A$2:$A$999,1,FALSE))),"X","")</f>
        <v/>
      </c>
      <c r="F481" s="70" t="str">
        <f t="shared" si="32"/>
        <v/>
      </c>
      <c r="G481" s="70" t="str">
        <f t="shared" si="33"/>
        <v>Malabal Tor</v>
      </c>
      <c r="H481" s="70">
        <f t="shared" si="34"/>
        <v>859</v>
      </c>
      <c r="I481" s="70">
        <f t="shared" si="35"/>
        <v>58</v>
      </c>
      <c r="J481">
        <v>0</v>
      </c>
      <c r="K481" s="3" t="str">
        <f>VLOOKUP(J481,ConstDLCIds!$A$4:$B$1000,2,FALSE)</f>
        <v>DLC_BASE_GAME</v>
      </c>
      <c r="L481" s="3" t="str">
        <f>VLOOKUP(J481,ConstDLCIds!$A$4:$C$1000,3,FALSE)</f>
        <v>Included in base game</v>
      </c>
    </row>
    <row r="482" spans="1:12" x14ac:dyDescent="0.25">
      <c r="A482">
        <v>860</v>
      </c>
      <c r="B482">
        <v>477</v>
      </c>
      <c r="C482">
        <v>383</v>
      </c>
      <c r="D482" t="s">
        <v>2594</v>
      </c>
      <c r="E482" t="str">
        <f>IF(NOT(ISERROR(VLOOKUP(D482,'ESO DungeonFinder'!$A$2:$A$999,1,FALSE))),"X","")</f>
        <v/>
      </c>
      <c r="F482" s="70" t="str">
        <f t="shared" si="32"/>
        <v/>
      </c>
      <c r="G482" s="70" t="str">
        <f t="shared" si="33"/>
        <v>Grahtwood</v>
      </c>
      <c r="H482" s="70">
        <f t="shared" si="34"/>
        <v>860</v>
      </c>
      <c r="I482" s="70">
        <f t="shared" si="35"/>
        <v>383</v>
      </c>
      <c r="J482">
        <v>0</v>
      </c>
      <c r="K482" s="3" t="str">
        <f>VLOOKUP(J482,ConstDLCIds!$A$4:$B$1000,2,FALSE)</f>
        <v>DLC_BASE_GAME</v>
      </c>
      <c r="L482" s="3" t="str">
        <f>VLOOKUP(J482,ConstDLCIds!$A$4:$C$1000,3,FALSE)</f>
        <v>Included in base game</v>
      </c>
    </row>
    <row r="483" spans="1:12" x14ac:dyDescent="0.25">
      <c r="A483">
        <v>861</v>
      </c>
      <c r="B483">
        <v>478</v>
      </c>
      <c r="C483">
        <v>108</v>
      </c>
      <c r="D483" t="s">
        <v>2595</v>
      </c>
      <c r="E483" t="str">
        <f>IF(NOT(ISERROR(VLOOKUP(D483,'ESO DungeonFinder'!$A$2:$A$999,1,FALSE))),"X","")</f>
        <v/>
      </c>
      <c r="F483" s="70" t="str">
        <f t="shared" si="32"/>
        <v/>
      </c>
      <c r="G483" s="70" t="str">
        <f t="shared" si="33"/>
        <v>Greenshade</v>
      </c>
      <c r="H483" s="70">
        <f t="shared" si="34"/>
        <v>861</v>
      </c>
      <c r="I483" s="70">
        <f t="shared" si="35"/>
        <v>108</v>
      </c>
      <c r="J483">
        <v>0</v>
      </c>
      <c r="K483" s="3" t="str">
        <f>VLOOKUP(J483,ConstDLCIds!$A$4:$B$1000,2,FALSE)</f>
        <v>DLC_BASE_GAME</v>
      </c>
      <c r="L483" s="3" t="str">
        <f>VLOOKUP(J483,ConstDLCIds!$A$4:$C$1000,3,FALSE)</f>
        <v>Included in base game</v>
      </c>
    </row>
    <row r="484" spans="1:12" x14ac:dyDescent="0.25">
      <c r="A484">
        <v>862</v>
      </c>
      <c r="B484">
        <v>479</v>
      </c>
      <c r="C484">
        <v>382</v>
      </c>
      <c r="D484" t="s">
        <v>2596</v>
      </c>
      <c r="E484" t="str">
        <f>IF(NOT(ISERROR(VLOOKUP(D484,'ESO DungeonFinder'!$A$2:$A$999,1,FALSE))),"X","")</f>
        <v/>
      </c>
      <c r="F484" s="70" t="str">
        <f t="shared" si="32"/>
        <v/>
      </c>
      <c r="G484" s="70" t="str">
        <f t="shared" si="33"/>
        <v>Reaper's March</v>
      </c>
      <c r="H484" s="70">
        <f t="shared" si="34"/>
        <v>862</v>
      </c>
      <c r="I484" s="70">
        <f t="shared" si="35"/>
        <v>382</v>
      </c>
      <c r="J484">
        <v>0</v>
      </c>
      <c r="K484" s="3" t="str">
        <f>VLOOKUP(J484,ConstDLCIds!$A$4:$B$1000,2,FALSE)</f>
        <v>DLC_BASE_GAME</v>
      </c>
      <c r="L484" s="3" t="str">
        <f>VLOOKUP(J484,ConstDLCIds!$A$4:$C$1000,3,FALSE)</f>
        <v>Included in base game</v>
      </c>
    </row>
    <row r="485" spans="1:12" x14ac:dyDescent="0.25">
      <c r="A485">
        <v>863</v>
      </c>
      <c r="B485">
        <v>480</v>
      </c>
      <c r="C485">
        <v>537</v>
      </c>
      <c r="D485" t="s">
        <v>2597</v>
      </c>
      <c r="E485" t="str">
        <f>IF(NOT(ISERROR(VLOOKUP(D485,'ESO DungeonFinder'!$A$2:$A$999,1,FALSE))),"X","")</f>
        <v/>
      </c>
      <c r="F485" s="70" t="str">
        <f t="shared" si="32"/>
        <v/>
      </c>
      <c r="G485" s="70" t="str">
        <f t="shared" si="33"/>
        <v>Khenarthi's Roost</v>
      </c>
      <c r="H485" s="70">
        <f t="shared" si="34"/>
        <v>863</v>
      </c>
      <c r="I485" s="70">
        <f t="shared" si="35"/>
        <v>537</v>
      </c>
      <c r="J485">
        <v>0</v>
      </c>
      <c r="K485" s="3" t="str">
        <f>VLOOKUP(J485,ConstDLCIds!$A$4:$B$1000,2,FALSE)</f>
        <v>DLC_BASE_GAME</v>
      </c>
      <c r="L485" s="3" t="str">
        <f>VLOOKUP(J485,ConstDLCIds!$A$4:$C$1000,3,FALSE)</f>
        <v>Included in base game</v>
      </c>
    </row>
    <row r="486" spans="1:12" x14ac:dyDescent="0.25">
      <c r="A486">
        <v>864</v>
      </c>
      <c r="B486">
        <v>481</v>
      </c>
      <c r="C486">
        <v>103</v>
      </c>
      <c r="D486" t="s">
        <v>2598</v>
      </c>
      <c r="E486" t="str">
        <f>IF(NOT(ISERROR(VLOOKUP(D486,'ESO DungeonFinder'!$A$2:$A$999,1,FALSE))),"X","")</f>
        <v/>
      </c>
      <c r="F486" s="70" t="str">
        <f t="shared" si="32"/>
        <v/>
      </c>
      <c r="G486" s="70" t="str">
        <f t="shared" si="33"/>
        <v>The Rift</v>
      </c>
      <c r="H486" s="70">
        <f t="shared" si="34"/>
        <v>864</v>
      </c>
      <c r="I486" s="70">
        <f t="shared" si="35"/>
        <v>103</v>
      </c>
      <c r="J486">
        <v>0</v>
      </c>
      <c r="K486" s="3" t="str">
        <f>VLOOKUP(J486,ConstDLCIds!$A$4:$B$1000,2,FALSE)</f>
        <v>DLC_BASE_GAME</v>
      </c>
      <c r="L486" s="3" t="str">
        <f>VLOOKUP(J486,ConstDLCIds!$A$4:$C$1000,3,FALSE)</f>
        <v>Included in base game</v>
      </c>
    </row>
    <row r="487" spans="1:12" x14ac:dyDescent="0.25">
      <c r="A487">
        <v>865</v>
      </c>
      <c r="B487">
        <v>482</v>
      </c>
      <c r="C487">
        <v>101</v>
      </c>
      <c r="D487" t="s">
        <v>2599</v>
      </c>
      <c r="E487" t="str">
        <f>IF(NOT(ISERROR(VLOOKUP(D487,'ESO DungeonFinder'!$A$2:$A$999,1,FALSE))),"X","")</f>
        <v/>
      </c>
      <c r="F487" s="70" t="str">
        <f t="shared" si="32"/>
        <v/>
      </c>
      <c r="G487" s="70" t="str">
        <f t="shared" si="33"/>
        <v>Eastmarch</v>
      </c>
      <c r="H487" s="70">
        <f t="shared" si="34"/>
        <v>865</v>
      </c>
      <c r="I487" s="70">
        <f t="shared" si="35"/>
        <v>101</v>
      </c>
      <c r="J487">
        <v>0</v>
      </c>
      <c r="K487" s="3" t="str">
        <f>VLOOKUP(J487,ConstDLCIds!$A$4:$B$1000,2,FALSE)</f>
        <v>DLC_BASE_GAME</v>
      </c>
      <c r="L487" s="3" t="str">
        <f>VLOOKUP(J487,ConstDLCIds!$A$4:$C$1000,3,FALSE)</f>
        <v>Included in base game</v>
      </c>
    </row>
    <row r="488" spans="1:12" x14ac:dyDescent="0.25">
      <c r="A488">
        <v>866</v>
      </c>
      <c r="B488">
        <v>483</v>
      </c>
      <c r="C488">
        <v>57</v>
      </c>
      <c r="D488" t="s">
        <v>2600</v>
      </c>
      <c r="E488" t="str">
        <f>IF(NOT(ISERROR(VLOOKUP(D488,'ESO DungeonFinder'!$A$2:$A$999,1,FALSE))),"X","")</f>
        <v/>
      </c>
      <c r="F488" s="70" t="str">
        <f t="shared" si="32"/>
        <v/>
      </c>
      <c r="G488" s="70" t="str">
        <f t="shared" si="33"/>
        <v>Deshaan</v>
      </c>
      <c r="H488" s="70">
        <f t="shared" si="34"/>
        <v>866</v>
      </c>
      <c r="I488" s="70">
        <f t="shared" si="35"/>
        <v>57</v>
      </c>
      <c r="J488">
        <v>0</v>
      </c>
      <c r="K488" s="3" t="str">
        <f>VLOOKUP(J488,ConstDLCIds!$A$4:$B$1000,2,FALSE)</f>
        <v>DLC_BASE_GAME</v>
      </c>
      <c r="L488" s="3" t="str">
        <f>VLOOKUP(J488,ConstDLCIds!$A$4:$C$1000,3,FALSE)</f>
        <v>Included in base game</v>
      </c>
    </row>
    <row r="489" spans="1:12" x14ac:dyDescent="0.25">
      <c r="A489">
        <v>867</v>
      </c>
      <c r="B489">
        <v>484</v>
      </c>
      <c r="C489">
        <v>41</v>
      </c>
      <c r="D489" t="s">
        <v>2601</v>
      </c>
      <c r="E489" t="str">
        <f>IF(NOT(ISERROR(VLOOKUP(D489,'ESO DungeonFinder'!$A$2:$A$999,1,FALSE))),"X","")</f>
        <v/>
      </c>
      <c r="F489" s="70" t="str">
        <f t="shared" si="32"/>
        <v/>
      </c>
      <c r="G489" s="70" t="str">
        <f t="shared" si="33"/>
        <v>Stonefalls</v>
      </c>
      <c r="H489" s="70">
        <f t="shared" si="34"/>
        <v>867</v>
      </c>
      <c r="I489" s="70">
        <f t="shared" si="35"/>
        <v>41</v>
      </c>
      <c r="J489">
        <v>0</v>
      </c>
      <c r="K489" s="3" t="str">
        <f>VLOOKUP(J489,ConstDLCIds!$A$4:$B$1000,2,FALSE)</f>
        <v>DLC_BASE_GAME</v>
      </c>
      <c r="L489" s="3" t="str">
        <f>VLOOKUP(J489,ConstDLCIds!$A$4:$C$1000,3,FALSE)</f>
        <v>Included in base game</v>
      </c>
    </row>
    <row r="490" spans="1:12" x14ac:dyDescent="0.25">
      <c r="A490">
        <v>868</v>
      </c>
      <c r="B490">
        <v>485</v>
      </c>
      <c r="C490">
        <v>281</v>
      </c>
      <c r="D490" t="s">
        <v>2602</v>
      </c>
      <c r="E490" t="str">
        <f>IF(NOT(ISERROR(VLOOKUP(D490,'ESO DungeonFinder'!$A$2:$A$999,1,FALSE))),"X","")</f>
        <v/>
      </c>
      <c r="F490" s="70" t="str">
        <f t="shared" si="32"/>
        <v/>
      </c>
      <c r="G490" s="70" t="str">
        <f t="shared" si="33"/>
        <v>Bal Foyen</v>
      </c>
      <c r="H490" s="70">
        <f t="shared" si="34"/>
        <v>868</v>
      </c>
      <c r="I490" s="70">
        <f t="shared" si="35"/>
        <v>281</v>
      </c>
      <c r="J490">
        <v>0</v>
      </c>
      <c r="K490" s="3" t="str">
        <f>VLOOKUP(J490,ConstDLCIds!$A$4:$B$1000,2,FALSE)</f>
        <v>DLC_BASE_GAME</v>
      </c>
      <c r="L490" s="3" t="str">
        <f>VLOOKUP(J490,ConstDLCIds!$A$4:$C$1000,3,FALSE)</f>
        <v>Included in base game</v>
      </c>
    </row>
    <row r="491" spans="1:12" x14ac:dyDescent="0.25">
      <c r="A491">
        <v>869</v>
      </c>
      <c r="B491">
        <v>486</v>
      </c>
      <c r="C491">
        <v>117</v>
      </c>
      <c r="D491" t="s">
        <v>2603</v>
      </c>
      <c r="E491" t="str">
        <f>IF(NOT(ISERROR(VLOOKUP(D491,'ESO DungeonFinder'!$A$2:$A$999,1,FALSE))),"X","")</f>
        <v/>
      </c>
      <c r="F491" s="70" t="str">
        <f t="shared" si="32"/>
        <v/>
      </c>
      <c r="G491" s="70" t="str">
        <f t="shared" si="33"/>
        <v>Shadowfen</v>
      </c>
      <c r="H491" s="70">
        <f t="shared" si="34"/>
        <v>869</v>
      </c>
      <c r="I491" s="70">
        <f t="shared" si="35"/>
        <v>117</v>
      </c>
      <c r="J491">
        <v>0</v>
      </c>
      <c r="K491" s="3" t="str">
        <f>VLOOKUP(J491,ConstDLCIds!$A$4:$B$1000,2,FALSE)</f>
        <v>DLC_BASE_GAME</v>
      </c>
      <c r="L491" s="3" t="str">
        <f>VLOOKUP(J491,ConstDLCIds!$A$4:$C$1000,3,FALSE)</f>
        <v>Included in base game</v>
      </c>
    </row>
    <row r="492" spans="1:12" x14ac:dyDescent="0.25">
      <c r="A492">
        <v>870</v>
      </c>
      <c r="B492">
        <v>487</v>
      </c>
      <c r="C492">
        <v>888</v>
      </c>
      <c r="D492" t="s">
        <v>2604</v>
      </c>
      <c r="E492" t="str">
        <f>IF(NOT(ISERROR(VLOOKUP(D492,'ESO DungeonFinder'!$A$2:$A$999,1,FALSE))),"X","")</f>
        <v/>
      </c>
      <c r="F492" s="70" t="str">
        <f t="shared" si="32"/>
        <v/>
      </c>
      <c r="G492" s="70" t="str">
        <f t="shared" si="33"/>
        <v>Craglorn</v>
      </c>
      <c r="H492" s="70">
        <f t="shared" si="34"/>
        <v>870</v>
      </c>
      <c r="I492" s="70">
        <f t="shared" si="35"/>
        <v>888</v>
      </c>
      <c r="J492">
        <v>0</v>
      </c>
      <c r="K492" s="3" t="str">
        <f>VLOOKUP(J492,ConstDLCIds!$A$4:$B$1000,2,FALSE)</f>
        <v>DLC_BASE_GAME</v>
      </c>
      <c r="L492" s="3" t="str">
        <f>VLOOKUP(J492,ConstDLCIds!$A$4:$C$1000,3,FALSE)</f>
        <v>Included in base game</v>
      </c>
    </row>
    <row r="493" spans="1:12" x14ac:dyDescent="0.25">
      <c r="A493">
        <v>871</v>
      </c>
      <c r="B493">
        <v>488</v>
      </c>
      <c r="C493">
        <v>58</v>
      </c>
      <c r="D493" t="s">
        <v>2605</v>
      </c>
      <c r="E493" t="str">
        <f>IF(NOT(ISERROR(VLOOKUP(D493,'ESO DungeonFinder'!$A$2:$A$999,1,FALSE))),"X","")</f>
        <v/>
      </c>
      <c r="F493" s="70" t="str">
        <f t="shared" si="32"/>
        <v/>
      </c>
      <c r="G493" s="70" t="str">
        <f t="shared" si="33"/>
        <v>Malabal Tor</v>
      </c>
      <c r="H493" s="70">
        <f t="shared" si="34"/>
        <v>871</v>
      </c>
      <c r="I493" s="70">
        <f t="shared" si="35"/>
        <v>58</v>
      </c>
      <c r="J493">
        <v>0</v>
      </c>
      <c r="K493" s="3" t="str">
        <f>VLOOKUP(J493,ConstDLCIds!$A$4:$B$1000,2,FALSE)</f>
        <v>DLC_BASE_GAME</v>
      </c>
      <c r="L493" s="3" t="str">
        <f>VLOOKUP(J493,ConstDLCIds!$A$4:$C$1000,3,FALSE)</f>
        <v>Included in base game</v>
      </c>
    </row>
    <row r="494" spans="1:12" x14ac:dyDescent="0.25">
      <c r="A494">
        <v>872</v>
      </c>
      <c r="B494">
        <v>489</v>
      </c>
      <c r="C494">
        <v>382</v>
      </c>
      <c r="D494" t="s">
        <v>2606</v>
      </c>
      <c r="E494" t="str">
        <f>IF(NOT(ISERROR(VLOOKUP(D494,'ESO DungeonFinder'!$A$2:$A$999,1,FALSE))),"X","")</f>
        <v/>
      </c>
      <c r="F494" s="70" t="str">
        <f t="shared" si="32"/>
        <v/>
      </c>
      <c r="G494" s="70" t="str">
        <f t="shared" si="33"/>
        <v>Reaper's March</v>
      </c>
      <c r="H494" s="70">
        <f t="shared" si="34"/>
        <v>872</v>
      </c>
      <c r="I494" s="70">
        <f t="shared" si="35"/>
        <v>382</v>
      </c>
      <c r="J494">
        <v>0</v>
      </c>
      <c r="K494" s="3" t="str">
        <f>VLOOKUP(J494,ConstDLCIds!$A$4:$B$1000,2,FALSE)</f>
        <v>DLC_BASE_GAME</v>
      </c>
      <c r="L494" s="3" t="str">
        <f>VLOOKUP(J494,ConstDLCIds!$A$4:$C$1000,3,FALSE)</f>
        <v>Included in base game</v>
      </c>
    </row>
    <row r="495" spans="1:12" x14ac:dyDescent="0.25">
      <c r="A495">
        <v>873</v>
      </c>
      <c r="B495">
        <v>490</v>
      </c>
      <c r="C495">
        <v>117</v>
      </c>
      <c r="D495" t="s">
        <v>2607</v>
      </c>
      <c r="E495" t="str">
        <f>IF(NOT(ISERROR(VLOOKUP(D495,'ESO DungeonFinder'!$A$2:$A$999,1,FALSE))),"X","")</f>
        <v/>
      </c>
      <c r="F495" s="70" t="str">
        <f t="shared" si="32"/>
        <v/>
      </c>
      <c r="G495" s="70" t="str">
        <f t="shared" si="33"/>
        <v>Shadowfen</v>
      </c>
      <c r="H495" s="70">
        <f t="shared" si="34"/>
        <v>873</v>
      </c>
      <c r="I495" s="70">
        <f t="shared" si="35"/>
        <v>117</v>
      </c>
      <c r="J495">
        <v>0</v>
      </c>
      <c r="K495" s="3" t="str">
        <f>VLOOKUP(J495,ConstDLCIds!$A$4:$B$1000,2,FALSE)</f>
        <v>DLC_BASE_GAME</v>
      </c>
      <c r="L495" s="3" t="str">
        <f>VLOOKUP(J495,ConstDLCIds!$A$4:$C$1000,3,FALSE)</f>
        <v>Included in base game</v>
      </c>
    </row>
    <row r="496" spans="1:12" x14ac:dyDescent="0.25">
      <c r="A496">
        <v>874</v>
      </c>
      <c r="B496">
        <v>491</v>
      </c>
      <c r="C496">
        <v>57</v>
      </c>
      <c r="D496" t="s">
        <v>2608</v>
      </c>
      <c r="E496" t="str">
        <f>IF(NOT(ISERROR(VLOOKUP(D496,'ESO DungeonFinder'!$A$2:$A$999,1,FALSE))),"X","")</f>
        <v/>
      </c>
      <c r="F496" s="70" t="str">
        <f t="shared" si="32"/>
        <v/>
      </c>
      <c r="G496" s="70" t="str">
        <f t="shared" si="33"/>
        <v>Deshaan</v>
      </c>
      <c r="H496" s="70">
        <f t="shared" si="34"/>
        <v>874</v>
      </c>
      <c r="I496" s="70">
        <f t="shared" si="35"/>
        <v>57</v>
      </c>
      <c r="J496">
        <v>0</v>
      </c>
      <c r="K496" s="3" t="str">
        <f>VLOOKUP(J496,ConstDLCIds!$A$4:$B$1000,2,FALSE)</f>
        <v>DLC_BASE_GAME</v>
      </c>
      <c r="L496" s="3" t="str">
        <f>VLOOKUP(J496,ConstDLCIds!$A$4:$C$1000,3,FALSE)</f>
        <v>Included in base game</v>
      </c>
    </row>
    <row r="497" spans="1:12" x14ac:dyDescent="0.25">
      <c r="A497">
        <v>875</v>
      </c>
      <c r="B497">
        <v>492</v>
      </c>
      <c r="C497">
        <v>103</v>
      </c>
      <c r="D497" t="s">
        <v>2609</v>
      </c>
      <c r="E497" t="str">
        <f>IF(NOT(ISERROR(VLOOKUP(D497,'ESO DungeonFinder'!$A$2:$A$999,1,FALSE))),"X","")</f>
        <v/>
      </c>
      <c r="F497" s="70" t="str">
        <f t="shared" si="32"/>
        <v/>
      </c>
      <c r="G497" s="70" t="str">
        <f t="shared" si="33"/>
        <v>The Rift</v>
      </c>
      <c r="H497" s="70">
        <f t="shared" si="34"/>
        <v>875</v>
      </c>
      <c r="I497" s="70">
        <f t="shared" si="35"/>
        <v>103</v>
      </c>
      <c r="J497">
        <v>0</v>
      </c>
      <c r="K497" s="3" t="str">
        <f>VLOOKUP(J497,ConstDLCIds!$A$4:$B$1000,2,FALSE)</f>
        <v>DLC_BASE_GAME</v>
      </c>
      <c r="L497" s="3" t="str">
        <f>VLOOKUP(J497,ConstDLCIds!$A$4:$C$1000,3,FALSE)</f>
        <v>Included in base game</v>
      </c>
    </row>
    <row r="498" spans="1:12" x14ac:dyDescent="0.25">
      <c r="A498">
        <v>876</v>
      </c>
      <c r="B498">
        <v>493</v>
      </c>
      <c r="C498">
        <v>382</v>
      </c>
      <c r="D498" t="s">
        <v>2610</v>
      </c>
      <c r="E498" t="str">
        <f>IF(NOT(ISERROR(VLOOKUP(D498,'ESO DungeonFinder'!$A$2:$A$999,1,FALSE))),"X","")</f>
        <v/>
      </c>
      <c r="F498" s="70" t="str">
        <f t="shared" si="32"/>
        <v/>
      </c>
      <c r="G498" s="70" t="str">
        <f t="shared" si="33"/>
        <v>Reaper's March</v>
      </c>
      <c r="H498" s="70">
        <f t="shared" si="34"/>
        <v>876</v>
      </c>
      <c r="I498" s="70">
        <f t="shared" si="35"/>
        <v>382</v>
      </c>
      <c r="J498">
        <v>0</v>
      </c>
      <c r="K498" s="3" t="str">
        <f>VLOOKUP(J498,ConstDLCIds!$A$4:$B$1000,2,FALSE)</f>
        <v>DLC_BASE_GAME</v>
      </c>
      <c r="L498" s="3" t="str">
        <f>VLOOKUP(J498,ConstDLCIds!$A$4:$C$1000,3,FALSE)</f>
        <v>Included in base game</v>
      </c>
    </row>
    <row r="499" spans="1:12" x14ac:dyDescent="0.25">
      <c r="A499">
        <v>877</v>
      </c>
      <c r="B499">
        <v>494</v>
      </c>
      <c r="C499">
        <v>383</v>
      </c>
      <c r="D499" t="s">
        <v>2611</v>
      </c>
      <c r="E499" t="str">
        <f>IF(NOT(ISERROR(VLOOKUP(D499,'ESO DungeonFinder'!$A$2:$A$999,1,FALSE))),"X","")</f>
        <v/>
      </c>
      <c r="F499" s="70" t="str">
        <f t="shared" si="32"/>
        <v/>
      </c>
      <c r="G499" s="70" t="str">
        <f t="shared" si="33"/>
        <v>Grahtwood</v>
      </c>
      <c r="H499" s="70">
        <f t="shared" si="34"/>
        <v>877</v>
      </c>
      <c r="I499" s="70">
        <f t="shared" si="35"/>
        <v>383</v>
      </c>
      <c r="J499">
        <v>0</v>
      </c>
      <c r="K499" s="3" t="str">
        <f>VLOOKUP(J499,ConstDLCIds!$A$4:$B$1000,2,FALSE)</f>
        <v>DLC_BASE_GAME</v>
      </c>
      <c r="L499" s="3" t="str">
        <f>VLOOKUP(J499,ConstDLCIds!$A$4:$C$1000,3,FALSE)</f>
        <v>Included in base game</v>
      </c>
    </row>
    <row r="500" spans="1:12" x14ac:dyDescent="0.25">
      <c r="A500">
        <v>878</v>
      </c>
      <c r="B500">
        <v>495</v>
      </c>
      <c r="C500">
        <v>381</v>
      </c>
      <c r="D500" t="s">
        <v>2612</v>
      </c>
      <c r="E500" t="str">
        <f>IF(NOT(ISERROR(VLOOKUP(D500,'ESO DungeonFinder'!$A$2:$A$999,1,FALSE))),"X","")</f>
        <v/>
      </c>
      <c r="F500" s="70" t="str">
        <f t="shared" si="32"/>
        <v/>
      </c>
      <c r="G500" s="70" t="str">
        <f t="shared" si="33"/>
        <v>Auridon</v>
      </c>
      <c r="H500" s="70">
        <f t="shared" si="34"/>
        <v>878</v>
      </c>
      <c r="I500" s="70">
        <f t="shared" si="35"/>
        <v>381</v>
      </c>
      <c r="J500">
        <v>0</v>
      </c>
      <c r="K500" s="3" t="str">
        <f>VLOOKUP(J500,ConstDLCIds!$A$4:$B$1000,2,FALSE)</f>
        <v>DLC_BASE_GAME</v>
      </c>
      <c r="L500" s="3" t="str">
        <f>VLOOKUP(J500,ConstDLCIds!$A$4:$C$1000,3,FALSE)</f>
        <v>Included in base game</v>
      </c>
    </row>
    <row r="501" spans="1:12" x14ac:dyDescent="0.25">
      <c r="A501">
        <v>879</v>
      </c>
      <c r="B501">
        <v>496</v>
      </c>
      <c r="C501">
        <v>534</v>
      </c>
      <c r="D501" t="s">
        <v>2613</v>
      </c>
      <c r="E501" t="str">
        <f>IF(NOT(ISERROR(VLOOKUP(D501,'ESO DungeonFinder'!$A$2:$A$999,1,FALSE))),"X","")</f>
        <v/>
      </c>
      <c r="F501" s="70" t="str">
        <f t="shared" si="32"/>
        <v/>
      </c>
      <c r="G501" s="70" t="str">
        <f t="shared" si="33"/>
        <v>Stros M'Kai</v>
      </c>
      <c r="H501" s="70">
        <f t="shared" si="34"/>
        <v>879</v>
      </c>
      <c r="I501" s="70">
        <f t="shared" si="35"/>
        <v>534</v>
      </c>
      <c r="J501">
        <v>22</v>
      </c>
      <c r="K501" s="3" t="str">
        <f ca="1">VLOOKUP(J501,ConstDLCIds!$A$4:$B$1000,2,FALSE)</f>
        <v>DLC_BLACKWOOD</v>
      </c>
      <c r="L501" s="3" t="str">
        <f ca="1">VLOOKUP(J501,ConstDLCIds!$A$4:$C$1000,3,FALSE)</f>
        <v>Blackwood</v>
      </c>
    </row>
    <row r="502" spans="1:12" x14ac:dyDescent="0.25">
      <c r="A502">
        <v>880</v>
      </c>
      <c r="B502">
        <v>497</v>
      </c>
      <c r="C502">
        <v>92</v>
      </c>
      <c r="D502" t="s">
        <v>2614</v>
      </c>
      <c r="E502" t="str">
        <f>IF(NOT(ISERROR(VLOOKUP(D502,'ESO DungeonFinder'!$A$2:$A$999,1,FALSE))),"X","")</f>
        <v/>
      </c>
      <c r="F502" s="70" t="str">
        <f t="shared" si="32"/>
        <v/>
      </c>
      <c r="G502" s="70" t="str">
        <f t="shared" si="33"/>
        <v>Bangkorai</v>
      </c>
      <c r="H502" s="70">
        <f t="shared" si="34"/>
        <v>880</v>
      </c>
      <c r="I502" s="70">
        <f t="shared" si="35"/>
        <v>92</v>
      </c>
      <c r="J502">
        <v>0</v>
      </c>
      <c r="K502" s="3" t="str">
        <f>VLOOKUP(J502,ConstDLCIds!$A$4:$B$1000,2,FALSE)</f>
        <v>DLC_BASE_GAME</v>
      </c>
      <c r="L502" s="3" t="str">
        <f>VLOOKUP(J502,ConstDLCIds!$A$4:$C$1000,3,FALSE)</f>
        <v>Included in base game</v>
      </c>
    </row>
    <row r="503" spans="1:12" x14ac:dyDescent="0.25">
      <c r="A503">
        <v>881</v>
      </c>
      <c r="B503">
        <v>498</v>
      </c>
      <c r="C503">
        <v>19</v>
      </c>
      <c r="D503" t="s">
        <v>2615</v>
      </c>
      <c r="E503" t="str">
        <f>IF(NOT(ISERROR(VLOOKUP(D503,'ESO DungeonFinder'!$A$2:$A$999,1,FALSE))),"X","")</f>
        <v/>
      </c>
      <c r="F503" s="70" t="str">
        <f t="shared" si="32"/>
        <v/>
      </c>
      <c r="G503" s="70" t="str">
        <f t="shared" si="33"/>
        <v>Stormhaven</v>
      </c>
      <c r="H503" s="70">
        <f t="shared" si="34"/>
        <v>881</v>
      </c>
      <c r="I503" s="70">
        <f t="shared" si="35"/>
        <v>19</v>
      </c>
      <c r="J503">
        <v>0</v>
      </c>
      <c r="K503" s="3" t="str">
        <f>VLOOKUP(J503,ConstDLCIds!$A$4:$B$1000,2,FALSE)</f>
        <v>DLC_BASE_GAME</v>
      </c>
      <c r="L503" s="3" t="str">
        <f>VLOOKUP(J503,ConstDLCIds!$A$4:$C$1000,3,FALSE)</f>
        <v>Included in base game</v>
      </c>
    </row>
    <row r="504" spans="1:12" x14ac:dyDescent="0.25">
      <c r="A504">
        <v>882</v>
      </c>
      <c r="B504">
        <v>499</v>
      </c>
      <c r="C504">
        <v>383</v>
      </c>
      <c r="D504" t="s">
        <v>2616</v>
      </c>
      <c r="E504" t="str">
        <f>IF(NOT(ISERROR(VLOOKUP(D504,'ESO DungeonFinder'!$A$2:$A$999,1,FALSE))),"X","")</f>
        <v/>
      </c>
      <c r="F504" s="70" t="str">
        <f t="shared" si="32"/>
        <v/>
      </c>
      <c r="G504" s="70" t="str">
        <f t="shared" si="33"/>
        <v>Grahtwood</v>
      </c>
      <c r="H504" s="70">
        <f t="shared" si="34"/>
        <v>882</v>
      </c>
      <c r="I504" s="70">
        <f t="shared" si="35"/>
        <v>383</v>
      </c>
      <c r="J504">
        <v>0</v>
      </c>
      <c r="K504" s="3" t="str">
        <f>VLOOKUP(J504,ConstDLCIds!$A$4:$B$1000,2,FALSE)</f>
        <v>DLC_BASE_GAME</v>
      </c>
      <c r="L504" s="3" t="str">
        <f>VLOOKUP(J504,ConstDLCIds!$A$4:$C$1000,3,FALSE)</f>
        <v>Included in base game</v>
      </c>
    </row>
    <row r="505" spans="1:12" x14ac:dyDescent="0.25">
      <c r="A505">
        <v>883</v>
      </c>
      <c r="B505">
        <v>500</v>
      </c>
      <c r="C505">
        <v>888</v>
      </c>
      <c r="D505" t="s">
        <v>2617</v>
      </c>
      <c r="E505" t="str">
        <f>IF(NOT(ISERROR(VLOOKUP(D505,'ESO DungeonFinder'!$A$2:$A$999,1,FALSE))),"X","")</f>
        <v/>
      </c>
      <c r="F505" s="70" t="str">
        <f t="shared" si="32"/>
        <v/>
      </c>
      <c r="G505" s="70" t="str">
        <f t="shared" si="33"/>
        <v>Craglorn</v>
      </c>
      <c r="H505" s="70">
        <f t="shared" si="34"/>
        <v>883</v>
      </c>
      <c r="I505" s="70">
        <f t="shared" si="35"/>
        <v>888</v>
      </c>
      <c r="J505">
        <v>0</v>
      </c>
      <c r="K505" s="3" t="str">
        <f>VLOOKUP(J505,ConstDLCIds!$A$4:$B$1000,2,FALSE)</f>
        <v>DLC_BASE_GAME</v>
      </c>
      <c r="L505" s="3" t="str">
        <f>VLOOKUP(J505,ConstDLCIds!$A$4:$C$1000,3,FALSE)</f>
        <v>Included in base game</v>
      </c>
    </row>
    <row r="506" spans="1:12" x14ac:dyDescent="0.25">
      <c r="A506">
        <v>888</v>
      </c>
      <c r="B506">
        <v>501</v>
      </c>
      <c r="C506">
        <v>888</v>
      </c>
      <c r="D506" t="s">
        <v>686</v>
      </c>
      <c r="E506" t="str">
        <f>IF(NOT(ISERROR(VLOOKUP(D506,'ESO DungeonFinder'!$A$2:$A$999,1,FALSE))),"X","")</f>
        <v/>
      </c>
      <c r="F506" s="70" t="str">
        <f t="shared" si="32"/>
        <v>X</v>
      </c>
      <c r="G506" s="70" t="str">
        <f t="shared" si="33"/>
        <v/>
      </c>
      <c r="H506" s="70">
        <f t="shared" si="34"/>
        <v>888</v>
      </c>
      <c r="I506" s="70">
        <f t="shared" si="35"/>
        <v>888</v>
      </c>
      <c r="J506">
        <v>22</v>
      </c>
      <c r="K506" s="3" t="str">
        <f ca="1">VLOOKUP(J506,ConstDLCIds!$A$4:$B$1000,2,FALSE)</f>
        <v>DLC_BLACKWOOD</v>
      </c>
      <c r="L506" s="3" t="str">
        <f ca="1">VLOOKUP(J506,ConstDLCIds!$A$4:$C$1000,3,FALSE)</f>
        <v>Blackwood</v>
      </c>
    </row>
    <row r="507" spans="1:12" x14ac:dyDescent="0.25">
      <c r="A507">
        <v>889</v>
      </c>
      <c r="B507">
        <v>502</v>
      </c>
      <c r="C507">
        <v>888</v>
      </c>
      <c r="D507" t="s">
        <v>2618</v>
      </c>
      <c r="E507" t="str">
        <f>IF(NOT(ISERROR(VLOOKUP(D507,'ESO DungeonFinder'!$A$2:$A$999,1,FALSE))),"X","")</f>
        <v/>
      </c>
      <c r="F507" s="70" t="str">
        <f t="shared" si="32"/>
        <v/>
      </c>
      <c r="G507" s="70" t="str">
        <f t="shared" si="33"/>
        <v>Craglorn</v>
      </c>
      <c r="H507" s="70">
        <f t="shared" si="34"/>
        <v>889</v>
      </c>
      <c r="I507" s="70">
        <f t="shared" si="35"/>
        <v>888</v>
      </c>
      <c r="J507">
        <v>0</v>
      </c>
      <c r="K507" s="3" t="str">
        <f>VLOOKUP(J507,ConstDLCIds!$A$4:$B$1000,2,FALSE)</f>
        <v>DLC_BASE_GAME</v>
      </c>
      <c r="L507" s="3" t="str">
        <f>VLOOKUP(J507,ConstDLCIds!$A$4:$C$1000,3,FALSE)</f>
        <v>Included in base game</v>
      </c>
    </row>
    <row r="508" spans="1:12" x14ac:dyDescent="0.25">
      <c r="A508">
        <v>890</v>
      </c>
      <c r="B508">
        <v>503</v>
      </c>
      <c r="C508">
        <v>888</v>
      </c>
      <c r="D508" t="s">
        <v>2619</v>
      </c>
      <c r="E508" t="str">
        <f>IF(NOT(ISERROR(VLOOKUP(D508,'ESO DungeonFinder'!$A$2:$A$999,1,FALSE))),"X","")</f>
        <v/>
      </c>
      <c r="F508" s="70" t="str">
        <f t="shared" si="32"/>
        <v/>
      </c>
      <c r="G508" s="70" t="str">
        <f t="shared" si="33"/>
        <v>Craglorn</v>
      </c>
      <c r="H508" s="70">
        <f t="shared" si="34"/>
        <v>890</v>
      </c>
      <c r="I508" s="70">
        <f t="shared" si="35"/>
        <v>888</v>
      </c>
      <c r="J508">
        <v>0</v>
      </c>
      <c r="K508" s="3" t="str">
        <f>VLOOKUP(J508,ConstDLCIds!$A$4:$B$1000,2,FALSE)</f>
        <v>DLC_BASE_GAME</v>
      </c>
      <c r="L508" s="3" t="str">
        <f>VLOOKUP(J508,ConstDLCIds!$A$4:$C$1000,3,FALSE)</f>
        <v>Included in base game</v>
      </c>
    </row>
    <row r="509" spans="1:12" x14ac:dyDescent="0.25">
      <c r="A509">
        <v>891</v>
      </c>
      <c r="B509">
        <v>504</v>
      </c>
      <c r="C509">
        <v>888</v>
      </c>
      <c r="D509" t="s">
        <v>2620</v>
      </c>
      <c r="E509" t="str">
        <f>IF(NOT(ISERROR(VLOOKUP(D509,'ESO DungeonFinder'!$A$2:$A$999,1,FALSE))),"X","")</f>
        <v/>
      </c>
      <c r="F509" s="70" t="str">
        <f t="shared" si="32"/>
        <v/>
      </c>
      <c r="G509" s="70" t="str">
        <f t="shared" si="33"/>
        <v>Craglorn</v>
      </c>
      <c r="H509" s="70">
        <f t="shared" si="34"/>
        <v>891</v>
      </c>
      <c r="I509" s="70">
        <f t="shared" si="35"/>
        <v>888</v>
      </c>
      <c r="J509">
        <v>0</v>
      </c>
      <c r="K509" s="3" t="str">
        <f>VLOOKUP(J509,ConstDLCIds!$A$4:$B$1000,2,FALSE)</f>
        <v>DLC_BASE_GAME</v>
      </c>
      <c r="L509" s="3" t="str">
        <f>VLOOKUP(J509,ConstDLCIds!$A$4:$C$1000,3,FALSE)</f>
        <v>Included in base game</v>
      </c>
    </row>
    <row r="510" spans="1:12" x14ac:dyDescent="0.25">
      <c r="A510">
        <v>892</v>
      </c>
      <c r="B510">
        <v>505</v>
      </c>
      <c r="C510">
        <v>888</v>
      </c>
      <c r="D510" t="s">
        <v>2621</v>
      </c>
      <c r="E510" t="str">
        <f>IF(NOT(ISERROR(VLOOKUP(D510,'ESO DungeonFinder'!$A$2:$A$999,1,FALSE))),"X","")</f>
        <v/>
      </c>
      <c r="F510" s="70" t="str">
        <f t="shared" si="32"/>
        <v/>
      </c>
      <c r="G510" s="70" t="str">
        <f t="shared" si="33"/>
        <v>Craglorn</v>
      </c>
      <c r="H510" s="70">
        <f t="shared" si="34"/>
        <v>892</v>
      </c>
      <c r="I510" s="70">
        <f t="shared" si="35"/>
        <v>888</v>
      </c>
      <c r="J510">
        <v>0</v>
      </c>
      <c r="K510" s="3" t="str">
        <f>VLOOKUP(J510,ConstDLCIds!$A$4:$B$1000,2,FALSE)</f>
        <v>DLC_BASE_GAME</v>
      </c>
      <c r="L510" s="3" t="str">
        <f>VLOOKUP(J510,ConstDLCIds!$A$4:$C$1000,3,FALSE)</f>
        <v>Included in base game</v>
      </c>
    </row>
    <row r="511" spans="1:12" x14ac:dyDescent="0.25">
      <c r="A511">
        <v>893</v>
      </c>
      <c r="B511">
        <v>506</v>
      </c>
      <c r="C511">
        <v>888</v>
      </c>
      <c r="D511" t="s">
        <v>2622</v>
      </c>
      <c r="E511" t="str">
        <f>IF(NOT(ISERROR(VLOOKUP(D511,'ESO DungeonFinder'!$A$2:$A$999,1,FALSE))),"X","")</f>
        <v/>
      </c>
      <c r="F511" s="70" t="str">
        <f t="shared" si="32"/>
        <v/>
      </c>
      <c r="G511" s="70" t="str">
        <f t="shared" si="33"/>
        <v>Craglorn</v>
      </c>
      <c r="H511" s="70">
        <f t="shared" si="34"/>
        <v>893</v>
      </c>
      <c r="I511" s="70">
        <f t="shared" si="35"/>
        <v>888</v>
      </c>
      <c r="J511">
        <v>0</v>
      </c>
      <c r="K511" s="3" t="str">
        <f>VLOOKUP(J511,ConstDLCIds!$A$4:$B$1000,2,FALSE)</f>
        <v>DLC_BASE_GAME</v>
      </c>
      <c r="L511" s="3" t="str">
        <f>VLOOKUP(J511,ConstDLCIds!$A$4:$C$1000,3,FALSE)</f>
        <v>Included in base game</v>
      </c>
    </row>
    <row r="512" spans="1:12" x14ac:dyDescent="0.25">
      <c r="A512">
        <v>894</v>
      </c>
      <c r="B512">
        <v>507</v>
      </c>
      <c r="C512">
        <v>888</v>
      </c>
      <c r="D512" t="s">
        <v>2623</v>
      </c>
      <c r="E512" t="str">
        <f>IF(NOT(ISERROR(VLOOKUP(D512,'ESO DungeonFinder'!$A$2:$A$999,1,FALSE))),"X","")</f>
        <v/>
      </c>
      <c r="F512" s="70" t="str">
        <f t="shared" si="32"/>
        <v/>
      </c>
      <c r="G512" s="70" t="str">
        <f t="shared" si="33"/>
        <v>Craglorn</v>
      </c>
      <c r="H512" s="70">
        <f t="shared" si="34"/>
        <v>894</v>
      </c>
      <c r="I512" s="70">
        <f t="shared" si="35"/>
        <v>888</v>
      </c>
      <c r="J512">
        <v>0</v>
      </c>
      <c r="K512" s="3" t="str">
        <f>VLOOKUP(J512,ConstDLCIds!$A$4:$B$1000,2,FALSE)</f>
        <v>DLC_BASE_GAME</v>
      </c>
      <c r="L512" s="3" t="str">
        <f>VLOOKUP(J512,ConstDLCIds!$A$4:$C$1000,3,FALSE)</f>
        <v>Included in base game</v>
      </c>
    </row>
    <row r="513" spans="1:12" x14ac:dyDescent="0.25">
      <c r="A513">
        <v>895</v>
      </c>
      <c r="B513">
        <v>508</v>
      </c>
      <c r="C513">
        <v>888</v>
      </c>
      <c r="D513" t="s">
        <v>2624</v>
      </c>
      <c r="E513" t="str">
        <f>IF(NOT(ISERROR(VLOOKUP(D513,'ESO DungeonFinder'!$A$2:$A$999,1,FALSE))),"X","")</f>
        <v/>
      </c>
      <c r="F513" s="70" t="str">
        <f t="shared" si="32"/>
        <v/>
      </c>
      <c r="G513" s="70" t="str">
        <f t="shared" si="33"/>
        <v>Craglorn</v>
      </c>
      <c r="H513" s="70">
        <f t="shared" si="34"/>
        <v>895</v>
      </c>
      <c r="I513" s="70">
        <f t="shared" si="35"/>
        <v>888</v>
      </c>
      <c r="J513">
        <v>0</v>
      </c>
      <c r="K513" s="3" t="str">
        <f>VLOOKUP(J513,ConstDLCIds!$A$4:$B$1000,2,FALSE)</f>
        <v>DLC_BASE_GAME</v>
      </c>
      <c r="L513" s="3" t="str">
        <f>VLOOKUP(J513,ConstDLCIds!$A$4:$C$1000,3,FALSE)</f>
        <v>Included in base game</v>
      </c>
    </row>
    <row r="514" spans="1:12" x14ac:dyDescent="0.25">
      <c r="A514">
        <v>896</v>
      </c>
      <c r="B514">
        <v>509</v>
      </c>
      <c r="C514">
        <v>888</v>
      </c>
      <c r="D514" t="s">
        <v>2625</v>
      </c>
      <c r="E514" t="str">
        <f>IF(NOT(ISERROR(VLOOKUP(D514,'ESO DungeonFinder'!$A$2:$A$999,1,FALSE))),"X","")</f>
        <v/>
      </c>
      <c r="F514" s="70" t="str">
        <f t="shared" si="32"/>
        <v/>
      </c>
      <c r="G514" s="70" t="str">
        <f t="shared" si="33"/>
        <v>Craglorn</v>
      </c>
      <c r="H514" s="70">
        <f t="shared" si="34"/>
        <v>896</v>
      </c>
      <c r="I514" s="70">
        <f t="shared" si="35"/>
        <v>888</v>
      </c>
      <c r="J514">
        <v>0</v>
      </c>
      <c r="K514" s="3" t="str">
        <f>VLOOKUP(J514,ConstDLCIds!$A$4:$B$1000,2,FALSE)</f>
        <v>DLC_BASE_GAME</v>
      </c>
      <c r="L514" s="3" t="str">
        <f>VLOOKUP(J514,ConstDLCIds!$A$4:$C$1000,3,FALSE)</f>
        <v>Included in base game</v>
      </c>
    </row>
    <row r="515" spans="1:12" x14ac:dyDescent="0.25">
      <c r="A515">
        <v>897</v>
      </c>
      <c r="B515">
        <v>510</v>
      </c>
      <c r="C515">
        <v>888</v>
      </c>
      <c r="D515" t="s">
        <v>2626</v>
      </c>
      <c r="E515" t="str">
        <f>IF(NOT(ISERROR(VLOOKUP(D515,'ESO DungeonFinder'!$A$2:$A$999,1,FALSE))),"X","")</f>
        <v/>
      </c>
      <c r="F515" s="70" t="str">
        <f t="shared" si="32"/>
        <v/>
      </c>
      <c r="G515" s="70" t="str">
        <f t="shared" si="33"/>
        <v>Craglorn</v>
      </c>
      <c r="H515" s="70">
        <f t="shared" si="34"/>
        <v>897</v>
      </c>
      <c r="I515" s="70">
        <f t="shared" si="35"/>
        <v>888</v>
      </c>
      <c r="J515">
        <v>0</v>
      </c>
      <c r="K515" s="3" t="str">
        <f>VLOOKUP(J515,ConstDLCIds!$A$4:$B$1000,2,FALSE)</f>
        <v>DLC_BASE_GAME</v>
      </c>
      <c r="L515" s="3" t="str">
        <f>VLOOKUP(J515,ConstDLCIds!$A$4:$C$1000,3,FALSE)</f>
        <v>Included in base game</v>
      </c>
    </row>
    <row r="516" spans="1:12" x14ac:dyDescent="0.25">
      <c r="A516">
        <v>898</v>
      </c>
      <c r="B516">
        <v>511</v>
      </c>
      <c r="C516">
        <v>888</v>
      </c>
      <c r="D516" t="s">
        <v>2627</v>
      </c>
      <c r="E516" t="str">
        <f>IF(NOT(ISERROR(VLOOKUP(D516,'ESO DungeonFinder'!$A$2:$A$999,1,FALSE))),"X","")</f>
        <v/>
      </c>
      <c r="F516" s="70" t="str">
        <f t="shared" si="32"/>
        <v/>
      </c>
      <c r="G516" s="70" t="str">
        <f t="shared" si="33"/>
        <v>Craglorn</v>
      </c>
      <c r="H516" s="70">
        <f t="shared" si="34"/>
        <v>898</v>
      </c>
      <c r="I516" s="70">
        <f t="shared" si="35"/>
        <v>888</v>
      </c>
      <c r="J516">
        <v>0</v>
      </c>
      <c r="K516" s="3" t="str">
        <f>VLOOKUP(J516,ConstDLCIds!$A$4:$B$1000,2,FALSE)</f>
        <v>DLC_BASE_GAME</v>
      </c>
      <c r="L516" s="3" t="str">
        <f>VLOOKUP(J516,ConstDLCIds!$A$4:$C$1000,3,FALSE)</f>
        <v>Included in base game</v>
      </c>
    </row>
    <row r="517" spans="1:12" x14ac:dyDescent="0.25">
      <c r="A517">
        <v>899</v>
      </c>
      <c r="B517">
        <v>512</v>
      </c>
      <c r="C517">
        <v>888</v>
      </c>
      <c r="D517" t="s">
        <v>2628</v>
      </c>
      <c r="E517" t="str">
        <f>IF(NOT(ISERROR(VLOOKUP(D517,'ESO DungeonFinder'!$A$2:$A$999,1,FALSE))),"X","")</f>
        <v/>
      </c>
      <c r="F517" s="70" t="str">
        <f t="shared" si="32"/>
        <v/>
      </c>
      <c r="G517" s="70" t="str">
        <f t="shared" si="33"/>
        <v>Craglorn</v>
      </c>
      <c r="H517" s="70">
        <f t="shared" si="34"/>
        <v>899</v>
      </c>
      <c r="I517" s="70">
        <f t="shared" si="35"/>
        <v>888</v>
      </c>
      <c r="J517">
        <v>0</v>
      </c>
      <c r="K517" s="3" t="str">
        <f>VLOOKUP(J517,ConstDLCIds!$A$4:$B$1000,2,FALSE)</f>
        <v>DLC_BASE_GAME</v>
      </c>
      <c r="L517" s="3" t="str">
        <f>VLOOKUP(J517,ConstDLCIds!$A$4:$C$1000,3,FALSE)</f>
        <v>Included in base game</v>
      </c>
    </row>
    <row r="518" spans="1:12" x14ac:dyDescent="0.25">
      <c r="A518">
        <v>900</v>
      </c>
      <c r="B518">
        <v>513</v>
      </c>
      <c r="C518">
        <v>888</v>
      </c>
      <c r="D518" t="s">
        <v>2629</v>
      </c>
      <c r="E518" t="str">
        <f>IF(NOT(ISERROR(VLOOKUP(D518,'ESO DungeonFinder'!$A$2:$A$999,1,FALSE))),"X","")</f>
        <v/>
      </c>
      <c r="F518" s="70" t="str">
        <f t="shared" si="32"/>
        <v/>
      </c>
      <c r="G518" s="70" t="str">
        <f t="shared" si="33"/>
        <v>Craglorn</v>
      </c>
      <c r="H518" s="70">
        <f t="shared" si="34"/>
        <v>900</v>
      </c>
      <c r="I518" s="70">
        <f t="shared" si="35"/>
        <v>888</v>
      </c>
      <c r="J518">
        <v>0</v>
      </c>
      <c r="K518" s="3" t="str">
        <f>VLOOKUP(J518,ConstDLCIds!$A$4:$B$1000,2,FALSE)</f>
        <v>DLC_BASE_GAME</v>
      </c>
      <c r="L518" s="3" t="str">
        <f>VLOOKUP(J518,ConstDLCIds!$A$4:$C$1000,3,FALSE)</f>
        <v>Included in base game</v>
      </c>
    </row>
    <row r="519" spans="1:12" x14ac:dyDescent="0.25">
      <c r="A519">
        <v>901</v>
      </c>
      <c r="B519">
        <v>514</v>
      </c>
      <c r="C519">
        <v>888</v>
      </c>
      <c r="D519" t="s">
        <v>2630</v>
      </c>
      <c r="E519" t="str">
        <f>IF(NOT(ISERROR(VLOOKUP(D519,'ESO DungeonFinder'!$A$2:$A$999,1,FALSE))),"X","")</f>
        <v/>
      </c>
      <c r="F519" s="70" t="str">
        <f t="shared" ref="F519:F582" si="36">IF(EXACT(A519,C519),"X","")</f>
        <v/>
      </c>
      <c r="G519" s="70" t="str">
        <f t="shared" ref="G519:G582" si="37">IF(A519&lt;&gt;C519,VLOOKUP(C519,$A$5:$D$9956,4,FALSE),"")</f>
        <v>Craglorn</v>
      </c>
      <c r="H519" s="70">
        <f t="shared" ref="H519:H582" si="38">A519</f>
        <v>901</v>
      </c>
      <c r="I519" s="70">
        <f t="shared" ref="I519:I582" si="39">C519</f>
        <v>888</v>
      </c>
      <c r="J519">
        <v>0</v>
      </c>
      <c r="K519" s="3" t="str">
        <f>VLOOKUP(J519,ConstDLCIds!$A$4:$B$1000,2,FALSE)</f>
        <v>DLC_BASE_GAME</v>
      </c>
      <c r="L519" s="3" t="str">
        <f>VLOOKUP(J519,ConstDLCIds!$A$4:$C$1000,3,FALSE)</f>
        <v>Included in base game</v>
      </c>
    </row>
    <row r="520" spans="1:12" x14ac:dyDescent="0.25">
      <c r="A520">
        <v>902</v>
      </c>
      <c r="B520">
        <v>515</v>
      </c>
      <c r="C520">
        <v>888</v>
      </c>
      <c r="D520" t="s">
        <v>2631</v>
      </c>
      <c r="E520" t="str">
        <f>IF(NOT(ISERROR(VLOOKUP(D520,'ESO DungeonFinder'!$A$2:$A$999,1,FALSE))),"X","")</f>
        <v/>
      </c>
      <c r="F520" s="70" t="str">
        <f t="shared" si="36"/>
        <v/>
      </c>
      <c r="G520" s="70" t="str">
        <f t="shared" si="37"/>
        <v>Craglorn</v>
      </c>
      <c r="H520" s="70">
        <f t="shared" si="38"/>
        <v>902</v>
      </c>
      <c r="I520" s="70">
        <f t="shared" si="39"/>
        <v>888</v>
      </c>
      <c r="J520">
        <v>0</v>
      </c>
      <c r="K520" s="3" t="str">
        <f>VLOOKUP(J520,ConstDLCIds!$A$4:$B$1000,2,FALSE)</f>
        <v>DLC_BASE_GAME</v>
      </c>
      <c r="L520" s="3" t="str">
        <f>VLOOKUP(J520,ConstDLCIds!$A$4:$C$1000,3,FALSE)</f>
        <v>Included in base game</v>
      </c>
    </row>
    <row r="521" spans="1:12" x14ac:dyDescent="0.25">
      <c r="A521">
        <v>903</v>
      </c>
      <c r="B521">
        <v>516</v>
      </c>
      <c r="C521">
        <v>888</v>
      </c>
      <c r="D521" t="s">
        <v>2632</v>
      </c>
      <c r="E521" t="str">
        <f>IF(NOT(ISERROR(VLOOKUP(D521,'ESO DungeonFinder'!$A$2:$A$999,1,FALSE))),"X","")</f>
        <v/>
      </c>
      <c r="F521" s="70" t="str">
        <f t="shared" si="36"/>
        <v/>
      </c>
      <c r="G521" s="70" t="str">
        <f t="shared" si="37"/>
        <v>Craglorn</v>
      </c>
      <c r="H521" s="70">
        <f t="shared" si="38"/>
        <v>903</v>
      </c>
      <c r="I521" s="70">
        <f t="shared" si="39"/>
        <v>888</v>
      </c>
      <c r="J521">
        <v>0</v>
      </c>
      <c r="K521" s="3" t="str">
        <f>VLOOKUP(J521,ConstDLCIds!$A$4:$B$1000,2,FALSE)</f>
        <v>DLC_BASE_GAME</v>
      </c>
      <c r="L521" s="3" t="str">
        <f>VLOOKUP(J521,ConstDLCIds!$A$4:$C$1000,3,FALSE)</f>
        <v>Included in base game</v>
      </c>
    </row>
    <row r="522" spans="1:12" x14ac:dyDescent="0.25">
      <c r="A522">
        <v>904</v>
      </c>
      <c r="B522">
        <v>517</v>
      </c>
      <c r="C522">
        <v>888</v>
      </c>
      <c r="D522" t="s">
        <v>2633</v>
      </c>
      <c r="E522" t="str">
        <f>IF(NOT(ISERROR(VLOOKUP(D522,'ESO DungeonFinder'!$A$2:$A$999,1,FALSE))),"X","")</f>
        <v/>
      </c>
      <c r="F522" s="70" t="str">
        <f t="shared" si="36"/>
        <v/>
      </c>
      <c r="G522" s="70" t="str">
        <f t="shared" si="37"/>
        <v>Craglorn</v>
      </c>
      <c r="H522" s="70">
        <f t="shared" si="38"/>
        <v>904</v>
      </c>
      <c r="I522" s="70">
        <f t="shared" si="39"/>
        <v>888</v>
      </c>
      <c r="J522">
        <v>0</v>
      </c>
      <c r="K522" s="3" t="str">
        <f>VLOOKUP(J522,ConstDLCIds!$A$4:$B$1000,2,FALSE)</f>
        <v>DLC_BASE_GAME</v>
      </c>
      <c r="L522" s="3" t="str">
        <f>VLOOKUP(J522,ConstDLCIds!$A$4:$C$1000,3,FALSE)</f>
        <v>Included in base game</v>
      </c>
    </row>
    <row r="523" spans="1:12" x14ac:dyDescent="0.25">
      <c r="A523">
        <v>905</v>
      </c>
      <c r="B523">
        <v>518</v>
      </c>
      <c r="C523">
        <v>888</v>
      </c>
      <c r="D523" t="s">
        <v>2634</v>
      </c>
      <c r="E523" t="str">
        <f>IF(NOT(ISERROR(VLOOKUP(D523,'ESO DungeonFinder'!$A$2:$A$999,1,FALSE))),"X","")</f>
        <v/>
      </c>
      <c r="F523" s="70" t="str">
        <f t="shared" si="36"/>
        <v/>
      </c>
      <c r="G523" s="70" t="str">
        <f t="shared" si="37"/>
        <v>Craglorn</v>
      </c>
      <c r="H523" s="70">
        <f t="shared" si="38"/>
        <v>905</v>
      </c>
      <c r="I523" s="70">
        <f t="shared" si="39"/>
        <v>888</v>
      </c>
      <c r="J523">
        <v>0</v>
      </c>
      <c r="K523" s="3" t="str">
        <f>VLOOKUP(J523,ConstDLCIds!$A$4:$B$1000,2,FALSE)</f>
        <v>DLC_BASE_GAME</v>
      </c>
      <c r="L523" s="3" t="str">
        <f>VLOOKUP(J523,ConstDLCIds!$A$4:$C$1000,3,FALSE)</f>
        <v>Included in base game</v>
      </c>
    </row>
    <row r="524" spans="1:12" x14ac:dyDescent="0.25">
      <c r="A524">
        <v>906</v>
      </c>
      <c r="B524">
        <v>519</v>
      </c>
      <c r="C524">
        <v>888</v>
      </c>
      <c r="D524" t="s">
        <v>2635</v>
      </c>
      <c r="E524" t="str">
        <f>IF(NOT(ISERROR(VLOOKUP(D524,'ESO DungeonFinder'!$A$2:$A$999,1,FALSE))),"X","")</f>
        <v/>
      </c>
      <c r="F524" s="70" t="str">
        <f t="shared" si="36"/>
        <v/>
      </c>
      <c r="G524" s="70" t="str">
        <f t="shared" si="37"/>
        <v>Craglorn</v>
      </c>
      <c r="H524" s="70">
        <f t="shared" si="38"/>
        <v>906</v>
      </c>
      <c r="I524" s="70">
        <f t="shared" si="39"/>
        <v>888</v>
      </c>
      <c r="J524">
        <v>0</v>
      </c>
      <c r="K524" s="3" t="str">
        <f>VLOOKUP(J524,ConstDLCIds!$A$4:$B$1000,2,FALSE)</f>
        <v>DLC_BASE_GAME</v>
      </c>
      <c r="L524" s="3" t="str">
        <f>VLOOKUP(J524,ConstDLCIds!$A$4:$C$1000,3,FALSE)</f>
        <v>Included in base game</v>
      </c>
    </row>
    <row r="525" spans="1:12" x14ac:dyDescent="0.25">
      <c r="A525">
        <v>907</v>
      </c>
      <c r="B525">
        <v>520</v>
      </c>
      <c r="C525">
        <v>888</v>
      </c>
      <c r="D525" t="s">
        <v>2636</v>
      </c>
      <c r="E525" t="str">
        <f>IF(NOT(ISERROR(VLOOKUP(D525,'ESO DungeonFinder'!$A$2:$A$999,1,FALSE))),"X","")</f>
        <v/>
      </c>
      <c r="F525" s="70" t="str">
        <f t="shared" si="36"/>
        <v/>
      </c>
      <c r="G525" s="70" t="str">
        <f t="shared" si="37"/>
        <v>Craglorn</v>
      </c>
      <c r="H525" s="70">
        <f t="shared" si="38"/>
        <v>907</v>
      </c>
      <c r="I525" s="70">
        <f t="shared" si="39"/>
        <v>888</v>
      </c>
      <c r="J525">
        <v>0</v>
      </c>
      <c r="K525" s="3" t="str">
        <f>VLOOKUP(J525,ConstDLCIds!$A$4:$B$1000,2,FALSE)</f>
        <v>DLC_BASE_GAME</v>
      </c>
      <c r="L525" s="3" t="str">
        <f>VLOOKUP(J525,ConstDLCIds!$A$4:$C$1000,3,FALSE)</f>
        <v>Included in base game</v>
      </c>
    </row>
    <row r="526" spans="1:12" x14ac:dyDescent="0.25">
      <c r="A526">
        <v>908</v>
      </c>
      <c r="B526">
        <v>521</v>
      </c>
      <c r="C526">
        <v>888</v>
      </c>
      <c r="D526" t="s">
        <v>2637</v>
      </c>
      <c r="E526" t="str">
        <f>IF(NOT(ISERROR(VLOOKUP(D526,'ESO DungeonFinder'!$A$2:$A$999,1,FALSE))),"X","")</f>
        <v/>
      </c>
      <c r="F526" s="70" t="str">
        <f t="shared" si="36"/>
        <v/>
      </c>
      <c r="G526" s="70" t="str">
        <f t="shared" si="37"/>
        <v>Craglorn</v>
      </c>
      <c r="H526" s="70">
        <f t="shared" si="38"/>
        <v>908</v>
      </c>
      <c r="I526" s="70">
        <f t="shared" si="39"/>
        <v>888</v>
      </c>
      <c r="J526">
        <v>0</v>
      </c>
      <c r="K526" s="3" t="str">
        <f>VLOOKUP(J526,ConstDLCIds!$A$4:$B$1000,2,FALSE)</f>
        <v>DLC_BASE_GAME</v>
      </c>
      <c r="L526" s="3" t="str">
        <f>VLOOKUP(J526,ConstDLCIds!$A$4:$C$1000,3,FALSE)</f>
        <v>Included in base game</v>
      </c>
    </row>
    <row r="527" spans="1:12" x14ac:dyDescent="0.25">
      <c r="A527">
        <v>909</v>
      </c>
      <c r="B527">
        <v>522</v>
      </c>
      <c r="C527">
        <v>888</v>
      </c>
      <c r="D527" t="s">
        <v>2638</v>
      </c>
      <c r="E527" t="str">
        <f>IF(NOT(ISERROR(VLOOKUP(D527,'ESO DungeonFinder'!$A$2:$A$999,1,FALSE))),"X","")</f>
        <v/>
      </c>
      <c r="F527" s="70" t="str">
        <f t="shared" si="36"/>
        <v/>
      </c>
      <c r="G527" s="70" t="str">
        <f t="shared" si="37"/>
        <v>Craglorn</v>
      </c>
      <c r="H527" s="70">
        <f t="shared" si="38"/>
        <v>909</v>
      </c>
      <c r="I527" s="70">
        <f t="shared" si="39"/>
        <v>888</v>
      </c>
      <c r="J527">
        <v>0</v>
      </c>
      <c r="K527" s="3" t="str">
        <f>VLOOKUP(J527,ConstDLCIds!$A$4:$B$1000,2,FALSE)</f>
        <v>DLC_BASE_GAME</v>
      </c>
      <c r="L527" s="3" t="str">
        <f>VLOOKUP(J527,ConstDLCIds!$A$4:$C$1000,3,FALSE)</f>
        <v>Included in base game</v>
      </c>
    </row>
    <row r="528" spans="1:12" x14ac:dyDescent="0.25">
      <c r="A528">
        <v>910</v>
      </c>
      <c r="B528">
        <v>523</v>
      </c>
      <c r="C528">
        <v>888</v>
      </c>
      <c r="D528" t="s">
        <v>2639</v>
      </c>
      <c r="E528" t="str">
        <f>IF(NOT(ISERROR(VLOOKUP(D528,'ESO DungeonFinder'!$A$2:$A$999,1,FALSE))),"X","")</f>
        <v/>
      </c>
      <c r="F528" s="70" t="str">
        <f t="shared" si="36"/>
        <v/>
      </c>
      <c r="G528" s="70" t="str">
        <f t="shared" si="37"/>
        <v>Craglorn</v>
      </c>
      <c r="H528" s="70">
        <f t="shared" si="38"/>
        <v>910</v>
      </c>
      <c r="I528" s="70">
        <f t="shared" si="39"/>
        <v>888</v>
      </c>
      <c r="J528">
        <v>0</v>
      </c>
      <c r="K528" s="3" t="str">
        <f>VLOOKUP(J528,ConstDLCIds!$A$4:$B$1000,2,FALSE)</f>
        <v>DLC_BASE_GAME</v>
      </c>
      <c r="L528" s="3" t="str">
        <f>VLOOKUP(J528,ConstDLCIds!$A$4:$C$1000,3,FALSE)</f>
        <v>Included in base game</v>
      </c>
    </row>
    <row r="529" spans="1:12" x14ac:dyDescent="0.25">
      <c r="A529">
        <v>911</v>
      </c>
      <c r="B529">
        <v>524</v>
      </c>
      <c r="C529">
        <v>888</v>
      </c>
      <c r="D529" t="s">
        <v>2640</v>
      </c>
      <c r="E529" t="str">
        <f>IF(NOT(ISERROR(VLOOKUP(D529,'ESO DungeonFinder'!$A$2:$A$999,1,FALSE))),"X","")</f>
        <v/>
      </c>
      <c r="F529" s="70" t="str">
        <f t="shared" si="36"/>
        <v/>
      </c>
      <c r="G529" s="70" t="str">
        <f t="shared" si="37"/>
        <v>Craglorn</v>
      </c>
      <c r="H529" s="70">
        <f t="shared" si="38"/>
        <v>911</v>
      </c>
      <c r="I529" s="70">
        <f t="shared" si="39"/>
        <v>888</v>
      </c>
      <c r="J529">
        <v>0</v>
      </c>
      <c r="K529" s="3" t="str">
        <f>VLOOKUP(J529,ConstDLCIds!$A$4:$B$1000,2,FALSE)</f>
        <v>DLC_BASE_GAME</v>
      </c>
      <c r="L529" s="3" t="str">
        <f>VLOOKUP(J529,ConstDLCIds!$A$4:$C$1000,3,FALSE)</f>
        <v>Included in base game</v>
      </c>
    </row>
    <row r="530" spans="1:12" x14ac:dyDescent="0.25">
      <c r="A530">
        <v>913</v>
      </c>
      <c r="B530">
        <v>525</v>
      </c>
      <c r="C530">
        <v>888</v>
      </c>
      <c r="D530" t="s">
        <v>2641</v>
      </c>
      <c r="E530" t="str">
        <f>IF(NOT(ISERROR(VLOOKUP(D530,'ESO DungeonFinder'!$A$2:$A$999,1,FALSE))),"X","")</f>
        <v/>
      </c>
      <c r="F530" s="70" t="str">
        <f t="shared" si="36"/>
        <v/>
      </c>
      <c r="G530" s="70" t="str">
        <f t="shared" si="37"/>
        <v>Craglorn</v>
      </c>
      <c r="H530" s="70">
        <f t="shared" si="38"/>
        <v>913</v>
      </c>
      <c r="I530" s="70">
        <f t="shared" si="39"/>
        <v>888</v>
      </c>
      <c r="J530">
        <v>0</v>
      </c>
      <c r="K530" s="3" t="str">
        <f>VLOOKUP(J530,ConstDLCIds!$A$4:$B$1000,2,FALSE)</f>
        <v>DLC_BASE_GAME</v>
      </c>
      <c r="L530" s="3" t="str">
        <f>VLOOKUP(J530,ConstDLCIds!$A$4:$C$1000,3,FALSE)</f>
        <v>Included in base game</v>
      </c>
    </row>
    <row r="531" spans="1:12" x14ac:dyDescent="0.25">
      <c r="A531">
        <v>914</v>
      </c>
      <c r="B531">
        <v>526</v>
      </c>
      <c r="C531">
        <v>888</v>
      </c>
      <c r="D531" t="s">
        <v>2642</v>
      </c>
      <c r="E531" t="str">
        <f>IF(NOT(ISERROR(VLOOKUP(D531,'ESO DungeonFinder'!$A$2:$A$999,1,FALSE))),"X","")</f>
        <v/>
      </c>
      <c r="F531" s="70" t="str">
        <f t="shared" si="36"/>
        <v/>
      </c>
      <c r="G531" s="70" t="str">
        <f t="shared" si="37"/>
        <v>Craglorn</v>
      </c>
      <c r="H531" s="70">
        <f t="shared" si="38"/>
        <v>914</v>
      </c>
      <c r="I531" s="70">
        <f t="shared" si="39"/>
        <v>888</v>
      </c>
      <c r="J531">
        <v>0</v>
      </c>
      <c r="K531" s="3" t="str">
        <f>VLOOKUP(J531,ConstDLCIds!$A$4:$B$1000,2,FALSE)</f>
        <v>DLC_BASE_GAME</v>
      </c>
      <c r="L531" s="3" t="str">
        <f>VLOOKUP(J531,ConstDLCIds!$A$4:$C$1000,3,FALSE)</f>
        <v>Included in base game</v>
      </c>
    </row>
    <row r="532" spans="1:12" x14ac:dyDescent="0.25">
      <c r="A532">
        <v>915</v>
      </c>
      <c r="B532">
        <v>527</v>
      </c>
      <c r="C532">
        <v>888</v>
      </c>
      <c r="D532" t="s">
        <v>2643</v>
      </c>
      <c r="E532" t="str">
        <f>IF(NOT(ISERROR(VLOOKUP(D532,'ESO DungeonFinder'!$A$2:$A$999,1,FALSE))),"X","")</f>
        <v/>
      </c>
      <c r="F532" s="70" t="str">
        <f t="shared" si="36"/>
        <v/>
      </c>
      <c r="G532" s="70" t="str">
        <f t="shared" si="37"/>
        <v>Craglorn</v>
      </c>
      <c r="H532" s="70">
        <f t="shared" si="38"/>
        <v>915</v>
      </c>
      <c r="I532" s="70">
        <f t="shared" si="39"/>
        <v>888</v>
      </c>
      <c r="J532">
        <v>0</v>
      </c>
      <c r="K532" s="3" t="str">
        <f>VLOOKUP(J532,ConstDLCIds!$A$4:$B$1000,2,FALSE)</f>
        <v>DLC_BASE_GAME</v>
      </c>
      <c r="L532" s="3" t="str">
        <f>VLOOKUP(J532,ConstDLCIds!$A$4:$C$1000,3,FALSE)</f>
        <v>Included in base game</v>
      </c>
    </row>
    <row r="533" spans="1:12" x14ac:dyDescent="0.25">
      <c r="A533">
        <v>916</v>
      </c>
      <c r="B533">
        <v>528</v>
      </c>
      <c r="C533">
        <v>888</v>
      </c>
      <c r="D533" t="s">
        <v>2644</v>
      </c>
      <c r="E533" t="str">
        <f>IF(NOT(ISERROR(VLOOKUP(D533,'ESO DungeonFinder'!$A$2:$A$999,1,FALSE))),"X","")</f>
        <v/>
      </c>
      <c r="F533" s="70" t="str">
        <f t="shared" si="36"/>
        <v/>
      </c>
      <c r="G533" s="70" t="str">
        <f t="shared" si="37"/>
        <v>Craglorn</v>
      </c>
      <c r="H533" s="70">
        <f t="shared" si="38"/>
        <v>916</v>
      </c>
      <c r="I533" s="70">
        <f t="shared" si="39"/>
        <v>888</v>
      </c>
      <c r="J533">
        <v>0</v>
      </c>
      <c r="K533" s="3" t="str">
        <f>VLOOKUP(J533,ConstDLCIds!$A$4:$B$1000,2,FALSE)</f>
        <v>DLC_BASE_GAME</v>
      </c>
      <c r="L533" s="3" t="str">
        <f>VLOOKUP(J533,ConstDLCIds!$A$4:$C$1000,3,FALSE)</f>
        <v>Included in base game</v>
      </c>
    </row>
    <row r="534" spans="1:12" x14ac:dyDescent="0.25">
      <c r="A534">
        <v>917</v>
      </c>
      <c r="B534">
        <v>529</v>
      </c>
      <c r="C534">
        <v>917</v>
      </c>
      <c r="D534" t="s">
        <v>2645</v>
      </c>
      <c r="E534" t="str">
        <f>IF(NOT(ISERROR(VLOOKUP(D534,'ESO DungeonFinder'!$A$2:$A$999,1,FALSE))),"X","")</f>
        <v/>
      </c>
      <c r="F534" s="70" t="str">
        <f t="shared" si="36"/>
        <v>X</v>
      </c>
      <c r="G534" s="70" t="str">
        <f t="shared" si="37"/>
        <v/>
      </c>
      <c r="H534" s="70">
        <f t="shared" si="38"/>
        <v>917</v>
      </c>
      <c r="I534" s="70">
        <f t="shared" si="39"/>
        <v>917</v>
      </c>
      <c r="J534">
        <v>25</v>
      </c>
      <c r="K534" s="3" t="str">
        <f ca="1">VLOOKUP(J534,ConstDLCIds!$A$4:$B$1000,2,FALSE)</f>
        <v>DLC_ASCENDING_TIDE</v>
      </c>
      <c r="L534" s="3" t="str">
        <f ca="1">VLOOKUP(J534,ConstDLCIds!$A$4:$C$1000,3,FALSE)</f>
        <v>Ascending Tide</v>
      </c>
    </row>
    <row r="535" spans="1:12" x14ac:dyDescent="0.25">
      <c r="A535">
        <v>918</v>
      </c>
      <c r="B535">
        <v>530</v>
      </c>
      <c r="C535">
        <v>849</v>
      </c>
      <c r="D535" t="s">
        <v>1038</v>
      </c>
      <c r="E535" t="str">
        <f>IF(NOT(ISERROR(VLOOKUP(D535,'ESO DungeonFinder'!$A$2:$A$999,1,FALSE))),"X","")</f>
        <v/>
      </c>
      <c r="F535" s="70" t="str">
        <f t="shared" si="36"/>
        <v/>
      </c>
      <c r="G535" s="70" t="str">
        <f t="shared" si="37"/>
        <v>Vvardenfell</v>
      </c>
      <c r="H535" s="70">
        <f t="shared" si="38"/>
        <v>918</v>
      </c>
      <c r="I535" s="70">
        <f t="shared" si="39"/>
        <v>849</v>
      </c>
      <c r="J535">
        <v>6</v>
      </c>
      <c r="K535" s="3" t="str">
        <f ca="1">VLOOKUP(J535,ConstDLCIds!$A$4:$B$1000,2,FALSE)</f>
        <v>DLC_MORROWIND</v>
      </c>
      <c r="L535" s="3" t="str">
        <f ca="1">VLOOKUP(J535,ConstDLCIds!$A$4:$C$1000,3,FALSE)</f>
        <v>Morrowind</v>
      </c>
    </row>
    <row r="536" spans="1:12" x14ac:dyDescent="0.25">
      <c r="A536">
        <v>919</v>
      </c>
      <c r="B536">
        <v>531</v>
      </c>
      <c r="C536">
        <v>849</v>
      </c>
      <c r="D536" t="s">
        <v>2189</v>
      </c>
      <c r="E536" t="str">
        <f>IF(NOT(ISERROR(VLOOKUP(D536,'ESO DungeonFinder'!$A$2:$A$999,1,FALSE))),"X","")</f>
        <v/>
      </c>
      <c r="F536" s="70" t="str">
        <f t="shared" si="36"/>
        <v/>
      </c>
      <c r="G536" s="70" t="str">
        <f t="shared" si="37"/>
        <v>Vvardenfell</v>
      </c>
      <c r="H536" s="70">
        <f t="shared" si="38"/>
        <v>919</v>
      </c>
      <c r="I536" s="70">
        <f t="shared" si="39"/>
        <v>849</v>
      </c>
      <c r="J536">
        <v>6</v>
      </c>
      <c r="K536" s="3" t="str">
        <f ca="1">VLOOKUP(J536,ConstDLCIds!$A$4:$B$1000,2,FALSE)</f>
        <v>DLC_MORROWIND</v>
      </c>
      <c r="L536" s="3" t="str">
        <f ca="1">VLOOKUP(J536,ConstDLCIds!$A$4:$C$1000,3,FALSE)</f>
        <v>Morrowind</v>
      </c>
    </row>
    <row r="537" spans="1:12" x14ac:dyDescent="0.25">
      <c r="A537">
        <v>920</v>
      </c>
      <c r="B537">
        <v>532</v>
      </c>
      <c r="C537">
        <v>849</v>
      </c>
      <c r="D537" t="s">
        <v>2646</v>
      </c>
      <c r="E537" t="str">
        <f>IF(NOT(ISERROR(VLOOKUP(D537,'ESO DungeonFinder'!$A$2:$A$999,1,FALSE))),"X","")</f>
        <v/>
      </c>
      <c r="F537" s="70" t="str">
        <f t="shared" si="36"/>
        <v/>
      </c>
      <c r="G537" s="70" t="str">
        <f t="shared" si="37"/>
        <v>Vvardenfell</v>
      </c>
      <c r="H537" s="70">
        <f t="shared" si="38"/>
        <v>920</v>
      </c>
      <c r="I537" s="70">
        <f t="shared" si="39"/>
        <v>849</v>
      </c>
      <c r="J537">
        <v>6</v>
      </c>
      <c r="K537" s="3" t="str">
        <f ca="1">VLOOKUP(J537,ConstDLCIds!$A$4:$B$1000,2,FALSE)</f>
        <v>DLC_MORROWIND</v>
      </c>
      <c r="L537" s="3" t="str">
        <f ca="1">VLOOKUP(J537,ConstDLCIds!$A$4:$C$1000,3,FALSE)</f>
        <v>Morrowind</v>
      </c>
    </row>
    <row r="538" spans="1:12" x14ac:dyDescent="0.25">
      <c r="A538">
        <v>921</v>
      </c>
      <c r="B538">
        <v>533</v>
      </c>
      <c r="C538">
        <v>849</v>
      </c>
      <c r="D538" t="s">
        <v>2647</v>
      </c>
      <c r="E538" t="str">
        <f>IF(NOT(ISERROR(VLOOKUP(D538,'ESO DungeonFinder'!$A$2:$A$999,1,FALSE))),"X","")</f>
        <v/>
      </c>
      <c r="F538" s="70" t="str">
        <f t="shared" si="36"/>
        <v/>
      </c>
      <c r="G538" s="70" t="str">
        <f t="shared" si="37"/>
        <v>Vvardenfell</v>
      </c>
      <c r="H538" s="70">
        <f t="shared" si="38"/>
        <v>921</v>
      </c>
      <c r="I538" s="70">
        <f t="shared" si="39"/>
        <v>849</v>
      </c>
      <c r="J538">
        <v>6</v>
      </c>
      <c r="K538" s="3" t="str">
        <f ca="1">VLOOKUP(J538,ConstDLCIds!$A$4:$B$1000,2,FALSE)</f>
        <v>DLC_MORROWIND</v>
      </c>
      <c r="L538" s="3" t="str">
        <f ca="1">VLOOKUP(J538,ConstDLCIds!$A$4:$C$1000,3,FALSE)</f>
        <v>Morrowind</v>
      </c>
    </row>
    <row r="539" spans="1:12" x14ac:dyDescent="0.25">
      <c r="A539">
        <v>922</v>
      </c>
      <c r="B539">
        <v>534</v>
      </c>
      <c r="C539">
        <v>849</v>
      </c>
      <c r="D539" t="s">
        <v>2648</v>
      </c>
      <c r="E539" t="str">
        <f>IF(NOT(ISERROR(VLOOKUP(D539,'ESO DungeonFinder'!$A$2:$A$999,1,FALSE))),"X","")</f>
        <v/>
      </c>
      <c r="F539" s="70" t="str">
        <f t="shared" si="36"/>
        <v/>
      </c>
      <c r="G539" s="70" t="str">
        <f t="shared" si="37"/>
        <v>Vvardenfell</v>
      </c>
      <c r="H539" s="70">
        <f t="shared" si="38"/>
        <v>922</v>
      </c>
      <c r="I539" s="70">
        <f t="shared" si="39"/>
        <v>849</v>
      </c>
      <c r="J539">
        <v>6</v>
      </c>
      <c r="K539" s="3" t="str">
        <f ca="1">VLOOKUP(J539,ConstDLCIds!$A$4:$B$1000,2,FALSE)</f>
        <v>DLC_MORROWIND</v>
      </c>
      <c r="L539" s="3" t="str">
        <f ca="1">VLOOKUP(J539,ConstDLCIds!$A$4:$C$1000,3,FALSE)</f>
        <v>Morrowind</v>
      </c>
    </row>
    <row r="540" spans="1:12" x14ac:dyDescent="0.25">
      <c r="A540">
        <v>923</v>
      </c>
      <c r="B540">
        <v>535</v>
      </c>
      <c r="C540">
        <v>849</v>
      </c>
      <c r="D540" t="s">
        <v>2649</v>
      </c>
      <c r="E540" t="str">
        <f>IF(NOT(ISERROR(VLOOKUP(D540,'ESO DungeonFinder'!$A$2:$A$999,1,FALSE))),"X","")</f>
        <v/>
      </c>
      <c r="F540" s="70" t="str">
        <f t="shared" si="36"/>
        <v/>
      </c>
      <c r="G540" s="70" t="str">
        <f t="shared" si="37"/>
        <v>Vvardenfell</v>
      </c>
      <c r="H540" s="70">
        <f t="shared" si="38"/>
        <v>923</v>
      </c>
      <c r="I540" s="70">
        <f t="shared" si="39"/>
        <v>849</v>
      </c>
      <c r="J540">
        <v>6</v>
      </c>
      <c r="K540" s="3" t="str">
        <f ca="1">VLOOKUP(J540,ConstDLCIds!$A$4:$B$1000,2,FALSE)</f>
        <v>DLC_MORROWIND</v>
      </c>
      <c r="L540" s="3" t="str">
        <f ca="1">VLOOKUP(J540,ConstDLCIds!$A$4:$C$1000,3,FALSE)</f>
        <v>Morrowind</v>
      </c>
    </row>
    <row r="541" spans="1:12" x14ac:dyDescent="0.25">
      <c r="A541">
        <v>924</v>
      </c>
      <c r="B541">
        <v>536</v>
      </c>
      <c r="C541">
        <v>849</v>
      </c>
      <c r="D541" t="s">
        <v>2650</v>
      </c>
      <c r="E541" t="str">
        <f>IF(NOT(ISERROR(VLOOKUP(D541,'ESO DungeonFinder'!$A$2:$A$999,1,FALSE))),"X","")</f>
        <v/>
      </c>
      <c r="F541" s="70" t="str">
        <f t="shared" si="36"/>
        <v/>
      </c>
      <c r="G541" s="70" t="str">
        <f t="shared" si="37"/>
        <v>Vvardenfell</v>
      </c>
      <c r="H541" s="70">
        <f t="shared" si="38"/>
        <v>924</v>
      </c>
      <c r="I541" s="70">
        <f t="shared" si="39"/>
        <v>849</v>
      </c>
      <c r="J541">
        <v>6</v>
      </c>
      <c r="K541" s="3" t="str">
        <f ca="1">VLOOKUP(J541,ConstDLCIds!$A$4:$B$1000,2,FALSE)</f>
        <v>DLC_MORROWIND</v>
      </c>
      <c r="L541" s="3" t="str">
        <f ca="1">VLOOKUP(J541,ConstDLCIds!$A$4:$C$1000,3,FALSE)</f>
        <v>Morrowind</v>
      </c>
    </row>
    <row r="542" spans="1:12" x14ac:dyDescent="0.25">
      <c r="A542">
        <v>925</v>
      </c>
      <c r="B542">
        <v>537</v>
      </c>
      <c r="C542">
        <v>849</v>
      </c>
      <c r="D542" t="s">
        <v>2651</v>
      </c>
      <c r="E542" t="str">
        <f>IF(NOT(ISERROR(VLOOKUP(D542,'ESO DungeonFinder'!$A$2:$A$999,1,FALSE))),"X","")</f>
        <v/>
      </c>
      <c r="F542" s="70" t="str">
        <f t="shared" si="36"/>
        <v/>
      </c>
      <c r="G542" s="70" t="str">
        <f t="shared" si="37"/>
        <v>Vvardenfell</v>
      </c>
      <c r="H542" s="70">
        <f t="shared" si="38"/>
        <v>925</v>
      </c>
      <c r="I542" s="70">
        <f t="shared" si="39"/>
        <v>849</v>
      </c>
      <c r="J542">
        <v>6</v>
      </c>
      <c r="K542" s="3" t="str">
        <f ca="1">VLOOKUP(J542,ConstDLCIds!$A$4:$B$1000,2,FALSE)</f>
        <v>DLC_MORROWIND</v>
      </c>
      <c r="L542" s="3" t="str">
        <f ca="1">VLOOKUP(J542,ConstDLCIds!$A$4:$C$1000,3,FALSE)</f>
        <v>Morrowind</v>
      </c>
    </row>
    <row r="543" spans="1:12" x14ac:dyDescent="0.25">
      <c r="A543">
        <v>926</v>
      </c>
      <c r="B543">
        <v>538</v>
      </c>
      <c r="C543">
        <v>849</v>
      </c>
      <c r="D543" t="s">
        <v>2652</v>
      </c>
      <c r="E543" t="str">
        <f>IF(NOT(ISERROR(VLOOKUP(D543,'ESO DungeonFinder'!$A$2:$A$999,1,FALSE))),"X","")</f>
        <v/>
      </c>
      <c r="F543" s="70" t="str">
        <f t="shared" si="36"/>
        <v/>
      </c>
      <c r="G543" s="70" t="str">
        <f t="shared" si="37"/>
        <v>Vvardenfell</v>
      </c>
      <c r="H543" s="70">
        <f t="shared" si="38"/>
        <v>926</v>
      </c>
      <c r="I543" s="70">
        <f t="shared" si="39"/>
        <v>849</v>
      </c>
      <c r="J543">
        <v>6</v>
      </c>
      <c r="K543" s="3" t="str">
        <f ca="1">VLOOKUP(J543,ConstDLCIds!$A$4:$B$1000,2,FALSE)</f>
        <v>DLC_MORROWIND</v>
      </c>
      <c r="L543" s="3" t="str">
        <f ca="1">VLOOKUP(J543,ConstDLCIds!$A$4:$C$1000,3,FALSE)</f>
        <v>Morrowind</v>
      </c>
    </row>
    <row r="544" spans="1:12" x14ac:dyDescent="0.25">
      <c r="A544">
        <v>927</v>
      </c>
      <c r="B544">
        <v>539</v>
      </c>
      <c r="C544">
        <v>849</v>
      </c>
      <c r="D544" t="s">
        <v>2653</v>
      </c>
      <c r="E544" t="str">
        <f>IF(NOT(ISERROR(VLOOKUP(D544,'ESO DungeonFinder'!$A$2:$A$999,1,FALSE))),"X","")</f>
        <v/>
      </c>
      <c r="F544" s="70" t="str">
        <f t="shared" si="36"/>
        <v/>
      </c>
      <c r="G544" s="70" t="str">
        <f t="shared" si="37"/>
        <v>Vvardenfell</v>
      </c>
      <c r="H544" s="70">
        <f t="shared" si="38"/>
        <v>927</v>
      </c>
      <c r="I544" s="70">
        <f t="shared" si="39"/>
        <v>849</v>
      </c>
      <c r="J544">
        <v>6</v>
      </c>
      <c r="K544" s="3" t="str">
        <f ca="1">VLOOKUP(J544,ConstDLCIds!$A$4:$B$1000,2,FALSE)</f>
        <v>DLC_MORROWIND</v>
      </c>
      <c r="L544" s="3" t="str">
        <f ca="1">VLOOKUP(J544,ConstDLCIds!$A$4:$C$1000,3,FALSE)</f>
        <v>Morrowind</v>
      </c>
    </row>
    <row r="545" spans="1:12" x14ac:dyDescent="0.25">
      <c r="A545">
        <v>928</v>
      </c>
      <c r="B545">
        <v>540</v>
      </c>
      <c r="C545">
        <v>849</v>
      </c>
      <c r="D545" t="s">
        <v>2654</v>
      </c>
      <c r="E545" t="str">
        <f>IF(NOT(ISERROR(VLOOKUP(D545,'ESO DungeonFinder'!$A$2:$A$999,1,FALSE))),"X","")</f>
        <v/>
      </c>
      <c r="F545" s="70" t="str">
        <f t="shared" si="36"/>
        <v/>
      </c>
      <c r="G545" s="70" t="str">
        <f t="shared" si="37"/>
        <v>Vvardenfell</v>
      </c>
      <c r="H545" s="70">
        <f t="shared" si="38"/>
        <v>928</v>
      </c>
      <c r="I545" s="70">
        <f t="shared" si="39"/>
        <v>849</v>
      </c>
      <c r="J545">
        <v>6</v>
      </c>
      <c r="K545" s="3" t="str">
        <f ca="1">VLOOKUP(J545,ConstDLCIds!$A$4:$B$1000,2,FALSE)</f>
        <v>DLC_MORROWIND</v>
      </c>
      <c r="L545" s="3" t="str">
        <f ca="1">VLOOKUP(J545,ConstDLCIds!$A$4:$C$1000,3,FALSE)</f>
        <v>Morrowind</v>
      </c>
    </row>
    <row r="546" spans="1:12" x14ac:dyDescent="0.25">
      <c r="A546">
        <v>929</v>
      </c>
      <c r="B546">
        <v>541</v>
      </c>
      <c r="C546">
        <v>849</v>
      </c>
      <c r="D546" t="s">
        <v>2655</v>
      </c>
      <c r="E546" t="str">
        <f>IF(NOT(ISERROR(VLOOKUP(D546,'ESO DungeonFinder'!$A$2:$A$999,1,FALSE))),"X","")</f>
        <v/>
      </c>
      <c r="F546" s="70" t="str">
        <f t="shared" si="36"/>
        <v/>
      </c>
      <c r="G546" s="70" t="str">
        <f t="shared" si="37"/>
        <v>Vvardenfell</v>
      </c>
      <c r="H546" s="70">
        <f t="shared" si="38"/>
        <v>929</v>
      </c>
      <c r="I546" s="70">
        <f t="shared" si="39"/>
        <v>849</v>
      </c>
      <c r="J546">
        <v>6</v>
      </c>
      <c r="K546" s="3" t="str">
        <f ca="1">VLOOKUP(J546,ConstDLCIds!$A$4:$B$1000,2,FALSE)</f>
        <v>DLC_MORROWIND</v>
      </c>
      <c r="L546" s="3" t="str">
        <f ca="1">VLOOKUP(J546,ConstDLCIds!$A$4:$C$1000,3,FALSE)</f>
        <v>Morrowind</v>
      </c>
    </row>
    <row r="547" spans="1:12" x14ac:dyDescent="0.25">
      <c r="A547">
        <v>930</v>
      </c>
      <c r="B547">
        <v>542</v>
      </c>
      <c r="C547">
        <v>57</v>
      </c>
      <c r="D547" t="s">
        <v>732</v>
      </c>
      <c r="E547" t="str">
        <f>IF(NOT(ISERROR(VLOOKUP(D547,'ESO DungeonFinder'!$A$2:$A$999,1,FALSE))),"X","")</f>
        <v>X</v>
      </c>
      <c r="F547" s="70" t="str">
        <f t="shared" si="36"/>
        <v/>
      </c>
      <c r="G547" s="70" t="str">
        <f t="shared" si="37"/>
        <v>Deshaan</v>
      </c>
      <c r="H547" s="70">
        <f t="shared" si="38"/>
        <v>930</v>
      </c>
      <c r="I547" s="70">
        <f t="shared" si="39"/>
        <v>57</v>
      </c>
      <c r="J547">
        <v>0</v>
      </c>
      <c r="K547" s="3" t="str">
        <f>VLOOKUP(J547,ConstDLCIds!$A$4:$B$1000,2,FALSE)</f>
        <v>DLC_BASE_GAME</v>
      </c>
      <c r="L547" s="3" t="str">
        <f>VLOOKUP(J547,ConstDLCIds!$A$4:$C$1000,3,FALSE)</f>
        <v>Included in base game</v>
      </c>
    </row>
    <row r="548" spans="1:12" x14ac:dyDescent="0.25">
      <c r="A548">
        <v>931</v>
      </c>
      <c r="B548">
        <v>543</v>
      </c>
      <c r="C548">
        <v>383</v>
      </c>
      <c r="D548" t="s">
        <v>737</v>
      </c>
      <c r="E548" t="str">
        <f>IF(NOT(ISERROR(VLOOKUP(D548,'ESO DungeonFinder'!$A$2:$A$999,1,FALSE))),"X","")</f>
        <v>X</v>
      </c>
      <c r="F548" s="70" t="str">
        <f t="shared" si="36"/>
        <v/>
      </c>
      <c r="G548" s="70" t="str">
        <f t="shared" si="37"/>
        <v>Grahtwood</v>
      </c>
      <c r="H548" s="70">
        <f t="shared" si="38"/>
        <v>931</v>
      </c>
      <c r="I548" s="70">
        <f t="shared" si="39"/>
        <v>383</v>
      </c>
      <c r="J548">
        <v>0</v>
      </c>
      <c r="K548" s="3" t="str">
        <f>VLOOKUP(J548,ConstDLCIds!$A$4:$B$1000,2,FALSE)</f>
        <v>DLC_BASE_GAME</v>
      </c>
      <c r="L548" s="3" t="str">
        <f>VLOOKUP(J548,ConstDLCIds!$A$4:$C$1000,3,FALSE)</f>
        <v>Included in base game</v>
      </c>
    </row>
    <row r="549" spans="1:12" x14ac:dyDescent="0.25">
      <c r="A549">
        <v>932</v>
      </c>
      <c r="B549">
        <v>544</v>
      </c>
      <c r="C549">
        <v>20</v>
      </c>
      <c r="D549" t="s">
        <v>742</v>
      </c>
      <c r="E549" t="str">
        <f>IF(NOT(ISERROR(VLOOKUP(D549,'ESO DungeonFinder'!$A$2:$A$999,1,FALSE))),"X","")</f>
        <v>X</v>
      </c>
      <c r="F549" s="70" t="str">
        <f t="shared" si="36"/>
        <v/>
      </c>
      <c r="G549" s="70" t="str">
        <f t="shared" si="37"/>
        <v>Rivenspire</v>
      </c>
      <c r="H549" s="70">
        <f t="shared" si="38"/>
        <v>932</v>
      </c>
      <c r="I549" s="70">
        <f t="shared" si="39"/>
        <v>20</v>
      </c>
      <c r="J549">
        <v>0</v>
      </c>
      <c r="K549" s="3" t="str">
        <f>VLOOKUP(J549,ConstDLCIds!$A$4:$B$1000,2,FALSE)</f>
        <v>DLC_BASE_GAME</v>
      </c>
      <c r="L549" s="3" t="str">
        <f>VLOOKUP(J549,ConstDLCIds!$A$4:$C$1000,3,FALSE)</f>
        <v>Included in base game</v>
      </c>
    </row>
    <row r="550" spans="1:12" x14ac:dyDescent="0.25">
      <c r="A550">
        <v>933</v>
      </c>
      <c r="B550">
        <v>545</v>
      </c>
      <c r="C550">
        <v>19</v>
      </c>
      <c r="D550" t="s">
        <v>727</v>
      </c>
      <c r="E550" t="str">
        <f>IF(NOT(ISERROR(VLOOKUP(D550,'ESO DungeonFinder'!$A$2:$A$999,1,FALSE))),"X","")</f>
        <v>X</v>
      </c>
      <c r="F550" s="70" t="str">
        <f t="shared" si="36"/>
        <v/>
      </c>
      <c r="G550" s="70" t="str">
        <f t="shared" si="37"/>
        <v>Stormhaven</v>
      </c>
      <c r="H550" s="70">
        <f t="shared" si="38"/>
        <v>933</v>
      </c>
      <c r="I550" s="70">
        <f t="shared" si="39"/>
        <v>19</v>
      </c>
      <c r="J550">
        <v>0</v>
      </c>
      <c r="K550" s="3" t="str">
        <f>VLOOKUP(J550,ConstDLCIds!$A$4:$B$1000,2,FALSE)</f>
        <v>DLC_BASE_GAME</v>
      </c>
      <c r="L550" s="3" t="str">
        <f>VLOOKUP(J550,ConstDLCIds!$A$4:$C$1000,3,FALSE)</f>
        <v>Included in base game</v>
      </c>
    </row>
    <row r="551" spans="1:12" x14ac:dyDescent="0.25">
      <c r="A551">
        <v>934</v>
      </c>
      <c r="B551">
        <v>546</v>
      </c>
      <c r="C551">
        <v>41</v>
      </c>
      <c r="D551" t="s">
        <v>713</v>
      </c>
      <c r="E551" t="str">
        <f>IF(NOT(ISERROR(VLOOKUP(D551,'ESO DungeonFinder'!$A$2:$A$999,1,FALSE))),"X","")</f>
        <v>X</v>
      </c>
      <c r="F551" s="70" t="str">
        <f t="shared" si="36"/>
        <v/>
      </c>
      <c r="G551" s="70" t="str">
        <f t="shared" si="37"/>
        <v>Stonefalls</v>
      </c>
      <c r="H551" s="70">
        <f t="shared" si="38"/>
        <v>934</v>
      </c>
      <c r="I551" s="70">
        <f t="shared" si="39"/>
        <v>41</v>
      </c>
      <c r="J551">
        <v>0</v>
      </c>
      <c r="K551" s="3" t="str">
        <f>VLOOKUP(J551,ConstDLCIds!$A$4:$B$1000,2,FALSE)</f>
        <v>DLC_BASE_GAME</v>
      </c>
      <c r="L551" s="3" t="str">
        <f>VLOOKUP(J551,ConstDLCIds!$A$4:$C$1000,3,FALSE)</f>
        <v>Included in base game</v>
      </c>
    </row>
    <row r="552" spans="1:12" x14ac:dyDescent="0.25">
      <c r="A552">
        <v>935</v>
      </c>
      <c r="B552">
        <v>547</v>
      </c>
      <c r="C552">
        <v>381</v>
      </c>
      <c r="D552" t="s">
        <v>747</v>
      </c>
      <c r="E552" t="str">
        <f>IF(NOT(ISERROR(VLOOKUP(D552,'ESO DungeonFinder'!$A$2:$A$999,1,FALSE))),"X","")</f>
        <v>X</v>
      </c>
      <c r="F552" s="70" t="str">
        <f t="shared" si="36"/>
        <v/>
      </c>
      <c r="G552" s="70" t="str">
        <f t="shared" si="37"/>
        <v>Auridon</v>
      </c>
      <c r="H552" s="70">
        <f t="shared" si="38"/>
        <v>935</v>
      </c>
      <c r="I552" s="70">
        <f t="shared" si="39"/>
        <v>381</v>
      </c>
      <c r="J552">
        <v>0</v>
      </c>
      <c r="K552" s="3" t="str">
        <f>VLOOKUP(J552,ConstDLCIds!$A$4:$B$1000,2,FALSE)</f>
        <v>DLC_BASE_GAME</v>
      </c>
      <c r="L552" s="3" t="str">
        <f>VLOOKUP(J552,ConstDLCIds!$A$4:$C$1000,3,FALSE)</f>
        <v>Included in base game</v>
      </c>
    </row>
    <row r="553" spans="1:12" x14ac:dyDescent="0.25">
      <c r="A553">
        <v>936</v>
      </c>
      <c r="B553">
        <v>548</v>
      </c>
      <c r="C553">
        <v>3</v>
      </c>
      <c r="D553" t="s">
        <v>717</v>
      </c>
      <c r="E553" t="str">
        <f>IF(NOT(ISERROR(VLOOKUP(D553,'ESO DungeonFinder'!$A$2:$A$999,1,FALSE))),"X","")</f>
        <v>X</v>
      </c>
      <c r="F553" s="70" t="str">
        <f t="shared" si="36"/>
        <v/>
      </c>
      <c r="G553" s="70" t="str">
        <f t="shared" si="37"/>
        <v>Glenumbra</v>
      </c>
      <c r="H553" s="70">
        <f t="shared" si="38"/>
        <v>936</v>
      </c>
      <c r="I553" s="70">
        <f t="shared" si="39"/>
        <v>3</v>
      </c>
      <c r="J553">
        <v>0</v>
      </c>
      <c r="K553" s="3" t="str">
        <f>VLOOKUP(J553,ConstDLCIds!$A$4:$B$1000,2,FALSE)</f>
        <v>DLC_BASE_GAME</v>
      </c>
      <c r="L553" s="3" t="str">
        <f>VLOOKUP(J553,ConstDLCIds!$A$4:$C$1000,3,FALSE)</f>
        <v>Included in base game</v>
      </c>
    </row>
    <row r="554" spans="1:12" x14ac:dyDescent="0.25">
      <c r="A554">
        <v>937</v>
      </c>
      <c r="B554">
        <v>549</v>
      </c>
      <c r="C554">
        <v>57</v>
      </c>
      <c r="D554" t="s">
        <v>2656</v>
      </c>
      <c r="E554" t="str">
        <f>IF(NOT(ISERROR(VLOOKUP(D554,'ESO DungeonFinder'!$A$2:$A$999,1,FALSE))),"X","")</f>
        <v/>
      </c>
      <c r="F554" s="70" t="str">
        <f t="shared" si="36"/>
        <v/>
      </c>
      <c r="G554" s="70" t="str">
        <f t="shared" si="37"/>
        <v>Deshaan</v>
      </c>
      <c r="H554" s="70">
        <f t="shared" si="38"/>
        <v>937</v>
      </c>
      <c r="I554" s="70">
        <f t="shared" si="39"/>
        <v>57</v>
      </c>
      <c r="J554">
        <v>0</v>
      </c>
      <c r="K554" s="3" t="str">
        <f>VLOOKUP(J554,ConstDLCIds!$A$4:$B$1000,2,FALSE)</f>
        <v>DLC_BASE_GAME</v>
      </c>
      <c r="L554" s="3" t="str">
        <f>VLOOKUP(J554,ConstDLCIds!$A$4:$C$1000,3,FALSE)</f>
        <v>Included in base game</v>
      </c>
    </row>
    <row r="555" spans="1:12" x14ac:dyDescent="0.25">
      <c r="A555">
        <v>938</v>
      </c>
      <c r="B555">
        <v>550</v>
      </c>
      <c r="C555">
        <v>104</v>
      </c>
      <c r="D555" t="s">
        <v>2657</v>
      </c>
      <c r="E555" t="str">
        <f>IF(NOT(ISERROR(VLOOKUP(D555,'ESO DungeonFinder'!$A$2:$A$999,1,FALSE))),"X","")</f>
        <v/>
      </c>
      <c r="F555" s="70" t="str">
        <f t="shared" si="36"/>
        <v/>
      </c>
      <c r="G555" s="70" t="str">
        <f t="shared" si="37"/>
        <v>Alik'r Desert</v>
      </c>
      <c r="H555" s="70">
        <f t="shared" si="38"/>
        <v>938</v>
      </c>
      <c r="I555" s="70">
        <f t="shared" si="39"/>
        <v>104</v>
      </c>
      <c r="J555">
        <v>0</v>
      </c>
      <c r="K555" s="3" t="str">
        <f>VLOOKUP(J555,ConstDLCIds!$A$4:$B$1000,2,FALSE)</f>
        <v>DLC_BASE_GAME</v>
      </c>
      <c r="L555" s="3" t="str">
        <f>VLOOKUP(J555,ConstDLCIds!$A$4:$C$1000,3,FALSE)</f>
        <v>Included in base game</v>
      </c>
    </row>
    <row r="556" spans="1:12" x14ac:dyDescent="0.25">
      <c r="A556">
        <v>939</v>
      </c>
      <c r="B556">
        <v>551</v>
      </c>
      <c r="C556">
        <v>381</v>
      </c>
      <c r="D556" t="s">
        <v>2658</v>
      </c>
      <c r="E556" t="str">
        <f>IF(NOT(ISERROR(VLOOKUP(D556,'ESO DungeonFinder'!$A$2:$A$999,1,FALSE))),"X","")</f>
        <v/>
      </c>
      <c r="F556" s="70" t="str">
        <f t="shared" si="36"/>
        <v/>
      </c>
      <c r="G556" s="70" t="str">
        <f t="shared" si="37"/>
        <v>Auridon</v>
      </c>
      <c r="H556" s="70">
        <f t="shared" si="38"/>
        <v>939</v>
      </c>
      <c r="I556" s="70">
        <f t="shared" si="39"/>
        <v>381</v>
      </c>
      <c r="J556">
        <v>0</v>
      </c>
      <c r="K556" s="3" t="str">
        <f>VLOOKUP(J556,ConstDLCIds!$A$4:$B$1000,2,FALSE)</f>
        <v>DLC_BASE_GAME</v>
      </c>
      <c r="L556" s="3" t="str">
        <f>VLOOKUP(J556,ConstDLCIds!$A$4:$C$1000,3,FALSE)</f>
        <v>Included in base game</v>
      </c>
    </row>
    <row r="557" spans="1:12" x14ac:dyDescent="0.25">
      <c r="A557">
        <v>940</v>
      </c>
      <c r="B557">
        <v>552</v>
      </c>
      <c r="C557">
        <v>381</v>
      </c>
      <c r="D557" t="s">
        <v>2659</v>
      </c>
      <c r="E557" t="str">
        <f>IF(NOT(ISERROR(VLOOKUP(D557,'ESO DungeonFinder'!$A$2:$A$999,1,FALSE))),"X","")</f>
        <v/>
      </c>
      <c r="F557" s="70" t="str">
        <f t="shared" si="36"/>
        <v/>
      </c>
      <c r="G557" s="70" t="str">
        <f t="shared" si="37"/>
        <v>Auridon</v>
      </c>
      <c r="H557" s="70">
        <f t="shared" si="38"/>
        <v>940</v>
      </c>
      <c r="I557" s="70">
        <f t="shared" si="39"/>
        <v>381</v>
      </c>
      <c r="J557">
        <v>0</v>
      </c>
      <c r="K557" s="3" t="str">
        <f>VLOOKUP(J557,ConstDLCIds!$A$4:$B$1000,2,FALSE)</f>
        <v>DLC_BASE_GAME</v>
      </c>
      <c r="L557" s="3" t="str">
        <f>VLOOKUP(J557,ConstDLCIds!$A$4:$C$1000,3,FALSE)</f>
        <v>Included in base game</v>
      </c>
    </row>
    <row r="558" spans="1:12" x14ac:dyDescent="0.25">
      <c r="A558">
        <v>941</v>
      </c>
      <c r="B558">
        <v>553</v>
      </c>
      <c r="C558">
        <v>41</v>
      </c>
      <c r="D558" t="s">
        <v>2660</v>
      </c>
      <c r="E558" t="str">
        <f>IF(NOT(ISERROR(VLOOKUP(D558,'ESO DungeonFinder'!$A$2:$A$999,1,FALSE))),"X","")</f>
        <v/>
      </c>
      <c r="F558" s="70" t="str">
        <f t="shared" si="36"/>
        <v/>
      </c>
      <c r="G558" s="70" t="str">
        <f t="shared" si="37"/>
        <v>Stonefalls</v>
      </c>
      <c r="H558" s="70">
        <f t="shared" si="38"/>
        <v>941</v>
      </c>
      <c r="I558" s="70">
        <f t="shared" si="39"/>
        <v>41</v>
      </c>
      <c r="J558">
        <v>0</v>
      </c>
      <c r="K558" s="3" t="str">
        <f>VLOOKUP(J558,ConstDLCIds!$A$4:$B$1000,2,FALSE)</f>
        <v>DLC_BASE_GAME</v>
      </c>
      <c r="L558" s="3" t="str">
        <f>VLOOKUP(J558,ConstDLCIds!$A$4:$C$1000,3,FALSE)</f>
        <v>Included in base game</v>
      </c>
    </row>
    <row r="559" spans="1:12" x14ac:dyDescent="0.25">
      <c r="A559">
        <v>942</v>
      </c>
      <c r="B559">
        <v>554</v>
      </c>
      <c r="C559">
        <v>3</v>
      </c>
      <c r="D559" t="s">
        <v>2661</v>
      </c>
      <c r="E559" t="str">
        <f>IF(NOT(ISERROR(VLOOKUP(D559,'ESO DungeonFinder'!$A$2:$A$999,1,FALSE))),"X","")</f>
        <v/>
      </c>
      <c r="F559" s="70" t="str">
        <f t="shared" si="36"/>
        <v/>
      </c>
      <c r="G559" s="70" t="str">
        <f t="shared" si="37"/>
        <v>Glenumbra</v>
      </c>
      <c r="H559" s="70">
        <f t="shared" si="38"/>
        <v>942</v>
      </c>
      <c r="I559" s="70">
        <f t="shared" si="39"/>
        <v>3</v>
      </c>
      <c r="J559">
        <v>0</v>
      </c>
      <c r="K559" s="3" t="str">
        <f>VLOOKUP(J559,ConstDLCIds!$A$4:$B$1000,2,FALSE)</f>
        <v>DLC_BASE_GAME</v>
      </c>
      <c r="L559" s="3" t="str">
        <f>VLOOKUP(J559,ConstDLCIds!$A$4:$C$1000,3,FALSE)</f>
        <v>Included in base game</v>
      </c>
    </row>
    <row r="560" spans="1:12" x14ac:dyDescent="0.25">
      <c r="A560">
        <v>943</v>
      </c>
      <c r="B560">
        <v>555</v>
      </c>
      <c r="C560">
        <v>3</v>
      </c>
      <c r="D560" t="s">
        <v>2662</v>
      </c>
      <c r="E560" t="str">
        <f>IF(NOT(ISERROR(VLOOKUP(D560,'ESO DungeonFinder'!$A$2:$A$999,1,FALSE))),"X","")</f>
        <v/>
      </c>
      <c r="F560" s="70" t="str">
        <f t="shared" si="36"/>
        <v/>
      </c>
      <c r="G560" s="70" t="str">
        <f t="shared" si="37"/>
        <v>Glenumbra</v>
      </c>
      <c r="H560" s="70">
        <f t="shared" si="38"/>
        <v>943</v>
      </c>
      <c r="I560" s="70">
        <f t="shared" si="39"/>
        <v>3</v>
      </c>
      <c r="J560">
        <v>0</v>
      </c>
      <c r="K560" s="3" t="str">
        <f>VLOOKUP(J560,ConstDLCIds!$A$4:$B$1000,2,FALSE)</f>
        <v>DLC_BASE_GAME</v>
      </c>
      <c r="L560" s="3" t="str">
        <f>VLOOKUP(J560,ConstDLCIds!$A$4:$C$1000,3,FALSE)</f>
        <v>Included in base game</v>
      </c>
    </row>
    <row r="561" spans="1:12" x14ac:dyDescent="0.25">
      <c r="A561">
        <v>944</v>
      </c>
      <c r="B561">
        <v>556</v>
      </c>
      <c r="C561">
        <v>382</v>
      </c>
      <c r="D561" t="s">
        <v>2663</v>
      </c>
      <c r="E561" t="str">
        <f>IF(NOT(ISERROR(VLOOKUP(D561,'ESO DungeonFinder'!$A$2:$A$999,1,FALSE))),"X","")</f>
        <v/>
      </c>
      <c r="F561" s="70" t="str">
        <f t="shared" si="36"/>
        <v/>
      </c>
      <c r="G561" s="70" t="str">
        <f t="shared" si="37"/>
        <v>Reaper's March</v>
      </c>
      <c r="H561" s="70">
        <f t="shared" si="38"/>
        <v>944</v>
      </c>
      <c r="I561" s="70">
        <f t="shared" si="39"/>
        <v>382</v>
      </c>
      <c r="J561">
        <v>0</v>
      </c>
      <c r="K561" s="3" t="str">
        <f>VLOOKUP(J561,ConstDLCIds!$A$4:$B$1000,2,FALSE)</f>
        <v>DLC_BASE_GAME</v>
      </c>
      <c r="L561" s="3" t="str">
        <f>VLOOKUP(J561,ConstDLCIds!$A$4:$C$1000,3,FALSE)</f>
        <v>Included in base game</v>
      </c>
    </row>
    <row r="562" spans="1:12" x14ac:dyDescent="0.25">
      <c r="A562">
        <v>945</v>
      </c>
      <c r="B562">
        <v>557</v>
      </c>
      <c r="C562">
        <v>41</v>
      </c>
      <c r="D562" t="s">
        <v>2664</v>
      </c>
      <c r="E562" t="str">
        <f>IF(NOT(ISERROR(VLOOKUP(D562,'ESO DungeonFinder'!$A$2:$A$999,1,FALSE))),"X","")</f>
        <v/>
      </c>
      <c r="F562" s="70" t="str">
        <f t="shared" si="36"/>
        <v/>
      </c>
      <c r="G562" s="70" t="str">
        <f t="shared" si="37"/>
        <v>Stonefalls</v>
      </c>
      <c r="H562" s="70">
        <f t="shared" si="38"/>
        <v>945</v>
      </c>
      <c r="I562" s="70">
        <f t="shared" si="39"/>
        <v>41</v>
      </c>
      <c r="J562">
        <v>0</v>
      </c>
      <c r="K562" s="3" t="str">
        <f>VLOOKUP(J562,ConstDLCIds!$A$4:$B$1000,2,FALSE)</f>
        <v>DLC_BASE_GAME</v>
      </c>
      <c r="L562" s="3" t="str">
        <f>VLOOKUP(J562,ConstDLCIds!$A$4:$C$1000,3,FALSE)</f>
        <v>Included in base game</v>
      </c>
    </row>
    <row r="563" spans="1:12" x14ac:dyDescent="0.25">
      <c r="A563">
        <v>946</v>
      </c>
      <c r="B563">
        <v>558</v>
      </c>
      <c r="C563">
        <v>849</v>
      </c>
      <c r="D563" t="s">
        <v>2665</v>
      </c>
      <c r="E563" t="str">
        <f>IF(NOT(ISERROR(VLOOKUP(D563,'ESO DungeonFinder'!$A$2:$A$999,1,FALSE))),"X","")</f>
        <v/>
      </c>
      <c r="F563" s="70" t="str">
        <f t="shared" si="36"/>
        <v/>
      </c>
      <c r="G563" s="70" t="str">
        <f t="shared" si="37"/>
        <v>Vvardenfell</v>
      </c>
      <c r="H563" s="70">
        <f t="shared" si="38"/>
        <v>946</v>
      </c>
      <c r="I563" s="70">
        <f t="shared" si="39"/>
        <v>849</v>
      </c>
      <c r="J563">
        <v>6</v>
      </c>
      <c r="K563" s="3" t="str">
        <f ca="1">VLOOKUP(J563,ConstDLCIds!$A$4:$B$1000,2,FALSE)</f>
        <v>DLC_MORROWIND</v>
      </c>
      <c r="L563" s="3" t="str">
        <f ca="1">VLOOKUP(J563,ConstDLCIds!$A$4:$C$1000,3,FALSE)</f>
        <v>Morrowind</v>
      </c>
    </row>
    <row r="564" spans="1:12" x14ac:dyDescent="0.25">
      <c r="A564">
        <v>947</v>
      </c>
      <c r="B564">
        <v>559</v>
      </c>
      <c r="C564">
        <v>849</v>
      </c>
      <c r="D564" t="s">
        <v>2666</v>
      </c>
      <c r="E564" t="str">
        <f>IF(NOT(ISERROR(VLOOKUP(D564,'ESO DungeonFinder'!$A$2:$A$999,1,FALSE))),"X","")</f>
        <v/>
      </c>
      <c r="F564" s="70" t="str">
        <f t="shared" si="36"/>
        <v/>
      </c>
      <c r="G564" s="70" t="str">
        <f t="shared" si="37"/>
        <v>Vvardenfell</v>
      </c>
      <c r="H564" s="70">
        <f t="shared" si="38"/>
        <v>947</v>
      </c>
      <c r="I564" s="70">
        <f t="shared" si="39"/>
        <v>849</v>
      </c>
      <c r="J564">
        <v>6</v>
      </c>
      <c r="K564" s="3" t="str">
        <f ca="1">VLOOKUP(J564,ConstDLCIds!$A$4:$B$1000,2,FALSE)</f>
        <v>DLC_MORROWIND</v>
      </c>
      <c r="L564" s="3" t="str">
        <f ca="1">VLOOKUP(J564,ConstDLCIds!$A$4:$C$1000,3,FALSE)</f>
        <v>Morrowind</v>
      </c>
    </row>
    <row r="565" spans="1:12" x14ac:dyDescent="0.25">
      <c r="A565">
        <v>948</v>
      </c>
      <c r="B565">
        <v>560</v>
      </c>
      <c r="C565">
        <v>849</v>
      </c>
      <c r="D565" t="s">
        <v>2667</v>
      </c>
      <c r="E565" t="str">
        <f>IF(NOT(ISERROR(VLOOKUP(D565,'ESO DungeonFinder'!$A$2:$A$999,1,FALSE))),"X","")</f>
        <v/>
      </c>
      <c r="F565" s="70" t="str">
        <f t="shared" si="36"/>
        <v/>
      </c>
      <c r="G565" s="70" t="str">
        <f t="shared" si="37"/>
        <v>Vvardenfell</v>
      </c>
      <c r="H565" s="70">
        <f t="shared" si="38"/>
        <v>948</v>
      </c>
      <c r="I565" s="70">
        <f t="shared" si="39"/>
        <v>849</v>
      </c>
      <c r="J565">
        <v>6</v>
      </c>
      <c r="K565" s="3" t="str">
        <f ca="1">VLOOKUP(J565,ConstDLCIds!$A$4:$B$1000,2,FALSE)</f>
        <v>DLC_MORROWIND</v>
      </c>
      <c r="L565" s="3" t="str">
        <f ca="1">VLOOKUP(J565,ConstDLCIds!$A$4:$C$1000,3,FALSE)</f>
        <v>Morrowind</v>
      </c>
    </row>
    <row r="566" spans="1:12" x14ac:dyDescent="0.25">
      <c r="A566">
        <v>949</v>
      </c>
      <c r="B566">
        <v>561</v>
      </c>
      <c r="C566">
        <v>849</v>
      </c>
      <c r="D566" t="s">
        <v>2668</v>
      </c>
      <c r="E566" t="str">
        <f>IF(NOT(ISERROR(VLOOKUP(D566,'ESO DungeonFinder'!$A$2:$A$999,1,FALSE))),"X","")</f>
        <v/>
      </c>
      <c r="F566" s="70" t="str">
        <f t="shared" si="36"/>
        <v/>
      </c>
      <c r="G566" s="70" t="str">
        <f t="shared" si="37"/>
        <v>Vvardenfell</v>
      </c>
      <c r="H566" s="70">
        <f t="shared" si="38"/>
        <v>949</v>
      </c>
      <c r="I566" s="70">
        <f t="shared" si="39"/>
        <v>849</v>
      </c>
      <c r="J566">
        <v>6</v>
      </c>
      <c r="K566" s="3" t="str">
        <f ca="1">VLOOKUP(J566,ConstDLCIds!$A$4:$B$1000,2,FALSE)</f>
        <v>DLC_MORROWIND</v>
      </c>
      <c r="L566" s="3" t="str">
        <f ca="1">VLOOKUP(J566,ConstDLCIds!$A$4:$C$1000,3,FALSE)</f>
        <v>Morrowind</v>
      </c>
    </row>
    <row r="567" spans="1:12" x14ac:dyDescent="0.25">
      <c r="A567">
        <v>950</v>
      </c>
      <c r="B567">
        <v>562</v>
      </c>
      <c r="C567">
        <v>849</v>
      </c>
      <c r="D567" t="s">
        <v>2669</v>
      </c>
      <c r="E567" t="str">
        <f>IF(NOT(ISERROR(VLOOKUP(D567,'ESO DungeonFinder'!$A$2:$A$999,1,FALSE))),"X","")</f>
        <v/>
      </c>
      <c r="F567" s="70" t="str">
        <f t="shared" si="36"/>
        <v/>
      </c>
      <c r="G567" s="70" t="str">
        <f t="shared" si="37"/>
        <v>Vvardenfell</v>
      </c>
      <c r="H567" s="70">
        <f t="shared" si="38"/>
        <v>950</v>
      </c>
      <c r="I567" s="70">
        <f t="shared" si="39"/>
        <v>849</v>
      </c>
      <c r="J567">
        <v>6</v>
      </c>
      <c r="K567" s="3" t="str">
        <f ca="1">VLOOKUP(J567,ConstDLCIds!$A$4:$B$1000,2,FALSE)</f>
        <v>DLC_MORROWIND</v>
      </c>
      <c r="L567" s="3" t="str">
        <f ca="1">VLOOKUP(J567,ConstDLCIds!$A$4:$C$1000,3,FALSE)</f>
        <v>Morrowind</v>
      </c>
    </row>
    <row r="568" spans="1:12" x14ac:dyDescent="0.25">
      <c r="A568">
        <v>951</v>
      </c>
      <c r="B568">
        <v>563</v>
      </c>
      <c r="C568">
        <v>849</v>
      </c>
      <c r="D568" t="s">
        <v>2670</v>
      </c>
      <c r="E568" t="str">
        <f>IF(NOT(ISERROR(VLOOKUP(D568,'ESO DungeonFinder'!$A$2:$A$999,1,FALSE))),"X","")</f>
        <v/>
      </c>
      <c r="F568" s="70" t="str">
        <f t="shared" si="36"/>
        <v/>
      </c>
      <c r="G568" s="70" t="str">
        <f t="shared" si="37"/>
        <v>Vvardenfell</v>
      </c>
      <c r="H568" s="70">
        <f t="shared" si="38"/>
        <v>951</v>
      </c>
      <c r="I568" s="70">
        <f t="shared" si="39"/>
        <v>849</v>
      </c>
      <c r="J568">
        <v>6</v>
      </c>
      <c r="K568" s="3" t="str">
        <f ca="1">VLOOKUP(J568,ConstDLCIds!$A$4:$B$1000,2,FALSE)</f>
        <v>DLC_MORROWIND</v>
      </c>
      <c r="L568" s="3" t="str">
        <f ca="1">VLOOKUP(J568,ConstDLCIds!$A$4:$C$1000,3,FALSE)</f>
        <v>Morrowind</v>
      </c>
    </row>
    <row r="569" spans="1:12" x14ac:dyDescent="0.25">
      <c r="A569">
        <v>952</v>
      </c>
      <c r="B569">
        <v>564</v>
      </c>
      <c r="C569">
        <v>849</v>
      </c>
      <c r="D569" t="s">
        <v>2671</v>
      </c>
      <c r="E569" t="str">
        <f>IF(NOT(ISERROR(VLOOKUP(D569,'ESO DungeonFinder'!$A$2:$A$999,1,FALSE))),"X","")</f>
        <v/>
      </c>
      <c r="F569" s="70" t="str">
        <f t="shared" si="36"/>
        <v/>
      </c>
      <c r="G569" s="70" t="str">
        <f t="shared" si="37"/>
        <v>Vvardenfell</v>
      </c>
      <c r="H569" s="70">
        <f t="shared" si="38"/>
        <v>952</v>
      </c>
      <c r="I569" s="70">
        <f t="shared" si="39"/>
        <v>849</v>
      </c>
      <c r="J569">
        <v>6</v>
      </c>
      <c r="K569" s="3" t="str">
        <f ca="1">VLOOKUP(J569,ConstDLCIds!$A$4:$B$1000,2,FALSE)</f>
        <v>DLC_MORROWIND</v>
      </c>
      <c r="L569" s="3" t="str">
        <f ca="1">VLOOKUP(J569,ConstDLCIds!$A$4:$C$1000,3,FALSE)</f>
        <v>Morrowind</v>
      </c>
    </row>
    <row r="570" spans="1:12" x14ac:dyDescent="0.25">
      <c r="A570">
        <v>953</v>
      </c>
      <c r="B570">
        <v>565</v>
      </c>
      <c r="C570">
        <v>849</v>
      </c>
      <c r="D570" t="s">
        <v>2672</v>
      </c>
      <c r="E570" t="str">
        <f>IF(NOT(ISERROR(VLOOKUP(D570,'ESO DungeonFinder'!$A$2:$A$999,1,FALSE))),"X","")</f>
        <v/>
      </c>
      <c r="F570" s="70" t="str">
        <f t="shared" si="36"/>
        <v/>
      </c>
      <c r="G570" s="70" t="str">
        <f t="shared" si="37"/>
        <v>Vvardenfell</v>
      </c>
      <c r="H570" s="70">
        <f t="shared" si="38"/>
        <v>953</v>
      </c>
      <c r="I570" s="70">
        <f t="shared" si="39"/>
        <v>849</v>
      </c>
      <c r="J570">
        <v>6</v>
      </c>
      <c r="K570" s="3" t="str">
        <f ca="1">VLOOKUP(J570,ConstDLCIds!$A$4:$B$1000,2,FALSE)</f>
        <v>DLC_MORROWIND</v>
      </c>
      <c r="L570" s="3" t="str">
        <f ca="1">VLOOKUP(J570,ConstDLCIds!$A$4:$C$1000,3,FALSE)</f>
        <v>Morrowind</v>
      </c>
    </row>
    <row r="571" spans="1:12" x14ac:dyDescent="0.25">
      <c r="A571">
        <v>954</v>
      </c>
      <c r="B571">
        <v>566</v>
      </c>
      <c r="C571">
        <v>849</v>
      </c>
      <c r="D571" t="s">
        <v>2673</v>
      </c>
      <c r="E571" t="str">
        <f>IF(NOT(ISERROR(VLOOKUP(D571,'ESO DungeonFinder'!$A$2:$A$999,1,FALSE))),"X","")</f>
        <v/>
      </c>
      <c r="F571" s="70" t="str">
        <f t="shared" si="36"/>
        <v/>
      </c>
      <c r="G571" s="70" t="str">
        <f t="shared" si="37"/>
        <v>Vvardenfell</v>
      </c>
      <c r="H571" s="70">
        <f t="shared" si="38"/>
        <v>954</v>
      </c>
      <c r="I571" s="70">
        <f t="shared" si="39"/>
        <v>849</v>
      </c>
      <c r="J571">
        <v>6</v>
      </c>
      <c r="K571" s="3" t="str">
        <f ca="1">VLOOKUP(J571,ConstDLCIds!$A$4:$B$1000,2,FALSE)</f>
        <v>DLC_MORROWIND</v>
      </c>
      <c r="L571" s="3" t="str">
        <f ca="1">VLOOKUP(J571,ConstDLCIds!$A$4:$C$1000,3,FALSE)</f>
        <v>Morrowind</v>
      </c>
    </row>
    <row r="572" spans="1:12" x14ac:dyDescent="0.25">
      <c r="A572">
        <v>955</v>
      </c>
      <c r="B572">
        <v>567</v>
      </c>
      <c r="C572">
        <v>849</v>
      </c>
      <c r="D572" t="s">
        <v>2674</v>
      </c>
      <c r="E572" t="str">
        <f>IF(NOT(ISERROR(VLOOKUP(D572,'ESO DungeonFinder'!$A$2:$A$999,1,FALSE))),"X","")</f>
        <v/>
      </c>
      <c r="F572" s="70" t="str">
        <f t="shared" si="36"/>
        <v/>
      </c>
      <c r="G572" s="70" t="str">
        <f t="shared" si="37"/>
        <v>Vvardenfell</v>
      </c>
      <c r="H572" s="70">
        <f t="shared" si="38"/>
        <v>955</v>
      </c>
      <c r="I572" s="70">
        <f t="shared" si="39"/>
        <v>849</v>
      </c>
      <c r="J572">
        <v>6</v>
      </c>
      <c r="K572" s="3" t="str">
        <f ca="1">VLOOKUP(J572,ConstDLCIds!$A$4:$B$1000,2,FALSE)</f>
        <v>DLC_MORROWIND</v>
      </c>
      <c r="L572" s="3" t="str">
        <f ca="1">VLOOKUP(J572,ConstDLCIds!$A$4:$C$1000,3,FALSE)</f>
        <v>Morrowind</v>
      </c>
    </row>
    <row r="573" spans="1:12" x14ac:dyDescent="0.25">
      <c r="A573">
        <v>956</v>
      </c>
      <c r="B573">
        <v>568</v>
      </c>
      <c r="C573">
        <v>849</v>
      </c>
      <c r="D573" t="s">
        <v>2675</v>
      </c>
      <c r="E573" t="str">
        <f>IF(NOT(ISERROR(VLOOKUP(D573,'ESO DungeonFinder'!$A$2:$A$999,1,FALSE))),"X","")</f>
        <v/>
      </c>
      <c r="F573" s="70" t="str">
        <f t="shared" si="36"/>
        <v/>
      </c>
      <c r="G573" s="70" t="str">
        <f t="shared" si="37"/>
        <v>Vvardenfell</v>
      </c>
      <c r="H573" s="70">
        <f t="shared" si="38"/>
        <v>956</v>
      </c>
      <c r="I573" s="70">
        <f t="shared" si="39"/>
        <v>849</v>
      </c>
      <c r="J573">
        <v>6</v>
      </c>
      <c r="K573" s="3" t="str">
        <f ca="1">VLOOKUP(J573,ConstDLCIds!$A$4:$B$1000,2,FALSE)</f>
        <v>DLC_MORROWIND</v>
      </c>
      <c r="L573" s="3" t="str">
        <f ca="1">VLOOKUP(J573,ConstDLCIds!$A$4:$C$1000,3,FALSE)</f>
        <v>Morrowind</v>
      </c>
    </row>
    <row r="574" spans="1:12" x14ac:dyDescent="0.25">
      <c r="A574">
        <v>957</v>
      </c>
      <c r="B574">
        <v>569</v>
      </c>
      <c r="C574">
        <v>849</v>
      </c>
      <c r="D574" t="s">
        <v>2676</v>
      </c>
      <c r="E574" t="str">
        <f>IF(NOT(ISERROR(VLOOKUP(D574,'ESO DungeonFinder'!$A$2:$A$999,1,FALSE))),"X","")</f>
        <v/>
      </c>
      <c r="F574" s="70" t="str">
        <f t="shared" si="36"/>
        <v/>
      </c>
      <c r="G574" s="70" t="str">
        <f t="shared" si="37"/>
        <v>Vvardenfell</v>
      </c>
      <c r="H574" s="70">
        <f t="shared" si="38"/>
        <v>957</v>
      </c>
      <c r="I574" s="70">
        <f t="shared" si="39"/>
        <v>849</v>
      </c>
      <c r="J574">
        <v>6</v>
      </c>
      <c r="K574" s="3" t="str">
        <f ca="1">VLOOKUP(J574,ConstDLCIds!$A$4:$B$1000,2,FALSE)</f>
        <v>DLC_MORROWIND</v>
      </c>
      <c r="L574" s="3" t="str">
        <f ca="1">VLOOKUP(J574,ConstDLCIds!$A$4:$C$1000,3,FALSE)</f>
        <v>Morrowind</v>
      </c>
    </row>
    <row r="575" spans="1:12" x14ac:dyDescent="0.25">
      <c r="A575">
        <v>958</v>
      </c>
      <c r="B575">
        <v>570</v>
      </c>
      <c r="C575">
        <v>849</v>
      </c>
      <c r="D575" t="s">
        <v>2677</v>
      </c>
      <c r="E575" t="str">
        <f>IF(NOT(ISERROR(VLOOKUP(D575,'ESO DungeonFinder'!$A$2:$A$999,1,FALSE))),"X","")</f>
        <v/>
      </c>
      <c r="F575" s="70" t="str">
        <f t="shared" si="36"/>
        <v/>
      </c>
      <c r="G575" s="70" t="str">
        <f t="shared" si="37"/>
        <v>Vvardenfell</v>
      </c>
      <c r="H575" s="70">
        <f t="shared" si="38"/>
        <v>958</v>
      </c>
      <c r="I575" s="70">
        <f t="shared" si="39"/>
        <v>849</v>
      </c>
      <c r="J575">
        <v>6</v>
      </c>
      <c r="K575" s="3" t="str">
        <f ca="1">VLOOKUP(J575,ConstDLCIds!$A$4:$B$1000,2,FALSE)</f>
        <v>DLC_MORROWIND</v>
      </c>
      <c r="L575" s="3" t="str">
        <f ca="1">VLOOKUP(J575,ConstDLCIds!$A$4:$C$1000,3,FALSE)</f>
        <v>Morrowind</v>
      </c>
    </row>
    <row r="576" spans="1:12" x14ac:dyDescent="0.25">
      <c r="A576">
        <v>959</v>
      </c>
      <c r="B576">
        <v>571</v>
      </c>
      <c r="C576">
        <v>849</v>
      </c>
      <c r="D576" t="s">
        <v>2678</v>
      </c>
      <c r="E576" t="str">
        <f>IF(NOT(ISERROR(VLOOKUP(D576,'ESO DungeonFinder'!$A$2:$A$999,1,FALSE))),"X","")</f>
        <v/>
      </c>
      <c r="F576" s="70" t="str">
        <f t="shared" si="36"/>
        <v/>
      </c>
      <c r="G576" s="70" t="str">
        <f t="shared" si="37"/>
        <v>Vvardenfell</v>
      </c>
      <c r="H576" s="70">
        <f t="shared" si="38"/>
        <v>959</v>
      </c>
      <c r="I576" s="70">
        <f t="shared" si="39"/>
        <v>849</v>
      </c>
      <c r="J576">
        <v>6</v>
      </c>
      <c r="K576" s="3" t="str">
        <f ca="1">VLOOKUP(J576,ConstDLCIds!$A$4:$B$1000,2,FALSE)</f>
        <v>DLC_MORROWIND</v>
      </c>
      <c r="L576" s="3" t="str">
        <f ca="1">VLOOKUP(J576,ConstDLCIds!$A$4:$C$1000,3,FALSE)</f>
        <v>Morrowind</v>
      </c>
    </row>
    <row r="577" spans="1:12" x14ac:dyDescent="0.25">
      <c r="A577">
        <v>960</v>
      </c>
      <c r="B577">
        <v>572</v>
      </c>
      <c r="C577">
        <v>849</v>
      </c>
      <c r="D577" t="s">
        <v>2679</v>
      </c>
      <c r="E577" t="str">
        <f>IF(NOT(ISERROR(VLOOKUP(D577,'ESO DungeonFinder'!$A$2:$A$999,1,FALSE))),"X","")</f>
        <v/>
      </c>
      <c r="F577" s="70" t="str">
        <f t="shared" si="36"/>
        <v/>
      </c>
      <c r="G577" s="70" t="str">
        <f t="shared" si="37"/>
        <v>Vvardenfell</v>
      </c>
      <c r="H577" s="70">
        <f t="shared" si="38"/>
        <v>960</v>
      </c>
      <c r="I577" s="70">
        <f t="shared" si="39"/>
        <v>849</v>
      </c>
      <c r="J577">
        <v>6</v>
      </c>
      <c r="K577" s="3" t="str">
        <f ca="1">VLOOKUP(J577,ConstDLCIds!$A$4:$B$1000,2,FALSE)</f>
        <v>DLC_MORROWIND</v>
      </c>
      <c r="L577" s="3" t="str">
        <f ca="1">VLOOKUP(J577,ConstDLCIds!$A$4:$C$1000,3,FALSE)</f>
        <v>Morrowind</v>
      </c>
    </row>
    <row r="578" spans="1:12" x14ac:dyDescent="0.25">
      <c r="A578">
        <v>961</v>
      </c>
      <c r="B578">
        <v>573</v>
      </c>
      <c r="C578">
        <v>849</v>
      </c>
      <c r="D578" t="s">
        <v>2680</v>
      </c>
      <c r="E578" t="str">
        <f>IF(NOT(ISERROR(VLOOKUP(D578,'ESO DungeonFinder'!$A$2:$A$999,1,FALSE))),"X","")</f>
        <v/>
      </c>
      <c r="F578" s="70" t="str">
        <f t="shared" si="36"/>
        <v/>
      </c>
      <c r="G578" s="70" t="str">
        <f t="shared" si="37"/>
        <v>Vvardenfell</v>
      </c>
      <c r="H578" s="70">
        <f t="shared" si="38"/>
        <v>961</v>
      </c>
      <c r="I578" s="70">
        <f t="shared" si="39"/>
        <v>849</v>
      </c>
      <c r="J578">
        <v>6</v>
      </c>
      <c r="K578" s="3" t="str">
        <f ca="1">VLOOKUP(J578,ConstDLCIds!$A$4:$B$1000,2,FALSE)</f>
        <v>DLC_MORROWIND</v>
      </c>
      <c r="L578" s="3" t="str">
        <f ca="1">VLOOKUP(J578,ConstDLCIds!$A$4:$C$1000,3,FALSE)</f>
        <v>Morrowind</v>
      </c>
    </row>
    <row r="579" spans="1:12" x14ac:dyDescent="0.25">
      <c r="A579">
        <v>962</v>
      </c>
      <c r="B579">
        <v>574</v>
      </c>
      <c r="C579">
        <v>849</v>
      </c>
      <c r="D579" t="s">
        <v>2681</v>
      </c>
      <c r="E579" t="str">
        <f>IF(NOT(ISERROR(VLOOKUP(D579,'ESO DungeonFinder'!$A$2:$A$999,1,FALSE))),"X","")</f>
        <v/>
      </c>
      <c r="F579" s="70" t="str">
        <f t="shared" si="36"/>
        <v/>
      </c>
      <c r="G579" s="70" t="str">
        <f t="shared" si="37"/>
        <v>Vvardenfell</v>
      </c>
      <c r="H579" s="70">
        <f t="shared" si="38"/>
        <v>962</v>
      </c>
      <c r="I579" s="70">
        <f t="shared" si="39"/>
        <v>849</v>
      </c>
      <c r="J579">
        <v>6</v>
      </c>
      <c r="K579" s="3" t="str">
        <f ca="1">VLOOKUP(J579,ConstDLCIds!$A$4:$B$1000,2,FALSE)</f>
        <v>DLC_MORROWIND</v>
      </c>
      <c r="L579" s="3" t="str">
        <f ca="1">VLOOKUP(J579,ConstDLCIds!$A$4:$C$1000,3,FALSE)</f>
        <v>Morrowind</v>
      </c>
    </row>
    <row r="580" spans="1:12" x14ac:dyDescent="0.25">
      <c r="A580">
        <v>963</v>
      </c>
      <c r="B580">
        <v>575</v>
      </c>
      <c r="C580">
        <v>849</v>
      </c>
      <c r="D580" t="s">
        <v>2682</v>
      </c>
      <c r="E580" t="str">
        <f>IF(NOT(ISERROR(VLOOKUP(D580,'ESO DungeonFinder'!$A$2:$A$999,1,FALSE))),"X","")</f>
        <v/>
      </c>
      <c r="F580" s="70" t="str">
        <f t="shared" si="36"/>
        <v/>
      </c>
      <c r="G580" s="70" t="str">
        <f t="shared" si="37"/>
        <v>Vvardenfell</v>
      </c>
      <c r="H580" s="70">
        <f t="shared" si="38"/>
        <v>963</v>
      </c>
      <c r="I580" s="70">
        <f t="shared" si="39"/>
        <v>849</v>
      </c>
      <c r="J580">
        <v>6</v>
      </c>
      <c r="K580" s="3" t="str">
        <f ca="1">VLOOKUP(J580,ConstDLCIds!$A$4:$B$1000,2,FALSE)</f>
        <v>DLC_MORROWIND</v>
      </c>
      <c r="L580" s="3" t="str">
        <f ca="1">VLOOKUP(J580,ConstDLCIds!$A$4:$C$1000,3,FALSE)</f>
        <v>Morrowind</v>
      </c>
    </row>
    <row r="581" spans="1:12" x14ac:dyDescent="0.25">
      <c r="A581">
        <v>964</v>
      </c>
      <c r="B581">
        <v>576</v>
      </c>
      <c r="C581">
        <v>849</v>
      </c>
      <c r="D581" t="s">
        <v>2683</v>
      </c>
      <c r="E581" t="str">
        <f>IF(NOT(ISERROR(VLOOKUP(D581,'ESO DungeonFinder'!$A$2:$A$999,1,FALSE))),"X","")</f>
        <v/>
      </c>
      <c r="F581" s="70" t="str">
        <f t="shared" si="36"/>
        <v/>
      </c>
      <c r="G581" s="70" t="str">
        <f t="shared" si="37"/>
        <v>Vvardenfell</v>
      </c>
      <c r="H581" s="70">
        <f t="shared" si="38"/>
        <v>964</v>
      </c>
      <c r="I581" s="70">
        <f t="shared" si="39"/>
        <v>849</v>
      </c>
      <c r="J581">
        <v>6</v>
      </c>
      <c r="K581" s="3" t="str">
        <f ca="1">VLOOKUP(J581,ConstDLCIds!$A$4:$B$1000,2,FALSE)</f>
        <v>DLC_MORROWIND</v>
      </c>
      <c r="L581" s="3" t="str">
        <f ca="1">VLOOKUP(J581,ConstDLCIds!$A$4:$C$1000,3,FALSE)</f>
        <v>Morrowind</v>
      </c>
    </row>
    <row r="582" spans="1:12" x14ac:dyDescent="0.25">
      <c r="A582">
        <v>965</v>
      </c>
      <c r="B582">
        <v>577</v>
      </c>
      <c r="C582">
        <v>849</v>
      </c>
      <c r="D582" t="s">
        <v>2684</v>
      </c>
      <c r="E582" t="str">
        <f>IF(NOT(ISERROR(VLOOKUP(D582,'ESO DungeonFinder'!$A$2:$A$999,1,FALSE))),"X","")</f>
        <v/>
      </c>
      <c r="F582" s="70" t="str">
        <f t="shared" si="36"/>
        <v/>
      </c>
      <c r="G582" s="70" t="str">
        <f t="shared" si="37"/>
        <v>Vvardenfell</v>
      </c>
      <c r="H582" s="70">
        <f t="shared" si="38"/>
        <v>965</v>
      </c>
      <c r="I582" s="70">
        <f t="shared" si="39"/>
        <v>849</v>
      </c>
      <c r="J582">
        <v>6</v>
      </c>
      <c r="K582" s="3" t="str">
        <f ca="1">VLOOKUP(J582,ConstDLCIds!$A$4:$B$1000,2,FALSE)</f>
        <v>DLC_MORROWIND</v>
      </c>
      <c r="L582" s="3" t="str">
        <f ca="1">VLOOKUP(J582,ConstDLCIds!$A$4:$C$1000,3,FALSE)</f>
        <v>Morrowind</v>
      </c>
    </row>
    <row r="583" spans="1:12" x14ac:dyDescent="0.25">
      <c r="A583">
        <v>966</v>
      </c>
      <c r="B583">
        <v>578</v>
      </c>
      <c r="C583">
        <v>849</v>
      </c>
      <c r="D583" t="s">
        <v>2685</v>
      </c>
      <c r="E583" t="str">
        <f>IF(NOT(ISERROR(VLOOKUP(D583,'ESO DungeonFinder'!$A$2:$A$999,1,FALSE))),"X","")</f>
        <v/>
      </c>
      <c r="F583" s="70" t="str">
        <f t="shared" ref="F583:F646" si="40">IF(EXACT(A583,C583),"X","")</f>
        <v/>
      </c>
      <c r="G583" s="70" t="str">
        <f t="shared" ref="G583:G646" si="41">IF(A583&lt;&gt;C583,VLOOKUP(C583,$A$5:$D$9956,4,FALSE),"")</f>
        <v>Vvardenfell</v>
      </c>
      <c r="H583" s="70">
        <f t="shared" ref="H583:H646" si="42">A583</f>
        <v>966</v>
      </c>
      <c r="I583" s="70">
        <f t="shared" ref="I583:I646" si="43">C583</f>
        <v>849</v>
      </c>
      <c r="J583">
        <v>6</v>
      </c>
      <c r="K583" s="3" t="str">
        <f ca="1">VLOOKUP(J583,ConstDLCIds!$A$4:$B$1000,2,FALSE)</f>
        <v>DLC_MORROWIND</v>
      </c>
      <c r="L583" s="3" t="str">
        <f ca="1">VLOOKUP(J583,ConstDLCIds!$A$4:$C$1000,3,FALSE)</f>
        <v>Morrowind</v>
      </c>
    </row>
    <row r="584" spans="1:12" x14ac:dyDescent="0.25">
      <c r="A584">
        <v>967</v>
      </c>
      <c r="B584">
        <v>579</v>
      </c>
      <c r="C584">
        <v>849</v>
      </c>
      <c r="D584" t="s">
        <v>2686</v>
      </c>
      <c r="E584" t="str">
        <f>IF(NOT(ISERROR(VLOOKUP(D584,'ESO DungeonFinder'!$A$2:$A$999,1,FALSE))),"X","")</f>
        <v/>
      </c>
      <c r="F584" s="70" t="str">
        <f t="shared" si="40"/>
        <v/>
      </c>
      <c r="G584" s="70" t="str">
        <f t="shared" si="41"/>
        <v>Vvardenfell</v>
      </c>
      <c r="H584" s="70">
        <f t="shared" si="42"/>
        <v>967</v>
      </c>
      <c r="I584" s="70">
        <f t="shared" si="43"/>
        <v>849</v>
      </c>
      <c r="J584">
        <v>6</v>
      </c>
      <c r="K584" s="3" t="str">
        <f ca="1">VLOOKUP(J584,ConstDLCIds!$A$4:$B$1000,2,FALSE)</f>
        <v>DLC_MORROWIND</v>
      </c>
      <c r="L584" s="3" t="str">
        <f ca="1">VLOOKUP(J584,ConstDLCIds!$A$4:$C$1000,3,FALSE)</f>
        <v>Morrowind</v>
      </c>
    </row>
    <row r="585" spans="1:12" x14ac:dyDescent="0.25">
      <c r="A585">
        <v>968</v>
      </c>
      <c r="B585">
        <v>580</v>
      </c>
      <c r="C585">
        <v>849</v>
      </c>
      <c r="D585" t="s">
        <v>2687</v>
      </c>
      <c r="E585" t="str">
        <f>IF(NOT(ISERROR(VLOOKUP(D585,'ESO DungeonFinder'!$A$2:$A$999,1,FALSE))),"X","")</f>
        <v/>
      </c>
      <c r="F585" s="70" t="str">
        <f t="shared" si="40"/>
        <v/>
      </c>
      <c r="G585" s="70" t="str">
        <f t="shared" si="41"/>
        <v>Vvardenfell</v>
      </c>
      <c r="H585" s="70">
        <f t="shared" si="42"/>
        <v>968</v>
      </c>
      <c r="I585" s="70">
        <f t="shared" si="43"/>
        <v>849</v>
      </c>
      <c r="J585">
        <v>6</v>
      </c>
      <c r="K585" s="3" t="str">
        <f ca="1">VLOOKUP(J585,ConstDLCIds!$A$4:$B$1000,2,FALSE)</f>
        <v>DLC_MORROWIND</v>
      </c>
      <c r="L585" s="3" t="str">
        <f ca="1">VLOOKUP(J585,ConstDLCIds!$A$4:$C$1000,3,FALSE)</f>
        <v>Morrowind</v>
      </c>
    </row>
    <row r="586" spans="1:12" x14ac:dyDescent="0.25">
      <c r="A586">
        <v>969</v>
      </c>
      <c r="B586">
        <v>581</v>
      </c>
      <c r="C586">
        <v>849</v>
      </c>
      <c r="D586" t="s">
        <v>2688</v>
      </c>
      <c r="E586" t="str">
        <f>IF(NOT(ISERROR(VLOOKUP(D586,'ESO DungeonFinder'!$A$2:$A$999,1,FALSE))),"X","")</f>
        <v/>
      </c>
      <c r="F586" s="70" t="str">
        <f t="shared" si="40"/>
        <v/>
      </c>
      <c r="G586" s="70" t="str">
        <f t="shared" si="41"/>
        <v>Vvardenfell</v>
      </c>
      <c r="H586" s="70">
        <f t="shared" si="42"/>
        <v>969</v>
      </c>
      <c r="I586" s="70">
        <f t="shared" si="43"/>
        <v>849</v>
      </c>
      <c r="J586">
        <v>6</v>
      </c>
      <c r="K586" s="3" t="str">
        <f ca="1">VLOOKUP(J586,ConstDLCIds!$A$4:$B$1000,2,FALSE)</f>
        <v>DLC_MORROWIND</v>
      </c>
      <c r="L586" s="3" t="str">
        <f ca="1">VLOOKUP(J586,ConstDLCIds!$A$4:$C$1000,3,FALSE)</f>
        <v>Morrowind</v>
      </c>
    </row>
    <row r="587" spans="1:12" x14ac:dyDescent="0.25">
      <c r="A587">
        <v>970</v>
      </c>
      <c r="B587">
        <v>582</v>
      </c>
      <c r="C587">
        <v>849</v>
      </c>
      <c r="D587" t="s">
        <v>2689</v>
      </c>
      <c r="E587" t="str">
        <f>IF(NOT(ISERROR(VLOOKUP(D587,'ESO DungeonFinder'!$A$2:$A$999,1,FALSE))),"X","")</f>
        <v/>
      </c>
      <c r="F587" s="70" t="str">
        <f t="shared" si="40"/>
        <v/>
      </c>
      <c r="G587" s="70" t="str">
        <f t="shared" si="41"/>
        <v>Vvardenfell</v>
      </c>
      <c r="H587" s="70">
        <f t="shared" si="42"/>
        <v>970</v>
      </c>
      <c r="I587" s="70">
        <f t="shared" si="43"/>
        <v>849</v>
      </c>
      <c r="J587">
        <v>6</v>
      </c>
      <c r="K587" s="3" t="str">
        <f ca="1">VLOOKUP(J587,ConstDLCIds!$A$4:$B$1000,2,FALSE)</f>
        <v>DLC_MORROWIND</v>
      </c>
      <c r="L587" s="3" t="str">
        <f ca="1">VLOOKUP(J587,ConstDLCIds!$A$4:$C$1000,3,FALSE)</f>
        <v>Morrowind</v>
      </c>
    </row>
    <row r="588" spans="1:12" x14ac:dyDescent="0.25">
      <c r="A588">
        <v>971</v>
      </c>
      <c r="B588">
        <v>583</v>
      </c>
      <c r="C588">
        <v>849</v>
      </c>
      <c r="D588" t="s">
        <v>2690</v>
      </c>
      <c r="E588" t="str">
        <f>IF(NOT(ISERROR(VLOOKUP(D588,'ESO DungeonFinder'!$A$2:$A$999,1,FALSE))),"X","")</f>
        <v/>
      </c>
      <c r="F588" s="70" t="str">
        <f t="shared" si="40"/>
        <v/>
      </c>
      <c r="G588" s="70" t="str">
        <f t="shared" si="41"/>
        <v>Vvardenfell</v>
      </c>
      <c r="H588" s="70">
        <f t="shared" si="42"/>
        <v>971</v>
      </c>
      <c r="I588" s="70">
        <f t="shared" si="43"/>
        <v>849</v>
      </c>
      <c r="J588">
        <v>6</v>
      </c>
      <c r="K588" s="3" t="str">
        <f ca="1">VLOOKUP(J588,ConstDLCIds!$A$4:$B$1000,2,FALSE)</f>
        <v>DLC_MORROWIND</v>
      </c>
      <c r="L588" s="3" t="str">
        <f ca="1">VLOOKUP(J588,ConstDLCIds!$A$4:$C$1000,3,FALSE)</f>
        <v>Morrowind</v>
      </c>
    </row>
    <row r="589" spans="1:12" x14ac:dyDescent="0.25">
      <c r="A589">
        <v>972</v>
      </c>
      <c r="B589">
        <v>584</v>
      </c>
      <c r="C589">
        <v>849</v>
      </c>
      <c r="D589" t="s">
        <v>2691</v>
      </c>
      <c r="E589" t="str">
        <f>IF(NOT(ISERROR(VLOOKUP(D589,'ESO DungeonFinder'!$A$2:$A$999,1,FALSE))),"X","")</f>
        <v/>
      </c>
      <c r="F589" s="70" t="str">
        <f t="shared" si="40"/>
        <v/>
      </c>
      <c r="G589" s="70" t="str">
        <f t="shared" si="41"/>
        <v>Vvardenfell</v>
      </c>
      <c r="H589" s="70">
        <f t="shared" si="42"/>
        <v>972</v>
      </c>
      <c r="I589" s="70">
        <f t="shared" si="43"/>
        <v>849</v>
      </c>
      <c r="J589">
        <v>6</v>
      </c>
      <c r="K589" s="3" t="str">
        <f ca="1">VLOOKUP(J589,ConstDLCIds!$A$4:$B$1000,2,FALSE)</f>
        <v>DLC_MORROWIND</v>
      </c>
      <c r="L589" s="3" t="str">
        <f ca="1">VLOOKUP(J589,ConstDLCIds!$A$4:$C$1000,3,FALSE)</f>
        <v>Morrowind</v>
      </c>
    </row>
    <row r="590" spans="1:12" x14ac:dyDescent="0.25">
      <c r="A590">
        <v>973</v>
      </c>
      <c r="B590">
        <v>585</v>
      </c>
      <c r="C590">
        <v>888</v>
      </c>
      <c r="D590" t="s">
        <v>1078</v>
      </c>
      <c r="E590" t="str">
        <f>IF(NOT(ISERROR(VLOOKUP(D590,'ESO DungeonFinder'!$A$2:$A$999,1,FALSE))),"X","")</f>
        <v>X</v>
      </c>
      <c r="F590" s="70" t="str">
        <f t="shared" si="40"/>
        <v/>
      </c>
      <c r="G590" s="70" t="str">
        <f t="shared" si="41"/>
        <v>Craglorn</v>
      </c>
      <c r="H590" s="70">
        <f t="shared" si="42"/>
        <v>973</v>
      </c>
      <c r="I590" s="70">
        <f t="shared" si="43"/>
        <v>888</v>
      </c>
      <c r="J590">
        <v>7</v>
      </c>
      <c r="K590" s="3" t="str">
        <f ca="1">VLOOKUP(J590,ConstDLCIds!$A$4:$B$1000,2,FALSE)</f>
        <v>DLC_HORNS_OF_THE_REACH</v>
      </c>
      <c r="L590" s="3" t="str">
        <f ca="1">VLOOKUP(J590,ConstDLCIds!$A$4:$C$1000,3,FALSE)</f>
        <v>Horns of the Reach</v>
      </c>
    </row>
    <row r="591" spans="1:12" x14ac:dyDescent="0.25">
      <c r="A591">
        <v>974</v>
      </c>
      <c r="B591">
        <v>586</v>
      </c>
      <c r="C591">
        <v>888</v>
      </c>
      <c r="D591" t="s">
        <v>1071</v>
      </c>
      <c r="E591" t="str">
        <f>IF(NOT(ISERROR(VLOOKUP(D591,'ESO DungeonFinder'!$A$2:$A$999,1,FALSE))),"X","")</f>
        <v>X</v>
      </c>
      <c r="F591" s="70" t="str">
        <f t="shared" si="40"/>
        <v/>
      </c>
      <c r="G591" s="70" t="str">
        <f t="shared" si="41"/>
        <v>Craglorn</v>
      </c>
      <c r="H591" s="70">
        <f t="shared" si="42"/>
        <v>974</v>
      </c>
      <c r="I591" s="70">
        <f t="shared" si="43"/>
        <v>888</v>
      </c>
      <c r="J591">
        <v>7</v>
      </c>
      <c r="K591" s="3" t="str">
        <f ca="1">VLOOKUP(J591,ConstDLCIds!$A$4:$B$1000,2,FALSE)</f>
        <v>DLC_HORNS_OF_THE_REACH</v>
      </c>
      <c r="L591" s="3" t="str">
        <f ca="1">VLOOKUP(J591,ConstDLCIds!$A$4:$C$1000,3,FALSE)</f>
        <v>Horns of the Reach</v>
      </c>
    </row>
    <row r="592" spans="1:12" x14ac:dyDescent="0.25">
      <c r="A592">
        <v>975</v>
      </c>
      <c r="B592">
        <v>587</v>
      </c>
      <c r="C592">
        <v>849</v>
      </c>
      <c r="D592" t="s">
        <v>1060</v>
      </c>
      <c r="E592" t="str">
        <f>IF(NOT(ISERROR(VLOOKUP(D592,'ESO DungeonFinder'!$A$2:$A$999,1,FALSE))),"X","")</f>
        <v/>
      </c>
      <c r="F592" s="70" t="str">
        <f t="shared" si="40"/>
        <v/>
      </c>
      <c r="G592" s="70" t="str">
        <f t="shared" si="41"/>
        <v>Vvardenfell</v>
      </c>
      <c r="H592" s="70">
        <f t="shared" si="42"/>
        <v>975</v>
      </c>
      <c r="I592" s="70">
        <f t="shared" si="43"/>
        <v>849</v>
      </c>
      <c r="J592">
        <v>8</v>
      </c>
      <c r="K592" s="3" t="str">
        <f ca="1">VLOOKUP(J592,ConstDLCIds!$A$4:$B$1000,2,FALSE)</f>
        <v>DLC_CLOCKWORK_CITY</v>
      </c>
      <c r="L592" s="3" t="str">
        <f ca="1">VLOOKUP(J592,ConstDLCIds!$A$4:$C$1000,3,FALSE)</f>
        <v>Clockwork City</v>
      </c>
    </row>
    <row r="593" spans="1:12" x14ac:dyDescent="0.25">
      <c r="A593">
        <v>977</v>
      </c>
      <c r="B593">
        <v>588</v>
      </c>
      <c r="C593">
        <v>849</v>
      </c>
      <c r="D593" t="s">
        <v>2692</v>
      </c>
      <c r="E593" t="str">
        <f>IF(NOT(ISERROR(VLOOKUP(D593,'ESO DungeonFinder'!$A$2:$A$999,1,FALSE))),"X","")</f>
        <v/>
      </c>
      <c r="F593" s="70" t="str">
        <f t="shared" si="40"/>
        <v/>
      </c>
      <c r="G593" s="70" t="str">
        <f t="shared" si="41"/>
        <v>Vvardenfell</v>
      </c>
      <c r="H593" s="70">
        <f t="shared" si="42"/>
        <v>977</v>
      </c>
      <c r="I593" s="70">
        <f t="shared" si="43"/>
        <v>849</v>
      </c>
      <c r="J593">
        <v>6</v>
      </c>
      <c r="K593" s="3" t="str">
        <f ca="1">VLOOKUP(J593,ConstDLCIds!$A$4:$B$1000,2,FALSE)</f>
        <v>DLC_MORROWIND</v>
      </c>
      <c r="L593" s="3" t="str">
        <f ca="1">VLOOKUP(J593,ConstDLCIds!$A$4:$C$1000,3,FALSE)</f>
        <v>Morrowind</v>
      </c>
    </row>
    <row r="594" spans="1:12" x14ac:dyDescent="0.25">
      <c r="A594">
        <v>979</v>
      </c>
      <c r="B594">
        <v>589</v>
      </c>
      <c r="C594">
        <v>849</v>
      </c>
      <c r="D594" t="s">
        <v>2686</v>
      </c>
      <c r="E594" t="str">
        <f>IF(NOT(ISERROR(VLOOKUP(D594,'ESO DungeonFinder'!$A$2:$A$999,1,FALSE))),"X","")</f>
        <v/>
      </c>
      <c r="F594" s="70" t="str">
        <f t="shared" si="40"/>
        <v/>
      </c>
      <c r="G594" s="70" t="str">
        <f t="shared" si="41"/>
        <v>Vvardenfell</v>
      </c>
      <c r="H594" s="70">
        <f t="shared" si="42"/>
        <v>979</v>
      </c>
      <c r="I594" s="70">
        <f t="shared" si="43"/>
        <v>849</v>
      </c>
      <c r="J594">
        <v>6</v>
      </c>
      <c r="K594" s="3" t="str">
        <f ca="1">VLOOKUP(J594,ConstDLCIds!$A$4:$B$1000,2,FALSE)</f>
        <v>DLC_MORROWIND</v>
      </c>
      <c r="L594" s="3" t="str">
        <f ca="1">VLOOKUP(J594,ConstDLCIds!$A$4:$C$1000,3,FALSE)</f>
        <v>Morrowind</v>
      </c>
    </row>
    <row r="595" spans="1:12" x14ac:dyDescent="0.25">
      <c r="A595">
        <v>980</v>
      </c>
      <c r="B595">
        <v>590</v>
      </c>
      <c r="C595">
        <v>980</v>
      </c>
      <c r="D595" t="s">
        <v>32</v>
      </c>
      <c r="E595" t="str">
        <f>IF(NOT(ISERROR(VLOOKUP(D595,'ESO DungeonFinder'!$A$2:$A$999,1,FALSE))),"X","")</f>
        <v/>
      </c>
      <c r="F595" s="70" t="str">
        <f t="shared" si="40"/>
        <v>X</v>
      </c>
      <c r="G595" s="70" t="str">
        <f t="shared" si="41"/>
        <v/>
      </c>
      <c r="H595" s="70">
        <f t="shared" si="42"/>
        <v>980</v>
      </c>
      <c r="I595" s="70">
        <f t="shared" si="43"/>
        <v>980</v>
      </c>
      <c r="J595">
        <v>30</v>
      </c>
      <c r="K595" s="3" t="str">
        <f ca="1">VLOOKUP(J595,ConstDLCIds!$A$4:$B$1000,2,FALSE)</f>
        <v>DLC_NECROM</v>
      </c>
      <c r="L595" s="3" t="str">
        <f ca="1">VLOOKUP(J595,ConstDLCIds!$A$4:$C$1000,3,FALSE)</f>
        <v>Necrom</v>
      </c>
    </row>
    <row r="596" spans="1:12" x14ac:dyDescent="0.25">
      <c r="A596">
        <v>981</v>
      </c>
      <c r="B596">
        <v>591</v>
      </c>
      <c r="C596">
        <v>980</v>
      </c>
      <c r="D596" t="s">
        <v>2693</v>
      </c>
      <c r="E596" t="str">
        <f>IF(NOT(ISERROR(VLOOKUP(D596,'ESO DungeonFinder'!$A$2:$A$999,1,FALSE))),"X","")</f>
        <v/>
      </c>
      <c r="F596" s="70" t="str">
        <f t="shared" si="40"/>
        <v/>
      </c>
      <c r="G596" s="70" t="str">
        <f t="shared" si="41"/>
        <v>Clockwork City</v>
      </c>
      <c r="H596" s="70">
        <f t="shared" si="42"/>
        <v>981</v>
      </c>
      <c r="I596" s="70">
        <f t="shared" si="43"/>
        <v>980</v>
      </c>
      <c r="J596">
        <v>8</v>
      </c>
      <c r="K596" s="3" t="str">
        <f ca="1">VLOOKUP(J596,ConstDLCIds!$A$4:$B$1000,2,FALSE)</f>
        <v>DLC_CLOCKWORK_CITY</v>
      </c>
      <c r="L596" s="3" t="str">
        <f ca="1">VLOOKUP(J596,ConstDLCIds!$A$4:$C$1000,3,FALSE)</f>
        <v>Clockwork City</v>
      </c>
    </row>
    <row r="597" spans="1:12" x14ac:dyDescent="0.25">
      <c r="A597">
        <v>982</v>
      </c>
      <c r="B597">
        <v>592</v>
      </c>
      <c r="C597">
        <v>980</v>
      </c>
      <c r="D597" t="s">
        <v>2694</v>
      </c>
      <c r="E597" t="str">
        <f>IF(NOT(ISERROR(VLOOKUP(D597,'ESO DungeonFinder'!$A$2:$A$999,1,FALSE))),"X","")</f>
        <v/>
      </c>
      <c r="F597" s="70" t="str">
        <f t="shared" si="40"/>
        <v/>
      </c>
      <c r="G597" s="70" t="str">
        <f t="shared" si="41"/>
        <v>Clockwork City</v>
      </c>
      <c r="H597" s="70">
        <f t="shared" si="42"/>
        <v>982</v>
      </c>
      <c r="I597" s="70">
        <f t="shared" si="43"/>
        <v>980</v>
      </c>
      <c r="J597">
        <v>8</v>
      </c>
      <c r="K597" s="3" t="str">
        <f ca="1">VLOOKUP(J597,ConstDLCIds!$A$4:$B$1000,2,FALSE)</f>
        <v>DLC_CLOCKWORK_CITY</v>
      </c>
      <c r="L597" s="3" t="str">
        <f ca="1">VLOOKUP(J597,ConstDLCIds!$A$4:$C$1000,3,FALSE)</f>
        <v>Clockwork City</v>
      </c>
    </row>
    <row r="598" spans="1:12" x14ac:dyDescent="0.25">
      <c r="A598">
        <v>983</v>
      </c>
      <c r="B598">
        <v>593</v>
      </c>
      <c r="C598">
        <v>980</v>
      </c>
      <c r="D598" t="s">
        <v>2695</v>
      </c>
      <c r="E598" t="str">
        <f>IF(NOT(ISERROR(VLOOKUP(D598,'ESO DungeonFinder'!$A$2:$A$999,1,FALSE))),"X","")</f>
        <v/>
      </c>
      <c r="F598" s="70" t="str">
        <f t="shared" si="40"/>
        <v/>
      </c>
      <c r="G598" s="70" t="str">
        <f t="shared" si="41"/>
        <v>Clockwork City</v>
      </c>
      <c r="H598" s="70">
        <f t="shared" si="42"/>
        <v>983</v>
      </c>
      <c r="I598" s="70">
        <f t="shared" si="43"/>
        <v>980</v>
      </c>
      <c r="J598">
        <v>8</v>
      </c>
      <c r="K598" s="3" t="str">
        <f ca="1">VLOOKUP(J598,ConstDLCIds!$A$4:$B$1000,2,FALSE)</f>
        <v>DLC_CLOCKWORK_CITY</v>
      </c>
      <c r="L598" s="3" t="str">
        <f ca="1">VLOOKUP(J598,ConstDLCIds!$A$4:$C$1000,3,FALSE)</f>
        <v>Clockwork City</v>
      </c>
    </row>
    <row r="599" spans="1:12" x14ac:dyDescent="0.25">
      <c r="A599">
        <v>984</v>
      </c>
      <c r="B599">
        <v>594</v>
      </c>
      <c r="C599">
        <v>980</v>
      </c>
      <c r="D599" t="s">
        <v>2696</v>
      </c>
      <c r="E599" t="str">
        <f>IF(NOT(ISERROR(VLOOKUP(D599,'ESO DungeonFinder'!$A$2:$A$999,1,FALSE))),"X","")</f>
        <v/>
      </c>
      <c r="F599" s="70" t="str">
        <f t="shared" si="40"/>
        <v/>
      </c>
      <c r="G599" s="70" t="str">
        <f t="shared" si="41"/>
        <v>Clockwork City</v>
      </c>
      <c r="H599" s="70">
        <f t="shared" si="42"/>
        <v>984</v>
      </c>
      <c r="I599" s="70">
        <f t="shared" si="43"/>
        <v>980</v>
      </c>
      <c r="J599">
        <v>8</v>
      </c>
      <c r="K599" s="3" t="str">
        <f ca="1">VLOOKUP(J599,ConstDLCIds!$A$4:$B$1000,2,FALSE)</f>
        <v>DLC_CLOCKWORK_CITY</v>
      </c>
      <c r="L599" s="3" t="str">
        <f ca="1">VLOOKUP(J599,ConstDLCIds!$A$4:$C$1000,3,FALSE)</f>
        <v>Clockwork City</v>
      </c>
    </row>
    <row r="600" spans="1:12" x14ac:dyDescent="0.25">
      <c r="A600">
        <v>985</v>
      </c>
      <c r="B600">
        <v>595</v>
      </c>
      <c r="C600">
        <v>980</v>
      </c>
      <c r="D600" t="s">
        <v>2697</v>
      </c>
      <c r="E600" t="str">
        <f>IF(NOT(ISERROR(VLOOKUP(D600,'ESO DungeonFinder'!$A$2:$A$999,1,FALSE))),"X","")</f>
        <v/>
      </c>
      <c r="F600" s="70" t="str">
        <f t="shared" si="40"/>
        <v/>
      </c>
      <c r="G600" s="70" t="str">
        <f t="shared" si="41"/>
        <v>Clockwork City</v>
      </c>
      <c r="H600" s="70">
        <f t="shared" si="42"/>
        <v>985</v>
      </c>
      <c r="I600" s="70">
        <f t="shared" si="43"/>
        <v>980</v>
      </c>
      <c r="J600">
        <v>8</v>
      </c>
      <c r="K600" s="3" t="str">
        <f ca="1">VLOOKUP(J600,ConstDLCIds!$A$4:$B$1000,2,FALSE)</f>
        <v>DLC_CLOCKWORK_CITY</v>
      </c>
      <c r="L600" s="3" t="str">
        <f ca="1">VLOOKUP(J600,ConstDLCIds!$A$4:$C$1000,3,FALSE)</f>
        <v>Clockwork City</v>
      </c>
    </row>
    <row r="601" spans="1:12" x14ac:dyDescent="0.25">
      <c r="A601">
        <v>986</v>
      </c>
      <c r="B601">
        <v>596</v>
      </c>
      <c r="C601">
        <v>980</v>
      </c>
      <c r="D601" t="s">
        <v>2698</v>
      </c>
      <c r="E601" t="str">
        <f>IF(NOT(ISERROR(VLOOKUP(D601,'ESO DungeonFinder'!$A$2:$A$999,1,FALSE))),"X","")</f>
        <v/>
      </c>
      <c r="F601" s="70" t="str">
        <f t="shared" si="40"/>
        <v/>
      </c>
      <c r="G601" s="70" t="str">
        <f t="shared" si="41"/>
        <v>Clockwork City</v>
      </c>
      <c r="H601" s="70">
        <f t="shared" si="42"/>
        <v>986</v>
      </c>
      <c r="I601" s="70">
        <f t="shared" si="43"/>
        <v>980</v>
      </c>
      <c r="J601">
        <v>8</v>
      </c>
      <c r="K601" s="3" t="str">
        <f ca="1">VLOOKUP(J601,ConstDLCIds!$A$4:$B$1000,2,FALSE)</f>
        <v>DLC_CLOCKWORK_CITY</v>
      </c>
      <c r="L601" s="3" t="str">
        <f ca="1">VLOOKUP(J601,ConstDLCIds!$A$4:$C$1000,3,FALSE)</f>
        <v>Clockwork City</v>
      </c>
    </row>
    <row r="602" spans="1:12" x14ac:dyDescent="0.25">
      <c r="A602">
        <v>988</v>
      </c>
      <c r="B602">
        <v>597</v>
      </c>
      <c r="C602">
        <v>980</v>
      </c>
      <c r="D602" t="s">
        <v>2699</v>
      </c>
      <c r="E602" t="str">
        <f>IF(NOT(ISERROR(VLOOKUP(D602,'ESO DungeonFinder'!$A$2:$A$999,1,FALSE))),"X","")</f>
        <v/>
      </c>
      <c r="F602" s="70" t="str">
        <f t="shared" si="40"/>
        <v/>
      </c>
      <c r="G602" s="70" t="str">
        <f t="shared" si="41"/>
        <v>Clockwork City</v>
      </c>
      <c r="H602" s="70">
        <f t="shared" si="42"/>
        <v>988</v>
      </c>
      <c r="I602" s="70">
        <f t="shared" si="43"/>
        <v>980</v>
      </c>
      <c r="J602">
        <v>8</v>
      </c>
      <c r="K602" s="3" t="str">
        <f ca="1">VLOOKUP(J602,ConstDLCIds!$A$4:$B$1000,2,FALSE)</f>
        <v>DLC_CLOCKWORK_CITY</v>
      </c>
      <c r="L602" s="3" t="str">
        <f ca="1">VLOOKUP(J602,ConstDLCIds!$A$4:$C$1000,3,FALSE)</f>
        <v>Clockwork City</v>
      </c>
    </row>
    <row r="603" spans="1:12" x14ac:dyDescent="0.25">
      <c r="A603">
        <v>989</v>
      </c>
      <c r="B603">
        <v>598</v>
      </c>
      <c r="C603">
        <v>980</v>
      </c>
      <c r="D603" t="s">
        <v>2700</v>
      </c>
      <c r="E603" t="str">
        <f>IF(NOT(ISERROR(VLOOKUP(D603,'ESO DungeonFinder'!$A$2:$A$999,1,FALSE))),"X","")</f>
        <v/>
      </c>
      <c r="F603" s="70" t="str">
        <f t="shared" si="40"/>
        <v/>
      </c>
      <c r="G603" s="70" t="str">
        <f t="shared" si="41"/>
        <v>Clockwork City</v>
      </c>
      <c r="H603" s="70">
        <f t="shared" si="42"/>
        <v>989</v>
      </c>
      <c r="I603" s="70">
        <f t="shared" si="43"/>
        <v>980</v>
      </c>
      <c r="J603">
        <v>8</v>
      </c>
      <c r="K603" s="3" t="str">
        <f ca="1">VLOOKUP(J603,ConstDLCIds!$A$4:$B$1000,2,FALSE)</f>
        <v>DLC_CLOCKWORK_CITY</v>
      </c>
      <c r="L603" s="3" t="str">
        <f ca="1">VLOOKUP(J603,ConstDLCIds!$A$4:$C$1000,3,FALSE)</f>
        <v>Clockwork City</v>
      </c>
    </row>
    <row r="604" spans="1:12" x14ac:dyDescent="0.25">
      <c r="A604">
        <v>990</v>
      </c>
      <c r="B604">
        <v>599</v>
      </c>
      <c r="C604">
        <v>980</v>
      </c>
      <c r="D604" t="s">
        <v>2701</v>
      </c>
      <c r="E604" t="str">
        <f>IF(NOT(ISERROR(VLOOKUP(D604,'ESO DungeonFinder'!$A$2:$A$999,1,FALSE))),"X","")</f>
        <v/>
      </c>
      <c r="F604" s="70" t="str">
        <f t="shared" si="40"/>
        <v/>
      </c>
      <c r="G604" s="70" t="str">
        <f t="shared" si="41"/>
        <v>Clockwork City</v>
      </c>
      <c r="H604" s="70">
        <f t="shared" si="42"/>
        <v>990</v>
      </c>
      <c r="I604" s="70">
        <f t="shared" si="43"/>
        <v>980</v>
      </c>
      <c r="J604">
        <v>8</v>
      </c>
      <c r="K604" s="3" t="str">
        <f ca="1">VLOOKUP(J604,ConstDLCIds!$A$4:$B$1000,2,FALSE)</f>
        <v>DLC_CLOCKWORK_CITY</v>
      </c>
      <c r="L604" s="3" t="str">
        <f ca="1">VLOOKUP(J604,ConstDLCIds!$A$4:$C$1000,3,FALSE)</f>
        <v>Clockwork City</v>
      </c>
    </row>
    <row r="605" spans="1:12" x14ac:dyDescent="0.25">
      <c r="A605">
        <v>991</v>
      </c>
      <c r="B605">
        <v>600</v>
      </c>
      <c r="C605">
        <v>980</v>
      </c>
      <c r="D605" t="s">
        <v>2702</v>
      </c>
      <c r="E605" t="str">
        <f>IF(NOT(ISERROR(VLOOKUP(D605,'ESO DungeonFinder'!$A$2:$A$999,1,FALSE))),"X","")</f>
        <v/>
      </c>
      <c r="F605" s="70" t="str">
        <f t="shared" si="40"/>
        <v/>
      </c>
      <c r="G605" s="70" t="str">
        <f t="shared" si="41"/>
        <v>Clockwork City</v>
      </c>
      <c r="H605" s="70">
        <f t="shared" si="42"/>
        <v>991</v>
      </c>
      <c r="I605" s="70">
        <f t="shared" si="43"/>
        <v>980</v>
      </c>
      <c r="J605">
        <v>8</v>
      </c>
      <c r="K605" s="3" t="str">
        <f ca="1">VLOOKUP(J605,ConstDLCIds!$A$4:$B$1000,2,FALSE)</f>
        <v>DLC_CLOCKWORK_CITY</v>
      </c>
      <c r="L605" s="3" t="str">
        <f ca="1">VLOOKUP(J605,ConstDLCIds!$A$4:$C$1000,3,FALSE)</f>
        <v>Clockwork City</v>
      </c>
    </row>
    <row r="606" spans="1:12" x14ac:dyDescent="0.25">
      <c r="A606">
        <v>992</v>
      </c>
      <c r="B606">
        <v>601</v>
      </c>
      <c r="C606">
        <v>980</v>
      </c>
      <c r="D606" t="s">
        <v>2703</v>
      </c>
      <c r="E606" t="str">
        <f>IF(NOT(ISERROR(VLOOKUP(D606,'ESO DungeonFinder'!$A$2:$A$999,1,FALSE))),"X","")</f>
        <v/>
      </c>
      <c r="F606" s="70" t="str">
        <f t="shared" si="40"/>
        <v/>
      </c>
      <c r="G606" s="70" t="str">
        <f t="shared" si="41"/>
        <v>Clockwork City</v>
      </c>
      <c r="H606" s="70">
        <f t="shared" si="42"/>
        <v>992</v>
      </c>
      <c r="I606" s="70">
        <f t="shared" si="43"/>
        <v>980</v>
      </c>
      <c r="J606">
        <v>8</v>
      </c>
      <c r="K606" s="3" t="str">
        <f ca="1">VLOOKUP(J606,ConstDLCIds!$A$4:$B$1000,2,FALSE)</f>
        <v>DLC_CLOCKWORK_CITY</v>
      </c>
      <c r="L606" s="3" t="str">
        <f ca="1">VLOOKUP(J606,ConstDLCIds!$A$4:$C$1000,3,FALSE)</f>
        <v>Clockwork City</v>
      </c>
    </row>
    <row r="607" spans="1:12" x14ac:dyDescent="0.25">
      <c r="A607">
        <v>993</v>
      </c>
      <c r="B607">
        <v>602</v>
      </c>
      <c r="C607">
        <v>980</v>
      </c>
      <c r="D607" t="s">
        <v>2704</v>
      </c>
      <c r="E607" t="str">
        <f>IF(NOT(ISERROR(VLOOKUP(D607,'ESO DungeonFinder'!$A$2:$A$999,1,FALSE))),"X","")</f>
        <v/>
      </c>
      <c r="F607" s="70" t="str">
        <f t="shared" si="40"/>
        <v/>
      </c>
      <c r="G607" s="70" t="str">
        <f t="shared" si="41"/>
        <v>Clockwork City</v>
      </c>
      <c r="H607" s="70">
        <f t="shared" si="42"/>
        <v>993</v>
      </c>
      <c r="I607" s="70">
        <f t="shared" si="43"/>
        <v>980</v>
      </c>
      <c r="J607">
        <v>8</v>
      </c>
      <c r="K607" s="3" t="str">
        <f ca="1">VLOOKUP(J607,ConstDLCIds!$A$4:$B$1000,2,FALSE)</f>
        <v>DLC_CLOCKWORK_CITY</v>
      </c>
      <c r="L607" s="3" t="str">
        <f ca="1">VLOOKUP(J607,ConstDLCIds!$A$4:$C$1000,3,FALSE)</f>
        <v>Clockwork City</v>
      </c>
    </row>
    <row r="608" spans="1:12" x14ac:dyDescent="0.25">
      <c r="A608">
        <v>994</v>
      </c>
      <c r="B608">
        <v>603</v>
      </c>
      <c r="C608">
        <v>849</v>
      </c>
      <c r="D608" t="s">
        <v>2705</v>
      </c>
      <c r="E608" t="str">
        <f>IF(NOT(ISERROR(VLOOKUP(D608,'ESO DungeonFinder'!$A$2:$A$999,1,FALSE))),"X","")</f>
        <v/>
      </c>
      <c r="F608" s="70" t="str">
        <f t="shared" si="40"/>
        <v/>
      </c>
      <c r="G608" s="70" t="str">
        <f t="shared" si="41"/>
        <v>Vvardenfell</v>
      </c>
      <c r="H608" s="70">
        <f t="shared" si="42"/>
        <v>994</v>
      </c>
      <c r="I608" s="70">
        <f t="shared" si="43"/>
        <v>849</v>
      </c>
      <c r="J608">
        <v>6</v>
      </c>
      <c r="K608" s="3" t="str">
        <f ca="1">VLOOKUP(J608,ConstDLCIds!$A$4:$B$1000,2,FALSE)</f>
        <v>DLC_MORROWIND</v>
      </c>
      <c r="L608" s="3" t="str">
        <f ca="1">VLOOKUP(J608,ConstDLCIds!$A$4:$C$1000,3,FALSE)</f>
        <v>Morrowind</v>
      </c>
    </row>
    <row r="609" spans="1:12" x14ac:dyDescent="0.25">
      <c r="A609">
        <v>995</v>
      </c>
      <c r="B609">
        <v>604</v>
      </c>
      <c r="C609">
        <v>849</v>
      </c>
      <c r="D609" t="s">
        <v>2706</v>
      </c>
      <c r="E609" t="str">
        <f>IF(NOT(ISERROR(VLOOKUP(D609,'ESO DungeonFinder'!$A$2:$A$999,1,FALSE))),"X","")</f>
        <v/>
      </c>
      <c r="F609" s="70" t="str">
        <f t="shared" si="40"/>
        <v/>
      </c>
      <c r="G609" s="70" t="str">
        <f t="shared" si="41"/>
        <v>Vvardenfell</v>
      </c>
      <c r="H609" s="70">
        <f t="shared" si="42"/>
        <v>995</v>
      </c>
      <c r="I609" s="70">
        <f t="shared" si="43"/>
        <v>849</v>
      </c>
      <c r="J609">
        <v>6</v>
      </c>
      <c r="K609" s="3" t="str">
        <f ca="1">VLOOKUP(J609,ConstDLCIds!$A$4:$B$1000,2,FALSE)</f>
        <v>DLC_MORROWIND</v>
      </c>
      <c r="L609" s="3" t="str">
        <f ca="1">VLOOKUP(J609,ConstDLCIds!$A$4:$C$1000,3,FALSE)</f>
        <v>Morrowind</v>
      </c>
    </row>
    <row r="610" spans="1:12" x14ac:dyDescent="0.25">
      <c r="A610">
        <v>996</v>
      </c>
      <c r="B610">
        <v>605</v>
      </c>
      <c r="C610">
        <v>849</v>
      </c>
      <c r="D610" t="s">
        <v>2707</v>
      </c>
      <c r="E610" t="str">
        <f>IF(NOT(ISERROR(VLOOKUP(D610,'ESO DungeonFinder'!$A$2:$A$999,1,FALSE))),"X","")</f>
        <v/>
      </c>
      <c r="F610" s="70" t="str">
        <f t="shared" si="40"/>
        <v/>
      </c>
      <c r="G610" s="70" t="str">
        <f t="shared" si="41"/>
        <v>Vvardenfell</v>
      </c>
      <c r="H610" s="70">
        <f t="shared" si="42"/>
        <v>996</v>
      </c>
      <c r="I610" s="70">
        <f t="shared" si="43"/>
        <v>849</v>
      </c>
      <c r="J610">
        <v>6</v>
      </c>
      <c r="K610" s="3" t="str">
        <f ca="1">VLOOKUP(J610,ConstDLCIds!$A$4:$B$1000,2,FALSE)</f>
        <v>DLC_MORROWIND</v>
      </c>
      <c r="L610" s="3" t="str">
        <f ca="1">VLOOKUP(J610,ConstDLCIds!$A$4:$C$1000,3,FALSE)</f>
        <v>Morrowind</v>
      </c>
    </row>
    <row r="611" spans="1:12" x14ac:dyDescent="0.25">
      <c r="A611">
        <v>997</v>
      </c>
      <c r="B611">
        <v>606</v>
      </c>
      <c r="C611">
        <v>849</v>
      </c>
      <c r="D611" t="s">
        <v>2708</v>
      </c>
      <c r="E611" t="str">
        <f>IF(NOT(ISERROR(VLOOKUP(D611,'ESO DungeonFinder'!$A$2:$A$999,1,FALSE))),"X","")</f>
        <v/>
      </c>
      <c r="F611" s="70" t="str">
        <f t="shared" si="40"/>
        <v/>
      </c>
      <c r="G611" s="70" t="str">
        <f t="shared" si="41"/>
        <v>Vvardenfell</v>
      </c>
      <c r="H611" s="70">
        <f t="shared" si="42"/>
        <v>997</v>
      </c>
      <c r="I611" s="70">
        <f t="shared" si="43"/>
        <v>849</v>
      </c>
      <c r="J611">
        <v>6</v>
      </c>
      <c r="K611" s="3" t="str">
        <f ca="1">VLOOKUP(J611,ConstDLCIds!$A$4:$B$1000,2,FALSE)</f>
        <v>DLC_MORROWIND</v>
      </c>
      <c r="L611" s="3" t="str">
        <f ca="1">VLOOKUP(J611,ConstDLCIds!$A$4:$C$1000,3,FALSE)</f>
        <v>Morrowind</v>
      </c>
    </row>
    <row r="612" spans="1:12" x14ac:dyDescent="0.25">
      <c r="A612">
        <v>998</v>
      </c>
      <c r="B612">
        <v>607</v>
      </c>
      <c r="C612">
        <v>381</v>
      </c>
      <c r="D612" t="s">
        <v>2709</v>
      </c>
      <c r="E612" t="str">
        <f>IF(NOT(ISERROR(VLOOKUP(D612,'ESO DungeonFinder'!$A$2:$A$999,1,FALSE))),"X","")</f>
        <v/>
      </c>
      <c r="F612" s="70" t="str">
        <f t="shared" si="40"/>
        <v/>
      </c>
      <c r="G612" s="70" t="str">
        <f t="shared" si="41"/>
        <v>Auridon</v>
      </c>
      <c r="H612" s="70">
        <f t="shared" si="42"/>
        <v>998</v>
      </c>
      <c r="I612" s="70">
        <f t="shared" si="43"/>
        <v>381</v>
      </c>
      <c r="J612">
        <v>0</v>
      </c>
      <c r="K612" s="3" t="str">
        <f>VLOOKUP(J612,ConstDLCIds!$A$4:$B$1000,2,FALSE)</f>
        <v>DLC_BASE_GAME</v>
      </c>
      <c r="L612" s="3" t="str">
        <f>VLOOKUP(J612,ConstDLCIds!$A$4:$C$1000,3,FALSE)</f>
        <v>Included in base game</v>
      </c>
    </row>
    <row r="613" spans="1:12" x14ac:dyDescent="0.25">
      <c r="A613">
        <v>999</v>
      </c>
      <c r="B613">
        <v>608</v>
      </c>
      <c r="C613">
        <v>980</v>
      </c>
      <c r="D613" t="s">
        <v>2710</v>
      </c>
      <c r="E613" t="str">
        <f>IF(NOT(ISERROR(VLOOKUP(D613,'ESO DungeonFinder'!$A$2:$A$999,1,FALSE))),"X","")</f>
        <v/>
      </c>
      <c r="F613" s="70" t="str">
        <f t="shared" si="40"/>
        <v/>
      </c>
      <c r="G613" s="70" t="str">
        <f t="shared" si="41"/>
        <v>Clockwork City</v>
      </c>
      <c r="H613" s="70">
        <f t="shared" si="42"/>
        <v>999</v>
      </c>
      <c r="I613" s="70">
        <f t="shared" si="43"/>
        <v>980</v>
      </c>
      <c r="J613">
        <v>8</v>
      </c>
      <c r="K613" s="3" t="str">
        <f ca="1">VLOOKUP(J613,ConstDLCIds!$A$4:$B$1000,2,FALSE)</f>
        <v>DLC_CLOCKWORK_CITY</v>
      </c>
      <c r="L613" s="3" t="str">
        <f ca="1">VLOOKUP(J613,ConstDLCIds!$A$4:$C$1000,3,FALSE)</f>
        <v>Clockwork City</v>
      </c>
    </row>
    <row r="614" spans="1:12" x14ac:dyDescent="0.25">
      <c r="A614">
        <v>1000</v>
      </c>
      <c r="B614">
        <v>609</v>
      </c>
      <c r="C614">
        <v>980</v>
      </c>
      <c r="D614" t="s">
        <v>1121</v>
      </c>
      <c r="E614" t="str">
        <f>IF(NOT(ISERROR(VLOOKUP(D614,'ESO DungeonFinder'!$A$2:$A$999,1,FALSE))),"X","")</f>
        <v/>
      </c>
      <c r="F614" s="70" t="str">
        <f t="shared" si="40"/>
        <v/>
      </c>
      <c r="G614" s="70" t="str">
        <f t="shared" si="41"/>
        <v>Clockwork City</v>
      </c>
      <c r="H614" s="70">
        <f t="shared" si="42"/>
        <v>1000</v>
      </c>
      <c r="I614" s="70">
        <f t="shared" si="43"/>
        <v>980</v>
      </c>
      <c r="J614">
        <v>8</v>
      </c>
      <c r="K614" s="3" t="str">
        <f ca="1">VLOOKUP(J614,ConstDLCIds!$A$4:$B$1000,2,FALSE)</f>
        <v>DLC_CLOCKWORK_CITY</v>
      </c>
      <c r="L614" s="3" t="str">
        <f ca="1">VLOOKUP(J614,ConstDLCIds!$A$4:$C$1000,3,FALSE)</f>
        <v>Clockwork City</v>
      </c>
    </row>
    <row r="615" spans="1:12" x14ac:dyDescent="0.25">
      <c r="A615">
        <v>1004</v>
      </c>
      <c r="B615">
        <v>610</v>
      </c>
      <c r="C615">
        <v>980</v>
      </c>
      <c r="D615" t="s">
        <v>2711</v>
      </c>
      <c r="E615" t="str">
        <f>IF(NOT(ISERROR(VLOOKUP(D615,'ESO DungeonFinder'!$A$2:$A$999,1,FALSE))),"X","")</f>
        <v/>
      </c>
      <c r="F615" s="70" t="str">
        <f t="shared" si="40"/>
        <v/>
      </c>
      <c r="G615" s="70" t="str">
        <f t="shared" si="41"/>
        <v>Clockwork City</v>
      </c>
      <c r="H615" s="70">
        <f t="shared" si="42"/>
        <v>1004</v>
      </c>
      <c r="I615" s="70">
        <f t="shared" si="43"/>
        <v>980</v>
      </c>
      <c r="J615">
        <v>8</v>
      </c>
      <c r="K615" s="3" t="str">
        <f ca="1">VLOOKUP(J615,ConstDLCIds!$A$4:$B$1000,2,FALSE)</f>
        <v>DLC_CLOCKWORK_CITY</v>
      </c>
      <c r="L615" s="3" t="str">
        <f ca="1">VLOOKUP(J615,ConstDLCIds!$A$4:$C$1000,3,FALSE)</f>
        <v>Clockwork City</v>
      </c>
    </row>
    <row r="616" spans="1:12" x14ac:dyDescent="0.25">
      <c r="A616">
        <v>1005</v>
      </c>
      <c r="B616">
        <v>611</v>
      </c>
      <c r="C616">
        <v>823</v>
      </c>
      <c r="D616" t="s">
        <v>2712</v>
      </c>
      <c r="E616" t="str">
        <f>IF(NOT(ISERROR(VLOOKUP(D616,'ESO DungeonFinder'!$A$2:$A$999,1,FALSE))),"X","")</f>
        <v/>
      </c>
      <c r="F616" s="70" t="str">
        <f t="shared" si="40"/>
        <v/>
      </c>
      <c r="G616" s="70" t="str">
        <f t="shared" si="41"/>
        <v>Gold Coast</v>
      </c>
      <c r="H616" s="70">
        <f t="shared" si="42"/>
        <v>1005</v>
      </c>
      <c r="I616" s="70">
        <f t="shared" si="43"/>
        <v>823</v>
      </c>
      <c r="J616">
        <v>4</v>
      </c>
      <c r="K616" s="3" t="str">
        <f ca="1">VLOOKUP(J616,ConstDLCIds!$A$4:$B$1000,2,FALSE)</f>
        <v>DLC_DARK_BROTHERHOOD</v>
      </c>
      <c r="L616" s="3" t="str">
        <f ca="1">VLOOKUP(J616,ConstDLCIds!$A$4:$C$1000,3,FALSE)</f>
        <v>Dark Brotherhood</v>
      </c>
    </row>
    <row r="617" spans="1:12" x14ac:dyDescent="0.25">
      <c r="A617">
        <v>1006</v>
      </c>
      <c r="B617">
        <v>612</v>
      </c>
      <c r="C617">
        <v>3</v>
      </c>
      <c r="D617" t="s">
        <v>2713</v>
      </c>
      <c r="E617" t="str">
        <f>IF(NOT(ISERROR(VLOOKUP(D617,'ESO DungeonFinder'!$A$2:$A$999,1,FALSE))),"X","")</f>
        <v/>
      </c>
      <c r="F617" s="70" t="str">
        <f t="shared" si="40"/>
        <v/>
      </c>
      <c r="G617" s="70" t="str">
        <f t="shared" si="41"/>
        <v>Glenumbra</v>
      </c>
      <c r="H617" s="70">
        <f t="shared" si="42"/>
        <v>1006</v>
      </c>
      <c r="I617" s="70">
        <f t="shared" si="43"/>
        <v>3</v>
      </c>
      <c r="J617">
        <v>0</v>
      </c>
      <c r="K617" s="3" t="str">
        <f>VLOOKUP(J617,ConstDLCIds!$A$4:$B$1000,2,FALSE)</f>
        <v>DLC_BASE_GAME</v>
      </c>
      <c r="L617" s="3" t="str">
        <f>VLOOKUP(J617,ConstDLCIds!$A$4:$C$1000,3,FALSE)</f>
        <v>Included in base game</v>
      </c>
    </row>
    <row r="618" spans="1:12" x14ac:dyDescent="0.25">
      <c r="A618">
        <v>1007</v>
      </c>
      <c r="B618">
        <v>613</v>
      </c>
      <c r="C618">
        <v>888</v>
      </c>
      <c r="D618" t="s">
        <v>2714</v>
      </c>
      <c r="E618" t="str">
        <f>IF(NOT(ISERROR(VLOOKUP(D618,'ESO DungeonFinder'!$A$2:$A$999,1,FALSE))),"X","")</f>
        <v/>
      </c>
      <c r="F618" s="70" t="str">
        <f t="shared" si="40"/>
        <v/>
      </c>
      <c r="G618" s="70" t="str">
        <f t="shared" si="41"/>
        <v>Craglorn</v>
      </c>
      <c r="H618" s="70">
        <f t="shared" si="42"/>
        <v>1007</v>
      </c>
      <c r="I618" s="70">
        <f t="shared" si="43"/>
        <v>888</v>
      </c>
      <c r="J618">
        <v>0</v>
      </c>
      <c r="K618" s="3" t="str">
        <f>VLOOKUP(J618,ConstDLCIds!$A$4:$B$1000,2,FALSE)</f>
        <v>DLC_BASE_GAME</v>
      </c>
      <c r="L618" s="3" t="str">
        <f>VLOOKUP(J618,ConstDLCIds!$A$4:$C$1000,3,FALSE)</f>
        <v>Included in base game</v>
      </c>
    </row>
    <row r="619" spans="1:12" x14ac:dyDescent="0.25">
      <c r="A619">
        <v>1008</v>
      </c>
      <c r="B619">
        <v>614</v>
      </c>
      <c r="C619">
        <v>347</v>
      </c>
      <c r="D619" t="s">
        <v>2715</v>
      </c>
      <c r="E619" t="str">
        <f>IF(NOT(ISERROR(VLOOKUP(D619,'ESO DungeonFinder'!$A$2:$A$999,1,FALSE))),"X","")</f>
        <v/>
      </c>
      <c r="F619" s="70" t="str">
        <f t="shared" si="40"/>
        <v/>
      </c>
      <c r="G619" s="70" t="str">
        <f t="shared" si="41"/>
        <v>Coldharbour</v>
      </c>
      <c r="H619" s="70">
        <f t="shared" si="42"/>
        <v>1008</v>
      </c>
      <c r="I619" s="70">
        <f t="shared" si="43"/>
        <v>347</v>
      </c>
      <c r="J619">
        <v>0</v>
      </c>
      <c r="K619" s="3" t="str">
        <f>VLOOKUP(J619,ConstDLCIds!$A$4:$B$1000,2,FALSE)</f>
        <v>DLC_BASE_GAME</v>
      </c>
      <c r="L619" s="3" t="str">
        <f>VLOOKUP(J619,ConstDLCIds!$A$4:$C$1000,3,FALSE)</f>
        <v>Included in base game</v>
      </c>
    </row>
    <row r="620" spans="1:12" x14ac:dyDescent="0.25">
      <c r="A620">
        <v>1009</v>
      </c>
      <c r="B620">
        <v>615</v>
      </c>
      <c r="C620">
        <v>92</v>
      </c>
      <c r="D620" t="s">
        <v>1092</v>
      </c>
      <c r="E620" t="str">
        <f>IF(NOT(ISERROR(VLOOKUP(D620,'ESO DungeonFinder'!$A$2:$A$999,1,FALSE))),"X","")</f>
        <v>X</v>
      </c>
      <c r="F620" s="70" t="str">
        <f t="shared" si="40"/>
        <v/>
      </c>
      <c r="G620" s="70" t="str">
        <f t="shared" si="41"/>
        <v>Bangkorai</v>
      </c>
      <c r="H620" s="70">
        <f t="shared" si="42"/>
        <v>1009</v>
      </c>
      <c r="I620" s="70">
        <f t="shared" si="43"/>
        <v>92</v>
      </c>
      <c r="J620">
        <v>9</v>
      </c>
      <c r="K620" s="3" t="str">
        <f ca="1">VLOOKUP(J620,ConstDLCIds!$A$4:$B$1000,2,FALSE)</f>
        <v>DLC_DRAGON_BONES</v>
      </c>
      <c r="L620" s="3" t="str">
        <f ca="1">VLOOKUP(J620,ConstDLCIds!$A$4:$C$1000,3,FALSE)</f>
        <v>Dragon Bones</v>
      </c>
    </row>
    <row r="621" spans="1:12" x14ac:dyDescent="0.25">
      <c r="A621">
        <v>1010</v>
      </c>
      <c r="B621">
        <v>616</v>
      </c>
      <c r="C621">
        <v>19</v>
      </c>
      <c r="D621" t="s">
        <v>1099</v>
      </c>
      <c r="E621" t="str">
        <f>IF(NOT(ISERROR(VLOOKUP(D621,'ESO DungeonFinder'!$A$2:$A$999,1,FALSE))),"X","")</f>
        <v>X</v>
      </c>
      <c r="F621" s="70" t="str">
        <f t="shared" si="40"/>
        <v/>
      </c>
      <c r="G621" s="70" t="str">
        <f t="shared" si="41"/>
        <v>Stormhaven</v>
      </c>
      <c r="H621" s="70">
        <f t="shared" si="42"/>
        <v>1010</v>
      </c>
      <c r="I621" s="70">
        <f t="shared" si="43"/>
        <v>19</v>
      </c>
      <c r="J621">
        <v>9</v>
      </c>
      <c r="K621" s="3" t="str">
        <f ca="1">VLOOKUP(J621,ConstDLCIds!$A$4:$B$1000,2,FALSE)</f>
        <v>DLC_DRAGON_BONES</v>
      </c>
      <c r="L621" s="3" t="str">
        <f ca="1">VLOOKUP(J621,ConstDLCIds!$A$4:$C$1000,3,FALSE)</f>
        <v>Dragon Bones</v>
      </c>
    </row>
    <row r="622" spans="1:12" x14ac:dyDescent="0.25">
      <c r="A622">
        <v>1011</v>
      </c>
      <c r="B622">
        <v>617</v>
      </c>
      <c r="C622">
        <v>1011</v>
      </c>
      <c r="D622" t="s">
        <v>38</v>
      </c>
      <c r="E622" t="str">
        <f>IF(NOT(ISERROR(VLOOKUP(D622,'ESO DungeonFinder'!$A$2:$A$999,1,FALSE))),"X","")</f>
        <v/>
      </c>
      <c r="F622" s="70" t="str">
        <f t="shared" si="40"/>
        <v>X</v>
      </c>
      <c r="G622" s="70" t="str">
        <f t="shared" si="41"/>
        <v/>
      </c>
      <c r="H622" s="70">
        <f t="shared" si="42"/>
        <v>1011</v>
      </c>
      <c r="I622" s="70">
        <f t="shared" si="43"/>
        <v>1011</v>
      </c>
      <c r="J622">
        <v>30</v>
      </c>
      <c r="K622" s="3" t="str">
        <f ca="1">VLOOKUP(J622,ConstDLCIds!$A$4:$B$1000,2,FALSE)</f>
        <v>DLC_NECROM</v>
      </c>
      <c r="L622" s="3" t="str">
        <f ca="1">VLOOKUP(J622,ConstDLCIds!$A$4:$C$1000,3,FALSE)</f>
        <v>Necrom</v>
      </c>
    </row>
    <row r="623" spans="1:12" x14ac:dyDescent="0.25">
      <c r="A623">
        <v>1012</v>
      </c>
      <c r="B623">
        <v>618</v>
      </c>
      <c r="C623">
        <v>381</v>
      </c>
      <c r="D623" t="s">
        <v>2716</v>
      </c>
      <c r="E623" t="str">
        <f>IF(NOT(ISERROR(VLOOKUP(D623,'ESO DungeonFinder'!$A$2:$A$999,1,FALSE))),"X","")</f>
        <v/>
      </c>
      <c r="F623" s="70" t="str">
        <f t="shared" si="40"/>
        <v/>
      </c>
      <c r="G623" s="70" t="str">
        <f t="shared" si="41"/>
        <v>Auridon</v>
      </c>
      <c r="H623" s="70">
        <f t="shared" si="42"/>
        <v>1012</v>
      </c>
      <c r="I623" s="70">
        <f t="shared" si="43"/>
        <v>381</v>
      </c>
      <c r="J623">
        <v>0</v>
      </c>
      <c r="K623" s="3" t="str">
        <f>VLOOKUP(J623,ConstDLCIds!$A$4:$B$1000,2,FALSE)</f>
        <v>DLC_BASE_GAME</v>
      </c>
      <c r="L623" s="3" t="str">
        <f>VLOOKUP(J623,ConstDLCIds!$A$4:$C$1000,3,FALSE)</f>
        <v>Included in base game</v>
      </c>
    </row>
    <row r="624" spans="1:12" x14ac:dyDescent="0.25">
      <c r="A624">
        <v>1013</v>
      </c>
      <c r="B624">
        <v>619</v>
      </c>
      <c r="C624">
        <v>1011</v>
      </c>
      <c r="D624" t="s">
        <v>2717</v>
      </c>
      <c r="E624" t="str">
        <f>IF(NOT(ISERROR(VLOOKUP(D624,'ESO DungeonFinder'!$A$2:$A$999,1,FALSE))),"X","")</f>
        <v/>
      </c>
      <c r="F624" s="70" t="str">
        <f t="shared" si="40"/>
        <v/>
      </c>
      <c r="G624" s="70" t="str">
        <f t="shared" si="41"/>
        <v>Summerset</v>
      </c>
      <c r="H624" s="70">
        <f t="shared" si="42"/>
        <v>1013</v>
      </c>
      <c r="I624" s="70">
        <f t="shared" si="43"/>
        <v>1011</v>
      </c>
      <c r="J624">
        <v>10</v>
      </c>
      <c r="K624" s="3" t="str">
        <f ca="1">VLOOKUP(J624,ConstDLCIds!$A$4:$B$1000,2,FALSE)</f>
        <v>DLC_SUMMERSET</v>
      </c>
      <c r="L624" s="3" t="str">
        <f ca="1">VLOOKUP(J624,ConstDLCIds!$A$4:$C$1000,3,FALSE)</f>
        <v>Summerset</v>
      </c>
    </row>
    <row r="625" spans="1:12" x14ac:dyDescent="0.25">
      <c r="A625">
        <v>1014</v>
      </c>
      <c r="B625">
        <v>620</v>
      </c>
      <c r="C625">
        <v>1011</v>
      </c>
      <c r="D625" t="s">
        <v>2718</v>
      </c>
      <c r="E625" t="str">
        <f>IF(NOT(ISERROR(VLOOKUP(D625,'ESO DungeonFinder'!$A$2:$A$999,1,FALSE))),"X","")</f>
        <v/>
      </c>
      <c r="F625" s="70" t="str">
        <f t="shared" si="40"/>
        <v/>
      </c>
      <c r="G625" s="70" t="str">
        <f t="shared" si="41"/>
        <v>Summerset</v>
      </c>
      <c r="H625" s="70">
        <f t="shared" si="42"/>
        <v>1014</v>
      </c>
      <c r="I625" s="70">
        <f t="shared" si="43"/>
        <v>1011</v>
      </c>
      <c r="J625">
        <v>10</v>
      </c>
      <c r="K625" s="3" t="str">
        <f ca="1">VLOOKUP(J625,ConstDLCIds!$A$4:$B$1000,2,FALSE)</f>
        <v>DLC_SUMMERSET</v>
      </c>
      <c r="L625" s="3" t="str">
        <f ca="1">VLOOKUP(J625,ConstDLCIds!$A$4:$C$1000,3,FALSE)</f>
        <v>Summerset</v>
      </c>
    </row>
    <row r="626" spans="1:12" x14ac:dyDescent="0.25">
      <c r="A626">
        <v>1015</v>
      </c>
      <c r="B626">
        <v>621</v>
      </c>
      <c r="C626">
        <v>1011</v>
      </c>
      <c r="D626" t="s">
        <v>2719</v>
      </c>
      <c r="E626" t="str">
        <f>IF(NOT(ISERROR(VLOOKUP(D626,'ESO DungeonFinder'!$A$2:$A$999,1,FALSE))),"X","")</f>
        <v/>
      </c>
      <c r="F626" s="70" t="str">
        <f t="shared" si="40"/>
        <v/>
      </c>
      <c r="G626" s="70" t="str">
        <f t="shared" si="41"/>
        <v>Summerset</v>
      </c>
      <c r="H626" s="70">
        <f t="shared" si="42"/>
        <v>1015</v>
      </c>
      <c r="I626" s="70">
        <f t="shared" si="43"/>
        <v>1011</v>
      </c>
      <c r="J626">
        <v>10</v>
      </c>
      <c r="K626" s="3" t="str">
        <f ca="1">VLOOKUP(J626,ConstDLCIds!$A$4:$B$1000,2,FALSE)</f>
        <v>DLC_SUMMERSET</v>
      </c>
      <c r="L626" s="3" t="str">
        <f ca="1">VLOOKUP(J626,ConstDLCIds!$A$4:$C$1000,3,FALSE)</f>
        <v>Summerset</v>
      </c>
    </row>
    <row r="627" spans="1:12" x14ac:dyDescent="0.25">
      <c r="A627">
        <v>1016</v>
      </c>
      <c r="B627">
        <v>622</v>
      </c>
      <c r="C627">
        <v>1011</v>
      </c>
      <c r="D627" t="s">
        <v>2720</v>
      </c>
      <c r="E627" t="str">
        <f>IF(NOT(ISERROR(VLOOKUP(D627,'ESO DungeonFinder'!$A$2:$A$999,1,FALSE))),"X","")</f>
        <v/>
      </c>
      <c r="F627" s="70" t="str">
        <f t="shared" si="40"/>
        <v/>
      </c>
      <c r="G627" s="70" t="str">
        <f t="shared" si="41"/>
        <v>Summerset</v>
      </c>
      <c r="H627" s="70">
        <f t="shared" si="42"/>
        <v>1016</v>
      </c>
      <c r="I627" s="70">
        <f t="shared" si="43"/>
        <v>1011</v>
      </c>
      <c r="J627">
        <v>10</v>
      </c>
      <c r="K627" s="3" t="str">
        <f ca="1">VLOOKUP(J627,ConstDLCIds!$A$4:$B$1000,2,FALSE)</f>
        <v>DLC_SUMMERSET</v>
      </c>
      <c r="L627" s="3" t="str">
        <f ca="1">VLOOKUP(J627,ConstDLCIds!$A$4:$C$1000,3,FALSE)</f>
        <v>Summerset</v>
      </c>
    </row>
    <row r="628" spans="1:12" x14ac:dyDescent="0.25">
      <c r="A628">
        <v>1017</v>
      </c>
      <c r="B628">
        <v>623</v>
      </c>
      <c r="C628">
        <v>1011</v>
      </c>
      <c r="D628" t="s">
        <v>2721</v>
      </c>
      <c r="E628" t="str">
        <f>IF(NOT(ISERROR(VLOOKUP(D628,'ESO DungeonFinder'!$A$2:$A$999,1,FALSE))),"X","")</f>
        <v/>
      </c>
      <c r="F628" s="70" t="str">
        <f t="shared" si="40"/>
        <v/>
      </c>
      <c r="G628" s="70" t="str">
        <f t="shared" si="41"/>
        <v>Summerset</v>
      </c>
      <c r="H628" s="70">
        <f t="shared" si="42"/>
        <v>1017</v>
      </c>
      <c r="I628" s="70">
        <f t="shared" si="43"/>
        <v>1011</v>
      </c>
      <c r="J628">
        <v>10</v>
      </c>
      <c r="K628" s="3" t="str">
        <f ca="1">VLOOKUP(J628,ConstDLCIds!$A$4:$B$1000,2,FALSE)</f>
        <v>DLC_SUMMERSET</v>
      </c>
      <c r="L628" s="3" t="str">
        <f ca="1">VLOOKUP(J628,ConstDLCIds!$A$4:$C$1000,3,FALSE)</f>
        <v>Summerset</v>
      </c>
    </row>
    <row r="629" spans="1:12" x14ac:dyDescent="0.25">
      <c r="A629">
        <v>1018</v>
      </c>
      <c r="B629">
        <v>624</v>
      </c>
      <c r="C629">
        <v>1011</v>
      </c>
      <c r="D629" t="s">
        <v>2722</v>
      </c>
      <c r="E629" t="str">
        <f>IF(NOT(ISERROR(VLOOKUP(D629,'ESO DungeonFinder'!$A$2:$A$999,1,FALSE))),"X","")</f>
        <v/>
      </c>
      <c r="F629" s="70" t="str">
        <f t="shared" si="40"/>
        <v/>
      </c>
      <c r="G629" s="70" t="str">
        <f t="shared" si="41"/>
        <v>Summerset</v>
      </c>
      <c r="H629" s="70">
        <f t="shared" si="42"/>
        <v>1018</v>
      </c>
      <c r="I629" s="70">
        <f t="shared" si="43"/>
        <v>1011</v>
      </c>
      <c r="J629">
        <v>10</v>
      </c>
      <c r="K629" s="3" t="str">
        <f ca="1">VLOOKUP(J629,ConstDLCIds!$A$4:$B$1000,2,FALSE)</f>
        <v>DLC_SUMMERSET</v>
      </c>
      <c r="L629" s="3" t="str">
        <f ca="1">VLOOKUP(J629,ConstDLCIds!$A$4:$C$1000,3,FALSE)</f>
        <v>Summerset</v>
      </c>
    </row>
    <row r="630" spans="1:12" x14ac:dyDescent="0.25">
      <c r="A630">
        <v>1019</v>
      </c>
      <c r="B630">
        <v>625</v>
      </c>
      <c r="C630">
        <v>1011</v>
      </c>
      <c r="D630" t="s">
        <v>2723</v>
      </c>
      <c r="E630" t="str">
        <f>IF(NOT(ISERROR(VLOOKUP(D630,'ESO DungeonFinder'!$A$2:$A$999,1,FALSE))),"X","")</f>
        <v/>
      </c>
      <c r="F630" s="70" t="str">
        <f t="shared" si="40"/>
        <v/>
      </c>
      <c r="G630" s="70" t="str">
        <f t="shared" si="41"/>
        <v>Summerset</v>
      </c>
      <c r="H630" s="70">
        <f t="shared" si="42"/>
        <v>1019</v>
      </c>
      <c r="I630" s="70">
        <f t="shared" si="43"/>
        <v>1011</v>
      </c>
      <c r="J630">
        <v>10</v>
      </c>
      <c r="K630" s="3" t="str">
        <f ca="1">VLOOKUP(J630,ConstDLCIds!$A$4:$B$1000,2,FALSE)</f>
        <v>DLC_SUMMERSET</v>
      </c>
      <c r="L630" s="3" t="str">
        <f ca="1">VLOOKUP(J630,ConstDLCIds!$A$4:$C$1000,3,FALSE)</f>
        <v>Summerset</v>
      </c>
    </row>
    <row r="631" spans="1:12" x14ac:dyDescent="0.25">
      <c r="A631">
        <v>1020</v>
      </c>
      <c r="B631">
        <v>626</v>
      </c>
      <c r="C631">
        <v>1011</v>
      </c>
      <c r="D631" t="s">
        <v>1405</v>
      </c>
      <c r="E631" t="str">
        <f>IF(NOT(ISERROR(VLOOKUP(D631,'ESO DungeonFinder'!$A$2:$A$999,1,FALSE))),"X","")</f>
        <v/>
      </c>
      <c r="F631" s="70" t="str">
        <f t="shared" si="40"/>
        <v/>
      </c>
      <c r="G631" s="70" t="str">
        <f t="shared" si="41"/>
        <v>Summerset</v>
      </c>
      <c r="H631" s="70">
        <f t="shared" si="42"/>
        <v>1020</v>
      </c>
      <c r="I631" s="70">
        <f t="shared" si="43"/>
        <v>1011</v>
      </c>
      <c r="J631">
        <v>10</v>
      </c>
      <c r="K631" s="3" t="str">
        <f ca="1">VLOOKUP(J631,ConstDLCIds!$A$4:$B$1000,2,FALSE)</f>
        <v>DLC_SUMMERSET</v>
      </c>
      <c r="L631" s="3" t="str">
        <f ca="1">VLOOKUP(J631,ConstDLCIds!$A$4:$C$1000,3,FALSE)</f>
        <v>Summerset</v>
      </c>
    </row>
    <row r="632" spans="1:12" x14ac:dyDescent="0.25">
      <c r="A632">
        <v>1021</v>
      </c>
      <c r="B632">
        <v>627</v>
      </c>
      <c r="C632">
        <v>1011</v>
      </c>
      <c r="D632" t="s">
        <v>1165</v>
      </c>
      <c r="E632" t="str">
        <f>IF(NOT(ISERROR(VLOOKUP(D632,'ESO DungeonFinder'!$A$2:$A$999,1,FALSE))),"X","")</f>
        <v/>
      </c>
      <c r="F632" s="70" t="str">
        <f t="shared" si="40"/>
        <v/>
      </c>
      <c r="G632" s="70" t="str">
        <f t="shared" si="41"/>
        <v>Summerset</v>
      </c>
      <c r="H632" s="70">
        <f t="shared" si="42"/>
        <v>1021</v>
      </c>
      <c r="I632" s="70">
        <f t="shared" si="43"/>
        <v>1011</v>
      </c>
      <c r="J632">
        <v>10</v>
      </c>
      <c r="K632" s="3" t="str">
        <f ca="1">VLOOKUP(J632,ConstDLCIds!$A$4:$B$1000,2,FALSE)</f>
        <v>DLC_SUMMERSET</v>
      </c>
      <c r="L632" s="3" t="str">
        <f ca="1">VLOOKUP(J632,ConstDLCIds!$A$4:$C$1000,3,FALSE)</f>
        <v>Summerset</v>
      </c>
    </row>
    <row r="633" spans="1:12" x14ac:dyDescent="0.25">
      <c r="A633">
        <v>1022</v>
      </c>
      <c r="B633">
        <v>628</v>
      </c>
      <c r="C633">
        <v>1011</v>
      </c>
      <c r="D633" t="s">
        <v>2724</v>
      </c>
      <c r="E633" t="str">
        <f>IF(NOT(ISERROR(VLOOKUP(D633,'ESO DungeonFinder'!$A$2:$A$999,1,FALSE))),"X","")</f>
        <v/>
      </c>
      <c r="F633" s="70" t="str">
        <f t="shared" si="40"/>
        <v/>
      </c>
      <c r="G633" s="70" t="str">
        <f t="shared" si="41"/>
        <v>Summerset</v>
      </c>
      <c r="H633" s="70">
        <f t="shared" si="42"/>
        <v>1022</v>
      </c>
      <c r="I633" s="70">
        <f t="shared" si="43"/>
        <v>1011</v>
      </c>
      <c r="J633">
        <v>10</v>
      </c>
      <c r="K633" s="3" t="str">
        <f ca="1">VLOOKUP(J633,ConstDLCIds!$A$4:$B$1000,2,FALSE)</f>
        <v>DLC_SUMMERSET</v>
      </c>
      <c r="L633" s="3" t="str">
        <f ca="1">VLOOKUP(J633,ConstDLCIds!$A$4:$C$1000,3,FALSE)</f>
        <v>Summerset</v>
      </c>
    </row>
    <row r="634" spans="1:12" x14ac:dyDescent="0.25">
      <c r="A634">
        <v>1023</v>
      </c>
      <c r="B634">
        <v>629</v>
      </c>
      <c r="C634">
        <v>1011</v>
      </c>
      <c r="D634" t="s">
        <v>2725</v>
      </c>
      <c r="E634" t="str">
        <f>IF(NOT(ISERROR(VLOOKUP(D634,'ESO DungeonFinder'!$A$2:$A$999,1,FALSE))),"X","")</f>
        <v/>
      </c>
      <c r="F634" s="70" t="str">
        <f t="shared" si="40"/>
        <v/>
      </c>
      <c r="G634" s="70" t="str">
        <f t="shared" si="41"/>
        <v>Summerset</v>
      </c>
      <c r="H634" s="70">
        <f t="shared" si="42"/>
        <v>1023</v>
      </c>
      <c r="I634" s="70">
        <f t="shared" si="43"/>
        <v>1011</v>
      </c>
      <c r="J634">
        <v>10</v>
      </c>
      <c r="K634" s="3" t="str">
        <f ca="1">VLOOKUP(J634,ConstDLCIds!$A$4:$B$1000,2,FALSE)</f>
        <v>DLC_SUMMERSET</v>
      </c>
      <c r="L634" s="3" t="str">
        <f ca="1">VLOOKUP(J634,ConstDLCIds!$A$4:$C$1000,3,FALSE)</f>
        <v>Summerset</v>
      </c>
    </row>
    <row r="635" spans="1:12" x14ac:dyDescent="0.25">
      <c r="A635">
        <v>1024</v>
      </c>
      <c r="B635">
        <v>630</v>
      </c>
      <c r="C635">
        <v>1011</v>
      </c>
      <c r="D635" t="s">
        <v>2726</v>
      </c>
      <c r="E635" t="str">
        <f>IF(NOT(ISERROR(VLOOKUP(D635,'ESO DungeonFinder'!$A$2:$A$999,1,FALSE))),"X","")</f>
        <v/>
      </c>
      <c r="F635" s="70" t="str">
        <f t="shared" si="40"/>
        <v/>
      </c>
      <c r="G635" s="70" t="str">
        <f t="shared" si="41"/>
        <v>Summerset</v>
      </c>
      <c r="H635" s="70">
        <f t="shared" si="42"/>
        <v>1024</v>
      </c>
      <c r="I635" s="70">
        <f t="shared" si="43"/>
        <v>1011</v>
      </c>
      <c r="J635">
        <v>10</v>
      </c>
      <c r="K635" s="3" t="str">
        <f ca="1">VLOOKUP(J635,ConstDLCIds!$A$4:$B$1000,2,FALSE)</f>
        <v>DLC_SUMMERSET</v>
      </c>
      <c r="L635" s="3" t="str">
        <f ca="1">VLOOKUP(J635,ConstDLCIds!$A$4:$C$1000,3,FALSE)</f>
        <v>Summerset</v>
      </c>
    </row>
    <row r="636" spans="1:12" x14ac:dyDescent="0.25">
      <c r="A636">
        <v>1025</v>
      </c>
      <c r="B636">
        <v>631</v>
      </c>
      <c r="C636">
        <v>1011</v>
      </c>
      <c r="D636" t="s">
        <v>2727</v>
      </c>
      <c r="E636" t="str">
        <f>IF(NOT(ISERROR(VLOOKUP(D636,'ESO DungeonFinder'!$A$2:$A$999,1,FALSE))),"X","")</f>
        <v/>
      </c>
      <c r="F636" s="70" t="str">
        <f t="shared" si="40"/>
        <v/>
      </c>
      <c r="G636" s="70" t="str">
        <f t="shared" si="41"/>
        <v>Summerset</v>
      </c>
      <c r="H636" s="70">
        <f t="shared" si="42"/>
        <v>1025</v>
      </c>
      <c r="I636" s="70">
        <f t="shared" si="43"/>
        <v>1011</v>
      </c>
      <c r="J636">
        <v>10</v>
      </c>
      <c r="K636" s="3" t="str">
        <f ca="1">VLOOKUP(J636,ConstDLCIds!$A$4:$B$1000,2,FALSE)</f>
        <v>DLC_SUMMERSET</v>
      </c>
      <c r="L636" s="3" t="str">
        <f ca="1">VLOOKUP(J636,ConstDLCIds!$A$4:$C$1000,3,FALSE)</f>
        <v>Summerset</v>
      </c>
    </row>
    <row r="637" spans="1:12" x14ac:dyDescent="0.25">
      <c r="A637">
        <v>1026</v>
      </c>
      <c r="B637">
        <v>632</v>
      </c>
      <c r="C637">
        <v>1011</v>
      </c>
      <c r="D637" t="s">
        <v>2728</v>
      </c>
      <c r="E637" t="str">
        <f>IF(NOT(ISERROR(VLOOKUP(D637,'ESO DungeonFinder'!$A$2:$A$999,1,FALSE))),"X","")</f>
        <v/>
      </c>
      <c r="F637" s="70" t="str">
        <f t="shared" si="40"/>
        <v/>
      </c>
      <c r="G637" s="70" t="str">
        <f t="shared" si="41"/>
        <v>Summerset</v>
      </c>
      <c r="H637" s="70">
        <f t="shared" si="42"/>
        <v>1026</v>
      </c>
      <c r="I637" s="70">
        <f t="shared" si="43"/>
        <v>1011</v>
      </c>
      <c r="J637">
        <v>10</v>
      </c>
      <c r="K637" s="3" t="str">
        <f ca="1">VLOOKUP(J637,ConstDLCIds!$A$4:$B$1000,2,FALSE)</f>
        <v>DLC_SUMMERSET</v>
      </c>
      <c r="L637" s="3" t="str">
        <f ca="1">VLOOKUP(J637,ConstDLCIds!$A$4:$C$1000,3,FALSE)</f>
        <v>Summerset</v>
      </c>
    </row>
    <row r="638" spans="1:12" x14ac:dyDescent="0.25">
      <c r="A638">
        <v>1027</v>
      </c>
      <c r="B638">
        <v>633</v>
      </c>
      <c r="C638">
        <v>1011</v>
      </c>
      <c r="D638" t="s">
        <v>1166</v>
      </c>
      <c r="E638" t="str">
        <f>IF(NOT(ISERROR(VLOOKUP(D638,'ESO DungeonFinder'!$A$2:$A$999,1,FALSE))),"X","")</f>
        <v/>
      </c>
      <c r="F638" s="70" t="str">
        <f t="shared" si="40"/>
        <v/>
      </c>
      <c r="G638" s="70" t="str">
        <f t="shared" si="41"/>
        <v>Summerset</v>
      </c>
      <c r="H638" s="70">
        <f t="shared" si="42"/>
        <v>1027</v>
      </c>
      <c r="I638" s="70">
        <f t="shared" si="43"/>
        <v>1011</v>
      </c>
      <c r="J638">
        <v>10</v>
      </c>
      <c r="K638" s="3" t="str">
        <f ca="1">VLOOKUP(J638,ConstDLCIds!$A$4:$B$1000,2,FALSE)</f>
        <v>DLC_SUMMERSET</v>
      </c>
      <c r="L638" s="3" t="str">
        <f ca="1">VLOOKUP(J638,ConstDLCIds!$A$4:$C$1000,3,FALSE)</f>
        <v>Summerset</v>
      </c>
    </row>
    <row r="639" spans="1:12" x14ac:dyDescent="0.25">
      <c r="A639">
        <v>1028</v>
      </c>
      <c r="B639">
        <v>634</v>
      </c>
      <c r="C639">
        <v>1011</v>
      </c>
      <c r="D639" t="s">
        <v>2729</v>
      </c>
      <c r="E639" t="str">
        <f>IF(NOT(ISERROR(VLOOKUP(D639,'ESO DungeonFinder'!$A$2:$A$999,1,FALSE))),"X","")</f>
        <v/>
      </c>
      <c r="F639" s="70" t="str">
        <f t="shared" si="40"/>
        <v/>
      </c>
      <c r="G639" s="70" t="str">
        <f t="shared" si="41"/>
        <v>Summerset</v>
      </c>
      <c r="H639" s="70">
        <f t="shared" si="42"/>
        <v>1028</v>
      </c>
      <c r="I639" s="70">
        <f t="shared" si="43"/>
        <v>1011</v>
      </c>
      <c r="J639">
        <v>10</v>
      </c>
      <c r="K639" s="3" t="str">
        <f ca="1">VLOOKUP(J639,ConstDLCIds!$A$4:$B$1000,2,FALSE)</f>
        <v>DLC_SUMMERSET</v>
      </c>
      <c r="L639" s="3" t="str">
        <f ca="1">VLOOKUP(J639,ConstDLCIds!$A$4:$C$1000,3,FALSE)</f>
        <v>Summerset</v>
      </c>
    </row>
    <row r="640" spans="1:12" x14ac:dyDescent="0.25">
      <c r="A640">
        <v>1029</v>
      </c>
      <c r="B640">
        <v>635</v>
      </c>
      <c r="C640">
        <v>1011</v>
      </c>
      <c r="D640" t="s">
        <v>2730</v>
      </c>
      <c r="E640" t="str">
        <f>IF(NOT(ISERROR(VLOOKUP(D640,'ESO DungeonFinder'!$A$2:$A$999,1,FALSE))),"X","")</f>
        <v/>
      </c>
      <c r="F640" s="70" t="str">
        <f t="shared" si="40"/>
        <v/>
      </c>
      <c r="G640" s="70" t="str">
        <f t="shared" si="41"/>
        <v>Summerset</v>
      </c>
      <c r="H640" s="70">
        <f t="shared" si="42"/>
        <v>1029</v>
      </c>
      <c r="I640" s="70">
        <f t="shared" si="43"/>
        <v>1011</v>
      </c>
      <c r="J640">
        <v>10</v>
      </c>
      <c r="K640" s="3" t="str">
        <f ca="1">VLOOKUP(J640,ConstDLCIds!$A$4:$B$1000,2,FALSE)</f>
        <v>DLC_SUMMERSET</v>
      </c>
      <c r="L640" s="3" t="str">
        <f ca="1">VLOOKUP(J640,ConstDLCIds!$A$4:$C$1000,3,FALSE)</f>
        <v>Summerset</v>
      </c>
    </row>
    <row r="641" spans="1:12" x14ac:dyDescent="0.25">
      <c r="A641">
        <v>1030</v>
      </c>
      <c r="B641">
        <v>636</v>
      </c>
      <c r="C641">
        <v>1011</v>
      </c>
      <c r="D641" t="s">
        <v>2731</v>
      </c>
      <c r="E641" t="str">
        <f>IF(NOT(ISERROR(VLOOKUP(D641,'ESO DungeonFinder'!$A$2:$A$999,1,FALSE))),"X","")</f>
        <v/>
      </c>
      <c r="F641" s="70" t="str">
        <f t="shared" si="40"/>
        <v/>
      </c>
      <c r="G641" s="70" t="str">
        <f t="shared" si="41"/>
        <v>Summerset</v>
      </c>
      <c r="H641" s="70">
        <f t="shared" si="42"/>
        <v>1030</v>
      </c>
      <c r="I641" s="70">
        <f t="shared" si="43"/>
        <v>1011</v>
      </c>
      <c r="J641">
        <v>10</v>
      </c>
      <c r="K641" s="3" t="str">
        <f ca="1">VLOOKUP(J641,ConstDLCIds!$A$4:$B$1000,2,FALSE)</f>
        <v>DLC_SUMMERSET</v>
      </c>
      <c r="L641" s="3" t="str">
        <f ca="1">VLOOKUP(J641,ConstDLCIds!$A$4:$C$1000,3,FALSE)</f>
        <v>Summerset</v>
      </c>
    </row>
    <row r="642" spans="1:12" x14ac:dyDescent="0.25">
      <c r="A642">
        <v>1031</v>
      </c>
      <c r="B642">
        <v>637</v>
      </c>
      <c r="C642">
        <v>1011</v>
      </c>
      <c r="D642" t="s">
        <v>2732</v>
      </c>
      <c r="E642" t="str">
        <f>IF(NOT(ISERROR(VLOOKUP(D642,'ESO DungeonFinder'!$A$2:$A$999,1,FALSE))),"X","")</f>
        <v/>
      </c>
      <c r="F642" s="70" t="str">
        <f t="shared" si="40"/>
        <v/>
      </c>
      <c r="G642" s="70" t="str">
        <f t="shared" si="41"/>
        <v>Summerset</v>
      </c>
      <c r="H642" s="70">
        <f t="shared" si="42"/>
        <v>1031</v>
      </c>
      <c r="I642" s="70">
        <f t="shared" si="43"/>
        <v>1011</v>
      </c>
      <c r="J642">
        <v>10</v>
      </c>
      <c r="K642" s="3" t="str">
        <f ca="1">VLOOKUP(J642,ConstDLCIds!$A$4:$B$1000,2,FALSE)</f>
        <v>DLC_SUMMERSET</v>
      </c>
      <c r="L642" s="3" t="str">
        <f ca="1">VLOOKUP(J642,ConstDLCIds!$A$4:$C$1000,3,FALSE)</f>
        <v>Summerset</v>
      </c>
    </row>
    <row r="643" spans="1:12" x14ac:dyDescent="0.25">
      <c r="A643">
        <v>1032</v>
      </c>
      <c r="B643">
        <v>638</v>
      </c>
      <c r="C643">
        <v>1011</v>
      </c>
      <c r="D643" t="s">
        <v>2733</v>
      </c>
      <c r="E643" t="str">
        <f>IF(NOT(ISERROR(VLOOKUP(D643,'ESO DungeonFinder'!$A$2:$A$999,1,FALSE))),"X","")</f>
        <v/>
      </c>
      <c r="F643" s="70" t="str">
        <f t="shared" si="40"/>
        <v/>
      </c>
      <c r="G643" s="70" t="str">
        <f t="shared" si="41"/>
        <v>Summerset</v>
      </c>
      <c r="H643" s="70">
        <f t="shared" si="42"/>
        <v>1032</v>
      </c>
      <c r="I643" s="70">
        <f t="shared" si="43"/>
        <v>1011</v>
      </c>
      <c r="J643">
        <v>10</v>
      </c>
      <c r="K643" s="3" t="str">
        <f ca="1">VLOOKUP(J643,ConstDLCIds!$A$4:$B$1000,2,FALSE)</f>
        <v>DLC_SUMMERSET</v>
      </c>
      <c r="L643" s="3" t="str">
        <f ca="1">VLOOKUP(J643,ConstDLCIds!$A$4:$C$1000,3,FALSE)</f>
        <v>Summerset</v>
      </c>
    </row>
    <row r="644" spans="1:12" x14ac:dyDescent="0.25">
      <c r="A644">
        <v>1033</v>
      </c>
      <c r="B644">
        <v>639</v>
      </c>
      <c r="C644">
        <v>1011</v>
      </c>
      <c r="D644" t="s">
        <v>2734</v>
      </c>
      <c r="E644" t="str">
        <f>IF(NOT(ISERROR(VLOOKUP(D644,'ESO DungeonFinder'!$A$2:$A$999,1,FALSE))),"X","")</f>
        <v/>
      </c>
      <c r="F644" s="70" t="str">
        <f t="shared" si="40"/>
        <v/>
      </c>
      <c r="G644" s="70" t="str">
        <f t="shared" si="41"/>
        <v>Summerset</v>
      </c>
      <c r="H644" s="70">
        <f t="shared" si="42"/>
        <v>1033</v>
      </c>
      <c r="I644" s="70">
        <f t="shared" si="43"/>
        <v>1011</v>
      </c>
      <c r="J644">
        <v>10</v>
      </c>
      <c r="K644" s="3" t="str">
        <f ca="1">VLOOKUP(J644,ConstDLCIds!$A$4:$B$1000,2,FALSE)</f>
        <v>DLC_SUMMERSET</v>
      </c>
      <c r="L644" s="3" t="str">
        <f ca="1">VLOOKUP(J644,ConstDLCIds!$A$4:$C$1000,3,FALSE)</f>
        <v>Summerset</v>
      </c>
    </row>
    <row r="645" spans="1:12" x14ac:dyDescent="0.25">
      <c r="A645">
        <v>1034</v>
      </c>
      <c r="B645">
        <v>640</v>
      </c>
      <c r="C645">
        <v>1011</v>
      </c>
      <c r="D645" t="s">
        <v>2735</v>
      </c>
      <c r="E645" t="str">
        <f>IF(NOT(ISERROR(VLOOKUP(D645,'ESO DungeonFinder'!$A$2:$A$999,1,FALSE))),"X","")</f>
        <v/>
      </c>
      <c r="F645" s="70" t="str">
        <f t="shared" si="40"/>
        <v/>
      </c>
      <c r="G645" s="70" t="str">
        <f t="shared" si="41"/>
        <v>Summerset</v>
      </c>
      <c r="H645" s="70">
        <f t="shared" si="42"/>
        <v>1034</v>
      </c>
      <c r="I645" s="70">
        <f t="shared" si="43"/>
        <v>1011</v>
      </c>
      <c r="J645">
        <v>10</v>
      </c>
      <c r="K645" s="3" t="str">
        <f ca="1">VLOOKUP(J645,ConstDLCIds!$A$4:$B$1000,2,FALSE)</f>
        <v>DLC_SUMMERSET</v>
      </c>
      <c r="L645" s="3" t="str">
        <f ca="1">VLOOKUP(J645,ConstDLCIds!$A$4:$C$1000,3,FALSE)</f>
        <v>Summerset</v>
      </c>
    </row>
    <row r="646" spans="1:12" x14ac:dyDescent="0.25">
      <c r="A646">
        <v>1035</v>
      </c>
      <c r="B646">
        <v>641</v>
      </c>
      <c r="C646">
        <v>1011</v>
      </c>
      <c r="D646" t="s">
        <v>2716</v>
      </c>
      <c r="E646" t="str">
        <f>IF(NOT(ISERROR(VLOOKUP(D646,'ESO DungeonFinder'!$A$2:$A$999,1,FALSE))),"X","")</f>
        <v/>
      </c>
      <c r="F646" s="70" t="str">
        <f t="shared" si="40"/>
        <v/>
      </c>
      <c r="G646" s="70" t="str">
        <f t="shared" si="41"/>
        <v>Summerset</v>
      </c>
      <c r="H646" s="70">
        <f t="shared" si="42"/>
        <v>1035</v>
      </c>
      <c r="I646" s="70">
        <f t="shared" si="43"/>
        <v>1011</v>
      </c>
      <c r="J646">
        <v>10</v>
      </c>
      <c r="K646" s="3" t="str">
        <f ca="1">VLOOKUP(J646,ConstDLCIds!$A$4:$B$1000,2,FALSE)</f>
        <v>DLC_SUMMERSET</v>
      </c>
      <c r="L646" s="3" t="str">
        <f ca="1">VLOOKUP(J646,ConstDLCIds!$A$4:$C$1000,3,FALSE)</f>
        <v>Summerset</v>
      </c>
    </row>
    <row r="647" spans="1:12" x14ac:dyDescent="0.25">
      <c r="A647">
        <v>1036</v>
      </c>
      <c r="B647">
        <v>642</v>
      </c>
      <c r="C647">
        <v>1011</v>
      </c>
      <c r="D647" t="s">
        <v>2736</v>
      </c>
      <c r="E647" t="str">
        <f>IF(NOT(ISERROR(VLOOKUP(D647,'ESO DungeonFinder'!$A$2:$A$999,1,FALSE))),"X","")</f>
        <v/>
      </c>
      <c r="F647" s="70" t="str">
        <f t="shared" ref="F647:F710" si="44">IF(EXACT(A647,C647),"X","")</f>
        <v/>
      </c>
      <c r="G647" s="70" t="str">
        <f t="shared" ref="G647:G710" si="45">IF(A647&lt;&gt;C647,VLOOKUP(C647,$A$5:$D$9956,4,FALSE),"")</f>
        <v>Summerset</v>
      </c>
      <c r="H647" s="70">
        <f t="shared" ref="H647:H710" si="46">A647</f>
        <v>1036</v>
      </c>
      <c r="I647" s="70">
        <f t="shared" ref="I647:I710" si="47">C647</f>
        <v>1011</v>
      </c>
      <c r="J647">
        <v>10</v>
      </c>
      <c r="K647" s="3" t="str">
        <f ca="1">VLOOKUP(J647,ConstDLCIds!$A$4:$B$1000,2,FALSE)</f>
        <v>DLC_SUMMERSET</v>
      </c>
      <c r="L647" s="3" t="str">
        <f ca="1">VLOOKUP(J647,ConstDLCIds!$A$4:$C$1000,3,FALSE)</f>
        <v>Summerset</v>
      </c>
    </row>
    <row r="648" spans="1:12" x14ac:dyDescent="0.25">
      <c r="A648">
        <v>1037</v>
      </c>
      <c r="B648">
        <v>643</v>
      </c>
      <c r="C648">
        <v>1011</v>
      </c>
      <c r="D648" t="s">
        <v>2737</v>
      </c>
      <c r="E648" t="str">
        <f>IF(NOT(ISERROR(VLOOKUP(D648,'ESO DungeonFinder'!$A$2:$A$999,1,FALSE))),"X","")</f>
        <v/>
      </c>
      <c r="F648" s="70" t="str">
        <f t="shared" si="44"/>
        <v/>
      </c>
      <c r="G648" s="70" t="str">
        <f t="shared" si="45"/>
        <v>Summerset</v>
      </c>
      <c r="H648" s="70">
        <f t="shared" si="46"/>
        <v>1037</v>
      </c>
      <c r="I648" s="70">
        <f t="shared" si="47"/>
        <v>1011</v>
      </c>
      <c r="J648">
        <v>10</v>
      </c>
      <c r="K648" s="3" t="str">
        <f ca="1">VLOOKUP(J648,ConstDLCIds!$A$4:$B$1000,2,FALSE)</f>
        <v>DLC_SUMMERSET</v>
      </c>
      <c r="L648" s="3" t="str">
        <f ca="1">VLOOKUP(J648,ConstDLCIds!$A$4:$C$1000,3,FALSE)</f>
        <v>Summerset</v>
      </c>
    </row>
    <row r="649" spans="1:12" x14ac:dyDescent="0.25">
      <c r="A649">
        <v>1038</v>
      </c>
      <c r="B649">
        <v>644</v>
      </c>
      <c r="C649">
        <v>1011</v>
      </c>
      <c r="D649" t="s">
        <v>2738</v>
      </c>
      <c r="E649" t="str">
        <f>IF(NOT(ISERROR(VLOOKUP(D649,'ESO DungeonFinder'!$A$2:$A$999,1,FALSE))),"X","")</f>
        <v/>
      </c>
      <c r="F649" s="70" t="str">
        <f t="shared" si="44"/>
        <v/>
      </c>
      <c r="G649" s="70" t="str">
        <f t="shared" si="45"/>
        <v>Summerset</v>
      </c>
      <c r="H649" s="70">
        <f t="shared" si="46"/>
        <v>1038</v>
      </c>
      <c r="I649" s="70">
        <f t="shared" si="47"/>
        <v>1011</v>
      </c>
      <c r="J649">
        <v>10</v>
      </c>
      <c r="K649" s="3" t="str">
        <f ca="1">VLOOKUP(J649,ConstDLCIds!$A$4:$B$1000,2,FALSE)</f>
        <v>DLC_SUMMERSET</v>
      </c>
      <c r="L649" s="3" t="str">
        <f ca="1">VLOOKUP(J649,ConstDLCIds!$A$4:$C$1000,3,FALSE)</f>
        <v>Summerset</v>
      </c>
    </row>
    <row r="650" spans="1:12" x14ac:dyDescent="0.25">
      <c r="A650">
        <v>1039</v>
      </c>
      <c r="B650">
        <v>645</v>
      </c>
      <c r="C650">
        <v>1011</v>
      </c>
      <c r="D650" t="s">
        <v>2739</v>
      </c>
      <c r="E650" t="str">
        <f>IF(NOT(ISERROR(VLOOKUP(D650,'ESO DungeonFinder'!$A$2:$A$999,1,FALSE))),"X","")</f>
        <v/>
      </c>
      <c r="F650" s="70" t="str">
        <f t="shared" si="44"/>
        <v/>
      </c>
      <c r="G650" s="70" t="str">
        <f t="shared" si="45"/>
        <v>Summerset</v>
      </c>
      <c r="H650" s="70">
        <f t="shared" si="46"/>
        <v>1039</v>
      </c>
      <c r="I650" s="70">
        <f t="shared" si="47"/>
        <v>1011</v>
      </c>
      <c r="J650">
        <v>10</v>
      </c>
      <c r="K650" s="3" t="str">
        <f ca="1">VLOOKUP(J650,ConstDLCIds!$A$4:$B$1000,2,FALSE)</f>
        <v>DLC_SUMMERSET</v>
      </c>
      <c r="L650" s="3" t="str">
        <f ca="1">VLOOKUP(J650,ConstDLCIds!$A$4:$C$1000,3,FALSE)</f>
        <v>Summerset</v>
      </c>
    </row>
    <row r="651" spans="1:12" x14ac:dyDescent="0.25">
      <c r="A651">
        <v>1040</v>
      </c>
      <c r="B651">
        <v>646</v>
      </c>
      <c r="C651">
        <v>1011</v>
      </c>
      <c r="D651" t="s">
        <v>2710</v>
      </c>
      <c r="E651" t="str">
        <f>IF(NOT(ISERROR(VLOOKUP(D651,'ESO DungeonFinder'!$A$2:$A$999,1,FALSE))),"X","")</f>
        <v/>
      </c>
      <c r="F651" s="70" t="str">
        <f t="shared" si="44"/>
        <v/>
      </c>
      <c r="G651" s="70" t="str">
        <f t="shared" si="45"/>
        <v>Summerset</v>
      </c>
      <c r="H651" s="70">
        <f t="shared" si="46"/>
        <v>1040</v>
      </c>
      <c r="I651" s="70">
        <f t="shared" si="47"/>
        <v>1011</v>
      </c>
      <c r="J651">
        <v>10</v>
      </c>
      <c r="K651" s="3" t="str">
        <f ca="1">VLOOKUP(J651,ConstDLCIds!$A$4:$B$1000,2,FALSE)</f>
        <v>DLC_SUMMERSET</v>
      </c>
      <c r="L651" s="3" t="str">
        <f ca="1">VLOOKUP(J651,ConstDLCIds!$A$4:$C$1000,3,FALSE)</f>
        <v>Summerset</v>
      </c>
    </row>
    <row r="652" spans="1:12" x14ac:dyDescent="0.25">
      <c r="A652">
        <v>1042</v>
      </c>
      <c r="B652">
        <v>647</v>
      </c>
      <c r="C652">
        <v>684</v>
      </c>
      <c r="D652" t="s">
        <v>2740</v>
      </c>
      <c r="E652" t="str">
        <f>IF(NOT(ISERROR(VLOOKUP(D652,'ESO DungeonFinder'!$A$2:$A$999,1,FALSE))),"X","")</f>
        <v/>
      </c>
      <c r="F652" s="70" t="str">
        <f t="shared" si="44"/>
        <v/>
      </c>
      <c r="G652" s="70" t="str">
        <f t="shared" si="45"/>
        <v>Wrothgar</v>
      </c>
      <c r="H652" s="70">
        <f t="shared" si="46"/>
        <v>1042</v>
      </c>
      <c r="I652" s="70">
        <f t="shared" si="47"/>
        <v>684</v>
      </c>
      <c r="J652">
        <v>2</v>
      </c>
      <c r="K652" s="3" t="str">
        <f ca="1">VLOOKUP(J652,ConstDLCIds!$A$4:$B$1000,2,FALSE)</f>
        <v>DLC_ORSINIUM</v>
      </c>
      <c r="L652" s="3" t="str">
        <f ca="1">VLOOKUP(J652,ConstDLCIds!$A$4:$C$1000,3,FALSE)</f>
        <v>Orsinium</v>
      </c>
    </row>
    <row r="653" spans="1:12" x14ac:dyDescent="0.25">
      <c r="A653">
        <v>1043</v>
      </c>
      <c r="B653">
        <v>648</v>
      </c>
      <c r="C653">
        <v>980</v>
      </c>
      <c r="D653" t="s">
        <v>2741</v>
      </c>
      <c r="E653" t="str">
        <f>IF(NOT(ISERROR(VLOOKUP(D653,'ESO DungeonFinder'!$A$2:$A$999,1,FALSE))),"X","")</f>
        <v/>
      </c>
      <c r="F653" s="70" t="str">
        <f t="shared" si="44"/>
        <v/>
      </c>
      <c r="G653" s="70" t="str">
        <f t="shared" si="45"/>
        <v>Clockwork City</v>
      </c>
      <c r="H653" s="70">
        <f t="shared" si="46"/>
        <v>1043</v>
      </c>
      <c r="I653" s="70">
        <f t="shared" si="47"/>
        <v>980</v>
      </c>
      <c r="J653">
        <v>8</v>
      </c>
      <c r="K653" s="3" t="str">
        <f ca="1">VLOOKUP(J653,ConstDLCIds!$A$4:$B$1000,2,FALSE)</f>
        <v>DLC_CLOCKWORK_CITY</v>
      </c>
      <c r="L653" s="3" t="str">
        <f ca="1">VLOOKUP(J653,ConstDLCIds!$A$4:$C$1000,3,FALSE)</f>
        <v>Clockwork City</v>
      </c>
    </row>
    <row r="654" spans="1:12" x14ac:dyDescent="0.25">
      <c r="A654">
        <v>1044</v>
      </c>
      <c r="B654">
        <v>649</v>
      </c>
      <c r="C654">
        <v>823</v>
      </c>
      <c r="D654" t="s">
        <v>2742</v>
      </c>
      <c r="E654" t="str">
        <f>IF(NOT(ISERROR(VLOOKUP(D654,'ESO DungeonFinder'!$A$2:$A$999,1,FALSE))),"X","")</f>
        <v/>
      </c>
      <c r="F654" s="70" t="str">
        <f t="shared" si="44"/>
        <v/>
      </c>
      <c r="G654" s="70" t="str">
        <f t="shared" si="45"/>
        <v>Gold Coast</v>
      </c>
      <c r="H654" s="70">
        <f t="shared" si="46"/>
        <v>1044</v>
      </c>
      <c r="I654" s="70">
        <f t="shared" si="47"/>
        <v>823</v>
      </c>
      <c r="J654">
        <v>4</v>
      </c>
      <c r="K654" s="3" t="str">
        <f ca="1">VLOOKUP(J654,ConstDLCIds!$A$4:$B$1000,2,FALSE)</f>
        <v>DLC_DARK_BROTHERHOOD</v>
      </c>
      <c r="L654" s="3" t="str">
        <f ca="1">VLOOKUP(J654,ConstDLCIds!$A$4:$C$1000,3,FALSE)</f>
        <v>Dark Brotherhood</v>
      </c>
    </row>
    <row r="655" spans="1:12" x14ac:dyDescent="0.25">
      <c r="A655">
        <v>1045</v>
      </c>
      <c r="B655">
        <v>650</v>
      </c>
      <c r="C655">
        <v>816</v>
      </c>
      <c r="D655" t="s">
        <v>2743</v>
      </c>
      <c r="E655" t="str">
        <f>IF(NOT(ISERROR(VLOOKUP(D655,'ESO DungeonFinder'!$A$2:$A$999,1,FALSE))),"X","")</f>
        <v/>
      </c>
      <c r="F655" s="70" t="str">
        <f t="shared" si="44"/>
        <v/>
      </c>
      <c r="G655" s="70" t="str">
        <f t="shared" si="45"/>
        <v>Hew's Bane</v>
      </c>
      <c r="H655" s="70">
        <f t="shared" si="46"/>
        <v>1045</v>
      </c>
      <c r="I655" s="70">
        <f t="shared" si="47"/>
        <v>816</v>
      </c>
      <c r="J655">
        <v>3</v>
      </c>
      <c r="K655" s="3" t="str">
        <f ca="1">VLOOKUP(J655,ConstDLCIds!$A$4:$B$1000,2,FALSE)</f>
        <v>DLC_THIEVES_GUILD</v>
      </c>
      <c r="L655" s="3" t="str">
        <f ca="1">VLOOKUP(J655,ConstDLCIds!$A$4:$C$1000,3,FALSE)</f>
        <v>Thieves Guild</v>
      </c>
    </row>
    <row r="656" spans="1:12" x14ac:dyDescent="0.25">
      <c r="A656">
        <v>1046</v>
      </c>
      <c r="B656">
        <v>651</v>
      </c>
      <c r="C656">
        <v>1011</v>
      </c>
      <c r="D656" t="s">
        <v>2744</v>
      </c>
      <c r="E656" t="str">
        <f>IF(NOT(ISERROR(VLOOKUP(D656,'ESO DungeonFinder'!$A$2:$A$999,1,FALSE))),"X","")</f>
        <v/>
      </c>
      <c r="F656" s="70" t="str">
        <f t="shared" si="44"/>
        <v/>
      </c>
      <c r="G656" s="70" t="str">
        <f t="shared" si="45"/>
        <v>Summerset</v>
      </c>
      <c r="H656" s="70">
        <f t="shared" si="46"/>
        <v>1046</v>
      </c>
      <c r="I656" s="70">
        <f t="shared" si="47"/>
        <v>1011</v>
      </c>
      <c r="J656">
        <v>10</v>
      </c>
      <c r="K656" s="3" t="str">
        <f ca="1">VLOOKUP(J656,ConstDLCIds!$A$4:$B$1000,2,FALSE)</f>
        <v>DLC_SUMMERSET</v>
      </c>
      <c r="L656" s="3" t="str">
        <f ca="1">VLOOKUP(J656,ConstDLCIds!$A$4:$C$1000,3,FALSE)</f>
        <v>Summerset</v>
      </c>
    </row>
    <row r="657" spans="1:12" x14ac:dyDescent="0.25">
      <c r="A657">
        <v>1047</v>
      </c>
      <c r="B657">
        <v>652</v>
      </c>
      <c r="C657">
        <v>1011</v>
      </c>
      <c r="D657" t="s">
        <v>2745</v>
      </c>
      <c r="E657" t="str">
        <f>IF(NOT(ISERROR(VLOOKUP(D657,'ESO DungeonFinder'!$A$2:$A$999,1,FALSE))),"X","")</f>
        <v/>
      </c>
      <c r="F657" s="70" t="str">
        <f t="shared" si="44"/>
        <v/>
      </c>
      <c r="G657" s="70" t="str">
        <f t="shared" si="45"/>
        <v>Summerset</v>
      </c>
      <c r="H657" s="70">
        <f t="shared" si="46"/>
        <v>1047</v>
      </c>
      <c r="I657" s="70">
        <f t="shared" si="47"/>
        <v>1011</v>
      </c>
      <c r="J657">
        <v>10</v>
      </c>
      <c r="K657" s="3" t="str">
        <f ca="1">VLOOKUP(J657,ConstDLCIds!$A$4:$B$1000,2,FALSE)</f>
        <v>DLC_SUMMERSET</v>
      </c>
      <c r="L657" s="3" t="str">
        <f ca="1">VLOOKUP(J657,ConstDLCIds!$A$4:$C$1000,3,FALSE)</f>
        <v>Summerset</v>
      </c>
    </row>
    <row r="658" spans="1:12" x14ac:dyDescent="0.25">
      <c r="A658">
        <v>1048</v>
      </c>
      <c r="B658">
        <v>653</v>
      </c>
      <c r="C658">
        <v>1011</v>
      </c>
      <c r="D658" t="s">
        <v>2746</v>
      </c>
      <c r="E658" t="str">
        <f>IF(NOT(ISERROR(VLOOKUP(D658,'ESO DungeonFinder'!$A$2:$A$999,1,FALSE))),"X","")</f>
        <v/>
      </c>
      <c r="F658" s="70" t="str">
        <f t="shared" si="44"/>
        <v/>
      </c>
      <c r="G658" s="70" t="str">
        <f t="shared" si="45"/>
        <v>Summerset</v>
      </c>
      <c r="H658" s="70">
        <f t="shared" si="46"/>
        <v>1048</v>
      </c>
      <c r="I658" s="70">
        <f t="shared" si="47"/>
        <v>1011</v>
      </c>
      <c r="J658">
        <v>10</v>
      </c>
      <c r="K658" s="3" t="str">
        <f ca="1">VLOOKUP(J658,ConstDLCIds!$A$4:$B$1000,2,FALSE)</f>
        <v>DLC_SUMMERSET</v>
      </c>
      <c r="L658" s="3" t="str">
        <f ca="1">VLOOKUP(J658,ConstDLCIds!$A$4:$C$1000,3,FALSE)</f>
        <v>Summerset</v>
      </c>
    </row>
    <row r="659" spans="1:12" x14ac:dyDescent="0.25">
      <c r="A659">
        <v>1051</v>
      </c>
      <c r="B659">
        <v>654</v>
      </c>
      <c r="C659">
        <v>1011</v>
      </c>
      <c r="D659" t="s">
        <v>1179</v>
      </c>
      <c r="E659" t="str">
        <f>IF(NOT(ISERROR(VLOOKUP(D659,'ESO DungeonFinder'!$A$2:$A$999,1,FALSE))),"X","")</f>
        <v/>
      </c>
      <c r="F659" s="70" t="str">
        <f t="shared" si="44"/>
        <v/>
      </c>
      <c r="G659" s="70" t="str">
        <f t="shared" si="45"/>
        <v>Summerset</v>
      </c>
      <c r="H659" s="70">
        <f t="shared" si="46"/>
        <v>1051</v>
      </c>
      <c r="I659" s="70">
        <f t="shared" si="47"/>
        <v>1011</v>
      </c>
      <c r="J659">
        <v>10</v>
      </c>
      <c r="K659" s="3" t="str">
        <f ca="1">VLOOKUP(J659,ConstDLCIds!$A$4:$B$1000,2,FALSE)</f>
        <v>DLC_SUMMERSET</v>
      </c>
      <c r="L659" s="3" t="str">
        <f ca="1">VLOOKUP(J659,ConstDLCIds!$A$4:$C$1000,3,FALSE)</f>
        <v>Summerset</v>
      </c>
    </row>
    <row r="660" spans="1:12" x14ac:dyDescent="0.25">
      <c r="A660">
        <v>1052</v>
      </c>
      <c r="B660">
        <v>655</v>
      </c>
      <c r="C660">
        <v>382</v>
      </c>
      <c r="D660" t="s">
        <v>1197</v>
      </c>
      <c r="E660" t="str">
        <f>IF(NOT(ISERROR(VLOOKUP(D660,'ESO DungeonFinder'!$A$2:$A$999,1,FALSE))),"X","")</f>
        <v>X</v>
      </c>
      <c r="F660" s="70" t="str">
        <f t="shared" si="44"/>
        <v/>
      </c>
      <c r="G660" s="70" t="str">
        <f t="shared" si="45"/>
        <v>Reaper's March</v>
      </c>
      <c r="H660" s="70">
        <f t="shared" si="46"/>
        <v>1052</v>
      </c>
      <c r="I660" s="70">
        <f t="shared" si="47"/>
        <v>382</v>
      </c>
      <c r="J660">
        <v>11</v>
      </c>
      <c r="K660" s="3" t="str">
        <f ca="1">VLOOKUP(J660,ConstDLCIds!$A$4:$B$1000,2,FALSE)</f>
        <v>DLC_WOLFHUNTER</v>
      </c>
      <c r="L660" s="3" t="str">
        <f ca="1">VLOOKUP(J660,ConstDLCIds!$A$4:$C$1000,3,FALSE)</f>
        <v>Wolfhunter</v>
      </c>
    </row>
    <row r="661" spans="1:12" x14ac:dyDescent="0.25">
      <c r="A661">
        <v>1055</v>
      </c>
      <c r="B661">
        <v>656</v>
      </c>
      <c r="C661">
        <v>108</v>
      </c>
      <c r="D661" t="s">
        <v>1195</v>
      </c>
      <c r="E661" t="str">
        <f>IF(NOT(ISERROR(VLOOKUP(D661,'ESO DungeonFinder'!$A$2:$A$999,1,FALSE))),"X","")</f>
        <v>X</v>
      </c>
      <c r="F661" s="70" t="str">
        <f t="shared" si="44"/>
        <v/>
      </c>
      <c r="G661" s="70" t="str">
        <f t="shared" si="45"/>
        <v>Greenshade</v>
      </c>
      <c r="H661" s="70">
        <f t="shared" si="46"/>
        <v>1055</v>
      </c>
      <c r="I661" s="70">
        <f t="shared" si="47"/>
        <v>108</v>
      </c>
      <c r="J661">
        <v>11</v>
      </c>
      <c r="K661" s="3" t="str">
        <f ca="1">VLOOKUP(J661,ConstDLCIds!$A$4:$B$1000,2,FALSE)</f>
        <v>DLC_WOLFHUNTER</v>
      </c>
      <c r="L661" s="3" t="str">
        <f ca="1">VLOOKUP(J661,ConstDLCIds!$A$4:$C$1000,3,FALSE)</f>
        <v>Wolfhunter</v>
      </c>
    </row>
    <row r="662" spans="1:12" x14ac:dyDescent="0.25">
      <c r="A662">
        <v>1059</v>
      </c>
      <c r="B662">
        <v>657</v>
      </c>
      <c r="C662">
        <v>1011</v>
      </c>
      <c r="D662" t="s">
        <v>2747</v>
      </c>
      <c r="E662" t="str">
        <f>IF(NOT(ISERROR(VLOOKUP(D662,'ESO DungeonFinder'!$A$2:$A$999,1,FALSE))),"X","")</f>
        <v/>
      </c>
      <c r="F662" s="70" t="str">
        <f t="shared" si="44"/>
        <v/>
      </c>
      <c r="G662" s="70" t="str">
        <f t="shared" si="45"/>
        <v>Summerset</v>
      </c>
      <c r="H662" s="70">
        <f t="shared" si="46"/>
        <v>1059</v>
      </c>
      <c r="I662" s="70">
        <f t="shared" si="47"/>
        <v>1011</v>
      </c>
      <c r="J662">
        <v>10</v>
      </c>
      <c r="K662" s="3" t="str">
        <f ca="1">VLOOKUP(J662,ConstDLCIds!$A$4:$B$1000,2,FALSE)</f>
        <v>DLC_SUMMERSET</v>
      </c>
      <c r="L662" s="3" t="str">
        <f ca="1">VLOOKUP(J662,ConstDLCIds!$A$4:$C$1000,3,FALSE)</f>
        <v>Summerset</v>
      </c>
    </row>
    <row r="663" spans="1:12" x14ac:dyDescent="0.25">
      <c r="A663">
        <v>1060</v>
      </c>
      <c r="B663">
        <v>658</v>
      </c>
      <c r="C663">
        <v>1011</v>
      </c>
      <c r="D663" t="s">
        <v>2748</v>
      </c>
      <c r="E663" t="str">
        <f>IF(NOT(ISERROR(VLOOKUP(D663,'ESO DungeonFinder'!$A$2:$A$999,1,FALSE))),"X","")</f>
        <v/>
      </c>
      <c r="F663" s="70" t="str">
        <f t="shared" si="44"/>
        <v/>
      </c>
      <c r="G663" s="70" t="str">
        <f t="shared" si="45"/>
        <v>Summerset</v>
      </c>
      <c r="H663" s="70">
        <f t="shared" si="46"/>
        <v>1060</v>
      </c>
      <c r="I663" s="70">
        <f t="shared" si="47"/>
        <v>1011</v>
      </c>
      <c r="J663">
        <v>10</v>
      </c>
      <c r="K663" s="3" t="str">
        <f ca="1">VLOOKUP(J663,ConstDLCIds!$A$4:$B$1000,2,FALSE)</f>
        <v>DLC_SUMMERSET</v>
      </c>
      <c r="L663" s="3" t="str">
        <f ca="1">VLOOKUP(J663,ConstDLCIds!$A$4:$C$1000,3,FALSE)</f>
        <v>Summerset</v>
      </c>
    </row>
    <row r="664" spans="1:12" x14ac:dyDescent="0.25">
      <c r="A664">
        <v>1061</v>
      </c>
      <c r="B664">
        <v>659</v>
      </c>
      <c r="C664">
        <v>1011</v>
      </c>
      <c r="D664" t="s">
        <v>2749</v>
      </c>
      <c r="E664" t="str">
        <f>IF(NOT(ISERROR(VLOOKUP(D664,'ESO DungeonFinder'!$A$2:$A$999,1,FALSE))),"X","")</f>
        <v/>
      </c>
      <c r="F664" s="70" t="str">
        <f t="shared" si="44"/>
        <v/>
      </c>
      <c r="G664" s="70" t="str">
        <f t="shared" si="45"/>
        <v>Summerset</v>
      </c>
      <c r="H664" s="70">
        <f t="shared" si="46"/>
        <v>1061</v>
      </c>
      <c r="I664" s="70">
        <f t="shared" si="47"/>
        <v>1011</v>
      </c>
      <c r="J664">
        <v>10</v>
      </c>
      <c r="K664" s="3" t="str">
        <f ca="1">VLOOKUP(J664,ConstDLCIds!$A$4:$B$1000,2,FALSE)</f>
        <v>DLC_SUMMERSET</v>
      </c>
      <c r="L664" s="3" t="str">
        <f ca="1">VLOOKUP(J664,ConstDLCIds!$A$4:$C$1000,3,FALSE)</f>
        <v>Summerset</v>
      </c>
    </row>
    <row r="665" spans="1:12" x14ac:dyDescent="0.25">
      <c r="A665">
        <v>1063</v>
      </c>
      <c r="B665">
        <v>660</v>
      </c>
      <c r="C665">
        <v>1027</v>
      </c>
      <c r="D665" t="s">
        <v>2750</v>
      </c>
      <c r="E665" t="str">
        <f>IF(NOT(ISERROR(VLOOKUP(D665,'ESO DungeonFinder'!$A$2:$A$999,1,FALSE))),"X","")</f>
        <v/>
      </c>
      <c r="F665" s="70" t="str">
        <f t="shared" si="44"/>
        <v/>
      </c>
      <c r="G665" s="70" t="str">
        <f t="shared" si="45"/>
        <v>Artaeum</v>
      </c>
      <c r="H665" s="70">
        <f t="shared" si="46"/>
        <v>1063</v>
      </c>
      <c r="I665" s="70">
        <f t="shared" si="47"/>
        <v>1027</v>
      </c>
      <c r="J665">
        <v>0</v>
      </c>
      <c r="K665" s="3" t="str">
        <f>VLOOKUP(J665,ConstDLCIds!$A$4:$B$1000,2,FALSE)</f>
        <v>DLC_BASE_GAME</v>
      </c>
      <c r="L665" s="3" t="str">
        <f>VLOOKUP(J665,ConstDLCIds!$A$4:$C$1000,3,FALSE)</f>
        <v>Included in base game</v>
      </c>
    </row>
    <row r="666" spans="1:12" x14ac:dyDescent="0.25">
      <c r="A666">
        <v>1064</v>
      </c>
      <c r="B666">
        <v>661</v>
      </c>
      <c r="C666">
        <v>103</v>
      </c>
      <c r="D666" t="s">
        <v>2751</v>
      </c>
      <c r="E666" t="str">
        <f>IF(NOT(ISERROR(VLOOKUP(D666,'ESO DungeonFinder'!$A$2:$A$999,1,FALSE))),"X","")</f>
        <v/>
      </c>
      <c r="F666" s="70" t="str">
        <f t="shared" si="44"/>
        <v/>
      </c>
      <c r="G666" s="70" t="str">
        <f t="shared" si="45"/>
        <v>The Rift</v>
      </c>
      <c r="H666" s="70">
        <f t="shared" si="46"/>
        <v>1064</v>
      </c>
      <c r="I666" s="70">
        <f t="shared" si="47"/>
        <v>103</v>
      </c>
      <c r="J666">
        <v>0</v>
      </c>
      <c r="K666" s="3" t="str">
        <f>VLOOKUP(J666,ConstDLCIds!$A$4:$B$1000,2,FALSE)</f>
        <v>DLC_BASE_GAME</v>
      </c>
      <c r="L666" s="3" t="str">
        <f>VLOOKUP(J666,ConstDLCIds!$A$4:$C$1000,3,FALSE)</f>
        <v>Included in base game</v>
      </c>
    </row>
    <row r="667" spans="1:12" x14ac:dyDescent="0.25">
      <c r="A667">
        <v>1065</v>
      </c>
      <c r="B667">
        <v>662</v>
      </c>
      <c r="C667">
        <v>726</v>
      </c>
      <c r="D667" t="s">
        <v>2752</v>
      </c>
      <c r="E667" t="str">
        <f>IF(NOT(ISERROR(VLOOKUP(D667,'ESO DungeonFinder'!$A$2:$A$999,1,FALSE))),"X","")</f>
        <v/>
      </c>
      <c r="F667" s="70" t="str">
        <f t="shared" si="44"/>
        <v/>
      </c>
      <c r="G667" s="70" t="str">
        <f t="shared" si="45"/>
        <v>Murkmire</v>
      </c>
      <c r="H667" s="70">
        <f t="shared" si="46"/>
        <v>1065</v>
      </c>
      <c r="I667" s="70">
        <f t="shared" si="47"/>
        <v>726</v>
      </c>
      <c r="J667">
        <v>12</v>
      </c>
      <c r="K667" s="3" t="str">
        <f ca="1">VLOOKUP(J667,ConstDLCIds!$A$4:$B$1000,2,FALSE)</f>
        <v>DLC_MURKMIRE</v>
      </c>
      <c r="L667" s="3" t="str">
        <f ca="1">VLOOKUP(J667,ConstDLCIds!$A$4:$C$1000,3,FALSE)</f>
        <v>Murkmire</v>
      </c>
    </row>
    <row r="668" spans="1:12" x14ac:dyDescent="0.25">
      <c r="A668">
        <v>1066</v>
      </c>
      <c r="B668">
        <v>663</v>
      </c>
      <c r="C668">
        <v>726</v>
      </c>
      <c r="D668" t="s">
        <v>2753</v>
      </c>
      <c r="E668" t="str">
        <f>IF(NOT(ISERROR(VLOOKUP(D668,'ESO DungeonFinder'!$A$2:$A$999,1,FALSE))),"X","")</f>
        <v/>
      </c>
      <c r="F668" s="70" t="str">
        <f t="shared" si="44"/>
        <v/>
      </c>
      <c r="G668" s="70" t="str">
        <f t="shared" si="45"/>
        <v>Murkmire</v>
      </c>
      <c r="H668" s="70">
        <f t="shared" si="46"/>
        <v>1066</v>
      </c>
      <c r="I668" s="70">
        <f t="shared" si="47"/>
        <v>726</v>
      </c>
      <c r="J668">
        <v>12</v>
      </c>
      <c r="K668" s="3" t="str">
        <f ca="1">VLOOKUP(J668,ConstDLCIds!$A$4:$B$1000,2,FALSE)</f>
        <v>DLC_MURKMIRE</v>
      </c>
      <c r="L668" s="3" t="str">
        <f ca="1">VLOOKUP(J668,ConstDLCIds!$A$4:$C$1000,3,FALSE)</f>
        <v>Murkmire</v>
      </c>
    </row>
    <row r="669" spans="1:12" x14ac:dyDescent="0.25">
      <c r="A669">
        <v>1067</v>
      </c>
      <c r="B669">
        <v>664</v>
      </c>
      <c r="C669">
        <v>726</v>
      </c>
      <c r="D669" t="s">
        <v>2754</v>
      </c>
      <c r="E669" t="str">
        <f>IF(NOT(ISERROR(VLOOKUP(D669,'ESO DungeonFinder'!$A$2:$A$999,1,FALSE))),"X","")</f>
        <v/>
      </c>
      <c r="F669" s="70" t="str">
        <f t="shared" si="44"/>
        <v/>
      </c>
      <c r="G669" s="70" t="str">
        <f t="shared" si="45"/>
        <v>Murkmire</v>
      </c>
      <c r="H669" s="70">
        <f t="shared" si="46"/>
        <v>1067</v>
      </c>
      <c r="I669" s="70">
        <f t="shared" si="47"/>
        <v>726</v>
      </c>
      <c r="J669">
        <v>12</v>
      </c>
      <c r="K669" s="3" t="str">
        <f ca="1">VLOOKUP(J669,ConstDLCIds!$A$4:$B$1000,2,FALSE)</f>
        <v>DLC_MURKMIRE</v>
      </c>
      <c r="L669" s="3" t="str">
        <f ca="1">VLOOKUP(J669,ConstDLCIds!$A$4:$C$1000,3,FALSE)</f>
        <v>Murkmire</v>
      </c>
    </row>
    <row r="670" spans="1:12" x14ac:dyDescent="0.25">
      <c r="A670">
        <v>1068</v>
      </c>
      <c r="B670">
        <v>665</v>
      </c>
      <c r="C670">
        <v>726</v>
      </c>
      <c r="D670" t="s">
        <v>2755</v>
      </c>
      <c r="E670" t="str">
        <f>IF(NOT(ISERROR(VLOOKUP(D670,'ESO DungeonFinder'!$A$2:$A$999,1,FALSE))),"X","")</f>
        <v/>
      </c>
      <c r="F670" s="70" t="str">
        <f t="shared" si="44"/>
        <v/>
      </c>
      <c r="G670" s="70" t="str">
        <f t="shared" si="45"/>
        <v>Murkmire</v>
      </c>
      <c r="H670" s="70">
        <f t="shared" si="46"/>
        <v>1068</v>
      </c>
      <c r="I670" s="70">
        <f t="shared" si="47"/>
        <v>726</v>
      </c>
      <c r="J670">
        <v>12</v>
      </c>
      <c r="K670" s="3" t="str">
        <f ca="1">VLOOKUP(J670,ConstDLCIds!$A$4:$B$1000,2,FALSE)</f>
        <v>DLC_MURKMIRE</v>
      </c>
      <c r="L670" s="3" t="str">
        <f ca="1">VLOOKUP(J670,ConstDLCIds!$A$4:$C$1000,3,FALSE)</f>
        <v>Murkmire</v>
      </c>
    </row>
    <row r="671" spans="1:12" x14ac:dyDescent="0.25">
      <c r="A671">
        <v>1069</v>
      </c>
      <c r="B671">
        <v>666</v>
      </c>
      <c r="C671">
        <v>726</v>
      </c>
      <c r="D671" t="s">
        <v>2756</v>
      </c>
      <c r="E671" t="str">
        <f>IF(NOT(ISERROR(VLOOKUP(D671,'ESO DungeonFinder'!$A$2:$A$999,1,FALSE))),"X","")</f>
        <v/>
      </c>
      <c r="F671" s="70" t="str">
        <f t="shared" si="44"/>
        <v/>
      </c>
      <c r="G671" s="70" t="str">
        <f t="shared" si="45"/>
        <v>Murkmire</v>
      </c>
      <c r="H671" s="70">
        <f t="shared" si="46"/>
        <v>1069</v>
      </c>
      <c r="I671" s="70">
        <f t="shared" si="47"/>
        <v>726</v>
      </c>
      <c r="J671">
        <v>12</v>
      </c>
      <c r="K671" s="3" t="str">
        <f ca="1">VLOOKUP(J671,ConstDLCIds!$A$4:$B$1000,2,FALSE)</f>
        <v>DLC_MURKMIRE</v>
      </c>
      <c r="L671" s="3" t="str">
        <f ca="1">VLOOKUP(J671,ConstDLCIds!$A$4:$C$1000,3,FALSE)</f>
        <v>Murkmire</v>
      </c>
    </row>
    <row r="672" spans="1:12" x14ac:dyDescent="0.25">
      <c r="A672">
        <v>1070</v>
      </c>
      <c r="B672">
        <v>667</v>
      </c>
      <c r="C672">
        <v>726</v>
      </c>
      <c r="D672" t="s">
        <v>2757</v>
      </c>
      <c r="E672" t="str">
        <f>IF(NOT(ISERROR(VLOOKUP(D672,'ESO DungeonFinder'!$A$2:$A$999,1,FALSE))),"X","")</f>
        <v/>
      </c>
      <c r="F672" s="70" t="str">
        <f t="shared" si="44"/>
        <v/>
      </c>
      <c r="G672" s="70" t="str">
        <f t="shared" si="45"/>
        <v>Murkmire</v>
      </c>
      <c r="H672" s="70">
        <f t="shared" si="46"/>
        <v>1070</v>
      </c>
      <c r="I672" s="70">
        <f t="shared" si="47"/>
        <v>726</v>
      </c>
      <c r="J672">
        <v>12</v>
      </c>
      <c r="K672" s="3" t="str">
        <f ca="1">VLOOKUP(J672,ConstDLCIds!$A$4:$B$1000,2,FALSE)</f>
        <v>DLC_MURKMIRE</v>
      </c>
      <c r="L672" s="3" t="str">
        <f ca="1">VLOOKUP(J672,ConstDLCIds!$A$4:$C$1000,3,FALSE)</f>
        <v>Murkmire</v>
      </c>
    </row>
    <row r="673" spans="1:12" x14ac:dyDescent="0.25">
      <c r="A673">
        <v>1071</v>
      </c>
      <c r="B673">
        <v>668</v>
      </c>
      <c r="C673">
        <v>726</v>
      </c>
      <c r="D673" t="s">
        <v>2758</v>
      </c>
      <c r="E673" t="str">
        <f>IF(NOT(ISERROR(VLOOKUP(D673,'ESO DungeonFinder'!$A$2:$A$999,1,FALSE))),"X","")</f>
        <v/>
      </c>
      <c r="F673" s="70" t="str">
        <f t="shared" si="44"/>
        <v/>
      </c>
      <c r="G673" s="70" t="str">
        <f t="shared" si="45"/>
        <v>Murkmire</v>
      </c>
      <c r="H673" s="70">
        <f t="shared" si="46"/>
        <v>1071</v>
      </c>
      <c r="I673" s="70">
        <f t="shared" si="47"/>
        <v>726</v>
      </c>
      <c r="J673">
        <v>12</v>
      </c>
      <c r="K673" s="3" t="str">
        <f ca="1">VLOOKUP(J673,ConstDLCIds!$A$4:$B$1000,2,FALSE)</f>
        <v>DLC_MURKMIRE</v>
      </c>
      <c r="L673" s="3" t="str">
        <f ca="1">VLOOKUP(J673,ConstDLCIds!$A$4:$C$1000,3,FALSE)</f>
        <v>Murkmire</v>
      </c>
    </row>
    <row r="674" spans="1:12" x14ac:dyDescent="0.25">
      <c r="A674">
        <v>1072</v>
      </c>
      <c r="B674">
        <v>669</v>
      </c>
      <c r="C674">
        <v>117</v>
      </c>
      <c r="D674" t="s">
        <v>2759</v>
      </c>
      <c r="E674" t="str">
        <f>IF(NOT(ISERROR(VLOOKUP(D674,'ESO DungeonFinder'!$A$2:$A$999,1,FALSE))),"X","")</f>
        <v/>
      </c>
      <c r="F674" s="70" t="str">
        <f t="shared" si="44"/>
        <v/>
      </c>
      <c r="G674" s="70" t="str">
        <f t="shared" si="45"/>
        <v>Shadowfen</v>
      </c>
      <c r="H674" s="70">
        <f t="shared" si="46"/>
        <v>1072</v>
      </c>
      <c r="I674" s="70">
        <f t="shared" si="47"/>
        <v>117</v>
      </c>
      <c r="J674">
        <v>0</v>
      </c>
      <c r="K674" s="3" t="str">
        <f>VLOOKUP(J674,ConstDLCIds!$A$4:$B$1000,2,FALSE)</f>
        <v>DLC_BASE_GAME</v>
      </c>
      <c r="L674" s="3" t="str">
        <f>VLOOKUP(J674,ConstDLCIds!$A$4:$C$1000,3,FALSE)</f>
        <v>Included in base game</v>
      </c>
    </row>
    <row r="675" spans="1:12" x14ac:dyDescent="0.25">
      <c r="A675">
        <v>1073</v>
      </c>
      <c r="B675">
        <v>670</v>
      </c>
      <c r="C675">
        <v>726</v>
      </c>
      <c r="D675" t="s">
        <v>2760</v>
      </c>
      <c r="E675" t="str">
        <f>IF(NOT(ISERROR(VLOOKUP(D675,'ESO DungeonFinder'!$A$2:$A$999,1,FALSE))),"X","")</f>
        <v/>
      </c>
      <c r="F675" s="70" t="str">
        <f t="shared" si="44"/>
        <v/>
      </c>
      <c r="G675" s="70" t="str">
        <f t="shared" si="45"/>
        <v>Murkmire</v>
      </c>
      <c r="H675" s="70">
        <f t="shared" si="46"/>
        <v>1073</v>
      </c>
      <c r="I675" s="70">
        <f t="shared" si="47"/>
        <v>726</v>
      </c>
      <c r="J675">
        <v>12</v>
      </c>
      <c r="K675" s="3" t="str">
        <f ca="1">VLOOKUP(J675,ConstDLCIds!$A$4:$B$1000,2,FALSE)</f>
        <v>DLC_MURKMIRE</v>
      </c>
      <c r="L675" s="3" t="str">
        <f ca="1">VLOOKUP(J675,ConstDLCIds!$A$4:$C$1000,3,FALSE)</f>
        <v>Murkmire</v>
      </c>
    </row>
    <row r="676" spans="1:12" x14ac:dyDescent="0.25">
      <c r="A676">
        <v>1074</v>
      </c>
      <c r="B676">
        <v>671</v>
      </c>
      <c r="C676">
        <v>41</v>
      </c>
      <c r="D676" t="s">
        <v>2761</v>
      </c>
      <c r="E676" t="str">
        <f>IF(NOT(ISERROR(VLOOKUP(D676,'ESO DungeonFinder'!$A$2:$A$999,1,FALSE))),"X","")</f>
        <v/>
      </c>
      <c r="F676" s="70" t="str">
        <f t="shared" si="44"/>
        <v/>
      </c>
      <c r="G676" s="70" t="str">
        <f t="shared" si="45"/>
        <v>Stonefalls</v>
      </c>
      <c r="H676" s="70">
        <f t="shared" si="46"/>
        <v>1074</v>
      </c>
      <c r="I676" s="70">
        <f t="shared" si="47"/>
        <v>41</v>
      </c>
      <c r="J676">
        <v>0</v>
      </c>
      <c r="K676" s="3" t="str">
        <f>VLOOKUP(J676,ConstDLCIds!$A$4:$B$1000,2,FALSE)</f>
        <v>DLC_BASE_GAME</v>
      </c>
      <c r="L676" s="3" t="str">
        <f>VLOOKUP(J676,ConstDLCIds!$A$4:$C$1000,3,FALSE)</f>
        <v>Included in base game</v>
      </c>
    </row>
    <row r="677" spans="1:12" x14ac:dyDescent="0.25">
      <c r="A677">
        <v>1075</v>
      </c>
      <c r="B677">
        <v>672</v>
      </c>
      <c r="C677">
        <v>381</v>
      </c>
      <c r="D677" t="s">
        <v>2761</v>
      </c>
      <c r="E677" t="str">
        <f>IF(NOT(ISERROR(VLOOKUP(D677,'ESO DungeonFinder'!$A$2:$A$999,1,FALSE))),"X","")</f>
        <v/>
      </c>
      <c r="F677" s="70" t="str">
        <f t="shared" si="44"/>
        <v/>
      </c>
      <c r="G677" s="70" t="str">
        <f t="shared" si="45"/>
        <v>Auridon</v>
      </c>
      <c r="H677" s="70">
        <f t="shared" si="46"/>
        <v>1075</v>
      </c>
      <c r="I677" s="70">
        <f t="shared" si="47"/>
        <v>381</v>
      </c>
      <c r="J677">
        <v>0</v>
      </c>
      <c r="K677" s="3" t="str">
        <f>VLOOKUP(J677,ConstDLCIds!$A$4:$B$1000,2,FALSE)</f>
        <v>DLC_BASE_GAME</v>
      </c>
      <c r="L677" s="3" t="str">
        <f>VLOOKUP(J677,ConstDLCIds!$A$4:$C$1000,3,FALSE)</f>
        <v>Included in base game</v>
      </c>
    </row>
    <row r="678" spans="1:12" x14ac:dyDescent="0.25">
      <c r="A678">
        <v>1076</v>
      </c>
      <c r="B678">
        <v>673</v>
      </c>
      <c r="C678">
        <v>3</v>
      </c>
      <c r="D678" t="s">
        <v>2761</v>
      </c>
      <c r="E678" t="str">
        <f>IF(NOT(ISERROR(VLOOKUP(D678,'ESO DungeonFinder'!$A$2:$A$999,1,FALSE))),"X","")</f>
        <v/>
      </c>
      <c r="F678" s="70" t="str">
        <f t="shared" si="44"/>
        <v/>
      </c>
      <c r="G678" s="70" t="str">
        <f t="shared" si="45"/>
        <v>Glenumbra</v>
      </c>
      <c r="H678" s="70">
        <f t="shared" si="46"/>
        <v>1076</v>
      </c>
      <c r="I678" s="70">
        <f t="shared" si="47"/>
        <v>3</v>
      </c>
      <c r="J678">
        <v>0</v>
      </c>
      <c r="K678" s="3" t="str">
        <f>VLOOKUP(J678,ConstDLCIds!$A$4:$B$1000,2,FALSE)</f>
        <v>DLC_BASE_GAME</v>
      </c>
      <c r="L678" s="3" t="str">
        <f>VLOOKUP(J678,ConstDLCIds!$A$4:$C$1000,3,FALSE)</f>
        <v>Included in base game</v>
      </c>
    </row>
    <row r="679" spans="1:12" x14ac:dyDescent="0.25">
      <c r="A679">
        <v>1077</v>
      </c>
      <c r="B679">
        <v>674</v>
      </c>
      <c r="C679">
        <v>726</v>
      </c>
      <c r="D679" t="s">
        <v>2762</v>
      </c>
      <c r="E679" t="str">
        <f>IF(NOT(ISERROR(VLOOKUP(D679,'ESO DungeonFinder'!$A$2:$A$999,1,FALSE))),"X","")</f>
        <v/>
      </c>
      <c r="F679" s="70" t="str">
        <f t="shared" si="44"/>
        <v/>
      </c>
      <c r="G679" s="70" t="str">
        <f t="shared" si="45"/>
        <v>Murkmire</v>
      </c>
      <c r="H679" s="70">
        <f t="shared" si="46"/>
        <v>1077</v>
      </c>
      <c r="I679" s="70">
        <f t="shared" si="47"/>
        <v>726</v>
      </c>
      <c r="J679">
        <v>12</v>
      </c>
      <c r="K679" s="3" t="str">
        <f ca="1">VLOOKUP(J679,ConstDLCIds!$A$4:$B$1000,2,FALSE)</f>
        <v>DLC_MURKMIRE</v>
      </c>
      <c r="L679" s="3" t="str">
        <f ca="1">VLOOKUP(J679,ConstDLCIds!$A$4:$C$1000,3,FALSE)</f>
        <v>Murkmire</v>
      </c>
    </row>
    <row r="680" spans="1:12" x14ac:dyDescent="0.25">
      <c r="A680">
        <v>1078</v>
      </c>
      <c r="B680">
        <v>675</v>
      </c>
      <c r="C680">
        <v>726</v>
      </c>
      <c r="D680" t="s">
        <v>2763</v>
      </c>
      <c r="E680" t="str">
        <f>IF(NOT(ISERROR(VLOOKUP(D680,'ESO DungeonFinder'!$A$2:$A$999,1,FALSE))),"X","")</f>
        <v/>
      </c>
      <c r="F680" s="70" t="str">
        <f t="shared" si="44"/>
        <v/>
      </c>
      <c r="G680" s="70" t="str">
        <f t="shared" si="45"/>
        <v>Murkmire</v>
      </c>
      <c r="H680" s="70">
        <f t="shared" si="46"/>
        <v>1078</v>
      </c>
      <c r="I680" s="70">
        <f t="shared" si="47"/>
        <v>726</v>
      </c>
      <c r="J680">
        <v>12</v>
      </c>
      <c r="K680" s="3" t="str">
        <f ca="1">VLOOKUP(J680,ConstDLCIds!$A$4:$B$1000,2,FALSE)</f>
        <v>DLC_MURKMIRE</v>
      </c>
      <c r="L680" s="3" t="str">
        <f ca="1">VLOOKUP(J680,ConstDLCIds!$A$4:$C$1000,3,FALSE)</f>
        <v>Murkmire</v>
      </c>
    </row>
    <row r="681" spans="1:12" x14ac:dyDescent="0.25">
      <c r="A681">
        <v>1079</v>
      </c>
      <c r="B681">
        <v>676</v>
      </c>
      <c r="C681">
        <v>726</v>
      </c>
      <c r="D681" t="s">
        <v>2764</v>
      </c>
      <c r="E681" t="str">
        <f>IF(NOT(ISERROR(VLOOKUP(D681,'ESO DungeonFinder'!$A$2:$A$999,1,FALSE))),"X","")</f>
        <v/>
      </c>
      <c r="F681" s="70" t="str">
        <f t="shared" si="44"/>
        <v/>
      </c>
      <c r="G681" s="70" t="str">
        <f t="shared" si="45"/>
        <v>Murkmire</v>
      </c>
      <c r="H681" s="70">
        <f t="shared" si="46"/>
        <v>1079</v>
      </c>
      <c r="I681" s="70">
        <f t="shared" si="47"/>
        <v>726</v>
      </c>
      <c r="J681">
        <v>12</v>
      </c>
      <c r="K681" s="3" t="str">
        <f ca="1">VLOOKUP(J681,ConstDLCIds!$A$4:$B$1000,2,FALSE)</f>
        <v>DLC_MURKMIRE</v>
      </c>
      <c r="L681" s="3" t="str">
        <f ca="1">VLOOKUP(J681,ConstDLCIds!$A$4:$C$1000,3,FALSE)</f>
        <v>Murkmire</v>
      </c>
    </row>
    <row r="682" spans="1:12" x14ac:dyDescent="0.25">
      <c r="A682">
        <v>1080</v>
      </c>
      <c r="B682">
        <v>677</v>
      </c>
      <c r="C682">
        <v>101</v>
      </c>
      <c r="D682" t="s">
        <v>1261</v>
      </c>
      <c r="E682" t="str">
        <f>IF(NOT(ISERROR(VLOOKUP(D682,'ESO DungeonFinder'!$A$2:$A$999,1,FALSE))),"X","")</f>
        <v>X</v>
      </c>
      <c r="F682" s="70" t="str">
        <f t="shared" si="44"/>
        <v/>
      </c>
      <c r="G682" s="70" t="str">
        <f t="shared" si="45"/>
        <v>Eastmarch</v>
      </c>
      <c r="H682" s="70">
        <f t="shared" si="46"/>
        <v>1080</v>
      </c>
      <c r="I682" s="70">
        <f t="shared" si="47"/>
        <v>101</v>
      </c>
      <c r="J682">
        <v>13</v>
      </c>
      <c r="K682" s="3" t="str">
        <f ca="1">VLOOKUP(J682,ConstDLCIds!$A$4:$B$1000,2,FALSE)</f>
        <v>DLC_WRATHSTONE</v>
      </c>
      <c r="L682" s="3" t="str">
        <f ca="1">VLOOKUP(J682,ConstDLCIds!$A$4:$C$1000,3,FALSE)</f>
        <v>Wrathstone</v>
      </c>
    </row>
    <row r="683" spans="1:12" x14ac:dyDescent="0.25">
      <c r="A683">
        <v>1081</v>
      </c>
      <c r="B683">
        <v>678</v>
      </c>
      <c r="C683">
        <v>823</v>
      </c>
      <c r="D683" t="s">
        <v>1272</v>
      </c>
      <c r="E683" t="str">
        <f>IF(NOT(ISERROR(VLOOKUP(D683,'ESO DungeonFinder'!$A$2:$A$999,1,FALSE))),"X","")</f>
        <v>X</v>
      </c>
      <c r="F683" s="70" t="str">
        <f t="shared" si="44"/>
        <v/>
      </c>
      <c r="G683" s="70" t="str">
        <f t="shared" si="45"/>
        <v>Gold Coast</v>
      </c>
      <c r="H683" s="70">
        <f t="shared" si="46"/>
        <v>1081</v>
      </c>
      <c r="I683" s="70">
        <f t="shared" si="47"/>
        <v>823</v>
      </c>
      <c r="J683">
        <v>13</v>
      </c>
      <c r="K683" s="3" t="str">
        <f ca="1">VLOOKUP(J683,ConstDLCIds!$A$4:$B$1000,2,FALSE)</f>
        <v>DLC_WRATHSTONE</v>
      </c>
      <c r="L683" s="3" t="str">
        <f ca="1">VLOOKUP(J683,ConstDLCIds!$A$4:$C$1000,3,FALSE)</f>
        <v>Wrathstone</v>
      </c>
    </row>
    <row r="684" spans="1:12" x14ac:dyDescent="0.25">
      <c r="A684">
        <v>1082</v>
      </c>
      <c r="B684">
        <v>679</v>
      </c>
      <c r="C684">
        <v>726</v>
      </c>
      <c r="D684" t="s">
        <v>1224</v>
      </c>
      <c r="E684" t="str">
        <f>IF(NOT(ISERROR(VLOOKUP(D684,'ESO DungeonFinder'!$A$2:$A$999,1,FALSE))),"X","")</f>
        <v/>
      </c>
      <c r="F684" s="70" t="str">
        <f t="shared" si="44"/>
        <v/>
      </c>
      <c r="G684" s="70" t="str">
        <f t="shared" si="45"/>
        <v>Murkmire</v>
      </c>
      <c r="H684" s="70">
        <f t="shared" si="46"/>
        <v>1082</v>
      </c>
      <c r="I684" s="70">
        <f t="shared" si="47"/>
        <v>726</v>
      </c>
      <c r="J684">
        <v>12</v>
      </c>
      <c r="K684" s="3" t="str">
        <f ca="1">VLOOKUP(J684,ConstDLCIds!$A$4:$B$1000,2,FALSE)</f>
        <v>DLC_MURKMIRE</v>
      </c>
      <c r="L684" s="3" t="str">
        <f ca="1">VLOOKUP(J684,ConstDLCIds!$A$4:$C$1000,3,FALSE)</f>
        <v>Murkmire</v>
      </c>
    </row>
    <row r="685" spans="1:12" x14ac:dyDescent="0.25">
      <c r="A685">
        <v>1083</v>
      </c>
      <c r="B685">
        <v>680</v>
      </c>
      <c r="C685">
        <v>726</v>
      </c>
      <c r="D685" t="s">
        <v>2765</v>
      </c>
      <c r="E685" t="str">
        <f>IF(NOT(ISERROR(VLOOKUP(D685,'ESO DungeonFinder'!$A$2:$A$999,1,FALSE))),"X","")</f>
        <v/>
      </c>
      <c r="F685" s="70" t="str">
        <f t="shared" si="44"/>
        <v/>
      </c>
      <c r="G685" s="70" t="str">
        <f t="shared" si="45"/>
        <v>Murkmire</v>
      </c>
      <c r="H685" s="70">
        <f t="shared" si="46"/>
        <v>1083</v>
      </c>
      <c r="I685" s="70">
        <f t="shared" si="47"/>
        <v>726</v>
      </c>
      <c r="J685">
        <v>12</v>
      </c>
      <c r="K685" s="3" t="str">
        <f ca="1">VLOOKUP(J685,ConstDLCIds!$A$4:$B$1000,2,FALSE)</f>
        <v>DLC_MURKMIRE</v>
      </c>
      <c r="L685" s="3" t="str">
        <f ca="1">VLOOKUP(J685,ConstDLCIds!$A$4:$C$1000,3,FALSE)</f>
        <v>Murkmire</v>
      </c>
    </row>
    <row r="686" spans="1:12" x14ac:dyDescent="0.25">
      <c r="A686">
        <v>1085</v>
      </c>
      <c r="B686">
        <v>681</v>
      </c>
      <c r="C686">
        <v>1086</v>
      </c>
      <c r="D686" t="s">
        <v>2766</v>
      </c>
      <c r="E686" t="str">
        <f>IF(NOT(ISERROR(VLOOKUP(D686,'ESO DungeonFinder'!$A$2:$A$999,1,FALSE))),"X","")</f>
        <v/>
      </c>
      <c r="F686" s="70" t="str">
        <f t="shared" si="44"/>
        <v/>
      </c>
      <c r="G686" s="70" t="str">
        <f t="shared" si="45"/>
        <v>Northern Elsweyr</v>
      </c>
      <c r="H686" s="70">
        <f t="shared" si="46"/>
        <v>1085</v>
      </c>
      <c r="I686" s="70">
        <f t="shared" si="47"/>
        <v>1086</v>
      </c>
      <c r="J686">
        <v>14</v>
      </c>
      <c r="K686" s="3" t="str">
        <f ca="1">VLOOKUP(J686,ConstDLCIds!$A$4:$B$1000,2,FALSE)</f>
        <v>DLC_ELSWEYR</v>
      </c>
      <c r="L686" s="3" t="str">
        <f ca="1">VLOOKUP(J686,ConstDLCIds!$A$4:$C$1000,3,FALSE)</f>
        <v>Elsweyr</v>
      </c>
    </row>
    <row r="687" spans="1:12" x14ac:dyDescent="0.25">
      <c r="A687">
        <v>1086</v>
      </c>
      <c r="B687">
        <v>682</v>
      </c>
      <c r="C687">
        <v>1086</v>
      </c>
      <c r="D687" t="s">
        <v>1288</v>
      </c>
      <c r="E687" t="str">
        <f>IF(NOT(ISERROR(VLOOKUP(D687,'ESO DungeonFinder'!$A$2:$A$999,1,FALSE))),"X","")</f>
        <v/>
      </c>
      <c r="F687" s="70" t="str">
        <f t="shared" si="44"/>
        <v>X</v>
      </c>
      <c r="G687" s="70" t="str">
        <f t="shared" si="45"/>
        <v/>
      </c>
      <c r="H687" s="70">
        <f t="shared" si="46"/>
        <v>1086</v>
      </c>
      <c r="I687" s="70">
        <f t="shared" si="47"/>
        <v>1086</v>
      </c>
      <c r="J687">
        <v>4</v>
      </c>
      <c r="K687" s="3" t="str">
        <f ca="1">VLOOKUP(J687,ConstDLCIds!$A$4:$B$1000,2,FALSE)</f>
        <v>DLC_DARK_BROTHERHOOD</v>
      </c>
      <c r="L687" s="3" t="str">
        <f ca="1">VLOOKUP(J687,ConstDLCIds!$A$4:$C$1000,3,FALSE)</f>
        <v>Dark Brotherhood</v>
      </c>
    </row>
    <row r="688" spans="1:12" x14ac:dyDescent="0.25">
      <c r="A688">
        <v>1088</v>
      </c>
      <c r="B688">
        <v>683</v>
      </c>
      <c r="C688">
        <v>1086</v>
      </c>
      <c r="D688" t="s">
        <v>2767</v>
      </c>
      <c r="E688" t="str">
        <f>IF(NOT(ISERROR(VLOOKUP(D688,'ESO DungeonFinder'!$A$2:$A$999,1,FALSE))),"X","")</f>
        <v/>
      </c>
      <c r="F688" s="70" t="str">
        <f t="shared" si="44"/>
        <v/>
      </c>
      <c r="G688" s="70" t="str">
        <f t="shared" si="45"/>
        <v>Northern Elsweyr</v>
      </c>
      <c r="H688" s="70">
        <f t="shared" si="46"/>
        <v>1088</v>
      </c>
      <c r="I688" s="70">
        <f t="shared" si="47"/>
        <v>1086</v>
      </c>
      <c r="J688">
        <v>14</v>
      </c>
      <c r="K688" s="3" t="str">
        <f ca="1">VLOOKUP(J688,ConstDLCIds!$A$4:$B$1000,2,FALSE)</f>
        <v>DLC_ELSWEYR</v>
      </c>
      <c r="L688" s="3" t="str">
        <f ca="1">VLOOKUP(J688,ConstDLCIds!$A$4:$C$1000,3,FALSE)</f>
        <v>Elsweyr</v>
      </c>
    </row>
    <row r="689" spans="1:12" x14ac:dyDescent="0.25">
      <c r="A689">
        <v>1089</v>
      </c>
      <c r="B689">
        <v>684</v>
      </c>
      <c r="C689">
        <v>1086</v>
      </c>
      <c r="D689" t="s">
        <v>1289</v>
      </c>
      <c r="E689" t="str">
        <f>IF(NOT(ISERROR(VLOOKUP(D689,'ESO DungeonFinder'!$A$2:$A$999,1,FALSE))),"X","")</f>
        <v/>
      </c>
      <c r="F689" s="70" t="str">
        <f t="shared" si="44"/>
        <v/>
      </c>
      <c r="G689" s="70" t="str">
        <f t="shared" si="45"/>
        <v>Northern Elsweyr</v>
      </c>
      <c r="H689" s="70">
        <f t="shared" si="46"/>
        <v>1089</v>
      </c>
      <c r="I689" s="70">
        <f t="shared" si="47"/>
        <v>1086</v>
      </c>
      <c r="J689">
        <v>14</v>
      </c>
      <c r="K689" s="3" t="str">
        <f ca="1">VLOOKUP(J689,ConstDLCIds!$A$4:$B$1000,2,FALSE)</f>
        <v>DLC_ELSWEYR</v>
      </c>
      <c r="L689" s="3" t="str">
        <f ca="1">VLOOKUP(J689,ConstDLCIds!$A$4:$C$1000,3,FALSE)</f>
        <v>Elsweyr</v>
      </c>
    </row>
    <row r="690" spans="1:12" x14ac:dyDescent="0.25">
      <c r="A690">
        <v>1090</v>
      </c>
      <c r="B690">
        <v>685</v>
      </c>
      <c r="C690">
        <v>1086</v>
      </c>
      <c r="D690" t="s">
        <v>1984</v>
      </c>
      <c r="E690" t="str">
        <f>IF(NOT(ISERROR(VLOOKUP(D690,'ESO DungeonFinder'!$A$2:$A$999,1,FALSE))),"X","")</f>
        <v/>
      </c>
      <c r="F690" s="70" t="str">
        <f t="shared" si="44"/>
        <v/>
      </c>
      <c r="G690" s="70" t="str">
        <f t="shared" si="45"/>
        <v>Northern Elsweyr</v>
      </c>
      <c r="H690" s="70">
        <f t="shared" si="46"/>
        <v>1090</v>
      </c>
      <c r="I690" s="70">
        <f t="shared" si="47"/>
        <v>1086</v>
      </c>
      <c r="J690">
        <v>14</v>
      </c>
      <c r="K690" s="3" t="str">
        <f ca="1">VLOOKUP(J690,ConstDLCIds!$A$4:$B$1000,2,FALSE)</f>
        <v>DLC_ELSWEYR</v>
      </c>
      <c r="L690" s="3" t="str">
        <f ca="1">VLOOKUP(J690,ConstDLCIds!$A$4:$C$1000,3,FALSE)</f>
        <v>Elsweyr</v>
      </c>
    </row>
    <row r="691" spans="1:12" x14ac:dyDescent="0.25">
      <c r="A691">
        <v>1091</v>
      </c>
      <c r="B691">
        <v>686</v>
      </c>
      <c r="C691">
        <v>1086</v>
      </c>
      <c r="D691" t="s">
        <v>2768</v>
      </c>
      <c r="E691" t="str">
        <f>IF(NOT(ISERROR(VLOOKUP(D691,'ESO DungeonFinder'!$A$2:$A$999,1,FALSE))),"X","")</f>
        <v/>
      </c>
      <c r="F691" s="70" t="str">
        <f t="shared" si="44"/>
        <v/>
      </c>
      <c r="G691" s="70" t="str">
        <f t="shared" si="45"/>
        <v>Northern Elsweyr</v>
      </c>
      <c r="H691" s="70">
        <f t="shared" si="46"/>
        <v>1091</v>
      </c>
      <c r="I691" s="70">
        <f t="shared" si="47"/>
        <v>1086</v>
      </c>
      <c r="J691">
        <v>14</v>
      </c>
      <c r="K691" s="3" t="str">
        <f ca="1">VLOOKUP(J691,ConstDLCIds!$A$4:$B$1000,2,FALSE)</f>
        <v>DLC_ELSWEYR</v>
      </c>
      <c r="L691" s="3" t="str">
        <f ca="1">VLOOKUP(J691,ConstDLCIds!$A$4:$C$1000,3,FALSE)</f>
        <v>Elsweyr</v>
      </c>
    </row>
    <row r="692" spans="1:12" x14ac:dyDescent="0.25">
      <c r="A692">
        <v>1092</v>
      </c>
      <c r="B692">
        <v>687</v>
      </c>
      <c r="C692">
        <v>1086</v>
      </c>
      <c r="D692" t="s">
        <v>2769</v>
      </c>
      <c r="E692" t="str">
        <f>IF(NOT(ISERROR(VLOOKUP(D692,'ESO DungeonFinder'!$A$2:$A$999,1,FALSE))),"X","")</f>
        <v/>
      </c>
      <c r="F692" s="70" t="str">
        <f t="shared" si="44"/>
        <v/>
      </c>
      <c r="G692" s="70" t="str">
        <f t="shared" si="45"/>
        <v>Northern Elsweyr</v>
      </c>
      <c r="H692" s="70">
        <f t="shared" si="46"/>
        <v>1092</v>
      </c>
      <c r="I692" s="70">
        <f t="shared" si="47"/>
        <v>1086</v>
      </c>
      <c r="J692">
        <v>14</v>
      </c>
      <c r="K692" s="3" t="str">
        <f ca="1">VLOOKUP(J692,ConstDLCIds!$A$4:$B$1000,2,FALSE)</f>
        <v>DLC_ELSWEYR</v>
      </c>
      <c r="L692" s="3" t="str">
        <f ca="1">VLOOKUP(J692,ConstDLCIds!$A$4:$C$1000,3,FALSE)</f>
        <v>Elsweyr</v>
      </c>
    </row>
    <row r="693" spans="1:12" x14ac:dyDescent="0.25">
      <c r="A693">
        <v>1094</v>
      </c>
      <c r="B693">
        <v>688</v>
      </c>
      <c r="C693">
        <v>1086</v>
      </c>
      <c r="D693" t="s">
        <v>2770</v>
      </c>
      <c r="E693" t="str">
        <f>IF(NOT(ISERROR(VLOOKUP(D693,'ESO DungeonFinder'!$A$2:$A$999,1,FALSE))),"X","")</f>
        <v/>
      </c>
      <c r="F693" s="70" t="str">
        <f t="shared" si="44"/>
        <v/>
      </c>
      <c r="G693" s="70" t="str">
        <f t="shared" si="45"/>
        <v>Northern Elsweyr</v>
      </c>
      <c r="H693" s="70">
        <f t="shared" si="46"/>
        <v>1094</v>
      </c>
      <c r="I693" s="70">
        <f t="shared" si="47"/>
        <v>1086</v>
      </c>
      <c r="J693">
        <v>14</v>
      </c>
      <c r="K693" s="3" t="str">
        <f ca="1">VLOOKUP(J693,ConstDLCIds!$A$4:$B$1000,2,FALSE)</f>
        <v>DLC_ELSWEYR</v>
      </c>
      <c r="L693" s="3" t="str">
        <f ca="1">VLOOKUP(J693,ConstDLCIds!$A$4:$C$1000,3,FALSE)</f>
        <v>Elsweyr</v>
      </c>
    </row>
    <row r="694" spans="1:12" x14ac:dyDescent="0.25">
      <c r="A694">
        <v>1095</v>
      </c>
      <c r="B694">
        <v>689</v>
      </c>
      <c r="C694">
        <v>1086</v>
      </c>
      <c r="D694" t="s">
        <v>2771</v>
      </c>
      <c r="E694" t="str">
        <f>IF(NOT(ISERROR(VLOOKUP(D694,'ESO DungeonFinder'!$A$2:$A$999,1,FALSE))),"X","")</f>
        <v/>
      </c>
      <c r="F694" s="70" t="str">
        <f t="shared" si="44"/>
        <v/>
      </c>
      <c r="G694" s="70" t="str">
        <f t="shared" si="45"/>
        <v>Northern Elsweyr</v>
      </c>
      <c r="H694" s="70">
        <f t="shared" si="46"/>
        <v>1095</v>
      </c>
      <c r="I694" s="70">
        <f t="shared" si="47"/>
        <v>1086</v>
      </c>
      <c r="J694">
        <v>14</v>
      </c>
      <c r="K694" s="3" t="str">
        <f ca="1">VLOOKUP(J694,ConstDLCIds!$A$4:$B$1000,2,FALSE)</f>
        <v>DLC_ELSWEYR</v>
      </c>
      <c r="L694" s="3" t="str">
        <f ca="1">VLOOKUP(J694,ConstDLCIds!$A$4:$C$1000,3,FALSE)</f>
        <v>Elsweyr</v>
      </c>
    </row>
    <row r="695" spans="1:12" x14ac:dyDescent="0.25">
      <c r="A695">
        <v>1096</v>
      </c>
      <c r="B695">
        <v>690</v>
      </c>
      <c r="C695">
        <v>1086</v>
      </c>
      <c r="D695" t="s">
        <v>2772</v>
      </c>
      <c r="E695" t="str">
        <f>IF(NOT(ISERROR(VLOOKUP(D695,'ESO DungeonFinder'!$A$2:$A$999,1,FALSE))),"X","")</f>
        <v/>
      </c>
      <c r="F695" s="70" t="str">
        <f t="shared" si="44"/>
        <v/>
      </c>
      <c r="G695" s="70" t="str">
        <f t="shared" si="45"/>
        <v>Northern Elsweyr</v>
      </c>
      <c r="H695" s="70">
        <f t="shared" si="46"/>
        <v>1096</v>
      </c>
      <c r="I695" s="70">
        <f t="shared" si="47"/>
        <v>1086</v>
      </c>
      <c r="J695">
        <v>14</v>
      </c>
      <c r="K695" s="3" t="str">
        <f ca="1">VLOOKUP(J695,ConstDLCIds!$A$4:$B$1000,2,FALSE)</f>
        <v>DLC_ELSWEYR</v>
      </c>
      <c r="L695" s="3" t="str">
        <f ca="1">VLOOKUP(J695,ConstDLCIds!$A$4:$C$1000,3,FALSE)</f>
        <v>Elsweyr</v>
      </c>
    </row>
    <row r="696" spans="1:12" x14ac:dyDescent="0.25">
      <c r="A696">
        <v>1097</v>
      </c>
      <c r="B696">
        <v>691</v>
      </c>
      <c r="C696">
        <v>1086</v>
      </c>
      <c r="D696" t="s">
        <v>2773</v>
      </c>
      <c r="E696" t="str">
        <f>IF(NOT(ISERROR(VLOOKUP(D696,'ESO DungeonFinder'!$A$2:$A$999,1,FALSE))),"X","")</f>
        <v/>
      </c>
      <c r="F696" s="70" t="str">
        <f t="shared" si="44"/>
        <v/>
      </c>
      <c r="G696" s="70" t="str">
        <f t="shared" si="45"/>
        <v>Northern Elsweyr</v>
      </c>
      <c r="H696" s="70">
        <f t="shared" si="46"/>
        <v>1097</v>
      </c>
      <c r="I696" s="70">
        <f t="shared" si="47"/>
        <v>1086</v>
      </c>
      <c r="J696">
        <v>14</v>
      </c>
      <c r="K696" s="3" t="str">
        <f ca="1">VLOOKUP(J696,ConstDLCIds!$A$4:$B$1000,2,FALSE)</f>
        <v>DLC_ELSWEYR</v>
      </c>
      <c r="L696" s="3" t="str">
        <f ca="1">VLOOKUP(J696,ConstDLCIds!$A$4:$C$1000,3,FALSE)</f>
        <v>Elsweyr</v>
      </c>
    </row>
    <row r="697" spans="1:12" x14ac:dyDescent="0.25">
      <c r="A697">
        <v>1098</v>
      </c>
      <c r="B697">
        <v>692</v>
      </c>
      <c r="C697">
        <v>1086</v>
      </c>
      <c r="D697" t="s">
        <v>2774</v>
      </c>
      <c r="E697" t="str">
        <f>IF(NOT(ISERROR(VLOOKUP(D697,'ESO DungeonFinder'!$A$2:$A$999,1,FALSE))),"X","")</f>
        <v/>
      </c>
      <c r="F697" s="70" t="str">
        <f t="shared" si="44"/>
        <v/>
      </c>
      <c r="G697" s="70" t="str">
        <f t="shared" si="45"/>
        <v>Northern Elsweyr</v>
      </c>
      <c r="H697" s="70">
        <f t="shared" si="46"/>
        <v>1098</v>
      </c>
      <c r="I697" s="70">
        <f t="shared" si="47"/>
        <v>1086</v>
      </c>
      <c r="J697">
        <v>14</v>
      </c>
      <c r="K697" s="3" t="str">
        <f ca="1">VLOOKUP(J697,ConstDLCIds!$A$4:$B$1000,2,FALSE)</f>
        <v>DLC_ELSWEYR</v>
      </c>
      <c r="L697" s="3" t="str">
        <f ca="1">VLOOKUP(J697,ConstDLCIds!$A$4:$C$1000,3,FALSE)</f>
        <v>Elsweyr</v>
      </c>
    </row>
    <row r="698" spans="1:12" x14ac:dyDescent="0.25">
      <c r="A698">
        <v>1099</v>
      </c>
      <c r="B698">
        <v>693</v>
      </c>
      <c r="C698">
        <v>1086</v>
      </c>
      <c r="D698" t="s">
        <v>2775</v>
      </c>
      <c r="E698" t="str">
        <f>IF(NOT(ISERROR(VLOOKUP(D698,'ESO DungeonFinder'!$A$2:$A$999,1,FALSE))),"X","")</f>
        <v/>
      </c>
      <c r="F698" s="70" t="str">
        <f t="shared" si="44"/>
        <v/>
      </c>
      <c r="G698" s="70" t="str">
        <f t="shared" si="45"/>
        <v>Northern Elsweyr</v>
      </c>
      <c r="H698" s="70">
        <f t="shared" si="46"/>
        <v>1099</v>
      </c>
      <c r="I698" s="70">
        <f t="shared" si="47"/>
        <v>1086</v>
      </c>
      <c r="J698">
        <v>14</v>
      </c>
      <c r="K698" s="3" t="str">
        <f ca="1">VLOOKUP(J698,ConstDLCIds!$A$4:$B$1000,2,FALSE)</f>
        <v>DLC_ELSWEYR</v>
      </c>
      <c r="L698" s="3" t="str">
        <f ca="1">VLOOKUP(J698,ConstDLCIds!$A$4:$C$1000,3,FALSE)</f>
        <v>Elsweyr</v>
      </c>
    </row>
    <row r="699" spans="1:12" x14ac:dyDescent="0.25">
      <c r="A699">
        <v>1101</v>
      </c>
      <c r="B699">
        <v>694</v>
      </c>
      <c r="C699">
        <v>1086</v>
      </c>
      <c r="D699" t="s">
        <v>2776</v>
      </c>
      <c r="E699" t="str">
        <f>IF(NOT(ISERROR(VLOOKUP(D699,'ESO DungeonFinder'!$A$2:$A$999,1,FALSE))),"X","")</f>
        <v/>
      </c>
      <c r="F699" s="70" t="str">
        <f t="shared" si="44"/>
        <v/>
      </c>
      <c r="G699" s="70" t="str">
        <f t="shared" si="45"/>
        <v>Northern Elsweyr</v>
      </c>
      <c r="H699" s="70">
        <f t="shared" si="46"/>
        <v>1101</v>
      </c>
      <c r="I699" s="70">
        <f t="shared" si="47"/>
        <v>1086</v>
      </c>
      <c r="J699">
        <v>14</v>
      </c>
      <c r="K699" s="3" t="str">
        <f ca="1">VLOOKUP(J699,ConstDLCIds!$A$4:$B$1000,2,FALSE)</f>
        <v>DLC_ELSWEYR</v>
      </c>
      <c r="L699" s="3" t="str">
        <f ca="1">VLOOKUP(J699,ConstDLCIds!$A$4:$C$1000,3,FALSE)</f>
        <v>Elsweyr</v>
      </c>
    </row>
    <row r="700" spans="1:12" x14ac:dyDescent="0.25">
      <c r="A700">
        <v>1102</v>
      </c>
      <c r="B700">
        <v>695</v>
      </c>
      <c r="C700">
        <v>1086</v>
      </c>
      <c r="D700" t="s">
        <v>2777</v>
      </c>
      <c r="E700" t="str">
        <f>IF(NOT(ISERROR(VLOOKUP(D700,'ESO DungeonFinder'!$A$2:$A$999,1,FALSE))),"X","")</f>
        <v/>
      </c>
      <c r="F700" s="70" t="str">
        <f t="shared" si="44"/>
        <v/>
      </c>
      <c r="G700" s="70" t="str">
        <f t="shared" si="45"/>
        <v>Northern Elsweyr</v>
      </c>
      <c r="H700" s="70">
        <f t="shared" si="46"/>
        <v>1102</v>
      </c>
      <c r="I700" s="70">
        <f t="shared" si="47"/>
        <v>1086</v>
      </c>
      <c r="J700">
        <v>14</v>
      </c>
      <c r="K700" s="3" t="str">
        <f ca="1">VLOOKUP(J700,ConstDLCIds!$A$4:$B$1000,2,FALSE)</f>
        <v>DLC_ELSWEYR</v>
      </c>
      <c r="L700" s="3" t="str">
        <f ca="1">VLOOKUP(J700,ConstDLCIds!$A$4:$C$1000,3,FALSE)</f>
        <v>Elsweyr</v>
      </c>
    </row>
    <row r="701" spans="1:12" x14ac:dyDescent="0.25">
      <c r="A701">
        <v>1103</v>
      </c>
      <c r="B701">
        <v>696</v>
      </c>
      <c r="C701">
        <v>1086</v>
      </c>
      <c r="D701" t="s">
        <v>2778</v>
      </c>
      <c r="E701" t="str">
        <f>IF(NOT(ISERROR(VLOOKUP(D701,'ESO DungeonFinder'!$A$2:$A$999,1,FALSE))),"X","")</f>
        <v/>
      </c>
      <c r="F701" s="70" t="str">
        <f t="shared" si="44"/>
        <v/>
      </c>
      <c r="G701" s="70" t="str">
        <f t="shared" si="45"/>
        <v>Northern Elsweyr</v>
      </c>
      <c r="H701" s="70">
        <f t="shared" si="46"/>
        <v>1103</v>
      </c>
      <c r="I701" s="70">
        <f t="shared" si="47"/>
        <v>1086</v>
      </c>
      <c r="J701">
        <v>14</v>
      </c>
      <c r="K701" s="3" t="str">
        <f ca="1">VLOOKUP(J701,ConstDLCIds!$A$4:$B$1000,2,FALSE)</f>
        <v>DLC_ELSWEYR</v>
      </c>
      <c r="L701" s="3" t="str">
        <f ca="1">VLOOKUP(J701,ConstDLCIds!$A$4:$C$1000,3,FALSE)</f>
        <v>Elsweyr</v>
      </c>
    </row>
    <row r="702" spans="1:12" x14ac:dyDescent="0.25">
      <c r="A702">
        <v>1105</v>
      </c>
      <c r="B702">
        <v>697</v>
      </c>
      <c r="C702">
        <v>1086</v>
      </c>
      <c r="D702" t="s">
        <v>2779</v>
      </c>
      <c r="E702" t="str">
        <f>IF(NOT(ISERROR(VLOOKUP(D702,'ESO DungeonFinder'!$A$2:$A$999,1,FALSE))),"X","")</f>
        <v/>
      </c>
      <c r="F702" s="70" t="str">
        <f t="shared" si="44"/>
        <v/>
      </c>
      <c r="G702" s="70" t="str">
        <f t="shared" si="45"/>
        <v>Northern Elsweyr</v>
      </c>
      <c r="H702" s="70">
        <f t="shared" si="46"/>
        <v>1105</v>
      </c>
      <c r="I702" s="70">
        <f t="shared" si="47"/>
        <v>1086</v>
      </c>
      <c r="J702">
        <v>14</v>
      </c>
      <c r="K702" s="3" t="str">
        <f ca="1">VLOOKUP(J702,ConstDLCIds!$A$4:$B$1000,2,FALSE)</f>
        <v>DLC_ELSWEYR</v>
      </c>
      <c r="L702" s="3" t="str">
        <f ca="1">VLOOKUP(J702,ConstDLCIds!$A$4:$C$1000,3,FALSE)</f>
        <v>Elsweyr</v>
      </c>
    </row>
    <row r="703" spans="1:12" x14ac:dyDescent="0.25">
      <c r="A703">
        <v>1106</v>
      </c>
      <c r="B703">
        <v>698</v>
      </c>
      <c r="C703">
        <v>1086</v>
      </c>
      <c r="D703" t="s">
        <v>2780</v>
      </c>
      <c r="E703" t="str">
        <f>IF(NOT(ISERROR(VLOOKUP(D703,'ESO DungeonFinder'!$A$2:$A$999,1,FALSE))),"X","")</f>
        <v/>
      </c>
      <c r="F703" s="70" t="str">
        <f t="shared" si="44"/>
        <v/>
      </c>
      <c r="G703" s="70" t="str">
        <f t="shared" si="45"/>
        <v>Northern Elsweyr</v>
      </c>
      <c r="H703" s="70">
        <f t="shared" si="46"/>
        <v>1106</v>
      </c>
      <c r="I703" s="70">
        <f t="shared" si="47"/>
        <v>1086</v>
      </c>
      <c r="J703">
        <v>14</v>
      </c>
      <c r="K703" s="3" t="str">
        <f ca="1">VLOOKUP(J703,ConstDLCIds!$A$4:$B$1000,2,FALSE)</f>
        <v>DLC_ELSWEYR</v>
      </c>
      <c r="L703" s="3" t="str">
        <f ca="1">VLOOKUP(J703,ConstDLCIds!$A$4:$C$1000,3,FALSE)</f>
        <v>Elsweyr</v>
      </c>
    </row>
    <row r="704" spans="1:12" x14ac:dyDescent="0.25">
      <c r="A704">
        <v>1107</v>
      </c>
      <c r="B704">
        <v>699</v>
      </c>
      <c r="C704">
        <v>1107</v>
      </c>
      <c r="D704" t="s">
        <v>2781</v>
      </c>
      <c r="E704" t="str">
        <f>IF(NOT(ISERROR(VLOOKUP(D704,'ESO DungeonFinder'!$A$2:$A$999,1,FALSE))),"X","")</f>
        <v/>
      </c>
      <c r="F704" s="70" t="str">
        <f t="shared" si="44"/>
        <v>X</v>
      </c>
      <c r="G704" s="70" t="str">
        <f t="shared" si="45"/>
        <v/>
      </c>
      <c r="H704" s="70">
        <f t="shared" si="46"/>
        <v>1107</v>
      </c>
      <c r="I704" s="70">
        <f t="shared" si="47"/>
        <v>1107</v>
      </c>
      <c r="J704">
        <v>0</v>
      </c>
      <c r="K704" s="3" t="str">
        <f>VLOOKUP(J704,ConstDLCIds!$A$4:$B$1000,2,FALSE)</f>
        <v>DLC_BASE_GAME</v>
      </c>
      <c r="L704" s="3" t="str">
        <f>VLOOKUP(J704,ConstDLCIds!$A$4:$C$1000,3,FALSE)</f>
        <v>Included in base game</v>
      </c>
    </row>
    <row r="705" spans="1:12" x14ac:dyDescent="0.25">
      <c r="A705">
        <v>1108</v>
      </c>
      <c r="B705">
        <v>700</v>
      </c>
      <c r="C705">
        <v>726</v>
      </c>
      <c r="D705" t="s">
        <v>2782</v>
      </c>
      <c r="E705" t="str">
        <f>IF(NOT(ISERROR(VLOOKUP(D705,'ESO DungeonFinder'!$A$2:$A$999,1,FALSE))),"X","")</f>
        <v/>
      </c>
      <c r="F705" s="70" t="str">
        <f t="shared" si="44"/>
        <v/>
      </c>
      <c r="G705" s="70" t="str">
        <f t="shared" si="45"/>
        <v>Murkmire</v>
      </c>
      <c r="H705" s="70">
        <f t="shared" si="46"/>
        <v>1108</v>
      </c>
      <c r="I705" s="70">
        <f t="shared" si="47"/>
        <v>726</v>
      </c>
      <c r="J705">
        <v>12</v>
      </c>
      <c r="K705" s="3" t="str">
        <f ca="1">VLOOKUP(J705,ConstDLCIds!$A$4:$B$1000,2,FALSE)</f>
        <v>DLC_MURKMIRE</v>
      </c>
      <c r="L705" s="3" t="str">
        <f ca="1">VLOOKUP(J705,ConstDLCIds!$A$4:$C$1000,3,FALSE)</f>
        <v>Murkmire</v>
      </c>
    </row>
    <row r="706" spans="1:12" x14ac:dyDescent="0.25">
      <c r="A706">
        <v>1109</v>
      </c>
      <c r="B706">
        <v>701</v>
      </c>
      <c r="C706">
        <v>101</v>
      </c>
      <c r="D706" t="s">
        <v>2783</v>
      </c>
      <c r="E706" t="str">
        <f>IF(NOT(ISERROR(VLOOKUP(D706,'ESO DungeonFinder'!$A$2:$A$999,1,FALSE))),"X","")</f>
        <v/>
      </c>
      <c r="F706" s="70" t="str">
        <f t="shared" si="44"/>
        <v/>
      </c>
      <c r="G706" s="70" t="str">
        <f t="shared" si="45"/>
        <v>Eastmarch</v>
      </c>
      <c r="H706" s="70">
        <f t="shared" si="46"/>
        <v>1109</v>
      </c>
      <c r="I706" s="70">
        <f t="shared" si="47"/>
        <v>101</v>
      </c>
      <c r="J706">
        <v>0</v>
      </c>
      <c r="K706" s="3" t="str">
        <f>VLOOKUP(J706,ConstDLCIds!$A$4:$B$1000,2,FALSE)</f>
        <v>DLC_BASE_GAME</v>
      </c>
      <c r="L706" s="3" t="str">
        <f>VLOOKUP(J706,ConstDLCIds!$A$4:$C$1000,3,FALSE)</f>
        <v>Included in base game</v>
      </c>
    </row>
    <row r="707" spans="1:12" x14ac:dyDescent="0.25">
      <c r="A707">
        <v>1110</v>
      </c>
      <c r="B707">
        <v>702</v>
      </c>
      <c r="C707">
        <v>1086</v>
      </c>
      <c r="D707" t="s">
        <v>2784</v>
      </c>
      <c r="E707" t="str">
        <f>IF(NOT(ISERROR(VLOOKUP(D707,'ESO DungeonFinder'!$A$2:$A$999,1,FALSE))),"X","")</f>
        <v/>
      </c>
      <c r="F707" s="70" t="str">
        <f t="shared" si="44"/>
        <v/>
      </c>
      <c r="G707" s="70" t="str">
        <f t="shared" si="45"/>
        <v>Northern Elsweyr</v>
      </c>
      <c r="H707" s="70">
        <f t="shared" si="46"/>
        <v>1110</v>
      </c>
      <c r="I707" s="70">
        <f t="shared" si="47"/>
        <v>1086</v>
      </c>
      <c r="J707">
        <v>14</v>
      </c>
      <c r="K707" s="3" t="str">
        <f ca="1">VLOOKUP(J707,ConstDLCIds!$A$4:$B$1000,2,FALSE)</f>
        <v>DLC_ELSWEYR</v>
      </c>
      <c r="L707" s="3" t="str">
        <f ca="1">VLOOKUP(J707,ConstDLCIds!$A$4:$C$1000,3,FALSE)</f>
        <v>Elsweyr</v>
      </c>
    </row>
    <row r="708" spans="1:12" x14ac:dyDescent="0.25">
      <c r="A708">
        <v>1111</v>
      </c>
      <c r="B708">
        <v>703</v>
      </c>
      <c r="C708">
        <v>1086</v>
      </c>
      <c r="D708" t="s">
        <v>2785</v>
      </c>
      <c r="E708" t="str">
        <f>IF(NOT(ISERROR(VLOOKUP(D708,'ESO DungeonFinder'!$A$2:$A$999,1,FALSE))),"X","")</f>
        <v/>
      </c>
      <c r="F708" s="70" t="str">
        <f t="shared" si="44"/>
        <v/>
      </c>
      <c r="G708" s="70" t="str">
        <f t="shared" si="45"/>
        <v>Northern Elsweyr</v>
      </c>
      <c r="H708" s="70">
        <f t="shared" si="46"/>
        <v>1111</v>
      </c>
      <c r="I708" s="70">
        <f t="shared" si="47"/>
        <v>1086</v>
      </c>
      <c r="J708">
        <v>14</v>
      </c>
      <c r="K708" s="3" t="str">
        <f ca="1">VLOOKUP(J708,ConstDLCIds!$A$4:$B$1000,2,FALSE)</f>
        <v>DLC_ELSWEYR</v>
      </c>
      <c r="L708" s="3" t="str">
        <f ca="1">VLOOKUP(J708,ConstDLCIds!$A$4:$C$1000,3,FALSE)</f>
        <v>Elsweyr</v>
      </c>
    </row>
    <row r="709" spans="1:12" x14ac:dyDescent="0.25">
      <c r="A709">
        <v>1112</v>
      </c>
      <c r="B709">
        <v>704</v>
      </c>
      <c r="C709">
        <v>1086</v>
      </c>
      <c r="D709" t="s">
        <v>2786</v>
      </c>
      <c r="E709" t="str">
        <f>IF(NOT(ISERROR(VLOOKUP(D709,'ESO DungeonFinder'!$A$2:$A$999,1,FALSE))),"X","")</f>
        <v/>
      </c>
      <c r="F709" s="70" t="str">
        <f t="shared" si="44"/>
        <v/>
      </c>
      <c r="G709" s="70" t="str">
        <f t="shared" si="45"/>
        <v>Northern Elsweyr</v>
      </c>
      <c r="H709" s="70">
        <f t="shared" si="46"/>
        <v>1112</v>
      </c>
      <c r="I709" s="70">
        <f t="shared" si="47"/>
        <v>1086</v>
      </c>
      <c r="J709">
        <v>14</v>
      </c>
      <c r="K709" s="3" t="str">
        <f ca="1">VLOOKUP(J709,ConstDLCIds!$A$4:$B$1000,2,FALSE)</f>
        <v>DLC_ELSWEYR</v>
      </c>
      <c r="L709" s="3" t="str">
        <f ca="1">VLOOKUP(J709,ConstDLCIds!$A$4:$C$1000,3,FALSE)</f>
        <v>Elsweyr</v>
      </c>
    </row>
    <row r="710" spans="1:12" x14ac:dyDescent="0.25">
      <c r="A710">
        <v>1113</v>
      </c>
      <c r="B710">
        <v>705</v>
      </c>
      <c r="C710">
        <v>1086</v>
      </c>
      <c r="D710" t="s">
        <v>2787</v>
      </c>
      <c r="E710" t="str">
        <f>IF(NOT(ISERROR(VLOOKUP(D710,'ESO DungeonFinder'!$A$2:$A$999,1,FALSE))),"X","")</f>
        <v/>
      </c>
      <c r="F710" s="70" t="str">
        <f t="shared" si="44"/>
        <v/>
      </c>
      <c r="G710" s="70" t="str">
        <f t="shared" si="45"/>
        <v>Northern Elsweyr</v>
      </c>
      <c r="H710" s="70">
        <f t="shared" si="46"/>
        <v>1113</v>
      </c>
      <c r="I710" s="70">
        <f t="shared" si="47"/>
        <v>1086</v>
      </c>
      <c r="J710">
        <v>14</v>
      </c>
      <c r="K710" s="3" t="str">
        <f ca="1">VLOOKUP(J710,ConstDLCIds!$A$4:$B$1000,2,FALSE)</f>
        <v>DLC_ELSWEYR</v>
      </c>
      <c r="L710" s="3" t="str">
        <f ca="1">VLOOKUP(J710,ConstDLCIds!$A$4:$C$1000,3,FALSE)</f>
        <v>Elsweyr</v>
      </c>
    </row>
    <row r="711" spans="1:12" x14ac:dyDescent="0.25">
      <c r="A711">
        <v>1114</v>
      </c>
      <c r="B711">
        <v>706</v>
      </c>
      <c r="C711">
        <v>1086</v>
      </c>
      <c r="D711" t="s">
        <v>2788</v>
      </c>
      <c r="E711" t="str">
        <f>IF(NOT(ISERROR(VLOOKUP(D711,'ESO DungeonFinder'!$A$2:$A$999,1,FALSE))),"X","")</f>
        <v/>
      </c>
      <c r="F711" s="70" t="str">
        <f t="shared" ref="F711:F774" si="48">IF(EXACT(A711,C711),"X","")</f>
        <v/>
      </c>
      <c r="G711" s="70" t="str">
        <f t="shared" ref="G711:G774" si="49">IF(A711&lt;&gt;C711,VLOOKUP(C711,$A$5:$D$9956,4,FALSE),"")</f>
        <v>Northern Elsweyr</v>
      </c>
      <c r="H711" s="70">
        <f t="shared" ref="H711:H774" si="50">A711</f>
        <v>1114</v>
      </c>
      <c r="I711" s="70">
        <f t="shared" ref="I711:I774" si="51">C711</f>
        <v>1086</v>
      </c>
      <c r="J711">
        <v>14</v>
      </c>
      <c r="K711" s="3" t="str">
        <f ca="1">VLOOKUP(J711,ConstDLCIds!$A$4:$B$1000,2,FALSE)</f>
        <v>DLC_ELSWEYR</v>
      </c>
      <c r="L711" s="3" t="str">
        <f ca="1">VLOOKUP(J711,ConstDLCIds!$A$4:$C$1000,3,FALSE)</f>
        <v>Elsweyr</v>
      </c>
    </row>
    <row r="712" spans="1:12" x14ac:dyDescent="0.25">
      <c r="A712">
        <v>1115</v>
      </c>
      <c r="B712">
        <v>707</v>
      </c>
      <c r="C712">
        <v>1086</v>
      </c>
      <c r="D712" t="s">
        <v>2789</v>
      </c>
      <c r="E712" t="str">
        <f>IF(NOT(ISERROR(VLOOKUP(D712,'ESO DungeonFinder'!$A$2:$A$999,1,FALSE))),"X","")</f>
        <v/>
      </c>
      <c r="F712" s="70" t="str">
        <f t="shared" si="48"/>
        <v/>
      </c>
      <c r="G712" s="70" t="str">
        <f t="shared" si="49"/>
        <v>Northern Elsweyr</v>
      </c>
      <c r="H712" s="70">
        <f t="shared" si="50"/>
        <v>1115</v>
      </c>
      <c r="I712" s="70">
        <f t="shared" si="51"/>
        <v>1086</v>
      </c>
      <c r="J712">
        <v>14</v>
      </c>
      <c r="K712" s="3" t="str">
        <f ca="1">VLOOKUP(J712,ConstDLCIds!$A$4:$B$1000,2,FALSE)</f>
        <v>DLC_ELSWEYR</v>
      </c>
      <c r="L712" s="3" t="str">
        <f ca="1">VLOOKUP(J712,ConstDLCIds!$A$4:$C$1000,3,FALSE)</f>
        <v>Elsweyr</v>
      </c>
    </row>
    <row r="713" spans="1:12" x14ac:dyDescent="0.25">
      <c r="A713">
        <v>1116</v>
      </c>
      <c r="B713">
        <v>708</v>
      </c>
      <c r="C713">
        <v>1116</v>
      </c>
      <c r="D713" t="s">
        <v>2790</v>
      </c>
      <c r="E713" t="str">
        <f>IF(NOT(ISERROR(VLOOKUP(D713,'ESO DungeonFinder'!$A$2:$A$999,1,FALSE))),"X","")</f>
        <v/>
      </c>
      <c r="F713" s="70" t="str">
        <f t="shared" si="48"/>
        <v>X</v>
      </c>
      <c r="G713" s="70" t="str">
        <f t="shared" si="49"/>
        <v/>
      </c>
      <c r="H713" s="70">
        <f t="shared" si="50"/>
        <v>1116</v>
      </c>
      <c r="I713" s="70">
        <f t="shared" si="51"/>
        <v>1116</v>
      </c>
      <c r="J713">
        <v>0</v>
      </c>
      <c r="K713" s="3" t="str">
        <f>VLOOKUP(J713,ConstDLCIds!$A$4:$B$1000,2,FALSE)</f>
        <v>DLC_BASE_GAME</v>
      </c>
      <c r="L713" s="3" t="str">
        <f>VLOOKUP(J713,ConstDLCIds!$A$4:$C$1000,3,FALSE)</f>
        <v>Included in base game</v>
      </c>
    </row>
    <row r="714" spans="1:12" x14ac:dyDescent="0.25">
      <c r="A714">
        <v>1117</v>
      </c>
      <c r="B714">
        <v>709</v>
      </c>
      <c r="C714">
        <v>1086</v>
      </c>
      <c r="D714" t="s">
        <v>2791</v>
      </c>
      <c r="E714" t="str">
        <f>IF(NOT(ISERROR(VLOOKUP(D714,'ESO DungeonFinder'!$A$2:$A$999,1,FALSE))),"X","")</f>
        <v/>
      </c>
      <c r="F714" s="70" t="str">
        <f t="shared" si="48"/>
        <v/>
      </c>
      <c r="G714" s="70" t="str">
        <f t="shared" si="49"/>
        <v>Northern Elsweyr</v>
      </c>
      <c r="H714" s="70">
        <f t="shared" si="50"/>
        <v>1117</v>
      </c>
      <c r="I714" s="70">
        <f t="shared" si="51"/>
        <v>1086</v>
      </c>
      <c r="J714">
        <v>14</v>
      </c>
      <c r="K714" s="3" t="str">
        <f ca="1">VLOOKUP(J714,ConstDLCIds!$A$4:$B$1000,2,FALSE)</f>
        <v>DLC_ELSWEYR</v>
      </c>
      <c r="L714" s="3" t="str">
        <f ca="1">VLOOKUP(J714,ConstDLCIds!$A$4:$C$1000,3,FALSE)</f>
        <v>Elsweyr</v>
      </c>
    </row>
    <row r="715" spans="1:12" x14ac:dyDescent="0.25">
      <c r="A715">
        <v>1118</v>
      </c>
      <c r="B715">
        <v>710</v>
      </c>
      <c r="C715">
        <v>1086</v>
      </c>
      <c r="D715" t="s">
        <v>2792</v>
      </c>
      <c r="E715" t="str">
        <f>IF(NOT(ISERROR(VLOOKUP(D715,'ESO DungeonFinder'!$A$2:$A$999,1,FALSE))),"X","")</f>
        <v/>
      </c>
      <c r="F715" s="70" t="str">
        <f t="shared" si="48"/>
        <v/>
      </c>
      <c r="G715" s="70" t="str">
        <f t="shared" si="49"/>
        <v>Northern Elsweyr</v>
      </c>
      <c r="H715" s="70">
        <f t="shared" si="50"/>
        <v>1118</v>
      </c>
      <c r="I715" s="70">
        <f t="shared" si="51"/>
        <v>1086</v>
      </c>
      <c r="J715">
        <v>14</v>
      </c>
      <c r="K715" s="3" t="str">
        <f ca="1">VLOOKUP(J715,ConstDLCIds!$A$4:$B$1000,2,FALSE)</f>
        <v>DLC_ELSWEYR</v>
      </c>
      <c r="L715" s="3" t="str">
        <f ca="1">VLOOKUP(J715,ConstDLCIds!$A$4:$C$1000,3,FALSE)</f>
        <v>Elsweyr</v>
      </c>
    </row>
    <row r="716" spans="1:12" x14ac:dyDescent="0.25">
      <c r="A716">
        <v>1119</v>
      </c>
      <c r="B716">
        <v>711</v>
      </c>
      <c r="C716">
        <v>1086</v>
      </c>
      <c r="D716" t="s">
        <v>2793</v>
      </c>
      <c r="E716" t="str">
        <f>IF(NOT(ISERROR(VLOOKUP(D716,'ESO DungeonFinder'!$A$2:$A$999,1,FALSE))),"X","")</f>
        <v/>
      </c>
      <c r="F716" s="70" t="str">
        <f t="shared" si="48"/>
        <v/>
      </c>
      <c r="G716" s="70" t="str">
        <f t="shared" si="49"/>
        <v>Northern Elsweyr</v>
      </c>
      <c r="H716" s="70">
        <f t="shared" si="50"/>
        <v>1119</v>
      </c>
      <c r="I716" s="70">
        <f t="shared" si="51"/>
        <v>1086</v>
      </c>
      <c r="J716">
        <v>14</v>
      </c>
      <c r="K716" s="3" t="str">
        <f ca="1">VLOOKUP(J716,ConstDLCIds!$A$4:$B$1000,2,FALSE)</f>
        <v>DLC_ELSWEYR</v>
      </c>
      <c r="L716" s="3" t="str">
        <f ca="1">VLOOKUP(J716,ConstDLCIds!$A$4:$C$1000,3,FALSE)</f>
        <v>Elsweyr</v>
      </c>
    </row>
    <row r="717" spans="1:12" x14ac:dyDescent="0.25">
      <c r="A717">
        <v>1120</v>
      </c>
      <c r="B717">
        <v>712</v>
      </c>
      <c r="C717">
        <v>1086</v>
      </c>
      <c r="D717" t="s">
        <v>2794</v>
      </c>
      <c r="E717" t="str">
        <f>IF(NOT(ISERROR(VLOOKUP(D717,'ESO DungeonFinder'!$A$2:$A$999,1,FALSE))),"X","")</f>
        <v/>
      </c>
      <c r="F717" s="70" t="str">
        <f t="shared" si="48"/>
        <v/>
      </c>
      <c r="G717" s="70" t="str">
        <f t="shared" si="49"/>
        <v>Northern Elsweyr</v>
      </c>
      <c r="H717" s="70">
        <f t="shared" si="50"/>
        <v>1120</v>
      </c>
      <c r="I717" s="70">
        <f t="shared" si="51"/>
        <v>1086</v>
      </c>
      <c r="J717">
        <v>14</v>
      </c>
      <c r="K717" s="3" t="str">
        <f ca="1">VLOOKUP(J717,ConstDLCIds!$A$4:$B$1000,2,FALSE)</f>
        <v>DLC_ELSWEYR</v>
      </c>
      <c r="L717" s="3" t="str">
        <f ca="1">VLOOKUP(J717,ConstDLCIds!$A$4:$C$1000,3,FALSE)</f>
        <v>Elsweyr</v>
      </c>
    </row>
    <row r="718" spans="1:12" x14ac:dyDescent="0.25">
      <c r="A718">
        <v>1121</v>
      </c>
      <c r="B718">
        <v>713</v>
      </c>
      <c r="C718">
        <v>1086</v>
      </c>
      <c r="D718" t="s">
        <v>1296</v>
      </c>
      <c r="E718" t="str">
        <f>IF(NOT(ISERROR(VLOOKUP(D718,'ESO DungeonFinder'!$A$2:$A$999,1,FALSE))),"X","")</f>
        <v/>
      </c>
      <c r="F718" s="70" t="str">
        <f t="shared" si="48"/>
        <v/>
      </c>
      <c r="G718" s="70" t="str">
        <f t="shared" si="49"/>
        <v>Northern Elsweyr</v>
      </c>
      <c r="H718" s="70">
        <f t="shared" si="50"/>
        <v>1121</v>
      </c>
      <c r="I718" s="70">
        <f t="shared" si="51"/>
        <v>1086</v>
      </c>
      <c r="J718">
        <v>14</v>
      </c>
      <c r="K718" s="3" t="str">
        <f ca="1">VLOOKUP(J718,ConstDLCIds!$A$4:$B$1000,2,FALSE)</f>
        <v>DLC_ELSWEYR</v>
      </c>
      <c r="L718" s="3" t="str">
        <f ca="1">VLOOKUP(J718,ConstDLCIds!$A$4:$C$1000,3,FALSE)</f>
        <v>Elsweyr</v>
      </c>
    </row>
    <row r="719" spans="1:12" x14ac:dyDescent="0.25">
      <c r="A719">
        <v>1122</v>
      </c>
      <c r="B719">
        <v>714</v>
      </c>
      <c r="C719">
        <v>1086</v>
      </c>
      <c r="D719" t="s">
        <v>1313</v>
      </c>
      <c r="E719" t="str">
        <f>IF(NOT(ISERROR(VLOOKUP(D719,'ESO DungeonFinder'!$A$2:$A$999,1,FALSE))),"X","")</f>
        <v>X</v>
      </c>
      <c r="F719" s="70" t="str">
        <f t="shared" si="48"/>
        <v/>
      </c>
      <c r="G719" s="70" t="str">
        <f t="shared" si="49"/>
        <v>Northern Elsweyr</v>
      </c>
      <c r="H719" s="70">
        <f t="shared" si="50"/>
        <v>1122</v>
      </c>
      <c r="I719" s="70">
        <f t="shared" si="51"/>
        <v>1086</v>
      </c>
      <c r="J719">
        <v>15</v>
      </c>
      <c r="K719" s="3" t="str">
        <f ca="1">VLOOKUP(J719,ConstDLCIds!$A$4:$B$1000,2,FALSE)</f>
        <v>DLC_SCALEBREAKER</v>
      </c>
      <c r="L719" s="3" t="str">
        <f ca="1">VLOOKUP(J719,ConstDLCIds!$A$4:$C$1000,3,FALSE)</f>
        <v>Scalebraker</v>
      </c>
    </row>
    <row r="720" spans="1:12" x14ac:dyDescent="0.25">
      <c r="A720">
        <v>1123</v>
      </c>
      <c r="B720">
        <v>715</v>
      </c>
      <c r="C720">
        <v>383</v>
      </c>
      <c r="D720" t="s">
        <v>1320</v>
      </c>
      <c r="E720" t="str">
        <f>IF(NOT(ISERROR(VLOOKUP(D720,'ESO DungeonFinder'!$A$2:$A$999,1,FALSE))),"X","")</f>
        <v>X</v>
      </c>
      <c r="F720" s="70" t="str">
        <f t="shared" si="48"/>
        <v/>
      </c>
      <c r="G720" s="70" t="str">
        <f t="shared" si="49"/>
        <v>Grahtwood</v>
      </c>
      <c r="H720" s="70">
        <f t="shared" si="50"/>
        <v>1123</v>
      </c>
      <c r="I720" s="70">
        <f t="shared" si="51"/>
        <v>383</v>
      </c>
      <c r="J720">
        <v>15</v>
      </c>
      <c r="K720" s="3" t="str">
        <f ca="1">VLOOKUP(J720,ConstDLCIds!$A$4:$B$1000,2,FALSE)</f>
        <v>DLC_SCALEBREAKER</v>
      </c>
      <c r="L720" s="3" t="str">
        <f ca="1">VLOOKUP(J720,ConstDLCIds!$A$4:$C$1000,3,FALSE)</f>
        <v>Scalebraker</v>
      </c>
    </row>
    <row r="721" spans="1:12" x14ac:dyDescent="0.25">
      <c r="A721">
        <v>1125</v>
      </c>
      <c r="B721">
        <v>716</v>
      </c>
      <c r="C721">
        <v>101</v>
      </c>
      <c r="D721" t="s">
        <v>2795</v>
      </c>
      <c r="E721" t="str">
        <f>IF(NOT(ISERROR(VLOOKUP(D721,'ESO DungeonFinder'!$A$2:$A$999,1,FALSE))),"X","")</f>
        <v/>
      </c>
      <c r="F721" s="70" t="str">
        <f t="shared" si="48"/>
        <v/>
      </c>
      <c r="G721" s="70" t="str">
        <f t="shared" si="49"/>
        <v>Eastmarch</v>
      </c>
      <c r="H721" s="70">
        <f t="shared" si="50"/>
        <v>1125</v>
      </c>
      <c r="I721" s="70">
        <f t="shared" si="51"/>
        <v>101</v>
      </c>
      <c r="J721">
        <v>0</v>
      </c>
      <c r="K721" s="3" t="str">
        <f>VLOOKUP(J721,ConstDLCIds!$A$4:$B$1000,2,FALSE)</f>
        <v>DLC_BASE_GAME</v>
      </c>
      <c r="L721" s="3" t="str">
        <f>VLOOKUP(J721,ConstDLCIds!$A$4:$C$1000,3,FALSE)</f>
        <v>Included in base game</v>
      </c>
    </row>
    <row r="722" spans="1:12" x14ac:dyDescent="0.25">
      <c r="A722">
        <v>1126</v>
      </c>
      <c r="B722">
        <v>717</v>
      </c>
      <c r="C722">
        <v>888</v>
      </c>
      <c r="D722" t="s">
        <v>2796</v>
      </c>
      <c r="E722" t="str">
        <f>IF(NOT(ISERROR(VLOOKUP(D722,'ESO DungeonFinder'!$A$2:$A$999,1,FALSE))),"X","")</f>
        <v/>
      </c>
      <c r="F722" s="70" t="str">
        <f t="shared" si="48"/>
        <v/>
      </c>
      <c r="G722" s="70" t="str">
        <f t="shared" si="49"/>
        <v>Craglorn</v>
      </c>
      <c r="H722" s="70">
        <f t="shared" si="50"/>
        <v>1126</v>
      </c>
      <c r="I722" s="70">
        <f t="shared" si="51"/>
        <v>888</v>
      </c>
      <c r="J722">
        <v>0</v>
      </c>
      <c r="K722" s="3" t="str">
        <f>VLOOKUP(J722,ConstDLCIds!$A$4:$B$1000,2,FALSE)</f>
        <v>DLC_BASE_GAME</v>
      </c>
      <c r="L722" s="3" t="str">
        <f>VLOOKUP(J722,ConstDLCIds!$A$4:$C$1000,3,FALSE)</f>
        <v>Included in base game</v>
      </c>
    </row>
    <row r="723" spans="1:12" x14ac:dyDescent="0.25">
      <c r="A723">
        <v>1128</v>
      </c>
      <c r="B723">
        <v>718</v>
      </c>
      <c r="C723">
        <v>1086</v>
      </c>
      <c r="D723" t="s">
        <v>2797</v>
      </c>
      <c r="E723" t="str">
        <f>IF(NOT(ISERROR(VLOOKUP(D723,'ESO DungeonFinder'!$A$2:$A$999,1,FALSE))),"X","")</f>
        <v/>
      </c>
      <c r="F723" s="70" t="str">
        <f t="shared" si="48"/>
        <v/>
      </c>
      <c r="G723" s="70" t="str">
        <f t="shared" si="49"/>
        <v>Northern Elsweyr</v>
      </c>
      <c r="H723" s="70">
        <f t="shared" si="50"/>
        <v>1128</v>
      </c>
      <c r="I723" s="70">
        <f t="shared" si="51"/>
        <v>1086</v>
      </c>
      <c r="J723">
        <v>14</v>
      </c>
      <c r="K723" s="3" t="str">
        <f ca="1">VLOOKUP(J723,ConstDLCIds!$A$4:$B$1000,2,FALSE)</f>
        <v>DLC_ELSWEYR</v>
      </c>
      <c r="L723" s="3" t="str">
        <f ca="1">VLOOKUP(J723,ConstDLCIds!$A$4:$C$1000,3,FALSE)</f>
        <v>Elsweyr</v>
      </c>
    </row>
    <row r="724" spans="1:12" x14ac:dyDescent="0.25">
      <c r="A724">
        <v>1129</v>
      </c>
      <c r="B724">
        <v>719</v>
      </c>
      <c r="C724">
        <v>1086</v>
      </c>
      <c r="D724" t="s">
        <v>2798</v>
      </c>
      <c r="E724" t="str">
        <f>IF(NOT(ISERROR(VLOOKUP(D724,'ESO DungeonFinder'!$A$2:$A$999,1,FALSE))),"X","")</f>
        <v/>
      </c>
      <c r="F724" s="70" t="str">
        <f t="shared" si="48"/>
        <v/>
      </c>
      <c r="G724" s="70" t="str">
        <f t="shared" si="49"/>
        <v>Northern Elsweyr</v>
      </c>
      <c r="H724" s="70">
        <f t="shared" si="50"/>
        <v>1129</v>
      </c>
      <c r="I724" s="70">
        <f t="shared" si="51"/>
        <v>1086</v>
      </c>
      <c r="J724">
        <v>14</v>
      </c>
      <c r="K724" s="3" t="str">
        <f ca="1">VLOOKUP(J724,ConstDLCIds!$A$4:$B$1000,2,FALSE)</f>
        <v>DLC_ELSWEYR</v>
      </c>
      <c r="L724" s="3" t="str">
        <f ca="1">VLOOKUP(J724,ConstDLCIds!$A$4:$C$1000,3,FALSE)</f>
        <v>Elsweyr</v>
      </c>
    </row>
    <row r="725" spans="1:12" x14ac:dyDescent="0.25">
      <c r="A725">
        <v>1130</v>
      </c>
      <c r="B725">
        <v>720</v>
      </c>
      <c r="C725">
        <v>1086</v>
      </c>
      <c r="D725" t="s">
        <v>2799</v>
      </c>
      <c r="E725" t="str">
        <f>IF(NOT(ISERROR(VLOOKUP(D725,'ESO DungeonFinder'!$A$2:$A$999,1,FALSE))),"X","")</f>
        <v/>
      </c>
      <c r="F725" s="70" t="str">
        <f t="shared" si="48"/>
        <v/>
      </c>
      <c r="G725" s="70" t="str">
        <f t="shared" si="49"/>
        <v>Northern Elsweyr</v>
      </c>
      <c r="H725" s="70">
        <f t="shared" si="50"/>
        <v>1130</v>
      </c>
      <c r="I725" s="70">
        <f t="shared" si="51"/>
        <v>1086</v>
      </c>
      <c r="J725">
        <v>14</v>
      </c>
      <c r="K725" s="3" t="str">
        <f ca="1">VLOOKUP(J725,ConstDLCIds!$A$4:$B$1000,2,FALSE)</f>
        <v>DLC_ELSWEYR</v>
      </c>
      <c r="L725" s="3" t="str">
        <f ca="1">VLOOKUP(J725,ConstDLCIds!$A$4:$C$1000,3,FALSE)</f>
        <v>Elsweyr</v>
      </c>
    </row>
    <row r="726" spans="1:12" x14ac:dyDescent="0.25">
      <c r="A726">
        <v>1133</v>
      </c>
      <c r="B726">
        <v>721</v>
      </c>
      <c r="C726">
        <v>1133</v>
      </c>
      <c r="D726" t="s">
        <v>1329</v>
      </c>
      <c r="E726" t="str">
        <f>IF(NOT(ISERROR(VLOOKUP(D726,'ESO DungeonFinder'!$A$2:$A$999,1,FALSE))),"X","")</f>
        <v/>
      </c>
      <c r="F726" s="70" t="str">
        <f t="shared" si="48"/>
        <v>X</v>
      </c>
      <c r="G726" s="70" t="str">
        <f t="shared" si="49"/>
        <v/>
      </c>
      <c r="H726" s="70">
        <f t="shared" si="50"/>
        <v>1133</v>
      </c>
      <c r="I726" s="70">
        <f t="shared" si="51"/>
        <v>1133</v>
      </c>
      <c r="J726">
        <v>0</v>
      </c>
      <c r="K726" s="3" t="str">
        <f>VLOOKUP(J726,ConstDLCIds!$A$4:$B$1000,2,FALSE)</f>
        <v>DLC_BASE_GAME</v>
      </c>
      <c r="L726" s="3" t="str">
        <f>VLOOKUP(J726,ConstDLCIds!$A$4:$C$1000,3,FALSE)</f>
        <v>Included in base game</v>
      </c>
    </row>
    <row r="727" spans="1:12" x14ac:dyDescent="0.25">
      <c r="A727">
        <v>1134</v>
      </c>
      <c r="B727">
        <v>722</v>
      </c>
      <c r="C727">
        <v>1133</v>
      </c>
      <c r="D727" t="s">
        <v>2800</v>
      </c>
      <c r="E727" t="str">
        <f>IF(NOT(ISERROR(VLOOKUP(D727,'ESO DungeonFinder'!$A$2:$A$999,1,FALSE))),"X","")</f>
        <v/>
      </c>
      <c r="F727" s="70" t="str">
        <f t="shared" si="48"/>
        <v/>
      </c>
      <c r="G727" s="70" t="str">
        <f t="shared" si="49"/>
        <v>Southern Elsweyr</v>
      </c>
      <c r="H727" s="70">
        <f t="shared" si="50"/>
        <v>1134</v>
      </c>
      <c r="I727" s="70">
        <f t="shared" si="51"/>
        <v>1133</v>
      </c>
      <c r="J727">
        <v>16</v>
      </c>
      <c r="K727" s="3" t="str">
        <f ca="1">VLOOKUP(J727,ConstDLCIds!$A$4:$B$1000,2,FALSE)</f>
        <v>DLC_DRAGONHOLD</v>
      </c>
      <c r="L727" s="3" t="str">
        <f ca="1">VLOOKUP(J727,ConstDLCIds!$A$4:$C$1000,3,FALSE)</f>
        <v>Dragonhold</v>
      </c>
    </row>
    <row r="728" spans="1:12" x14ac:dyDescent="0.25">
      <c r="A728">
        <v>1135</v>
      </c>
      <c r="B728">
        <v>723</v>
      </c>
      <c r="C728">
        <v>1133</v>
      </c>
      <c r="D728" t="s">
        <v>2801</v>
      </c>
      <c r="E728" t="str">
        <f>IF(NOT(ISERROR(VLOOKUP(D728,'ESO DungeonFinder'!$A$2:$A$999,1,FALSE))),"X","")</f>
        <v/>
      </c>
      <c r="F728" s="70" t="str">
        <f t="shared" si="48"/>
        <v/>
      </c>
      <c r="G728" s="70" t="str">
        <f t="shared" si="49"/>
        <v>Southern Elsweyr</v>
      </c>
      <c r="H728" s="70">
        <f t="shared" si="50"/>
        <v>1135</v>
      </c>
      <c r="I728" s="70">
        <f t="shared" si="51"/>
        <v>1133</v>
      </c>
      <c r="J728">
        <v>16</v>
      </c>
      <c r="K728" s="3" t="str">
        <f ca="1">VLOOKUP(J728,ConstDLCIds!$A$4:$B$1000,2,FALSE)</f>
        <v>DLC_DRAGONHOLD</v>
      </c>
      <c r="L728" s="3" t="str">
        <f ca="1">VLOOKUP(J728,ConstDLCIds!$A$4:$C$1000,3,FALSE)</f>
        <v>Dragonhold</v>
      </c>
    </row>
    <row r="729" spans="1:12" x14ac:dyDescent="0.25">
      <c r="A729">
        <v>1136</v>
      </c>
      <c r="B729">
        <v>724</v>
      </c>
      <c r="C729">
        <v>1133</v>
      </c>
      <c r="D729" t="s">
        <v>2802</v>
      </c>
      <c r="E729" t="str">
        <f>IF(NOT(ISERROR(VLOOKUP(D729,'ESO DungeonFinder'!$A$2:$A$999,1,FALSE))),"X","")</f>
        <v/>
      </c>
      <c r="F729" s="70" t="str">
        <f t="shared" si="48"/>
        <v/>
      </c>
      <c r="G729" s="70" t="str">
        <f t="shared" si="49"/>
        <v>Southern Elsweyr</v>
      </c>
      <c r="H729" s="70">
        <f t="shared" si="50"/>
        <v>1136</v>
      </c>
      <c r="I729" s="70">
        <f t="shared" si="51"/>
        <v>1133</v>
      </c>
      <c r="J729">
        <v>16</v>
      </c>
      <c r="K729" s="3" t="str">
        <f ca="1">VLOOKUP(J729,ConstDLCIds!$A$4:$B$1000,2,FALSE)</f>
        <v>DLC_DRAGONHOLD</v>
      </c>
      <c r="L729" s="3" t="str">
        <f ca="1">VLOOKUP(J729,ConstDLCIds!$A$4:$C$1000,3,FALSE)</f>
        <v>Dragonhold</v>
      </c>
    </row>
    <row r="730" spans="1:12" x14ac:dyDescent="0.25">
      <c r="A730">
        <v>1137</v>
      </c>
      <c r="B730">
        <v>725</v>
      </c>
      <c r="C730">
        <v>1133</v>
      </c>
      <c r="D730" t="s">
        <v>2803</v>
      </c>
      <c r="E730" t="str">
        <f>IF(NOT(ISERROR(VLOOKUP(D730,'ESO DungeonFinder'!$A$2:$A$999,1,FALSE))),"X","")</f>
        <v/>
      </c>
      <c r="F730" s="70" t="str">
        <f t="shared" si="48"/>
        <v/>
      </c>
      <c r="G730" s="70" t="str">
        <f t="shared" si="49"/>
        <v>Southern Elsweyr</v>
      </c>
      <c r="H730" s="70">
        <f t="shared" si="50"/>
        <v>1137</v>
      </c>
      <c r="I730" s="70">
        <f t="shared" si="51"/>
        <v>1133</v>
      </c>
      <c r="J730">
        <v>16</v>
      </c>
      <c r="K730" s="3" t="str">
        <f ca="1">VLOOKUP(J730,ConstDLCIds!$A$4:$B$1000,2,FALSE)</f>
        <v>DLC_DRAGONHOLD</v>
      </c>
      <c r="L730" s="3" t="str">
        <f ca="1">VLOOKUP(J730,ConstDLCIds!$A$4:$C$1000,3,FALSE)</f>
        <v>Dragonhold</v>
      </c>
    </row>
    <row r="731" spans="1:12" x14ac:dyDescent="0.25">
      <c r="A731">
        <v>1138</v>
      </c>
      <c r="B731">
        <v>726</v>
      </c>
      <c r="C731">
        <v>1133</v>
      </c>
      <c r="D731" t="s">
        <v>56</v>
      </c>
      <c r="E731" t="str">
        <f>IF(NOT(ISERROR(VLOOKUP(D731,'ESO DungeonFinder'!$A$2:$A$999,1,FALSE))),"X","")</f>
        <v/>
      </c>
      <c r="F731" s="70" t="str">
        <f t="shared" si="48"/>
        <v/>
      </c>
      <c r="G731" s="70" t="str">
        <f t="shared" si="49"/>
        <v>Southern Elsweyr</v>
      </c>
      <c r="H731" s="70">
        <f t="shared" si="50"/>
        <v>1138</v>
      </c>
      <c r="I731" s="70">
        <f t="shared" si="51"/>
        <v>1133</v>
      </c>
      <c r="J731">
        <v>16</v>
      </c>
      <c r="K731" s="3" t="str">
        <f ca="1">VLOOKUP(J731,ConstDLCIds!$A$4:$B$1000,2,FALSE)</f>
        <v>DLC_DRAGONHOLD</v>
      </c>
      <c r="L731" s="3" t="str">
        <f ca="1">VLOOKUP(J731,ConstDLCIds!$A$4:$C$1000,3,FALSE)</f>
        <v>Dragonhold</v>
      </c>
    </row>
    <row r="732" spans="1:12" x14ac:dyDescent="0.25">
      <c r="A732">
        <v>1139</v>
      </c>
      <c r="B732">
        <v>727</v>
      </c>
      <c r="C732">
        <v>1133</v>
      </c>
      <c r="D732" t="s">
        <v>2804</v>
      </c>
      <c r="E732" t="str">
        <f>IF(NOT(ISERROR(VLOOKUP(D732,'ESO DungeonFinder'!$A$2:$A$999,1,FALSE))),"X","")</f>
        <v/>
      </c>
      <c r="F732" s="70" t="str">
        <f t="shared" si="48"/>
        <v/>
      </c>
      <c r="G732" s="70" t="str">
        <f t="shared" si="49"/>
        <v>Southern Elsweyr</v>
      </c>
      <c r="H732" s="70">
        <f t="shared" si="50"/>
        <v>1139</v>
      </c>
      <c r="I732" s="70">
        <f t="shared" si="51"/>
        <v>1133</v>
      </c>
      <c r="J732">
        <v>16</v>
      </c>
      <c r="K732" s="3" t="str">
        <f ca="1">VLOOKUP(J732,ConstDLCIds!$A$4:$B$1000,2,FALSE)</f>
        <v>DLC_DRAGONHOLD</v>
      </c>
      <c r="L732" s="3" t="str">
        <f ca="1">VLOOKUP(J732,ConstDLCIds!$A$4:$C$1000,3,FALSE)</f>
        <v>Dragonhold</v>
      </c>
    </row>
    <row r="733" spans="1:12" x14ac:dyDescent="0.25">
      <c r="A733">
        <v>1140</v>
      </c>
      <c r="B733">
        <v>728</v>
      </c>
      <c r="C733">
        <v>104</v>
      </c>
      <c r="D733" t="s">
        <v>2805</v>
      </c>
      <c r="E733" t="str">
        <f>IF(NOT(ISERROR(VLOOKUP(D733,'ESO DungeonFinder'!$A$2:$A$999,1,FALSE))),"X","")</f>
        <v/>
      </c>
      <c r="F733" s="70" t="str">
        <f t="shared" si="48"/>
        <v/>
      </c>
      <c r="G733" s="70" t="str">
        <f t="shared" si="49"/>
        <v>Alik'r Desert</v>
      </c>
      <c r="H733" s="70">
        <f t="shared" si="50"/>
        <v>1140</v>
      </c>
      <c r="I733" s="70">
        <f t="shared" si="51"/>
        <v>104</v>
      </c>
      <c r="J733">
        <v>0</v>
      </c>
      <c r="K733" s="3" t="str">
        <f>VLOOKUP(J733,ConstDLCIds!$A$4:$B$1000,2,FALSE)</f>
        <v>DLC_BASE_GAME</v>
      </c>
      <c r="L733" s="3" t="str">
        <f>VLOOKUP(J733,ConstDLCIds!$A$4:$C$1000,3,FALSE)</f>
        <v>Included in base game</v>
      </c>
    </row>
    <row r="734" spans="1:12" x14ac:dyDescent="0.25">
      <c r="A734">
        <v>1141</v>
      </c>
      <c r="B734">
        <v>729</v>
      </c>
      <c r="C734">
        <v>101</v>
      </c>
      <c r="D734" t="s">
        <v>2806</v>
      </c>
      <c r="E734" t="str">
        <f>IF(NOT(ISERROR(VLOOKUP(D734,'ESO DungeonFinder'!$A$2:$A$999,1,FALSE))),"X","")</f>
        <v/>
      </c>
      <c r="F734" s="70" t="str">
        <f t="shared" si="48"/>
        <v/>
      </c>
      <c r="G734" s="70" t="str">
        <f t="shared" si="49"/>
        <v>Eastmarch</v>
      </c>
      <c r="H734" s="70">
        <f t="shared" si="50"/>
        <v>1141</v>
      </c>
      <c r="I734" s="70">
        <f t="shared" si="51"/>
        <v>101</v>
      </c>
      <c r="J734">
        <v>0</v>
      </c>
      <c r="K734" s="3" t="str">
        <f>VLOOKUP(J734,ConstDLCIds!$A$4:$B$1000,2,FALSE)</f>
        <v>DLC_BASE_GAME</v>
      </c>
      <c r="L734" s="3" t="str">
        <f>VLOOKUP(J734,ConstDLCIds!$A$4:$C$1000,3,FALSE)</f>
        <v>Included in base game</v>
      </c>
    </row>
    <row r="735" spans="1:12" x14ac:dyDescent="0.25">
      <c r="A735">
        <v>1142</v>
      </c>
      <c r="B735">
        <v>730</v>
      </c>
      <c r="C735">
        <v>1142</v>
      </c>
      <c r="D735" t="s">
        <v>2481</v>
      </c>
      <c r="E735" t="str">
        <f>IF(NOT(ISERROR(VLOOKUP(D735,'ESO DungeonFinder'!$A$2:$A$999,1,FALSE))),"X","")</f>
        <v/>
      </c>
      <c r="F735" s="70" t="str">
        <f t="shared" si="48"/>
        <v>X</v>
      </c>
      <c r="G735" s="70" t="str">
        <f t="shared" si="49"/>
        <v/>
      </c>
      <c r="H735" s="70">
        <f t="shared" si="50"/>
        <v>1142</v>
      </c>
      <c r="I735" s="70">
        <f t="shared" si="51"/>
        <v>1142</v>
      </c>
      <c r="J735">
        <v>0</v>
      </c>
      <c r="K735" s="3" t="str">
        <f>VLOOKUP(J735,ConstDLCIds!$A$4:$B$1000,2,FALSE)</f>
        <v>DLC_BASE_GAME</v>
      </c>
      <c r="L735" s="3" t="str">
        <f>VLOOKUP(J735,ConstDLCIds!$A$4:$C$1000,3,FALSE)</f>
        <v>Included in base game</v>
      </c>
    </row>
    <row r="736" spans="1:12" x14ac:dyDescent="0.25">
      <c r="A736">
        <v>1143</v>
      </c>
      <c r="B736">
        <v>731</v>
      </c>
      <c r="C736">
        <v>19</v>
      </c>
      <c r="D736" t="s">
        <v>2807</v>
      </c>
      <c r="E736" t="str">
        <f>IF(NOT(ISERROR(VLOOKUP(D736,'ESO DungeonFinder'!$A$2:$A$999,1,FALSE))),"X","")</f>
        <v/>
      </c>
      <c r="F736" s="70" t="str">
        <f t="shared" si="48"/>
        <v/>
      </c>
      <c r="G736" s="70" t="str">
        <f t="shared" si="49"/>
        <v>Stormhaven</v>
      </c>
      <c r="H736" s="70">
        <f t="shared" si="50"/>
        <v>1143</v>
      </c>
      <c r="I736" s="70">
        <f t="shared" si="51"/>
        <v>19</v>
      </c>
      <c r="J736">
        <v>0</v>
      </c>
      <c r="K736" s="3" t="str">
        <f>VLOOKUP(J736,ConstDLCIds!$A$4:$B$1000,2,FALSE)</f>
        <v>DLC_BASE_GAME</v>
      </c>
      <c r="L736" s="3" t="str">
        <f>VLOOKUP(J736,ConstDLCIds!$A$4:$C$1000,3,FALSE)</f>
        <v>Included in base game</v>
      </c>
    </row>
    <row r="737" spans="1:12" x14ac:dyDescent="0.25">
      <c r="A737">
        <v>1144</v>
      </c>
      <c r="B737">
        <v>732</v>
      </c>
      <c r="C737">
        <v>1144</v>
      </c>
      <c r="D737" t="s">
        <v>2808</v>
      </c>
      <c r="E737" t="str">
        <f>IF(NOT(ISERROR(VLOOKUP(D737,'ESO DungeonFinder'!$A$2:$A$999,1,FALSE))),"X","")</f>
        <v/>
      </c>
      <c r="F737" s="70" t="str">
        <f t="shared" si="48"/>
        <v>X</v>
      </c>
      <c r="G737" s="70" t="str">
        <f t="shared" si="49"/>
        <v/>
      </c>
      <c r="H737" s="70">
        <f t="shared" si="50"/>
        <v>1144</v>
      </c>
      <c r="I737" s="70">
        <f t="shared" si="51"/>
        <v>1144</v>
      </c>
      <c r="J737">
        <v>0</v>
      </c>
      <c r="K737" s="3" t="str">
        <f>VLOOKUP(J737,ConstDLCIds!$A$4:$B$1000,2,FALSE)</f>
        <v>DLC_BASE_GAME</v>
      </c>
      <c r="L737" s="3" t="str">
        <f>VLOOKUP(J737,ConstDLCIds!$A$4:$C$1000,3,FALSE)</f>
        <v>Included in base game</v>
      </c>
    </row>
    <row r="738" spans="1:12" x14ac:dyDescent="0.25">
      <c r="A738">
        <v>1145</v>
      </c>
      <c r="B738">
        <v>733</v>
      </c>
      <c r="C738">
        <v>1133</v>
      </c>
      <c r="D738" t="s">
        <v>2809</v>
      </c>
      <c r="E738" t="str">
        <f>IF(NOT(ISERROR(VLOOKUP(D738,'ESO DungeonFinder'!$A$2:$A$999,1,FALSE))),"X","")</f>
        <v/>
      </c>
      <c r="F738" s="70" t="str">
        <f t="shared" si="48"/>
        <v/>
      </c>
      <c r="G738" s="70" t="str">
        <f t="shared" si="49"/>
        <v>Southern Elsweyr</v>
      </c>
      <c r="H738" s="70">
        <f t="shared" si="50"/>
        <v>1145</v>
      </c>
      <c r="I738" s="70">
        <f t="shared" si="51"/>
        <v>1133</v>
      </c>
      <c r="J738">
        <v>16</v>
      </c>
      <c r="K738" s="3" t="str">
        <f ca="1">VLOOKUP(J738,ConstDLCIds!$A$4:$B$1000,2,FALSE)</f>
        <v>DLC_DRAGONHOLD</v>
      </c>
      <c r="L738" s="3" t="str">
        <f ca="1">VLOOKUP(J738,ConstDLCIds!$A$4:$C$1000,3,FALSE)</f>
        <v>Dragonhold</v>
      </c>
    </row>
    <row r="739" spans="1:12" x14ac:dyDescent="0.25">
      <c r="A739">
        <v>1146</v>
      </c>
      <c r="B739">
        <v>734</v>
      </c>
      <c r="C739">
        <v>1133</v>
      </c>
      <c r="D739" t="s">
        <v>2810</v>
      </c>
      <c r="E739" t="str">
        <f>IF(NOT(ISERROR(VLOOKUP(D739,'ESO DungeonFinder'!$A$2:$A$999,1,FALSE))),"X","")</f>
        <v/>
      </c>
      <c r="F739" s="70" t="str">
        <f t="shared" si="48"/>
        <v/>
      </c>
      <c r="G739" s="70" t="str">
        <f t="shared" si="49"/>
        <v>Southern Elsweyr</v>
      </c>
      <c r="H739" s="70">
        <f t="shared" si="50"/>
        <v>1146</v>
      </c>
      <c r="I739" s="70">
        <f t="shared" si="51"/>
        <v>1133</v>
      </c>
      <c r="J739">
        <v>16</v>
      </c>
      <c r="K739" s="3" t="str">
        <f ca="1">VLOOKUP(J739,ConstDLCIds!$A$4:$B$1000,2,FALSE)</f>
        <v>DLC_DRAGONHOLD</v>
      </c>
      <c r="L739" s="3" t="str">
        <f ca="1">VLOOKUP(J739,ConstDLCIds!$A$4:$C$1000,3,FALSE)</f>
        <v>Dragonhold</v>
      </c>
    </row>
    <row r="740" spans="1:12" x14ac:dyDescent="0.25">
      <c r="A740">
        <v>1147</v>
      </c>
      <c r="B740">
        <v>735</v>
      </c>
      <c r="C740">
        <v>1133</v>
      </c>
      <c r="D740" t="s">
        <v>2811</v>
      </c>
      <c r="E740" t="str">
        <f>IF(NOT(ISERROR(VLOOKUP(D740,'ESO DungeonFinder'!$A$2:$A$999,1,FALSE))),"X","")</f>
        <v/>
      </c>
      <c r="F740" s="70" t="str">
        <f t="shared" si="48"/>
        <v/>
      </c>
      <c r="G740" s="70" t="str">
        <f t="shared" si="49"/>
        <v>Southern Elsweyr</v>
      </c>
      <c r="H740" s="70">
        <f t="shared" si="50"/>
        <v>1147</v>
      </c>
      <c r="I740" s="70">
        <f t="shared" si="51"/>
        <v>1133</v>
      </c>
      <c r="J740">
        <v>16</v>
      </c>
      <c r="K740" s="3" t="str">
        <f ca="1">VLOOKUP(J740,ConstDLCIds!$A$4:$B$1000,2,FALSE)</f>
        <v>DLC_DRAGONHOLD</v>
      </c>
      <c r="L740" s="3" t="str">
        <f ca="1">VLOOKUP(J740,ConstDLCIds!$A$4:$C$1000,3,FALSE)</f>
        <v>Dragonhold</v>
      </c>
    </row>
    <row r="741" spans="1:12" x14ac:dyDescent="0.25">
      <c r="A741">
        <v>1148</v>
      </c>
      <c r="B741">
        <v>736</v>
      </c>
      <c r="C741">
        <v>1133</v>
      </c>
      <c r="D741" t="s">
        <v>2812</v>
      </c>
      <c r="E741" t="str">
        <f>IF(NOT(ISERROR(VLOOKUP(D741,'ESO DungeonFinder'!$A$2:$A$999,1,FALSE))),"X","")</f>
        <v/>
      </c>
      <c r="F741" s="70" t="str">
        <f t="shared" si="48"/>
        <v/>
      </c>
      <c r="G741" s="70" t="str">
        <f t="shared" si="49"/>
        <v>Southern Elsweyr</v>
      </c>
      <c r="H741" s="70">
        <f t="shared" si="50"/>
        <v>1148</v>
      </c>
      <c r="I741" s="70">
        <f t="shared" si="51"/>
        <v>1133</v>
      </c>
      <c r="J741">
        <v>16</v>
      </c>
      <c r="K741" s="3" t="str">
        <f ca="1">VLOOKUP(J741,ConstDLCIds!$A$4:$B$1000,2,FALSE)</f>
        <v>DLC_DRAGONHOLD</v>
      </c>
      <c r="L741" s="3" t="str">
        <f ca="1">VLOOKUP(J741,ConstDLCIds!$A$4:$C$1000,3,FALSE)</f>
        <v>Dragonhold</v>
      </c>
    </row>
    <row r="742" spans="1:12" x14ac:dyDescent="0.25">
      <c r="A742">
        <v>1149</v>
      </c>
      <c r="B742">
        <v>737</v>
      </c>
      <c r="C742">
        <v>1133</v>
      </c>
      <c r="D742" t="s">
        <v>2813</v>
      </c>
      <c r="E742" t="str">
        <f>IF(NOT(ISERROR(VLOOKUP(D742,'ESO DungeonFinder'!$A$2:$A$999,1,FALSE))),"X","")</f>
        <v/>
      </c>
      <c r="F742" s="70" t="str">
        <f t="shared" si="48"/>
        <v/>
      </c>
      <c r="G742" s="70" t="str">
        <f t="shared" si="49"/>
        <v>Southern Elsweyr</v>
      </c>
      <c r="H742" s="70">
        <f t="shared" si="50"/>
        <v>1149</v>
      </c>
      <c r="I742" s="70">
        <f t="shared" si="51"/>
        <v>1133</v>
      </c>
      <c r="J742">
        <v>16</v>
      </c>
      <c r="K742" s="3" t="str">
        <f ca="1">VLOOKUP(J742,ConstDLCIds!$A$4:$B$1000,2,FALSE)</f>
        <v>DLC_DRAGONHOLD</v>
      </c>
      <c r="L742" s="3" t="str">
        <f ca="1">VLOOKUP(J742,ConstDLCIds!$A$4:$C$1000,3,FALSE)</f>
        <v>Dragonhold</v>
      </c>
    </row>
    <row r="743" spans="1:12" x14ac:dyDescent="0.25">
      <c r="A743">
        <v>1150</v>
      </c>
      <c r="B743">
        <v>738</v>
      </c>
      <c r="C743">
        <v>1133</v>
      </c>
      <c r="D743" t="s">
        <v>2814</v>
      </c>
      <c r="E743" t="str">
        <f>IF(NOT(ISERROR(VLOOKUP(D743,'ESO DungeonFinder'!$A$2:$A$999,1,FALSE))),"X","")</f>
        <v/>
      </c>
      <c r="F743" s="70" t="str">
        <f t="shared" si="48"/>
        <v/>
      </c>
      <c r="G743" s="70" t="str">
        <f t="shared" si="49"/>
        <v>Southern Elsweyr</v>
      </c>
      <c r="H743" s="70">
        <f t="shared" si="50"/>
        <v>1150</v>
      </c>
      <c r="I743" s="70">
        <f t="shared" si="51"/>
        <v>1133</v>
      </c>
      <c r="J743">
        <v>16</v>
      </c>
      <c r="K743" s="3" t="str">
        <f ca="1">VLOOKUP(J743,ConstDLCIds!$A$4:$B$1000,2,FALSE)</f>
        <v>DLC_DRAGONHOLD</v>
      </c>
      <c r="L743" s="3" t="str">
        <f ca="1">VLOOKUP(J743,ConstDLCIds!$A$4:$C$1000,3,FALSE)</f>
        <v>Dragonhold</v>
      </c>
    </row>
    <row r="744" spans="1:12" x14ac:dyDescent="0.25">
      <c r="A744">
        <v>1151</v>
      </c>
      <c r="B744">
        <v>739</v>
      </c>
      <c r="C744">
        <v>1133</v>
      </c>
      <c r="D744" t="s">
        <v>2815</v>
      </c>
      <c r="E744" t="str">
        <f>IF(NOT(ISERROR(VLOOKUP(D744,'ESO DungeonFinder'!$A$2:$A$999,1,FALSE))),"X","")</f>
        <v/>
      </c>
      <c r="F744" s="70" t="str">
        <f t="shared" si="48"/>
        <v/>
      </c>
      <c r="G744" s="70" t="str">
        <f t="shared" si="49"/>
        <v>Southern Elsweyr</v>
      </c>
      <c r="H744" s="70">
        <f t="shared" si="50"/>
        <v>1151</v>
      </c>
      <c r="I744" s="70">
        <f t="shared" si="51"/>
        <v>1133</v>
      </c>
      <c r="J744">
        <v>16</v>
      </c>
      <c r="K744" s="3" t="str">
        <f ca="1">VLOOKUP(J744,ConstDLCIds!$A$4:$B$1000,2,FALSE)</f>
        <v>DLC_DRAGONHOLD</v>
      </c>
      <c r="L744" s="3" t="str">
        <f ca="1">VLOOKUP(J744,ConstDLCIds!$A$4:$C$1000,3,FALSE)</f>
        <v>Dragonhold</v>
      </c>
    </row>
    <row r="745" spans="1:12" x14ac:dyDescent="0.25">
      <c r="A745">
        <v>1152</v>
      </c>
      <c r="B745">
        <v>740</v>
      </c>
      <c r="C745">
        <v>684</v>
      </c>
      <c r="D745" t="s">
        <v>1342</v>
      </c>
      <c r="E745" t="str">
        <f>IF(NOT(ISERROR(VLOOKUP(D745,'ESO DungeonFinder'!$A$2:$A$999,1,FALSE))),"X","")</f>
        <v>X</v>
      </c>
      <c r="F745" s="70" t="str">
        <f t="shared" si="48"/>
        <v/>
      </c>
      <c r="G745" s="70" t="str">
        <f t="shared" si="49"/>
        <v>Wrothgar</v>
      </c>
      <c r="H745" s="70">
        <f t="shared" si="50"/>
        <v>1152</v>
      </c>
      <c r="I745" s="70">
        <f t="shared" si="51"/>
        <v>684</v>
      </c>
      <c r="J745">
        <v>17</v>
      </c>
      <c r="K745" s="3" t="str">
        <f ca="1">VLOOKUP(J745,ConstDLCIds!$A$4:$B$1000,2,FALSE)</f>
        <v>DLC_HARROWSTORM</v>
      </c>
      <c r="L745" s="3" t="str">
        <f ca="1">VLOOKUP(J745,ConstDLCIds!$A$4:$C$1000,3,FALSE)</f>
        <v>Harrowstorm</v>
      </c>
    </row>
    <row r="746" spans="1:12" x14ac:dyDescent="0.25">
      <c r="A746">
        <v>1153</v>
      </c>
      <c r="B746">
        <v>741</v>
      </c>
      <c r="C746">
        <v>92</v>
      </c>
      <c r="D746" t="s">
        <v>1349</v>
      </c>
      <c r="E746" t="str">
        <f>IF(NOT(ISERROR(VLOOKUP(D746,'ESO DungeonFinder'!$A$2:$A$999,1,FALSE))),"X","")</f>
        <v>X</v>
      </c>
      <c r="F746" s="70" t="str">
        <f t="shared" si="48"/>
        <v/>
      </c>
      <c r="G746" s="70" t="str">
        <f t="shared" si="49"/>
        <v>Bangkorai</v>
      </c>
      <c r="H746" s="70">
        <f t="shared" si="50"/>
        <v>1153</v>
      </c>
      <c r="I746" s="70">
        <f t="shared" si="51"/>
        <v>92</v>
      </c>
      <c r="J746">
        <v>17</v>
      </c>
      <c r="K746" s="3" t="str">
        <f ca="1">VLOOKUP(J746,ConstDLCIds!$A$4:$B$1000,2,FALSE)</f>
        <v>DLC_HARROWSTORM</v>
      </c>
      <c r="L746" s="3" t="str">
        <f ca="1">VLOOKUP(J746,ConstDLCIds!$A$4:$C$1000,3,FALSE)</f>
        <v>Harrowstorm</v>
      </c>
    </row>
    <row r="747" spans="1:12" x14ac:dyDescent="0.25">
      <c r="A747">
        <v>1154</v>
      </c>
      <c r="B747">
        <v>742</v>
      </c>
      <c r="C747">
        <v>1086</v>
      </c>
      <c r="D747" t="s">
        <v>2816</v>
      </c>
      <c r="E747" t="str">
        <f>IF(NOT(ISERROR(VLOOKUP(D747,'ESO DungeonFinder'!$A$2:$A$999,1,FALSE))),"X","")</f>
        <v/>
      </c>
      <c r="F747" s="70" t="str">
        <f t="shared" si="48"/>
        <v/>
      </c>
      <c r="G747" s="70" t="str">
        <f t="shared" si="49"/>
        <v>Northern Elsweyr</v>
      </c>
      <c r="H747" s="70">
        <f t="shared" si="50"/>
        <v>1154</v>
      </c>
      <c r="I747" s="70">
        <f t="shared" si="51"/>
        <v>1086</v>
      </c>
      <c r="J747">
        <v>14</v>
      </c>
      <c r="K747" s="3" t="str">
        <f ca="1">VLOOKUP(J747,ConstDLCIds!$A$4:$B$1000,2,FALSE)</f>
        <v>DLC_ELSWEYR</v>
      </c>
      <c r="L747" s="3" t="str">
        <f ca="1">VLOOKUP(J747,ConstDLCIds!$A$4:$C$1000,3,FALSE)</f>
        <v>Elsweyr</v>
      </c>
    </row>
    <row r="748" spans="1:12" x14ac:dyDescent="0.25">
      <c r="A748">
        <v>1155</v>
      </c>
      <c r="B748">
        <v>743</v>
      </c>
      <c r="C748">
        <v>20</v>
      </c>
      <c r="D748" t="s">
        <v>2817</v>
      </c>
      <c r="E748" t="str">
        <f>IF(NOT(ISERROR(VLOOKUP(D748,'ESO DungeonFinder'!$A$2:$A$999,1,FALSE))),"X","")</f>
        <v/>
      </c>
      <c r="F748" s="70" t="str">
        <f t="shared" si="48"/>
        <v/>
      </c>
      <c r="G748" s="70" t="str">
        <f t="shared" si="49"/>
        <v>Rivenspire</v>
      </c>
      <c r="H748" s="70">
        <f t="shared" si="50"/>
        <v>1155</v>
      </c>
      <c r="I748" s="70">
        <f t="shared" si="51"/>
        <v>20</v>
      </c>
      <c r="J748">
        <v>0</v>
      </c>
      <c r="K748" s="3" t="str">
        <f>VLOOKUP(J748,ConstDLCIds!$A$4:$B$1000,2,FALSE)</f>
        <v>DLC_BASE_GAME</v>
      </c>
      <c r="L748" s="3" t="str">
        <f>VLOOKUP(J748,ConstDLCIds!$A$4:$C$1000,3,FALSE)</f>
        <v>Included in base game</v>
      </c>
    </row>
    <row r="749" spans="1:12" x14ac:dyDescent="0.25">
      <c r="A749">
        <v>1160</v>
      </c>
      <c r="B749">
        <v>744</v>
      </c>
      <c r="C749">
        <v>1160</v>
      </c>
      <c r="D749" t="s">
        <v>1372</v>
      </c>
      <c r="E749" t="str">
        <f>IF(NOT(ISERROR(VLOOKUP(D749,'ESO DungeonFinder'!$A$2:$A$999,1,FALSE))),"X","")</f>
        <v/>
      </c>
      <c r="F749" s="70" t="str">
        <f t="shared" si="48"/>
        <v>X</v>
      </c>
      <c r="G749" s="70" t="str">
        <f t="shared" si="49"/>
        <v/>
      </c>
      <c r="H749" s="70">
        <f t="shared" si="50"/>
        <v>1160</v>
      </c>
      <c r="I749" s="70">
        <f t="shared" si="51"/>
        <v>1160</v>
      </c>
      <c r="J749">
        <v>20</v>
      </c>
      <c r="K749" s="3" t="str">
        <f ca="1">VLOOKUP(J749,ConstDLCIds!$A$4:$B$1000,2,FALSE)</f>
        <v>DLC_MARKARTH</v>
      </c>
      <c r="L749" s="3" t="str">
        <f ca="1">VLOOKUP(J749,ConstDLCIds!$A$4:$C$1000,3,FALSE)</f>
        <v>Markarth</v>
      </c>
    </row>
    <row r="750" spans="1:12" x14ac:dyDescent="0.25">
      <c r="A750">
        <v>1161</v>
      </c>
      <c r="B750">
        <v>745</v>
      </c>
      <c r="C750">
        <v>1161</v>
      </c>
      <c r="D750" t="s">
        <v>2192</v>
      </c>
      <c r="E750" t="str">
        <f>IF(NOT(ISERROR(VLOOKUP(D750,'ESO DungeonFinder'!$A$2:$A$999,1,FALSE))),"X","")</f>
        <v/>
      </c>
      <c r="F750" s="70" t="str">
        <f t="shared" si="48"/>
        <v>X</v>
      </c>
      <c r="G750" s="70" t="str">
        <f t="shared" si="49"/>
        <v/>
      </c>
      <c r="H750" s="70">
        <f t="shared" si="50"/>
        <v>1161</v>
      </c>
      <c r="I750" s="70">
        <f t="shared" si="51"/>
        <v>1161</v>
      </c>
      <c r="J750">
        <v>0</v>
      </c>
      <c r="K750" s="3" t="str">
        <f>VLOOKUP(J750,ConstDLCIds!$A$4:$B$1000,2,FALSE)</f>
        <v>DLC_BASE_GAME</v>
      </c>
      <c r="L750" s="3" t="str">
        <f>VLOOKUP(J750,ConstDLCIds!$A$4:$C$1000,3,FALSE)</f>
        <v>Included in base game</v>
      </c>
    </row>
    <row r="751" spans="1:12" x14ac:dyDescent="0.25">
      <c r="A751">
        <v>1165</v>
      </c>
      <c r="B751">
        <v>746</v>
      </c>
      <c r="C751">
        <v>1161</v>
      </c>
      <c r="D751" t="s">
        <v>2818</v>
      </c>
      <c r="E751" t="str">
        <f>IF(NOT(ISERROR(VLOOKUP(D751,'ESO DungeonFinder'!$A$2:$A$999,1,FALSE))),"X","")</f>
        <v/>
      </c>
      <c r="F751" s="70" t="str">
        <f t="shared" si="48"/>
        <v/>
      </c>
      <c r="G751" s="70" t="str">
        <f t="shared" si="49"/>
        <v>Blackreach: Greymoor Caverns</v>
      </c>
      <c r="H751" s="70">
        <f t="shared" si="50"/>
        <v>1165</v>
      </c>
      <c r="I751" s="70">
        <f t="shared" si="51"/>
        <v>1161</v>
      </c>
      <c r="J751">
        <v>18</v>
      </c>
      <c r="K751" s="3" t="str">
        <f ca="1">VLOOKUP(J751,ConstDLCIds!$A$4:$B$1000,2,FALSE)</f>
        <v>DLC_GREYMOOR</v>
      </c>
      <c r="L751" s="3" t="str">
        <f ca="1">VLOOKUP(J751,ConstDLCIds!$A$4:$C$1000,3,FALSE)</f>
        <v>Greymoor</v>
      </c>
    </row>
    <row r="752" spans="1:12" x14ac:dyDescent="0.25">
      <c r="A752">
        <v>1166</v>
      </c>
      <c r="B752">
        <v>747</v>
      </c>
      <c r="C752">
        <v>1160</v>
      </c>
      <c r="D752" t="s">
        <v>2819</v>
      </c>
      <c r="E752" t="str">
        <f>IF(NOT(ISERROR(VLOOKUP(D752,'ESO DungeonFinder'!$A$2:$A$999,1,FALSE))),"X","")</f>
        <v/>
      </c>
      <c r="F752" s="70" t="str">
        <f t="shared" si="48"/>
        <v/>
      </c>
      <c r="G752" s="70" t="str">
        <f t="shared" si="49"/>
        <v>Western Skyrim</v>
      </c>
      <c r="H752" s="70">
        <f t="shared" si="50"/>
        <v>1166</v>
      </c>
      <c r="I752" s="70">
        <f t="shared" si="51"/>
        <v>1160</v>
      </c>
      <c r="J752">
        <v>18</v>
      </c>
      <c r="K752" s="3" t="str">
        <f ca="1">VLOOKUP(J752,ConstDLCIds!$A$4:$B$1000,2,FALSE)</f>
        <v>DLC_GREYMOOR</v>
      </c>
      <c r="L752" s="3" t="str">
        <f ca="1">VLOOKUP(J752,ConstDLCIds!$A$4:$C$1000,3,FALSE)</f>
        <v>Greymoor</v>
      </c>
    </row>
    <row r="753" spans="1:12" x14ac:dyDescent="0.25">
      <c r="A753">
        <v>1167</v>
      </c>
      <c r="B753">
        <v>748</v>
      </c>
      <c r="C753">
        <v>1160</v>
      </c>
      <c r="D753" t="s">
        <v>2820</v>
      </c>
      <c r="E753" t="str">
        <f>IF(NOT(ISERROR(VLOOKUP(D753,'ESO DungeonFinder'!$A$2:$A$999,1,FALSE))),"X","")</f>
        <v/>
      </c>
      <c r="F753" s="70" t="str">
        <f t="shared" si="48"/>
        <v/>
      </c>
      <c r="G753" s="70" t="str">
        <f t="shared" si="49"/>
        <v>Western Skyrim</v>
      </c>
      <c r="H753" s="70">
        <f t="shared" si="50"/>
        <v>1167</v>
      </c>
      <c r="I753" s="70">
        <f t="shared" si="51"/>
        <v>1160</v>
      </c>
      <c r="J753">
        <v>18</v>
      </c>
      <c r="K753" s="3" t="str">
        <f ca="1">VLOOKUP(J753,ConstDLCIds!$A$4:$B$1000,2,FALSE)</f>
        <v>DLC_GREYMOOR</v>
      </c>
      <c r="L753" s="3" t="str">
        <f ca="1">VLOOKUP(J753,ConstDLCIds!$A$4:$C$1000,3,FALSE)</f>
        <v>Greymoor</v>
      </c>
    </row>
    <row r="754" spans="1:12" x14ac:dyDescent="0.25">
      <c r="A754">
        <v>1168</v>
      </c>
      <c r="B754">
        <v>749</v>
      </c>
      <c r="C754">
        <v>1160</v>
      </c>
      <c r="D754" t="s">
        <v>2821</v>
      </c>
      <c r="E754" t="str">
        <f>IF(NOT(ISERROR(VLOOKUP(D754,'ESO DungeonFinder'!$A$2:$A$999,1,FALSE))),"X","")</f>
        <v/>
      </c>
      <c r="F754" s="70" t="str">
        <f t="shared" si="48"/>
        <v/>
      </c>
      <c r="G754" s="70" t="str">
        <f t="shared" si="49"/>
        <v>Western Skyrim</v>
      </c>
      <c r="H754" s="70">
        <f t="shared" si="50"/>
        <v>1168</v>
      </c>
      <c r="I754" s="70">
        <f t="shared" si="51"/>
        <v>1160</v>
      </c>
      <c r="J754">
        <v>18</v>
      </c>
      <c r="K754" s="3" t="str">
        <f ca="1">VLOOKUP(J754,ConstDLCIds!$A$4:$B$1000,2,FALSE)</f>
        <v>DLC_GREYMOOR</v>
      </c>
      <c r="L754" s="3" t="str">
        <f ca="1">VLOOKUP(J754,ConstDLCIds!$A$4:$C$1000,3,FALSE)</f>
        <v>Greymoor</v>
      </c>
    </row>
    <row r="755" spans="1:12" x14ac:dyDescent="0.25">
      <c r="A755">
        <v>1169</v>
      </c>
      <c r="B755">
        <v>750</v>
      </c>
      <c r="C755">
        <v>1160</v>
      </c>
      <c r="D755" t="s">
        <v>2822</v>
      </c>
      <c r="E755" t="str">
        <f>IF(NOT(ISERROR(VLOOKUP(D755,'ESO DungeonFinder'!$A$2:$A$999,1,FALSE))),"X","")</f>
        <v/>
      </c>
      <c r="F755" s="70" t="str">
        <f t="shared" si="48"/>
        <v/>
      </c>
      <c r="G755" s="70" t="str">
        <f t="shared" si="49"/>
        <v>Western Skyrim</v>
      </c>
      <c r="H755" s="70">
        <f t="shared" si="50"/>
        <v>1169</v>
      </c>
      <c r="I755" s="70">
        <f t="shared" si="51"/>
        <v>1160</v>
      </c>
      <c r="J755">
        <v>18</v>
      </c>
      <c r="K755" s="3" t="str">
        <f ca="1">VLOOKUP(J755,ConstDLCIds!$A$4:$B$1000,2,FALSE)</f>
        <v>DLC_GREYMOOR</v>
      </c>
      <c r="L755" s="3" t="str">
        <f ca="1">VLOOKUP(J755,ConstDLCIds!$A$4:$C$1000,3,FALSE)</f>
        <v>Greymoor</v>
      </c>
    </row>
    <row r="756" spans="1:12" x14ac:dyDescent="0.25">
      <c r="A756">
        <v>1170</v>
      </c>
      <c r="B756">
        <v>751</v>
      </c>
      <c r="C756">
        <v>1160</v>
      </c>
      <c r="D756" t="s">
        <v>2823</v>
      </c>
      <c r="E756" t="str">
        <f>IF(NOT(ISERROR(VLOOKUP(D756,'ESO DungeonFinder'!$A$2:$A$999,1,FALSE))),"X","")</f>
        <v/>
      </c>
      <c r="F756" s="70" t="str">
        <f t="shared" si="48"/>
        <v/>
      </c>
      <c r="G756" s="70" t="str">
        <f t="shared" si="49"/>
        <v>Western Skyrim</v>
      </c>
      <c r="H756" s="70">
        <f t="shared" si="50"/>
        <v>1170</v>
      </c>
      <c r="I756" s="70">
        <f t="shared" si="51"/>
        <v>1160</v>
      </c>
      <c r="J756">
        <v>18</v>
      </c>
      <c r="K756" s="3" t="str">
        <f ca="1">VLOOKUP(J756,ConstDLCIds!$A$4:$B$1000,2,FALSE)</f>
        <v>DLC_GREYMOOR</v>
      </c>
      <c r="L756" s="3" t="str">
        <f ca="1">VLOOKUP(J756,ConstDLCIds!$A$4:$C$1000,3,FALSE)</f>
        <v>Greymoor</v>
      </c>
    </row>
    <row r="757" spans="1:12" x14ac:dyDescent="0.25">
      <c r="A757">
        <v>1171</v>
      </c>
      <c r="B757">
        <v>752</v>
      </c>
      <c r="C757">
        <v>1161</v>
      </c>
      <c r="D757" t="s">
        <v>2824</v>
      </c>
      <c r="E757" t="str">
        <f>IF(NOT(ISERROR(VLOOKUP(D757,'ESO DungeonFinder'!$A$2:$A$999,1,FALSE))),"X","")</f>
        <v/>
      </c>
      <c r="F757" s="70" t="str">
        <f t="shared" si="48"/>
        <v/>
      </c>
      <c r="G757" s="70" t="str">
        <f t="shared" si="49"/>
        <v>Blackreach: Greymoor Caverns</v>
      </c>
      <c r="H757" s="70">
        <f t="shared" si="50"/>
        <v>1171</v>
      </c>
      <c r="I757" s="70">
        <f t="shared" si="51"/>
        <v>1161</v>
      </c>
      <c r="J757">
        <v>18</v>
      </c>
      <c r="K757" s="3" t="str">
        <f ca="1">VLOOKUP(J757,ConstDLCIds!$A$4:$B$1000,2,FALSE)</f>
        <v>DLC_GREYMOOR</v>
      </c>
      <c r="L757" s="3" t="str">
        <f ca="1">VLOOKUP(J757,ConstDLCIds!$A$4:$C$1000,3,FALSE)</f>
        <v>Greymoor</v>
      </c>
    </row>
    <row r="758" spans="1:12" x14ac:dyDescent="0.25">
      <c r="A758">
        <v>1172</v>
      </c>
      <c r="B758">
        <v>753</v>
      </c>
      <c r="C758">
        <v>1161</v>
      </c>
      <c r="D758" t="s">
        <v>2825</v>
      </c>
      <c r="E758" t="str">
        <f>IF(NOT(ISERROR(VLOOKUP(D758,'ESO DungeonFinder'!$A$2:$A$999,1,FALSE))),"X","")</f>
        <v/>
      </c>
      <c r="F758" s="70" t="str">
        <f t="shared" si="48"/>
        <v/>
      </c>
      <c r="G758" s="70" t="str">
        <f t="shared" si="49"/>
        <v>Blackreach: Greymoor Caverns</v>
      </c>
      <c r="H758" s="70">
        <f t="shared" si="50"/>
        <v>1172</v>
      </c>
      <c r="I758" s="70">
        <f t="shared" si="51"/>
        <v>1161</v>
      </c>
      <c r="J758">
        <v>18</v>
      </c>
      <c r="K758" s="3" t="str">
        <f ca="1">VLOOKUP(J758,ConstDLCIds!$A$4:$B$1000,2,FALSE)</f>
        <v>DLC_GREYMOOR</v>
      </c>
      <c r="L758" s="3" t="str">
        <f ca="1">VLOOKUP(J758,ConstDLCIds!$A$4:$C$1000,3,FALSE)</f>
        <v>Greymoor</v>
      </c>
    </row>
    <row r="759" spans="1:12" x14ac:dyDescent="0.25">
      <c r="A759">
        <v>1173</v>
      </c>
      <c r="B759">
        <v>754</v>
      </c>
      <c r="C759">
        <v>1161</v>
      </c>
      <c r="D759" t="s">
        <v>2826</v>
      </c>
      <c r="E759" t="str">
        <f>IF(NOT(ISERROR(VLOOKUP(D759,'ESO DungeonFinder'!$A$2:$A$999,1,FALSE))),"X","")</f>
        <v/>
      </c>
      <c r="F759" s="70" t="str">
        <f t="shared" si="48"/>
        <v/>
      </c>
      <c r="G759" s="70" t="str">
        <f t="shared" si="49"/>
        <v>Blackreach: Greymoor Caverns</v>
      </c>
      <c r="H759" s="70">
        <f t="shared" si="50"/>
        <v>1173</v>
      </c>
      <c r="I759" s="70">
        <f t="shared" si="51"/>
        <v>1161</v>
      </c>
      <c r="J759">
        <v>18</v>
      </c>
      <c r="K759" s="3" t="str">
        <f ca="1">VLOOKUP(J759,ConstDLCIds!$A$4:$B$1000,2,FALSE)</f>
        <v>DLC_GREYMOOR</v>
      </c>
      <c r="L759" s="3" t="str">
        <f ca="1">VLOOKUP(J759,ConstDLCIds!$A$4:$C$1000,3,FALSE)</f>
        <v>Greymoor</v>
      </c>
    </row>
    <row r="760" spans="1:12" x14ac:dyDescent="0.25">
      <c r="A760">
        <v>1174</v>
      </c>
      <c r="B760">
        <v>755</v>
      </c>
      <c r="C760">
        <v>1160</v>
      </c>
      <c r="D760" t="s">
        <v>2827</v>
      </c>
      <c r="E760" t="str">
        <f>IF(NOT(ISERROR(VLOOKUP(D760,'ESO DungeonFinder'!$A$2:$A$999,1,FALSE))),"X","")</f>
        <v/>
      </c>
      <c r="F760" s="70" t="str">
        <f t="shared" si="48"/>
        <v/>
      </c>
      <c r="G760" s="70" t="str">
        <f t="shared" si="49"/>
        <v>Western Skyrim</v>
      </c>
      <c r="H760" s="70">
        <f t="shared" si="50"/>
        <v>1174</v>
      </c>
      <c r="I760" s="70">
        <f t="shared" si="51"/>
        <v>1160</v>
      </c>
      <c r="J760">
        <v>18</v>
      </c>
      <c r="K760" s="3" t="str">
        <f ca="1">VLOOKUP(J760,ConstDLCIds!$A$4:$B$1000,2,FALSE)</f>
        <v>DLC_GREYMOOR</v>
      </c>
      <c r="L760" s="3" t="str">
        <f ca="1">VLOOKUP(J760,ConstDLCIds!$A$4:$C$1000,3,FALSE)</f>
        <v>Greymoor</v>
      </c>
    </row>
    <row r="761" spans="1:12" x14ac:dyDescent="0.25">
      <c r="A761">
        <v>1175</v>
      </c>
      <c r="B761">
        <v>756</v>
      </c>
      <c r="C761">
        <v>1175</v>
      </c>
      <c r="D761" t="s">
        <v>2828</v>
      </c>
      <c r="E761" t="str">
        <f>IF(NOT(ISERROR(VLOOKUP(D761,'ESO DungeonFinder'!$A$2:$A$999,1,FALSE))),"X","")</f>
        <v/>
      </c>
      <c r="F761" s="70" t="str">
        <f t="shared" si="48"/>
        <v>X</v>
      </c>
      <c r="G761" s="70" t="str">
        <f t="shared" si="49"/>
        <v/>
      </c>
      <c r="H761" s="70">
        <f t="shared" si="50"/>
        <v>1175</v>
      </c>
      <c r="I761" s="70">
        <f t="shared" si="51"/>
        <v>1175</v>
      </c>
      <c r="J761">
        <v>0</v>
      </c>
      <c r="K761" s="3" t="str">
        <f>VLOOKUP(J761,ConstDLCIds!$A$4:$B$1000,2,FALSE)</f>
        <v>DLC_BASE_GAME</v>
      </c>
      <c r="L761" s="3" t="str">
        <f>VLOOKUP(J761,ConstDLCIds!$A$4:$C$1000,3,FALSE)</f>
        <v>Included in base game</v>
      </c>
    </row>
    <row r="762" spans="1:12" x14ac:dyDescent="0.25">
      <c r="A762">
        <v>1176</v>
      </c>
      <c r="B762">
        <v>757</v>
      </c>
      <c r="C762">
        <v>1160</v>
      </c>
      <c r="D762" t="s">
        <v>2829</v>
      </c>
      <c r="E762" t="str">
        <f>IF(NOT(ISERROR(VLOOKUP(D762,'ESO DungeonFinder'!$A$2:$A$999,1,FALSE))),"X","")</f>
        <v/>
      </c>
      <c r="F762" s="70" t="str">
        <f t="shared" si="48"/>
        <v/>
      </c>
      <c r="G762" s="70" t="str">
        <f t="shared" si="49"/>
        <v>Western Skyrim</v>
      </c>
      <c r="H762" s="70">
        <f t="shared" si="50"/>
        <v>1176</v>
      </c>
      <c r="I762" s="70">
        <f t="shared" si="51"/>
        <v>1160</v>
      </c>
      <c r="J762">
        <v>18</v>
      </c>
      <c r="K762" s="3" t="str">
        <f ca="1">VLOOKUP(J762,ConstDLCIds!$A$4:$B$1000,2,FALSE)</f>
        <v>DLC_GREYMOOR</v>
      </c>
      <c r="L762" s="3" t="str">
        <f ca="1">VLOOKUP(J762,ConstDLCIds!$A$4:$C$1000,3,FALSE)</f>
        <v>Greymoor</v>
      </c>
    </row>
    <row r="763" spans="1:12" x14ac:dyDescent="0.25">
      <c r="A763">
        <v>1177</v>
      </c>
      <c r="B763">
        <v>758</v>
      </c>
      <c r="C763">
        <v>1160</v>
      </c>
      <c r="D763" t="s">
        <v>2830</v>
      </c>
      <c r="E763" t="str">
        <f>IF(NOT(ISERROR(VLOOKUP(D763,'ESO DungeonFinder'!$A$2:$A$999,1,FALSE))),"X","")</f>
        <v/>
      </c>
      <c r="F763" s="70" t="str">
        <f t="shared" si="48"/>
        <v/>
      </c>
      <c r="G763" s="70" t="str">
        <f t="shared" si="49"/>
        <v>Western Skyrim</v>
      </c>
      <c r="H763" s="70">
        <f t="shared" si="50"/>
        <v>1177</v>
      </c>
      <c r="I763" s="70">
        <f t="shared" si="51"/>
        <v>1160</v>
      </c>
      <c r="J763">
        <v>18</v>
      </c>
      <c r="K763" s="3" t="str">
        <f ca="1">VLOOKUP(J763,ConstDLCIds!$A$4:$B$1000,2,FALSE)</f>
        <v>DLC_GREYMOOR</v>
      </c>
      <c r="L763" s="3" t="str">
        <f ca="1">VLOOKUP(J763,ConstDLCIds!$A$4:$C$1000,3,FALSE)</f>
        <v>Greymoor</v>
      </c>
    </row>
    <row r="764" spans="1:12" x14ac:dyDescent="0.25">
      <c r="A764">
        <v>1178</v>
      </c>
      <c r="B764">
        <v>759</v>
      </c>
      <c r="C764">
        <v>1160</v>
      </c>
      <c r="D764" t="s">
        <v>2831</v>
      </c>
      <c r="E764" t="str">
        <f>IF(NOT(ISERROR(VLOOKUP(D764,'ESO DungeonFinder'!$A$2:$A$999,1,FALSE))),"X","")</f>
        <v/>
      </c>
      <c r="F764" s="70" t="str">
        <f t="shared" si="48"/>
        <v/>
      </c>
      <c r="G764" s="70" t="str">
        <f t="shared" si="49"/>
        <v>Western Skyrim</v>
      </c>
      <c r="H764" s="70">
        <f t="shared" si="50"/>
        <v>1178</v>
      </c>
      <c r="I764" s="70">
        <f t="shared" si="51"/>
        <v>1160</v>
      </c>
      <c r="J764">
        <v>18</v>
      </c>
      <c r="K764" s="3" t="str">
        <f ca="1">VLOOKUP(J764,ConstDLCIds!$A$4:$B$1000,2,FALSE)</f>
        <v>DLC_GREYMOOR</v>
      </c>
      <c r="L764" s="3" t="str">
        <f ca="1">VLOOKUP(J764,ConstDLCIds!$A$4:$C$1000,3,FALSE)</f>
        <v>Greymoor</v>
      </c>
    </row>
    <row r="765" spans="1:12" x14ac:dyDescent="0.25">
      <c r="A765">
        <v>1179</v>
      </c>
      <c r="B765">
        <v>760</v>
      </c>
      <c r="C765">
        <v>1160</v>
      </c>
      <c r="D765" t="s">
        <v>2832</v>
      </c>
      <c r="E765" t="str">
        <f>IF(NOT(ISERROR(VLOOKUP(D765,'ESO DungeonFinder'!$A$2:$A$999,1,FALSE))),"X","")</f>
        <v/>
      </c>
      <c r="F765" s="70" t="str">
        <f t="shared" si="48"/>
        <v/>
      </c>
      <c r="G765" s="70" t="str">
        <f t="shared" si="49"/>
        <v>Western Skyrim</v>
      </c>
      <c r="H765" s="70">
        <f t="shared" si="50"/>
        <v>1179</v>
      </c>
      <c r="I765" s="70">
        <f t="shared" si="51"/>
        <v>1160</v>
      </c>
      <c r="J765">
        <v>18</v>
      </c>
      <c r="K765" s="3" t="str">
        <f ca="1">VLOOKUP(J765,ConstDLCIds!$A$4:$B$1000,2,FALSE)</f>
        <v>DLC_GREYMOOR</v>
      </c>
      <c r="L765" s="3" t="str">
        <f ca="1">VLOOKUP(J765,ConstDLCIds!$A$4:$C$1000,3,FALSE)</f>
        <v>Greymoor</v>
      </c>
    </row>
    <row r="766" spans="1:12" x14ac:dyDescent="0.25">
      <c r="A766">
        <v>1180</v>
      </c>
      <c r="B766">
        <v>761</v>
      </c>
      <c r="C766">
        <v>383</v>
      </c>
      <c r="D766" t="s">
        <v>2833</v>
      </c>
      <c r="E766" t="str">
        <f>IF(NOT(ISERROR(VLOOKUP(D766,'ESO DungeonFinder'!$A$2:$A$999,1,FALSE))),"X","")</f>
        <v/>
      </c>
      <c r="F766" s="70" t="str">
        <f t="shared" si="48"/>
        <v/>
      </c>
      <c r="G766" s="70" t="str">
        <f t="shared" si="49"/>
        <v>Grahtwood</v>
      </c>
      <c r="H766" s="70">
        <f t="shared" si="50"/>
        <v>1180</v>
      </c>
      <c r="I766" s="70">
        <f t="shared" si="51"/>
        <v>383</v>
      </c>
      <c r="J766">
        <v>0</v>
      </c>
      <c r="K766" s="3" t="str">
        <f>VLOOKUP(J766,ConstDLCIds!$A$4:$B$1000,2,FALSE)</f>
        <v>DLC_BASE_GAME</v>
      </c>
      <c r="L766" s="3" t="str">
        <f>VLOOKUP(J766,ConstDLCIds!$A$4:$C$1000,3,FALSE)</f>
        <v>Included in base game</v>
      </c>
    </row>
    <row r="767" spans="1:12" x14ac:dyDescent="0.25">
      <c r="A767">
        <v>1181</v>
      </c>
      <c r="B767">
        <v>762</v>
      </c>
      <c r="C767">
        <v>1161</v>
      </c>
      <c r="D767" t="s">
        <v>2834</v>
      </c>
      <c r="E767" t="str">
        <f>IF(NOT(ISERROR(VLOOKUP(D767,'ESO DungeonFinder'!$A$2:$A$999,1,FALSE))),"X","")</f>
        <v/>
      </c>
      <c r="F767" s="70" t="str">
        <f t="shared" si="48"/>
        <v/>
      </c>
      <c r="G767" s="70" t="str">
        <f t="shared" si="49"/>
        <v>Blackreach: Greymoor Caverns</v>
      </c>
      <c r="H767" s="70">
        <f t="shared" si="50"/>
        <v>1181</v>
      </c>
      <c r="I767" s="70">
        <f t="shared" si="51"/>
        <v>1161</v>
      </c>
      <c r="J767">
        <v>18</v>
      </c>
      <c r="K767" s="3" t="str">
        <f ca="1">VLOOKUP(J767,ConstDLCIds!$A$4:$B$1000,2,FALSE)</f>
        <v>DLC_GREYMOOR</v>
      </c>
      <c r="L767" s="3" t="str">
        <f ca="1">VLOOKUP(J767,ConstDLCIds!$A$4:$C$1000,3,FALSE)</f>
        <v>Greymoor</v>
      </c>
    </row>
    <row r="768" spans="1:12" x14ac:dyDescent="0.25">
      <c r="A768">
        <v>1182</v>
      </c>
      <c r="B768">
        <v>763</v>
      </c>
      <c r="C768">
        <v>1160</v>
      </c>
      <c r="D768" t="s">
        <v>2835</v>
      </c>
      <c r="E768" t="str">
        <f>IF(NOT(ISERROR(VLOOKUP(D768,'ESO DungeonFinder'!$A$2:$A$999,1,FALSE))),"X","")</f>
        <v/>
      </c>
      <c r="F768" s="70" t="str">
        <f t="shared" si="48"/>
        <v/>
      </c>
      <c r="G768" s="70" t="str">
        <f t="shared" si="49"/>
        <v>Western Skyrim</v>
      </c>
      <c r="H768" s="70">
        <f t="shared" si="50"/>
        <v>1182</v>
      </c>
      <c r="I768" s="70">
        <f t="shared" si="51"/>
        <v>1160</v>
      </c>
      <c r="J768">
        <v>18</v>
      </c>
      <c r="K768" s="3" t="str">
        <f ca="1">VLOOKUP(J768,ConstDLCIds!$A$4:$B$1000,2,FALSE)</f>
        <v>DLC_GREYMOOR</v>
      </c>
      <c r="L768" s="3" t="str">
        <f ca="1">VLOOKUP(J768,ConstDLCIds!$A$4:$C$1000,3,FALSE)</f>
        <v>Greymoor</v>
      </c>
    </row>
    <row r="769" spans="1:12" x14ac:dyDescent="0.25">
      <c r="A769">
        <v>1183</v>
      </c>
      <c r="B769">
        <v>764</v>
      </c>
      <c r="C769">
        <v>1161</v>
      </c>
      <c r="D769" t="s">
        <v>2836</v>
      </c>
      <c r="E769" t="str">
        <f>IF(NOT(ISERROR(VLOOKUP(D769,'ESO DungeonFinder'!$A$2:$A$999,1,FALSE))),"X","")</f>
        <v/>
      </c>
      <c r="F769" s="70" t="str">
        <f t="shared" si="48"/>
        <v/>
      </c>
      <c r="G769" s="70" t="str">
        <f t="shared" si="49"/>
        <v>Blackreach: Greymoor Caverns</v>
      </c>
      <c r="H769" s="70">
        <f t="shared" si="50"/>
        <v>1183</v>
      </c>
      <c r="I769" s="70">
        <f t="shared" si="51"/>
        <v>1161</v>
      </c>
      <c r="J769">
        <v>18</v>
      </c>
      <c r="K769" s="3" t="str">
        <f ca="1">VLOOKUP(J769,ConstDLCIds!$A$4:$B$1000,2,FALSE)</f>
        <v>DLC_GREYMOOR</v>
      </c>
      <c r="L769" s="3" t="str">
        <f ca="1">VLOOKUP(J769,ConstDLCIds!$A$4:$C$1000,3,FALSE)</f>
        <v>Greymoor</v>
      </c>
    </row>
    <row r="770" spans="1:12" x14ac:dyDescent="0.25">
      <c r="A770">
        <v>1184</v>
      </c>
      <c r="B770">
        <v>765</v>
      </c>
      <c r="C770">
        <v>1161</v>
      </c>
      <c r="D770" t="s">
        <v>2837</v>
      </c>
      <c r="E770" t="str">
        <f>IF(NOT(ISERROR(VLOOKUP(D770,'ESO DungeonFinder'!$A$2:$A$999,1,FALSE))),"X","")</f>
        <v/>
      </c>
      <c r="F770" s="70" t="str">
        <f t="shared" si="48"/>
        <v/>
      </c>
      <c r="G770" s="70" t="str">
        <f t="shared" si="49"/>
        <v>Blackreach: Greymoor Caverns</v>
      </c>
      <c r="H770" s="70">
        <f t="shared" si="50"/>
        <v>1184</v>
      </c>
      <c r="I770" s="70">
        <f t="shared" si="51"/>
        <v>1161</v>
      </c>
      <c r="J770">
        <v>18</v>
      </c>
      <c r="K770" s="3" t="str">
        <f ca="1">VLOOKUP(J770,ConstDLCIds!$A$4:$B$1000,2,FALSE)</f>
        <v>DLC_GREYMOOR</v>
      </c>
      <c r="L770" s="3" t="str">
        <f ca="1">VLOOKUP(J770,ConstDLCIds!$A$4:$C$1000,3,FALSE)</f>
        <v>Greymoor</v>
      </c>
    </row>
    <row r="771" spans="1:12" x14ac:dyDescent="0.25">
      <c r="A771">
        <v>1185</v>
      </c>
      <c r="B771">
        <v>766</v>
      </c>
      <c r="C771">
        <v>1160</v>
      </c>
      <c r="D771" t="s">
        <v>2838</v>
      </c>
      <c r="E771" t="str">
        <f>IF(NOT(ISERROR(VLOOKUP(D771,'ESO DungeonFinder'!$A$2:$A$999,1,FALSE))),"X","")</f>
        <v/>
      </c>
      <c r="F771" s="70" t="str">
        <f t="shared" si="48"/>
        <v/>
      </c>
      <c r="G771" s="70" t="str">
        <f t="shared" si="49"/>
        <v>Western Skyrim</v>
      </c>
      <c r="H771" s="70">
        <f t="shared" si="50"/>
        <v>1185</v>
      </c>
      <c r="I771" s="70">
        <f t="shared" si="51"/>
        <v>1160</v>
      </c>
      <c r="J771">
        <v>18</v>
      </c>
      <c r="K771" s="3" t="str">
        <f ca="1">VLOOKUP(J771,ConstDLCIds!$A$4:$B$1000,2,FALSE)</f>
        <v>DLC_GREYMOOR</v>
      </c>
      <c r="L771" s="3" t="str">
        <f ca="1">VLOOKUP(J771,ConstDLCIds!$A$4:$C$1000,3,FALSE)</f>
        <v>Greymoor</v>
      </c>
    </row>
    <row r="772" spans="1:12" x14ac:dyDescent="0.25">
      <c r="A772">
        <v>1186</v>
      </c>
      <c r="B772">
        <v>767</v>
      </c>
      <c r="C772">
        <v>1160</v>
      </c>
      <c r="D772" t="s">
        <v>2190</v>
      </c>
      <c r="E772" t="str">
        <f>IF(NOT(ISERROR(VLOOKUP(D772,'ESO DungeonFinder'!$A$2:$A$999,1,FALSE))),"X","")</f>
        <v/>
      </c>
      <c r="F772" s="70" t="str">
        <f t="shared" si="48"/>
        <v/>
      </c>
      <c r="G772" s="70" t="str">
        <f t="shared" si="49"/>
        <v>Western Skyrim</v>
      </c>
      <c r="H772" s="70">
        <f t="shared" si="50"/>
        <v>1186</v>
      </c>
      <c r="I772" s="70">
        <f t="shared" si="51"/>
        <v>1160</v>
      </c>
      <c r="J772">
        <v>18</v>
      </c>
      <c r="K772" s="3" t="str">
        <f ca="1">VLOOKUP(J772,ConstDLCIds!$A$4:$B$1000,2,FALSE)</f>
        <v>DLC_GREYMOOR</v>
      </c>
      <c r="L772" s="3" t="str">
        <f ca="1">VLOOKUP(J772,ConstDLCIds!$A$4:$C$1000,3,FALSE)</f>
        <v>Greymoor</v>
      </c>
    </row>
    <row r="773" spans="1:12" x14ac:dyDescent="0.25">
      <c r="A773">
        <v>1187</v>
      </c>
      <c r="B773">
        <v>768</v>
      </c>
      <c r="C773">
        <v>1161</v>
      </c>
      <c r="D773" t="s">
        <v>2191</v>
      </c>
      <c r="E773" t="str">
        <f>IF(NOT(ISERROR(VLOOKUP(D773,'ESO DungeonFinder'!$A$2:$A$999,1,FALSE))),"X","")</f>
        <v/>
      </c>
      <c r="F773" s="70" t="str">
        <f t="shared" si="48"/>
        <v/>
      </c>
      <c r="G773" s="70" t="str">
        <f t="shared" si="49"/>
        <v>Blackreach: Greymoor Caverns</v>
      </c>
      <c r="H773" s="70">
        <f t="shared" si="50"/>
        <v>1187</v>
      </c>
      <c r="I773" s="70">
        <f t="shared" si="51"/>
        <v>1161</v>
      </c>
      <c r="J773">
        <v>18</v>
      </c>
      <c r="K773" s="3" t="str">
        <f ca="1">VLOOKUP(J773,ConstDLCIds!$A$4:$B$1000,2,FALSE)</f>
        <v>DLC_GREYMOOR</v>
      </c>
      <c r="L773" s="3" t="str">
        <f ca="1">VLOOKUP(J773,ConstDLCIds!$A$4:$C$1000,3,FALSE)</f>
        <v>Greymoor</v>
      </c>
    </row>
    <row r="774" spans="1:12" x14ac:dyDescent="0.25">
      <c r="A774">
        <v>1188</v>
      </c>
      <c r="B774">
        <v>769</v>
      </c>
      <c r="C774">
        <v>101</v>
      </c>
      <c r="D774" t="s">
        <v>2839</v>
      </c>
      <c r="E774" t="str">
        <f>IF(NOT(ISERROR(VLOOKUP(D774,'ESO DungeonFinder'!$A$2:$A$999,1,FALSE))),"X","")</f>
        <v/>
      </c>
      <c r="F774" s="70" t="str">
        <f t="shared" si="48"/>
        <v/>
      </c>
      <c r="G774" s="70" t="str">
        <f t="shared" si="49"/>
        <v>Eastmarch</v>
      </c>
      <c r="H774" s="70">
        <f t="shared" si="50"/>
        <v>1188</v>
      </c>
      <c r="I774" s="70">
        <f t="shared" si="51"/>
        <v>101</v>
      </c>
      <c r="J774">
        <v>0</v>
      </c>
      <c r="K774" s="3" t="str">
        <f>VLOOKUP(J774,ConstDLCIds!$A$4:$B$1000,2,FALSE)</f>
        <v>DLC_BASE_GAME</v>
      </c>
      <c r="L774" s="3" t="str">
        <f>VLOOKUP(J774,ConstDLCIds!$A$4:$C$1000,3,FALSE)</f>
        <v>Included in base game</v>
      </c>
    </row>
    <row r="775" spans="1:12" x14ac:dyDescent="0.25">
      <c r="A775">
        <v>1189</v>
      </c>
      <c r="B775">
        <v>770</v>
      </c>
      <c r="C775">
        <v>101</v>
      </c>
      <c r="D775" t="s">
        <v>2839</v>
      </c>
      <c r="E775" t="str">
        <f>IF(NOT(ISERROR(VLOOKUP(D775,'ESO DungeonFinder'!$A$2:$A$999,1,FALSE))),"X","")</f>
        <v/>
      </c>
      <c r="F775" s="70" t="str">
        <f t="shared" ref="F775:F838" si="52">IF(EXACT(A775,C775),"X","")</f>
        <v/>
      </c>
      <c r="G775" s="70" t="str">
        <f t="shared" ref="G775:G838" si="53">IF(A775&lt;&gt;C775,VLOOKUP(C775,$A$5:$D$9956,4,FALSE),"")</f>
        <v>Eastmarch</v>
      </c>
      <c r="H775" s="70">
        <f t="shared" ref="H775:H838" si="54">A775</f>
        <v>1189</v>
      </c>
      <c r="I775" s="70">
        <f t="shared" ref="I775:I838" si="55">C775</f>
        <v>101</v>
      </c>
      <c r="J775">
        <v>0</v>
      </c>
      <c r="K775" s="3" t="str">
        <f>VLOOKUP(J775,ConstDLCIds!$A$4:$B$1000,2,FALSE)</f>
        <v>DLC_BASE_GAME</v>
      </c>
      <c r="L775" s="3" t="str">
        <f>VLOOKUP(J775,ConstDLCIds!$A$4:$C$1000,3,FALSE)</f>
        <v>Included in base game</v>
      </c>
    </row>
    <row r="776" spans="1:12" x14ac:dyDescent="0.25">
      <c r="A776">
        <v>1190</v>
      </c>
      <c r="B776">
        <v>771</v>
      </c>
      <c r="C776">
        <v>103</v>
      </c>
      <c r="D776" t="s">
        <v>2840</v>
      </c>
      <c r="E776" t="str">
        <f>IF(NOT(ISERROR(VLOOKUP(D776,'ESO DungeonFinder'!$A$2:$A$999,1,FALSE))),"X","")</f>
        <v/>
      </c>
      <c r="F776" s="70" t="str">
        <f t="shared" si="52"/>
        <v/>
      </c>
      <c r="G776" s="70" t="str">
        <f t="shared" si="53"/>
        <v>The Rift</v>
      </c>
      <c r="H776" s="70">
        <f t="shared" si="54"/>
        <v>1190</v>
      </c>
      <c r="I776" s="70">
        <f t="shared" si="55"/>
        <v>103</v>
      </c>
      <c r="J776">
        <v>0</v>
      </c>
      <c r="K776" s="3" t="str">
        <f>VLOOKUP(J776,ConstDLCIds!$A$4:$B$1000,2,FALSE)</f>
        <v>DLC_BASE_GAME</v>
      </c>
      <c r="L776" s="3" t="str">
        <f>VLOOKUP(J776,ConstDLCIds!$A$4:$C$1000,3,FALSE)</f>
        <v>Included in base game</v>
      </c>
    </row>
    <row r="777" spans="1:12" x14ac:dyDescent="0.25">
      <c r="A777">
        <v>1191</v>
      </c>
      <c r="B777">
        <v>772</v>
      </c>
      <c r="C777">
        <v>101</v>
      </c>
      <c r="D777" t="s">
        <v>2841</v>
      </c>
      <c r="E777" t="str">
        <f>IF(NOT(ISERROR(VLOOKUP(D777,'ESO DungeonFinder'!$A$2:$A$999,1,FALSE))),"X","")</f>
        <v/>
      </c>
      <c r="F777" s="70" t="str">
        <f t="shared" si="52"/>
        <v/>
      </c>
      <c r="G777" s="70" t="str">
        <f t="shared" si="53"/>
        <v>Eastmarch</v>
      </c>
      <c r="H777" s="70">
        <f t="shared" si="54"/>
        <v>1191</v>
      </c>
      <c r="I777" s="70">
        <f t="shared" si="55"/>
        <v>101</v>
      </c>
      <c r="J777">
        <v>0</v>
      </c>
      <c r="K777" s="3" t="str">
        <f>VLOOKUP(J777,ConstDLCIds!$A$4:$B$1000,2,FALSE)</f>
        <v>DLC_BASE_GAME</v>
      </c>
      <c r="L777" s="3" t="str">
        <f>VLOOKUP(J777,ConstDLCIds!$A$4:$C$1000,3,FALSE)</f>
        <v>Included in base game</v>
      </c>
    </row>
    <row r="778" spans="1:12" x14ac:dyDescent="0.25">
      <c r="A778">
        <v>1192</v>
      </c>
      <c r="B778">
        <v>773</v>
      </c>
      <c r="C778">
        <v>1133</v>
      </c>
      <c r="D778" t="s">
        <v>2842</v>
      </c>
      <c r="E778" t="str">
        <f>IF(NOT(ISERROR(VLOOKUP(D778,'ESO DungeonFinder'!$A$2:$A$999,1,FALSE))),"X","")</f>
        <v/>
      </c>
      <c r="F778" s="70" t="str">
        <f t="shared" si="52"/>
        <v/>
      </c>
      <c r="G778" s="70" t="str">
        <f t="shared" si="53"/>
        <v>Southern Elsweyr</v>
      </c>
      <c r="H778" s="70">
        <f t="shared" si="54"/>
        <v>1192</v>
      </c>
      <c r="I778" s="70">
        <f t="shared" si="55"/>
        <v>1133</v>
      </c>
      <c r="J778">
        <v>16</v>
      </c>
      <c r="K778" s="3" t="str">
        <f ca="1">VLOOKUP(J778,ConstDLCIds!$A$4:$B$1000,2,FALSE)</f>
        <v>DLC_DRAGONHOLD</v>
      </c>
      <c r="L778" s="3" t="str">
        <f ca="1">VLOOKUP(J778,ConstDLCIds!$A$4:$C$1000,3,FALSE)</f>
        <v>Dragonhold</v>
      </c>
    </row>
    <row r="779" spans="1:12" x14ac:dyDescent="0.25">
      <c r="A779">
        <v>1193</v>
      </c>
      <c r="B779">
        <v>774</v>
      </c>
      <c r="C779">
        <v>1133</v>
      </c>
      <c r="D779" t="s">
        <v>2843</v>
      </c>
      <c r="E779" t="str">
        <f>IF(NOT(ISERROR(VLOOKUP(D779,'ESO DungeonFinder'!$A$2:$A$999,1,FALSE))),"X","")</f>
        <v/>
      </c>
      <c r="F779" s="70" t="str">
        <f t="shared" si="52"/>
        <v/>
      </c>
      <c r="G779" s="70" t="str">
        <f t="shared" si="53"/>
        <v>Southern Elsweyr</v>
      </c>
      <c r="H779" s="70">
        <f t="shared" si="54"/>
        <v>1193</v>
      </c>
      <c r="I779" s="70">
        <f t="shared" si="55"/>
        <v>1133</v>
      </c>
      <c r="J779">
        <v>16</v>
      </c>
      <c r="K779" s="3" t="str">
        <f ca="1">VLOOKUP(J779,ConstDLCIds!$A$4:$B$1000,2,FALSE)</f>
        <v>DLC_DRAGONHOLD</v>
      </c>
      <c r="L779" s="3" t="str">
        <f ca="1">VLOOKUP(J779,ConstDLCIds!$A$4:$C$1000,3,FALSE)</f>
        <v>Dragonhold</v>
      </c>
    </row>
    <row r="780" spans="1:12" x14ac:dyDescent="0.25">
      <c r="A780">
        <v>1195</v>
      </c>
      <c r="B780">
        <v>775</v>
      </c>
      <c r="C780">
        <v>1161</v>
      </c>
      <c r="D780" t="s">
        <v>2844</v>
      </c>
      <c r="E780" t="str">
        <f>IF(NOT(ISERROR(VLOOKUP(D780,'ESO DungeonFinder'!$A$2:$A$999,1,FALSE))),"X","")</f>
        <v/>
      </c>
      <c r="F780" s="70" t="str">
        <f t="shared" si="52"/>
        <v/>
      </c>
      <c r="G780" s="70" t="str">
        <f t="shared" si="53"/>
        <v>Blackreach: Greymoor Caverns</v>
      </c>
      <c r="H780" s="70">
        <f t="shared" si="54"/>
        <v>1195</v>
      </c>
      <c r="I780" s="70">
        <f t="shared" si="55"/>
        <v>1161</v>
      </c>
      <c r="J780">
        <v>18</v>
      </c>
      <c r="K780" s="3" t="str">
        <f ca="1">VLOOKUP(J780,ConstDLCIds!$A$4:$B$1000,2,FALSE)</f>
        <v>DLC_GREYMOOR</v>
      </c>
      <c r="L780" s="3" t="str">
        <f ca="1">VLOOKUP(J780,ConstDLCIds!$A$4:$C$1000,3,FALSE)</f>
        <v>Greymoor</v>
      </c>
    </row>
    <row r="781" spans="1:12" x14ac:dyDescent="0.25">
      <c r="A781">
        <v>1196</v>
      </c>
      <c r="B781">
        <v>776</v>
      </c>
      <c r="C781">
        <v>1160</v>
      </c>
      <c r="D781" t="s">
        <v>1383</v>
      </c>
      <c r="E781" t="str">
        <f>IF(NOT(ISERROR(VLOOKUP(D781,'ESO DungeonFinder'!$A$2:$A$999,1,FALSE))),"X","")</f>
        <v/>
      </c>
      <c r="F781" s="70" t="str">
        <f t="shared" si="52"/>
        <v/>
      </c>
      <c r="G781" s="70" t="str">
        <f t="shared" si="53"/>
        <v>Western Skyrim</v>
      </c>
      <c r="H781" s="70">
        <f t="shared" si="54"/>
        <v>1196</v>
      </c>
      <c r="I781" s="70">
        <f t="shared" si="55"/>
        <v>1160</v>
      </c>
      <c r="J781">
        <v>18</v>
      </c>
      <c r="K781" s="3" t="str">
        <f ca="1">VLOOKUP(J781,ConstDLCIds!$A$4:$B$1000,2,FALSE)</f>
        <v>DLC_GREYMOOR</v>
      </c>
      <c r="L781" s="3" t="str">
        <f ca="1">VLOOKUP(J781,ConstDLCIds!$A$4:$C$1000,3,FALSE)</f>
        <v>Greymoor</v>
      </c>
    </row>
    <row r="782" spans="1:12" x14ac:dyDescent="0.25">
      <c r="A782">
        <v>1197</v>
      </c>
      <c r="B782">
        <v>777</v>
      </c>
      <c r="C782">
        <v>1161</v>
      </c>
      <c r="D782" t="s">
        <v>1436</v>
      </c>
      <c r="E782" t="str">
        <f>IF(NOT(ISERROR(VLOOKUP(D782,'ESO DungeonFinder'!$A$2:$A$999,1,FALSE))),"X","")</f>
        <v>X</v>
      </c>
      <c r="F782" s="70" t="str">
        <f t="shared" si="52"/>
        <v/>
      </c>
      <c r="G782" s="70" t="str">
        <f t="shared" si="53"/>
        <v>Blackreach: Greymoor Caverns</v>
      </c>
      <c r="H782" s="70">
        <f t="shared" si="54"/>
        <v>1197</v>
      </c>
      <c r="I782" s="70">
        <f t="shared" si="55"/>
        <v>1161</v>
      </c>
      <c r="J782">
        <v>19</v>
      </c>
      <c r="K782" s="3" t="str">
        <f ca="1">VLOOKUP(J782,ConstDLCIds!$A$4:$B$1000,2,FALSE)</f>
        <v>DLC_STONETHORN</v>
      </c>
      <c r="L782" s="3" t="str">
        <f ca="1">VLOOKUP(J782,ConstDLCIds!$A$4:$C$1000,3,FALSE)</f>
        <v>Stonethorn</v>
      </c>
    </row>
    <row r="783" spans="1:12" x14ac:dyDescent="0.25">
      <c r="A783">
        <v>1199</v>
      </c>
      <c r="B783">
        <v>778</v>
      </c>
      <c r="C783">
        <v>684</v>
      </c>
      <c r="D783" t="s">
        <v>2845</v>
      </c>
      <c r="E783" t="str">
        <f>IF(NOT(ISERROR(VLOOKUP(D783,'ESO DungeonFinder'!$A$2:$A$999,1,FALSE))),"X","")</f>
        <v/>
      </c>
      <c r="F783" s="70" t="str">
        <f t="shared" si="52"/>
        <v/>
      </c>
      <c r="G783" s="70" t="str">
        <f t="shared" si="53"/>
        <v>Wrothgar</v>
      </c>
      <c r="H783" s="70">
        <f t="shared" si="54"/>
        <v>1199</v>
      </c>
      <c r="I783" s="70">
        <f t="shared" si="55"/>
        <v>684</v>
      </c>
      <c r="J783">
        <v>2</v>
      </c>
      <c r="K783" s="3" t="str">
        <f ca="1">VLOOKUP(J783,ConstDLCIds!$A$4:$B$1000,2,FALSE)</f>
        <v>DLC_ORSINIUM</v>
      </c>
      <c r="L783" s="3" t="str">
        <f ca="1">VLOOKUP(J783,ConstDLCIds!$A$4:$C$1000,3,FALSE)</f>
        <v>Orsinium</v>
      </c>
    </row>
    <row r="784" spans="1:12" x14ac:dyDescent="0.25">
      <c r="A784">
        <v>1200</v>
      </c>
      <c r="B784">
        <v>779</v>
      </c>
      <c r="C784">
        <v>92</v>
      </c>
      <c r="D784" t="s">
        <v>2846</v>
      </c>
      <c r="E784" t="str">
        <f>IF(NOT(ISERROR(VLOOKUP(D784,'ESO DungeonFinder'!$A$2:$A$999,1,FALSE))),"X","")</f>
        <v/>
      </c>
      <c r="F784" s="70" t="str">
        <f t="shared" si="52"/>
        <v/>
      </c>
      <c r="G784" s="70" t="str">
        <f t="shared" si="53"/>
        <v>Bangkorai</v>
      </c>
      <c r="H784" s="70">
        <f t="shared" si="54"/>
        <v>1200</v>
      </c>
      <c r="I784" s="70">
        <f t="shared" si="55"/>
        <v>92</v>
      </c>
      <c r="J784">
        <v>0</v>
      </c>
      <c r="K784" s="3" t="str">
        <f>VLOOKUP(J784,ConstDLCIds!$A$4:$B$1000,2,FALSE)</f>
        <v>DLC_BASE_GAME</v>
      </c>
      <c r="L784" s="3" t="str">
        <f>VLOOKUP(J784,ConstDLCIds!$A$4:$C$1000,3,FALSE)</f>
        <v>Included in base game</v>
      </c>
    </row>
    <row r="785" spans="1:12" x14ac:dyDescent="0.25">
      <c r="A785">
        <v>1201</v>
      </c>
      <c r="B785">
        <v>780</v>
      </c>
      <c r="C785">
        <v>1160</v>
      </c>
      <c r="D785" t="s">
        <v>1429</v>
      </c>
      <c r="E785" t="str">
        <f>IF(NOT(ISERROR(VLOOKUP(D785,'ESO DungeonFinder'!$A$2:$A$999,1,FALSE))),"X","")</f>
        <v>X</v>
      </c>
      <c r="F785" s="70" t="str">
        <f t="shared" si="52"/>
        <v/>
      </c>
      <c r="G785" s="70" t="str">
        <f t="shared" si="53"/>
        <v>Western Skyrim</v>
      </c>
      <c r="H785" s="70">
        <f t="shared" si="54"/>
        <v>1201</v>
      </c>
      <c r="I785" s="70">
        <f t="shared" si="55"/>
        <v>1160</v>
      </c>
      <c r="J785">
        <v>19</v>
      </c>
      <c r="K785" s="3" t="str">
        <f ca="1">VLOOKUP(J785,ConstDLCIds!$A$4:$B$1000,2,FALSE)</f>
        <v>DLC_STONETHORN</v>
      </c>
      <c r="L785" s="3" t="str">
        <f ca="1">VLOOKUP(J785,ConstDLCIds!$A$4:$C$1000,3,FALSE)</f>
        <v>Stonethorn</v>
      </c>
    </row>
    <row r="786" spans="1:12" x14ac:dyDescent="0.25">
      <c r="A786">
        <v>1204</v>
      </c>
      <c r="B786">
        <v>781</v>
      </c>
      <c r="C786">
        <v>1204</v>
      </c>
      <c r="D786" t="s">
        <v>2847</v>
      </c>
      <c r="E786" t="str">
        <f>IF(NOT(ISERROR(VLOOKUP(D786,'ESO DungeonFinder'!$A$2:$A$999,1,FALSE))),"X","")</f>
        <v/>
      </c>
      <c r="F786" s="70" t="str">
        <f t="shared" si="52"/>
        <v>X</v>
      </c>
      <c r="G786" s="70" t="str">
        <f t="shared" si="53"/>
        <v/>
      </c>
      <c r="H786" s="70">
        <f t="shared" si="54"/>
        <v>1204</v>
      </c>
      <c r="I786" s="70">
        <f t="shared" si="55"/>
        <v>1204</v>
      </c>
      <c r="J786">
        <v>18</v>
      </c>
      <c r="K786" s="3" t="str">
        <f ca="1">VLOOKUP(J786,ConstDLCIds!$A$4:$B$1000,2,FALSE)</f>
        <v>DLC_GREYMOOR</v>
      </c>
      <c r="L786" s="3" t="str">
        <f ca="1">VLOOKUP(J786,ConstDLCIds!$A$4:$C$1000,3,FALSE)</f>
        <v>Greymoor</v>
      </c>
    </row>
    <row r="787" spans="1:12" x14ac:dyDescent="0.25">
      <c r="A787">
        <v>1205</v>
      </c>
      <c r="B787">
        <v>782</v>
      </c>
      <c r="C787">
        <v>20</v>
      </c>
      <c r="D787" t="s">
        <v>2848</v>
      </c>
      <c r="E787" t="str">
        <f>IF(NOT(ISERROR(VLOOKUP(D787,'ESO DungeonFinder'!$A$2:$A$999,1,FALSE))),"X","")</f>
        <v/>
      </c>
      <c r="F787" s="70" t="str">
        <f t="shared" si="52"/>
        <v/>
      </c>
      <c r="G787" s="70" t="str">
        <f t="shared" si="53"/>
        <v>Rivenspire</v>
      </c>
      <c r="H787" s="70">
        <f t="shared" si="54"/>
        <v>1205</v>
      </c>
      <c r="I787" s="70">
        <f t="shared" si="55"/>
        <v>20</v>
      </c>
      <c r="J787">
        <v>0</v>
      </c>
      <c r="K787" s="3" t="str">
        <f>VLOOKUP(J787,ConstDLCIds!$A$4:$B$1000,2,FALSE)</f>
        <v>DLC_BASE_GAME</v>
      </c>
      <c r="L787" s="3" t="str">
        <f>VLOOKUP(J787,ConstDLCIds!$A$4:$C$1000,3,FALSE)</f>
        <v>Included in base game</v>
      </c>
    </row>
    <row r="788" spans="1:12" x14ac:dyDescent="0.25">
      <c r="A788">
        <v>1206</v>
      </c>
      <c r="B788">
        <v>783</v>
      </c>
      <c r="C788">
        <v>20</v>
      </c>
      <c r="D788" t="s">
        <v>2849</v>
      </c>
      <c r="E788" t="str">
        <f>IF(NOT(ISERROR(VLOOKUP(D788,'ESO DungeonFinder'!$A$2:$A$999,1,FALSE))),"X","")</f>
        <v/>
      </c>
      <c r="F788" s="70" t="str">
        <f t="shared" si="52"/>
        <v/>
      </c>
      <c r="G788" s="70" t="str">
        <f t="shared" si="53"/>
        <v>Rivenspire</v>
      </c>
      <c r="H788" s="70">
        <f t="shared" si="54"/>
        <v>1206</v>
      </c>
      <c r="I788" s="70">
        <f t="shared" si="55"/>
        <v>20</v>
      </c>
      <c r="J788">
        <v>0</v>
      </c>
      <c r="K788" s="3" t="str">
        <f>VLOOKUP(J788,ConstDLCIds!$A$4:$B$1000,2,FALSE)</f>
        <v>DLC_BASE_GAME</v>
      </c>
      <c r="L788" s="3" t="str">
        <f>VLOOKUP(J788,ConstDLCIds!$A$4:$C$1000,3,FALSE)</f>
        <v>Included in base game</v>
      </c>
    </row>
    <row r="789" spans="1:12" x14ac:dyDescent="0.25">
      <c r="A789">
        <v>1207</v>
      </c>
      <c r="B789">
        <v>784</v>
      </c>
      <c r="C789">
        <v>1207</v>
      </c>
      <c r="D789" t="s">
        <v>1492</v>
      </c>
      <c r="E789" t="str">
        <f>IF(NOT(ISERROR(VLOOKUP(D789,'ESO DungeonFinder'!$A$2:$A$999,1,FALSE))),"X","")</f>
        <v/>
      </c>
      <c r="F789" s="70" t="str">
        <f t="shared" si="52"/>
        <v>X</v>
      </c>
      <c r="G789" s="70" t="str">
        <f t="shared" si="53"/>
        <v/>
      </c>
      <c r="H789" s="70">
        <f t="shared" si="54"/>
        <v>1207</v>
      </c>
      <c r="I789" s="70">
        <f t="shared" si="55"/>
        <v>1207</v>
      </c>
      <c r="J789">
        <v>0</v>
      </c>
      <c r="K789" s="3" t="str">
        <f>VLOOKUP(J789,ConstDLCIds!$A$4:$B$1000,2,FALSE)</f>
        <v>DLC_BASE_GAME</v>
      </c>
      <c r="L789" s="3" t="str">
        <f>VLOOKUP(J789,ConstDLCIds!$A$4:$C$1000,3,FALSE)</f>
        <v>Included in base game</v>
      </c>
    </row>
    <row r="790" spans="1:12" x14ac:dyDescent="0.25">
      <c r="A790">
        <v>1208</v>
      </c>
      <c r="B790">
        <v>785</v>
      </c>
      <c r="C790">
        <v>1208</v>
      </c>
      <c r="D790" t="s">
        <v>2850</v>
      </c>
      <c r="E790" t="str">
        <f>IF(NOT(ISERROR(VLOOKUP(D790,'ESO DungeonFinder'!$A$2:$A$999,1,FALSE))),"X","")</f>
        <v/>
      </c>
      <c r="F790" s="70" t="str">
        <f t="shared" si="52"/>
        <v>X</v>
      </c>
      <c r="G790" s="70" t="str">
        <f t="shared" si="53"/>
        <v/>
      </c>
      <c r="H790" s="70">
        <f t="shared" si="54"/>
        <v>1208</v>
      </c>
      <c r="I790" s="70">
        <f t="shared" si="55"/>
        <v>1208</v>
      </c>
      <c r="J790">
        <v>0</v>
      </c>
      <c r="K790" s="3" t="str">
        <f>VLOOKUP(J790,ConstDLCIds!$A$4:$B$1000,2,FALSE)</f>
        <v>DLC_BASE_GAME</v>
      </c>
      <c r="L790" s="3" t="str">
        <f>VLOOKUP(J790,ConstDLCIds!$A$4:$C$1000,3,FALSE)</f>
        <v>Included in base game</v>
      </c>
    </row>
    <row r="791" spans="1:12" x14ac:dyDescent="0.25">
      <c r="A791">
        <v>1209</v>
      </c>
      <c r="B791">
        <v>786</v>
      </c>
      <c r="C791">
        <v>1207</v>
      </c>
      <c r="D791" t="s">
        <v>2851</v>
      </c>
      <c r="E791" t="str">
        <f>IF(NOT(ISERROR(VLOOKUP(D791,'ESO DungeonFinder'!$A$2:$A$999,1,FALSE))),"X","")</f>
        <v/>
      </c>
      <c r="F791" s="70" t="str">
        <f t="shared" si="52"/>
        <v/>
      </c>
      <c r="G791" s="70" t="str">
        <f t="shared" si="53"/>
        <v>The Reach</v>
      </c>
      <c r="H791" s="70">
        <f t="shared" si="54"/>
        <v>1209</v>
      </c>
      <c r="I791" s="70">
        <f t="shared" si="55"/>
        <v>1207</v>
      </c>
      <c r="J791">
        <v>20</v>
      </c>
      <c r="K791" s="3" t="str">
        <f ca="1">VLOOKUP(J791,ConstDLCIds!$A$4:$B$1000,2,FALSE)</f>
        <v>DLC_MARKARTH</v>
      </c>
      <c r="L791" s="3" t="str">
        <f ca="1">VLOOKUP(J791,ConstDLCIds!$A$4:$C$1000,3,FALSE)</f>
        <v>Markarth</v>
      </c>
    </row>
    <row r="792" spans="1:12" x14ac:dyDescent="0.25">
      <c r="A792">
        <v>1210</v>
      </c>
      <c r="B792">
        <v>787</v>
      </c>
      <c r="C792">
        <v>1207</v>
      </c>
      <c r="D792" t="s">
        <v>2852</v>
      </c>
      <c r="E792" t="str">
        <f>IF(NOT(ISERROR(VLOOKUP(D792,'ESO DungeonFinder'!$A$2:$A$999,1,FALSE))),"X","")</f>
        <v/>
      </c>
      <c r="F792" s="70" t="str">
        <f t="shared" si="52"/>
        <v/>
      </c>
      <c r="G792" s="70" t="str">
        <f t="shared" si="53"/>
        <v>The Reach</v>
      </c>
      <c r="H792" s="70">
        <f t="shared" si="54"/>
        <v>1210</v>
      </c>
      <c r="I792" s="70">
        <f t="shared" si="55"/>
        <v>1207</v>
      </c>
      <c r="J792">
        <v>20</v>
      </c>
      <c r="K792" s="3" t="str">
        <f ca="1">VLOOKUP(J792,ConstDLCIds!$A$4:$B$1000,2,FALSE)</f>
        <v>DLC_MARKARTH</v>
      </c>
      <c r="L792" s="3" t="str">
        <f ca="1">VLOOKUP(J792,ConstDLCIds!$A$4:$C$1000,3,FALSE)</f>
        <v>Markarth</v>
      </c>
    </row>
    <row r="793" spans="1:12" x14ac:dyDescent="0.25">
      <c r="A793">
        <v>1211</v>
      </c>
      <c r="B793">
        <v>788</v>
      </c>
      <c r="C793">
        <v>1207</v>
      </c>
      <c r="D793" t="s">
        <v>2853</v>
      </c>
      <c r="E793" t="str">
        <f>IF(NOT(ISERROR(VLOOKUP(D793,'ESO DungeonFinder'!$A$2:$A$999,1,FALSE))),"X","")</f>
        <v/>
      </c>
      <c r="F793" s="70" t="str">
        <f t="shared" si="52"/>
        <v/>
      </c>
      <c r="G793" s="70" t="str">
        <f t="shared" si="53"/>
        <v>The Reach</v>
      </c>
      <c r="H793" s="70">
        <f t="shared" si="54"/>
        <v>1211</v>
      </c>
      <c r="I793" s="70">
        <f t="shared" si="55"/>
        <v>1207</v>
      </c>
      <c r="J793">
        <v>20</v>
      </c>
      <c r="K793" s="3" t="str">
        <f ca="1">VLOOKUP(J793,ConstDLCIds!$A$4:$B$1000,2,FALSE)</f>
        <v>DLC_MARKARTH</v>
      </c>
      <c r="L793" s="3" t="str">
        <f ca="1">VLOOKUP(J793,ConstDLCIds!$A$4:$C$1000,3,FALSE)</f>
        <v>Markarth</v>
      </c>
    </row>
    <row r="794" spans="1:12" x14ac:dyDescent="0.25">
      <c r="A794">
        <v>1212</v>
      </c>
      <c r="B794">
        <v>789</v>
      </c>
      <c r="C794">
        <v>1208</v>
      </c>
      <c r="D794" t="s">
        <v>2854</v>
      </c>
      <c r="E794" t="str">
        <f>IF(NOT(ISERROR(VLOOKUP(D794,'ESO DungeonFinder'!$A$2:$A$999,1,FALSE))),"X","")</f>
        <v/>
      </c>
      <c r="F794" s="70" t="str">
        <f t="shared" si="52"/>
        <v/>
      </c>
      <c r="G794" s="70" t="str">
        <f t="shared" si="53"/>
        <v>Blackreach: Arkthzand Cavern</v>
      </c>
      <c r="H794" s="70">
        <f t="shared" si="54"/>
        <v>1212</v>
      </c>
      <c r="I794" s="70">
        <f t="shared" si="55"/>
        <v>1208</v>
      </c>
      <c r="J794">
        <v>20</v>
      </c>
      <c r="K794" s="3" t="str">
        <f ca="1">VLOOKUP(J794,ConstDLCIds!$A$4:$B$1000,2,FALSE)</f>
        <v>DLC_MARKARTH</v>
      </c>
      <c r="L794" s="3" t="str">
        <f ca="1">VLOOKUP(J794,ConstDLCIds!$A$4:$C$1000,3,FALSE)</f>
        <v>Markarth</v>
      </c>
    </row>
    <row r="795" spans="1:12" x14ac:dyDescent="0.25">
      <c r="A795">
        <v>1213</v>
      </c>
      <c r="B795">
        <v>790</v>
      </c>
      <c r="C795">
        <v>1207</v>
      </c>
      <c r="D795" t="s">
        <v>2855</v>
      </c>
      <c r="E795" t="str">
        <f>IF(NOT(ISERROR(VLOOKUP(D795,'ESO DungeonFinder'!$A$2:$A$999,1,FALSE))),"X","")</f>
        <v/>
      </c>
      <c r="F795" s="70" t="str">
        <f t="shared" si="52"/>
        <v/>
      </c>
      <c r="G795" s="70" t="str">
        <f t="shared" si="53"/>
        <v>The Reach</v>
      </c>
      <c r="H795" s="70">
        <f t="shared" si="54"/>
        <v>1213</v>
      </c>
      <c r="I795" s="70">
        <f t="shared" si="55"/>
        <v>1207</v>
      </c>
      <c r="J795">
        <v>20</v>
      </c>
      <c r="K795" s="3" t="str">
        <f ca="1">VLOOKUP(J795,ConstDLCIds!$A$4:$B$1000,2,FALSE)</f>
        <v>DLC_MARKARTH</v>
      </c>
      <c r="L795" s="3" t="str">
        <f ca="1">VLOOKUP(J795,ConstDLCIds!$A$4:$C$1000,3,FALSE)</f>
        <v>Markarth</v>
      </c>
    </row>
    <row r="796" spans="1:12" x14ac:dyDescent="0.25">
      <c r="A796">
        <v>1214</v>
      </c>
      <c r="B796">
        <v>791</v>
      </c>
      <c r="C796">
        <v>1207</v>
      </c>
      <c r="D796" t="s">
        <v>2856</v>
      </c>
      <c r="E796" t="str">
        <f>IF(NOT(ISERROR(VLOOKUP(D796,'ESO DungeonFinder'!$A$2:$A$999,1,FALSE))),"X","")</f>
        <v/>
      </c>
      <c r="F796" s="70" t="str">
        <f t="shared" si="52"/>
        <v/>
      </c>
      <c r="G796" s="70" t="str">
        <f t="shared" si="53"/>
        <v>The Reach</v>
      </c>
      <c r="H796" s="70">
        <f t="shared" si="54"/>
        <v>1214</v>
      </c>
      <c r="I796" s="70">
        <f t="shared" si="55"/>
        <v>1207</v>
      </c>
      <c r="J796">
        <v>20</v>
      </c>
      <c r="K796" s="3" t="str">
        <f ca="1">VLOOKUP(J796,ConstDLCIds!$A$4:$B$1000,2,FALSE)</f>
        <v>DLC_MARKARTH</v>
      </c>
      <c r="L796" s="3" t="str">
        <f ca="1">VLOOKUP(J796,ConstDLCIds!$A$4:$C$1000,3,FALSE)</f>
        <v>Markarth</v>
      </c>
    </row>
    <row r="797" spans="1:12" x14ac:dyDescent="0.25">
      <c r="A797">
        <v>1215</v>
      </c>
      <c r="B797">
        <v>792</v>
      </c>
      <c r="C797">
        <v>1207</v>
      </c>
      <c r="D797" t="s">
        <v>2857</v>
      </c>
      <c r="E797" t="str">
        <f>IF(NOT(ISERROR(VLOOKUP(D797,'ESO DungeonFinder'!$A$2:$A$999,1,FALSE))),"X","")</f>
        <v/>
      </c>
      <c r="F797" s="70" t="str">
        <f t="shared" si="52"/>
        <v/>
      </c>
      <c r="G797" s="70" t="str">
        <f t="shared" si="53"/>
        <v>The Reach</v>
      </c>
      <c r="H797" s="70">
        <f t="shared" si="54"/>
        <v>1215</v>
      </c>
      <c r="I797" s="70">
        <f t="shared" si="55"/>
        <v>1207</v>
      </c>
      <c r="J797">
        <v>20</v>
      </c>
      <c r="K797" s="3" t="str">
        <f ca="1">VLOOKUP(J797,ConstDLCIds!$A$4:$B$1000,2,FALSE)</f>
        <v>DLC_MARKARTH</v>
      </c>
      <c r="L797" s="3" t="str">
        <f ca="1">VLOOKUP(J797,ConstDLCIds!$A$4:$C$1000,3,FALSE)</f>
        <v>Markarth</v>
      </c>
    </row>
    <row r="798" spans="1:12" x14ac:dyDescent="0.25">
      <c r="A798">
        <v>1216</v>
      </c>
      <c r="B798">
        <v>793</v>
      </c>
      <c r="C798">
        <v>1207</v>
      </c>
      <c r="D798" t="s">
        <v>2858</v>
      </c>
      <c r="E798" t="str">
        <f>IF(NOT(ISERROR(VLOOKUP(D798,'ESO DungeonFinder'!$A$2:$A$999,1,FALSE))),"X","")</f>
        <v/>
      </c>
      <c r="F798" s="70" t="str">
        <f t="shared" si="52"/>
        <v/>
      </c>
      <c r="G798" s="70" t="str">
        <f t="shared" si="53"/>
        <v>The Reach</v>
      </c>
      <c r="H798" s="70">
        <f t="shared" si="54"/>
        <v>1216</v>
      </c>
      <c r="I798" s="70">
        <f t="shared" si="55"/>
        <v>1207</v>
      </c>
      <c r="J798">
        <v>20</v>
      </c>
      <c r="K798" s="3" t="str">
        <f ca="1">VLOOKUP(J798,ConstDLCIds!$A$4:$B$1000,2,FALSE)</f>
        <v>DLC_MARKARTH</v>
      </c>
      <c r="L798" s="3" t="str">
        <f ca="1">VLOOKUP(J798,ConstDLCIds!$A$4:$C$1000,3,FALSE)</f>
        <v>Markarth</v>
      </c>
    </row>
    <row r="799" spans="1:12" x14ac:dyDescent="0.25">
      <c r="A799">
        <v>1217</v>
      </c>
      <c r="B799">
        <v>794</v>
      </c>
      <c r="C799">
        <v>1208</v>
      </c>
      <c r="D799" t="s">
        <v>2859</v>
      </c>
      <c r="E799" t="str">
        <f>IF(NOT(ISERROR(VLOOKUP(D799,'ESO DungeonFinder'!$A$2:$A$999,1,FALSE))),"X","")</f>
        <v/>
      </c>
      <c r="F799" s="70" t="str">
        <f t="shared" si="52"/>
        <v/>
      </c>
      <c r="G799" s="70" t="str">
        <f t="shared" si="53"/>
        <v>Blackreach: Arkthzand Cavern</v>
      </c>
      <c r="H799" s="70">
        <f t="shared" si="54"/>
        <v>1217</v>
      </c>
      <c r="I799" s="70">
        <f t="shared" si="55"/>
        <v>1208</v>
      </c>
      <c r="J799">
        <v>20</v>
      </c>
      <c r="K799" s="3" t="str">
        <f ca="1">VLOOKUP(J799,ConstDLCIds!$A$4:$B$1000,2,FALSE)</f>
        <v>DLC_MARKARTH</v>
      </c>
      <c r="L799" s="3" t="str">
        <f ca="1">VLOOKUP(J799,ConstDLCIds!$A$4:$C$1000,3,FALSE)</f>
        <v>Markarth</v>
      </c>
    </row>
    <row r="800" spans="1:12" x14ac:dyDescent="0.25">
      <c r="A800">
        <v>1218</v>
      </c>
      <c r="B800">
        <v>795</v>
      </c>
      <c r="C800">
        <v>1160</v>
      </c>
      <c r="D800" t="s">
        <v>2860</v>
      </c>
      <c r="E800" t="str">
        <f>IF(NOT(ISERROR(VLOOKUP(D800,'ESO DungeonFinder'!$A$2:$A$999,1,FALSE))),"X","")</f>
        <v/>
      </c>
      <c r="F800" s="70" t="str">
        <f t="shared" si="52"/>
        <v/>
      </c>
      <c r="G800" s="70" t="str">
        <f t="shared" si="53"/>
        <v>Western Skyrim</v>
      </c>
      <c r="H800" s="70">
        <f t="shared" si="54"/>
        <v>1218</v>
      </c>
      <c r="I800" s="70">
        <f t="shared" si="55"/>
        <v>1160</v>
      </c>
      <c r="J800">
        <v>18</v>
      </c>
      <c r="K800" s="3" t="str">
        <f ca="1">VLOOKUP(J800,ConstDLCIds!$A$4:$B$1000,2,FALSE)</f>
        <v>DLC_GREYMOOR</v>
      </c>
      <c r="L800" s="3" t="str">
        <f ca="1">VLOOKUP(J800,ConstDLCIds!$A$4:$C$1000,3,FALSE)</f>
        <v>Greymoor</v>
      </c>
    </row>
    <row r="801" spans="1:12" x14ac:dyDescent="0.25">
      <c r="A801">
        <v>1219</v>
      </c>
      <c r="B801">
        <v>796</v>
      </c>
      <c r="C801">
        <v>1160</v>
      </c>
      <c r="D801" t="s">
        <v>2861</v>
      </c>
      <c r="E801" t="str">
        <f>IF(NOT(ISERROR(VLOOKUP(D801,'ESO DungeonFinder'!$A$2:$A$999,1,FALSE))),"X","")</f>
        <v/>
      </c>
      <c r="F801" s="70" t="str">
        <f t="shared" si="52"/>
        <v/>
      </c>
      <c r="G801" s="70" t="str">
        <f t="shared" si="53"/>
        <v>Western Skyrim</v>
      </c>
      <c r="H801" s="70">
        <f t="shared" si="54"/>
        <v>1219</v>
      </c>
      <c r="I801" s="70">
        <f t="shared" si="55"/>
        <v>1160</v>
      </c>
      <c r="J801">
        <v>18</v>
      </c>
      <c r="K801" s="3" t="str">
        <f ca="1">VLOOKUP(J801,ConstDLCIds!$A$4:$B$1000,2,FALSE)</f>
        <v>DLC_GREYMOOR</v>
      </c>
      <c r="L801" s="3" t="str">
        <f ca="1">VLOOKUP(J801,ConstDLCIds!$A$4:$C$1000,3,FALSE)</f>
        <v>Greymoor</v>
      </c>
    </row>
    <row r="802" spans="1:12" x14ac:dyDescent="0.25">
      <c r="A802">
        <v>1220</v>
      </c>
      <c r="B802">
        <v>797</v>
      </c>
      <c r="C802">
        <v>1161</v>
      </c>
      <c r="D802" t="s">
        <v>2862</v>
      </c>
      <c r="E802" t="str">
        <f>IF(NOT(ISERROR(VLOOKUP(D802,'ESO DungeonFinder'!$A$2:$A$999,1,FALSE))),"X","")</f>
        <v/>
      </c>
      <c r="F802" s="70" t="str">
        <f t="shared" si="52"/>
        <v/>
      </c>
      <c r="G802" s="70" t="str">
        <f t="shared" si="53"/>
        <v>Blackreach: Greymoor Caverns</v>
      </c>
      <c r="H802" s="70">
        <f t="shared" si="54"/>
        <v>1220</v>
      </c>
      <c r="I802" s="70">
        <f t="shared" si="55"/>
        <v>1161</v>
      </c>
      <c r="J802">
        <v>18</v>
      </c>
      <c r="K802" s="3" t="str">
        <f ca="1">VLOOKUP(J802,ConstDLCIds!$A$4:$B$1000,2,FALSE)</f>
        <v>DLC_GREYMOOR</v>
      </c>
      <c r="L802" s="3" t="str">
        <f ca="1">VLOOKUP(J802,ConstDLCIds!$A$4:$C$1000,3,FALSE)</f>
        <v>Greymoor</v>
      </c>
    </row>
    <row r="803" spans="1:12" x14ac:dyDescent="0.25">
      <c r="A803">
        <v>1221</v>
      </c>
      <c r="B803">
        <v>798</v>
      </c>
      <c r="C803">
        <v>1207</v>
      </c>
      <c r="D803" t="s">
        <v>2863</v>
      </c>
      <c r="E803" t="str">
        <f>IF(NOT(ISERROR(VLOOKUP(D803,'ESO DungeonFinder'!$A$2:$A$999,1,FALSE))),"X","")</f>
        <v/>
      </c>
      <c r="F803" s="70" t="str">
        <f t="shared" si="52"/>
        <v/>
      </c>
      <c r="G803" s="70" t="str">
        <f t="shared" si="53"/>
        <v>The Reach</v>
      </c>
      <c r="H803" s="70">
        <f t="shared" si="54"/>
        <v>1221</v>
      </c>
      <c r="I803" s="70">
        <f t="shared" si="55"/>
        <v>1207</v>
      </c>
      <c r="J803">
        <v>20</v>
      </c>
      <c r="K803" s="3" t="str">
        <f ca="1">VLOOKUP(J803,ConstDLCIds!$A$4:$B$1000,2,FALSE)</f>
        <v>DLC_MARKARTH</v>
      </c>
      <c r="L803" s="3" t="str">
        <f ca="1">VLOOKUP(J803,ConstDLCIds!$A$4:$C$1000,3,FALSE)</f>
        <v>Markarth</v>
      </c>
    </row>
    <row r="804" spans="1:12" x14ac:dyDescent="0.25">
      <c r="A804">
        <v>1222</v>
      </c>
      <c r="B804">
        <v>799</v>
      </c>
      <c r="C804">
        <v>1160</v>
      </c>
      <c r="D804" t="s">
        <v>2864</v>
      </c>
      <c r="E804" t="str">
        <f>IF(NOT(ISERROR(VLOOKUP(D804,'ESO DungeonFinder'!$A$2:$A$999,1,FALSE))),"X","")</f>
        <v/>
      </c>
      <c r="F804" s="70" t="str">
        <f t="shared" si="52"/>
        <v/>
      </c>
      <c r="G804" s="70" t="str">
        <f t="shared" si="53"/>
        <v>Western Skyrim</v>
      </c>
      <c r="H804" s="70">
        <f t="shared" si="54"/>
        <v>1222</v>
      </c>
      <c r="I804" s="70">
        <f t="shared" si="55"/>
        <v>1160</v>
      </c>
      <c r="J804">
        <v>18</v>
      </c>
      <c r="K804" s="3" t="str">
        <f ca="1">VLOOKUP(J804,ConstDLCIds!$A$4:$B$1000,2,FALSE)</f>
        <v>DLC_GREYMOOR</v>
      </c>
      <c r="L804" s="3" t="str">
        <f ca="1">VLOOKUP(J804,ConstDLCIds!$A$4:$C$1000,3,FALSE)</f>
        <v>Greymoor</v>
      </c>
    </row>
    <row r="805" spans="1:12" x14ac:dyDescent="0.25">
      <c r="A805">
        <v>1223</v>
      </c>
      <c r="B805">
        <v>800</v>
      </c>
      <c r="C805">
        <v>1207</v>
      </c>
      <c r="D805" t="s">
        <v>2865</v>
      </c>
      <c r="E805" t="str">
        <f>IF(NOT(ISERROR(VLOOKUP(D805,'ESO DungeonFinder'!$A$2:$A$999,1,FALSE))),"X","")</f>
        <v/>
      </c>
      <c r="F805" s="70" t="str">
        <f t="shared" si="52"/>
        <v/>
      </c>
      <c r="G805" s="70" t="str">
        <f t="shared" si="53"/>
        <v>The Reach</v>
      </c>
      <c r="H805" s="70">
        <f t="shared" si="54"/>
        <v>1223</v>
      </c>
      <c r="I805" s="70">
        <f t="shared" si="55"/>
        <v>1207</v>
      </c>
      <c r="J805">
        <v>20</v>
      </c>
      <c r="K805" s="3" t="str">
        <f ca="1">VLOOKUP(J805,ConstDLCIds!$A$4:$B$1000,2,FALSE)</f>
        <v>DLC_MARKARTH</v>
      </c>
      <c r="L805" s="3" t="str">
        <f ca="1">VLOOKUP(J805,ConstDLCIds!$A$4:$C$1000,3,FALSE)</f>
        <v>Markarth</v>
      </c>
    </row>
    <row r="806" spans="1:12" x14ac:dyDescent="0.25">
      <c r="A806">
        <v>1224</v>
      </c>
      <c r="B806">
        <v>801</v>
      </c>
      <c r="C806">
        <v>1208</v>
      </c>
      <c r="D806" t="s">
        <v>1550</v>
      </c>
      <c r="E806" t="str">
        <f>IF(NOT(ISERROR(VLOOKUP(D806,'ESO DungeonFinder'!$A$2:$A$999,1,FALSE))),"X","")</f>
        <v/>
      </c>
      <c r="F806" s="70" t="str">
        <f t="shared" si="52"/>
        <v/>
      </c>
      <c r="G806" s="70" t="str">
        <f t="shared" si="53"/>
        <v>Blackreach: Arkthzand Cavern</v>
      </c>
      <c r="H806" s="70">
        <f t="shared" si="54"/>
        <v>1224</v>
      </c>
      <c r="I806" s="70">
        <f t="shared" si="55"/>
        <v>1208</v>
      </c>
      <c r="J806">
        <v>20</v>
      </c>
      <c r="K806" s="3" t="str">
        <f ca="1">VLOOKUP(J806,ConstDLCIds!$A$4:$B$1000,2,FALSE)</f>
        <v>DLC_MARKARTH</v>
      </c>
      <c r="L806" s="3" t="str">
        <f ca="1">VLOOKUP(J806,ConstDLCIds!$A$4:$C$1000,3,FALSE)</f>
        <v>Markarth</v>
      </c>
    </row>
    <row r="807" spans="1:12" x14ac:dyDescent="0.25">
      <c r="A807">
        <v>1225</v>
      </c>
      <c r="B807">
        <v>802</v>
      </c>
      <c r="C807">
        <v>1207</v>
      </c>
      <c r="D807" t="s">
        <v>2866</v>
      </c>
      <c r="E807" t="str">
        <f>IF(NOT(ISERROR(VLOOKUP(D807,'ESO DungeonFinder'!$A$2:$A$999,1,FALSE))),"X","")</f>
        <v/>
      </c>
      <c r="F807" s="70" t="str">
        <f t="shared" si="52"/>
        <v/>
      </c>
      <c r="G807" s="70" t="str">
        <f t="shared" si="53"/>
        <v>The Reach</v>
      </c>
      <c r="H807" s="70">
        <f t="shared" si="54"/>
        <v>1225</v>
      </c>
      <c r="I807" s="70">
        <f t="shared" si="55"/>
        <v>1207</v>
      </c>
      <c r="J807">
        <v>20</v>
      </c>
      <c r="K807" s="3" t="str">
        <f ca="1">VLOOKUP(J807,ConstDLCIds!$A$4:$B$1000,2,FALSE)</f>
        <v>DLC_MARKARTH</v>
      </c>
      <c r="L807" s="3" t="str">
        <f ca="1">VLOOKUP(J807,ConstDLCIds!$A$4:$C$1000,3,FALSE)</f>
        <v>Markarth</v>
      </c>
    </row>
    <row r="808" spans="1:12" x14ac:dyDescent="0.25">
      <c r="A808">
        <v>1226</v>
      </c>
      <c r="B808">
        <v>803</v>
      </c>
      <c r="C808">
        <v>1207</v>
      </c>
      <c r="D808" t="s">
        <v>2867</v>
      </c>
      <c r="E808" t="str">
        <f>IF(NOT(ISERROR(VLOOKUP(D808,'ESO DungeonFinder'!$A$2:$A$999,1,FALSE))),"X","")</f>
        <v/>
      </c>
      <c r="F808" s="70" t="str">
        <f t="shared" si="52"/>
        <v/>
      </c>
      <c r="G808" s="70" t="str">
        <f t="shared" si="53"/>
        <v>The Reach</v>
      </c>
      <c r="H808" s="70">
        <f t="shared" si="54"/>
        <v>1226</v>
      </c>
      <c r="I808" s="70">
        <f t="shared" si="55"/>
        <v>1207</v>
      </c>
      <c r="J808">
        <v>20</v>
      </c>
      <c r="K808" s="3" t="str">
        <f ca="1">VLOOKUP(J808,ConstDLCIds!$A$4:$B$1000,2,FALSE)</f>
        <v>DLC_MARKARTH</v>
      </c>
      <c r="L808" s="3" t="str">
        <f ca="1">VLOOKUP(J808,ConstDLCIds!$A$4:$C$1000,3,FALSE)</f>
        <v>Markarth</v>
      </c>
    </row>
    <row r="809" spans="1:12" s="45" customFormat="1" x14ac:dyDescent="0.25">
      <c r="A809">
        <v>1227</v>
      </c>
      <c r="B809">
        <v>804</v>
      </c>
      <c r="C809">
        <v>1207</v>
      </c>
      <c r="D809" t="s">
        <v>1511</v>
      </c>
      <c r="E809" t="str">
        <f>IF(NOT(ISERROR(VLOOKUP(D809,'ESO DungeonFinder'!$A$2:$A$999,1,FALSE))),"X","")</f>
        <v/>
      </c>
      <c r="F809" s="70" t="str">
        <f t="shared" si="52"/>
        <v/>
      </c>
      <c r="G809" s="70" t="str">
        <f t="shared" si="53"/>
        <v>The Reach</v>
      </c>
      <c r="H809" s="70">
        <f t="shared" si="54"/>
        <v>1227</v>
      </c>
      <c r="I809" s="70">
        <f t="shared" si="55"/>
        <v>1207</v>
      </c>
      <c r="J809">
        <v>20</v>
      </c>
      <c r="K809" s="3" t="str">
        <f ca="1">VLOOKUP(J809,ConstDLCIds!$A$4:$B$1000,2,FALSE)</f>
        <v>DLC_MARKARTH</v>
      </c>
      <c r="L809" s="3" t="str">
        <f ca="1">VLOOKUP(J809,ConstDLCIds!$A$4:$C$1000,3,FALSE)</f>
        <v>Markarth</v>
      </c>
    </row>
    <row r="810" spans="1:12" s="45" customFormat="1" x14ac:dyDescent="0.25">
      <c r="A810">
        <v>1228</v>
      </c>
      <c r="B810">
        <v>805</v>
      </c>
      <c r="C810">
        <v>823</v>
      </c>
      <c r="D810" t="s">
        <v>1536</v>
      </c>
      <c r="E810" t="str">
        <f>IF(NOT(ISERROR(VLOOKUP(D810,'ESO DungeonFinder'!$A$2:$A$999,1,FALSE))),"X","")</f>
        <v>X</v>
      </c>
      <c r="F810" s="70" t="str">
        <f t="shared" si="52"/>
        <v/>
      </c>
      <c r="G810" s="70" t="str">
        <f t="shared" si="53"/>
        <v>Gold Coast</v>
      </c>
      <c r="H810" s="70">
        <f t="shared" si="54"/>
        <v>1228</v>
      </c>
      <c r="I810" s="70">
        <f t="shared" si="55"/>
        <v>823</v>
      </c>
      <c r="J810">
        <v>21</v>
      </c>
      <c r="K810" s="3" t="str">
        <f ca="1">VLOOKUP(J810,ConstDLCIds!$A$4:$B$1000,2,FALSE)</f>
        <v>DLC_FLAMES_OF_AMBITION</v>
      </c>
      <c r="L810" s="3" t="str">
        <f ca="1">VLOOKUP(J810,ConstDLCIds!$A$4:$C$1000,3,FALSE)</f>
        <v>Flames of Ambition</v>
      </c>
    </row>
    <row r="811" spans="1:12" x14ac:dyDescent="0.25">
      <c r="A811">
        <v>1229</v>
      </c>
      <c r="B811">
        <v>806</v>
      </c>
      <c r="C811">
        <v>57</v>
      </c>
      <c r="D811" t="s">
        <v>1543</v>
      </c>
      <c r="E811" t="str">
        <f>IF(NOT(ISERROR(VLOOKUP(D811,'ESO DungeonFinder'!$A$2:$A$999,1,FALSE))),"X","")</f>
        <v>X</v>
      </c>
      <c r="F811" s="70" t="str">
        <f t="shared" si="52"/>
        <v/>
      </c>
      <c r="G811" s="70" t="str">
        <f t="shared" si="53"/>
        <v>Deshaan</v>
      </c>
      <c r="H811" s="70">
        <f t="shared" si="54"/>
        <v>1229</v>
      </c>
      <c r="I811" s="70">
        <f t="shared" si="55"/>
        <v>57</v>
      </c>
      <c r="J811">
        <v>22</v>
      </c>
      <c r="K811" s="3" t="str">
        <f ca="1">VLOOKUP(J811,ConstDLCIds!$A$4:$B$1000,2,FALSE)</f>
        <v>DLC_BLACKWOOD</v>
      </c>
      <c r="L811" s="3" t="str">
        <f ca="1">VLOOKUP(J811,ConstDLCIds!$A$4:$C$1000,3,FALSE)</f>
        <v>Blackwood</v>
      </c>
    </row>
    <row r="812" spans="1:12" x14ac:dyDescent="0.25">
      <c r="A812">
        <v>1233</v>
      </c>
      <c r="B812">
        <v>807</v>
      </c>
      <c r="C812">
        <v>1160</v>
      </c>
      <c r="D812" t="s">
        <v>2868</v>
      </c>
      <c r="E812" t="str">
        <f>IF(NOT(ISERROR(VLOOKUP(D812,'ESO DungeonFinder'!$A$2:$A$999,1,FALSE))),"X","")</f>
        <v/>
      </c>
      <c r="F812" s="70" t="str">
        <f t="shared" si="52"/>
        <v/>
      </c>
      <c r="G812" s="70" t="str">
        <f t="shared" si="53"/>
        <v>Western Skyrim</v>
      </c>
      <c r="H812" s="70">
        <f t="shared" si="54"/>
        <v>1233</v>
      </c>
      <c r="I812" s="70">
        <f t="shared" si="55"/>
        <v>1160</v>
      </c>
      <c r="J812">
        <v>18</v>
      </c>
      <c r="K812" s="3" t="str">
        <f ca="1">VLOOKUP(J812,ConstDLCIds!$A$4:$B$1000,2,FALSE)</f>
        <v>DLC_GREYMOOR</v>
      </c>
      <c r="L812" s="3" t="str">
        <f ca="1">VLOOKUP(J812,ConstDLCIds!$A$4:$C$1000,3,FALSE)</f>
        <v>Greymoor</v>
      </c>
    </row>
    <row r="813" spans="1:12" x14ac:dyDescent="0.25">
      <c r="A813">
        <v>1234</v>
      </c>
      <c r="B813">
        <v>808</v>
      </c>
      <c r="C813">
        <v>1160</v>
      </c>
      <c r="D813" t="s">
        <v>2869</v>
      </c>
      <c r="E813" t="str">
        <f>IF(NOT(ISERROR(VLOOKUP(D813,'ESO DungeonFinder'!$A$2:$A$999,1,FALSE))),"X","")</f>
        <v/>
      </c>
      <c r="F813" s="70" t="str">
        <f t="shared" si="52"/>
        <v/>
      </c>
      <c r="G813" s="70" t="str">
        <f t="shared" si="53"/>
        <v>Western Skyrim</v>
      </c>
      <c r="H813" s="70">
        <f t="shared" si="54"/>
        <v>1234</v>
      </c>
      <c r="I813" s="70">
        <f t="shared" si="55"/>
        <v>1160</v>
      </c>
      <c r="J813">
        <v>18</v>
      </c>
      <c r="K813" s="3" t="str">
        <f ca="1">VLOOKUP(J813,ConstDLCIds!$A$4:$B$1000,2,FALSE)</f>
        <v>DLC_GREYMOOR</v>
      </c>
      <c r="L813" s="3" t="str">
        <f ca="1">VLOOKUP(J813,ConstDLCIds!$A$4:$C$1000,3,FALSE)</f>
        <v>Greymoor</v>
      </c>
    </row>
    <row r="814" spans="1:12" x14ac:dyDescent="0.25">
      <c r="A814">
        <v>1235</v>
      </c>
      <c r="B814">
        <v>809</v>
      </c>
      <c r="C814">
        <v>383</v>
      </c>
      <c r="D814" t="s">
        <v>2870</v>
      </c>
      <c r="E814" t="str">
        <f>IF(NOT(ISERROR(VLOOKUP(D814,'ESO DungeonFinder'!$A$2:$A$999,1,FALSE))),"X","")</f>
        <v/>
      </c>
      <c r="F814" s="70" t="str">
        <f t="shared" si="52"/>
        <v/>
      </c>
      <c r="G814" s="70" t="str">
        <f t="shared" si="53"/>
        <v>Grahtwood</v>
      </c>
      <c r="H814" s="70">
        <f t="shared" si="54"/>
        <v>1235</v>
      </c>
      <c r="I814" s="70">
        <f t="shared" si="55"/>
        <v>383</v>
      </c>
      <c r="J814">
        <v>0</v>
      </c>
      <c r="K814" s="3" t="str">
        <f>VLOOKUP(J814,ConstDLCIds!$A$4:$B$1000,2,FALSE)</f>
        <v>DLC_BASE_GAME</v>
      </c>
      <c r="L814" s="3" t="str">
        <f>VLOOKUP(J814,ConstDLCIds!$A$4:$C$1000,3,FALSE)</f>
        <v>Included in base game</v>
      </c>
    </row>
    <row r="815" spans="1:12" x14ac:dyDescent="0.25">
      <c r="A815">
        <v>1236</v>
      </c>
      <c r="B815">
        <v>810</v>
      </c>
      <c r="C815">
        <v>383</v>
      </c>
      <c r="D815" t="s">
        <v>764</v>
      </c>
      <c r="E815" t="str">
        <f>IF(NOT(ISERROR(VLOOKUP(D815,'ESO DungeonFinder'!$A$2:$A$999,1,FALSE))),"X","")</f>
        <v/>
      </c>
      <c r="F815" s="70" t="str">
        <f t="shared" si="52"/>
        <v/>
      </c>
      <c r="G815" s="70" t="str">
        <f t="shared" si="53"/>
        <v>Grahtwood</v>
      </c>
      <c r="H815" s="70">
        <f t="shared" si="54"/>
        <v>1236</v>
      </c>
      <c r="I815" s="70">
        <f t="shared" si="55"/>
        <v>383</v>
      </c>
      <c r="J815">
        <v>1</v>
      </c>
      <c r="K815" s="3" t="str">
        <f ca="1">VLOOKUP(J815,ConstDLCIds!$A$4:$B$1000,2,FALSE)</f>
        <v>DLC_IMPERIAL_CITY</v>
      </c>
      <c r="L815" s="3" t="str">
        <f ca="1">VLOOKUP(J815,ConstDLCIds!$A$4:$C$1000,3,FALSE)</f>
        <v>Imperial City</v>
      </c>
    </row>
    <row r="816" spans="1:12" x14ac:dyDescent="0.25">
      <c r="A816">
        <v>1237</v>
      </c>
      <c r="B816">
        <v>811</v>
      </c>
      <c r="C816">
        <v>383</v>
      </c>
      <c r="D816" t="s">
        <v>2871</v>
      </c>
      <c r="E816" t="str">
        <f>IF(NOT(ISERROR(VLOOKUP(D816,'ESO DungeonFinder'!$A$2:$A$999,1,FALSE))),"X","")</f>
        <v/>
      </c>
      <c r="F816" s="70" t="str">
        <f t="shared" si="52"/>
        <v/>
      </c>
      <c r="G816" s="70" t="str">
        <f t="shared" si="53"/>
        <v>Grahtwood</v>
      </c>
      <c r="H816" s="70">
        <f t="shared" si="54"/>
        <v>1237</v>
      </c>
      <c r="I816" s="70">
        <f t="shared" si="55"/>
        <v>383</v>
      </c>
      <c r="J816">
        <v>0</v>
      </c>
      <c r="K816" s="3" t="str">
        <f>VLOOKUP(J816,ConstDLCIds!$A$4:$B$1000,2,FALSE)</f>
        <v>DLC_BASE_GAME</v>
      </c>
      <c r="L816" s="3" t="str">
        <f>VLOOKUP(J816,ConstDLCIds!$A$4:$C$1000,3,FALSE)</f>
        <v>Included in base game</v>
      </c>
    </row>
    <row r="817" spans="1:12" x14ac:dyDescent="0.25">
      <c r="A817">
        <v>1238</v>
      </c>
      <c r="B817">
        <v>812</v>
      </c>
      <c r="C817">
        <v>1261</v>
      </c>
      <c r="D817" t="s">
        <v>2872</v>
      </c>
      <c r="E817" t="str">
        <f>IF(NOT(ISERROR(VLOOKUP(D817,'ESO DungeonFinder'!$A$2:$A$999,1,FALSE))),"X","")</f>
        <v/>
      </c>
      <c r="F817" s="70" t="str">
        <f t="shared" si="52"/>
        <v/>
      </c>
      <c r="G817" s="70" t="str">
        <f t="shared" si="53"/>
        <v>Blackwood</v>
      </c>
      <c r="H817" s="70">
        <f t="shared" si="54"/>
        <v>1238</v>
      </c>
      <c r="I817" s="70">
        <f t="shared" si="55"/>
        <v>1261</v>
      </c>
      <c r="J817">
        <v>22</v>
      </c>
      <c r="K817" s="3" t="str">
        <f ca="1">VLOOKUP(J817,ConstDLCIds!$A$4:$B$1000,2,FALSE)</f>
        <v>DLC_BLACKWOOD</v>
      </c>
      <c r="L817" s="3" t="str">
        <f ca="1">VLOOKUP(J817,ConstDLCIds!$A$4:$C$1000,3,FALSE)</f>
        <v>Blackwood</v>
      </c>
    </row>
    <row r="818" spans="1:12" x14ac:dyDescent="0.25">
      <c r="A818">
        <v>1239</v>
      </c>
      <c r="B818">
        <v>813</v>
      </c>
      <c r="C818">
        <v>1261</v>
      </c>
      <c r="D818" t="s">
        <v>2873</v>
      </c>
      <c r="E818" t="str">
        <f>IF(NOT(ISERROR(VLOOKUP(D818,'ESO DungeonFinder'!$A$2:$A$999,1,FALSE))),"X","")</f>
        <v/>
      </c>
      <c r="F818" s="70" t="str">
        <f t="shared" si="52"/>
        <v/>
      </c>
      <c r="G818" s="70" t="str">
        <f t="shared" si="53"/>
        <v>Blackwood</v>
      </c>
      <c r="H818" s="70">
        <f t="shared" si="54"/>
        <v>1239</v>
      </c>
      <c r="I818" s="70">
        <f t="shared" si="55"/>
        <v>1261</v>
      </c>
      <c r="J818">
        <v>22</v>
      </c>
      <c r="K818" s="3" t="str">
        <f ca="1">VLOOKUP(J818,ConstDLCIds!$A$4:$B$1000,2,FALSE)</f>
        <v>DLC_BLACKWOOD</v>
      </c>
      <c r="L818" s="3" t="str">
        <f ca="1">VLOOKUP(J818,ConstDLCIds!$A$4:$C$1000,3,FALSE)</f>
        <v>Blackwood</v>
      </c>
    </row>
    <row r="819" spans="1:12" x14ac:dyDescent="0.25">
      <c r="A819">
        <v>1240</v>
      </c>
      <c r="B819">
        <v>814</v>
      </c>
      <c r="C819">
        <v>1261</v>
      </c>
      <c r="D819" t="s">
        <v>2874</v>
      </c>
      <c r="E819" t="str">
        <f>IF(NOT(ISERROR(VLOOKUP(D819,'ESO DungeonFinder'!$A$2:$A$999,1,FALSE))),"X","")</f>
        <v/>
      </c>
      <c r="F819" s="70" t="str">
        <f t="shared" si="52"/>
        <v/>
      </c>
      <c r="G819" s="70" t="str">
        <f t="shared" si="53"/>
        <v>Blackwood</v>
      </c>
      <c r="H819" s="70">
        <f t="shared" si="54"/>
        <v>1240</v>
      </c>
      <c r="I819" s="70">
        <f t="shared" si="55"/>
        <v>1261</v>
      </c>
      <c r="J819">
        <v>22</v>
      </c>
      <c r="K819" s="3" t="str">
        <f ca="1">VLOOKUP(J819,ConstDLCIds!$A$4:$B$1000,2,FALSE)</f>
        <v>DLC_BLACKWOOD</v>
      </c>
      <c r="L819" s="3" t="str">
        <f ca="1">VLOOKUP(J819,ConstDLCIds!$A$4:$C$1000,3,FALSE)</f>
        <v>Blackwood</v>
      </c>
    </row>
    <row r="820" spans="1:12" x14ac:dyDescent="0.25">
      <c r="A820">
        <v>1241</v>
      </c>
      <c r="B820">
        <v>815</v>
      </c>
      <c r="C820">
        <v>1261</v>
      </c>
      <c r="D820" t="s">
        <v>2875</v>
      </c>
      <c r="E820" t="str">
        <f>IF(NOT(ISERROR(VLOOKUP(D820,'ESO DungeonFinder'!$A$2:$A$999,1,FALSE))),"X","")</f>
        <v/>
      </c>
      <c r="F820" s="70" t="str">
        <f t="shared" si="52"/>
        <v/>
      </c>
      <c r="G820" s="70" t="str">
        <f t="shared" si="53"/>
        <v>Blackwood</v>
      </c>
      <c r="H820" s="70">
        <f t="shared" si="54"/>
        <v>1241</v>
      </c>
      <c r="I820" s="70">
        <f t="shared" si="55"/>
        <v>1261</v>
      </c>
      <c r="J820">
        <v>22</v>
      </c>
      <c r="K820" s="3" t="str">
        <f ca="1">VLOOKUP(J820,ConstDLCIds!$A$4:$B$1000,2,FALSE)</f>
        <v>DLC_BLACKWOOD</v>
      </c>
      <c r="L820" s="3" t="str">
        <f ca="1">VLOOKUP(J820,ConstDLCIds!$A$4:$C$1000,3,FALSE)</f>
        <v>Blackwood</v>
      </c>
    </row>
    <row r="821" spans="1:12" x14ac:dyDescent="0.25">
      <c r="A821">
        <v>1242</v>
      </c>
      <c r="B821">
        <v>816</v>
      </c>
      <c r="C821">
        <v>1261</v>
      </c>
      <c r="D821" t="s">
        <v>2876</v>
      </c>
      <c r="E821" t="str">
        <f>IF(NOT(ISERROR(VLOOKUP(D821,'ESO DungeonFinder'!$A$2:$A$999,1,FALSE))),"X","")</f>
        <v/>
      </c>
      <c r="F821" s="70" t="str">
        <f t="shared" si="52"/>
        <v/>
      </c>
      <c r="G821" s="70" t="str">
        <f t="shared" si="53"/>
        <v>Blackwood</v>
      </c>
      <c r="H821" s="70">
        <f t="shared" si="54"/>
        <v>1242</v>
      </c>
      <c r="I821" s="70">
        <f t="shared" si="55"/>
        <v>1261</v>
      </c>
      <c r="J821">
        <v>22</v>
      </c>
      <c r="K821" s="3" t="str">
        <f ca="1">VLOOKUP(J821,ConstDLCIds!$A$4:$B$1000,2,FALSE)</f>
        <v>DLC_BLACKWOOD</v>
      </c>
      <c r="L821" s="3" t="str">
        <f ca="1">VLOOKUP(J821,ConstDLCIds!$A$4:$C$1000,3,FALSE)</f>
        <v>Blackwood</v>
      </c>
    </row>
    <row r="822" spans="1:12" x14ac:dyDescent="0.25">
      <c r="A822">
        <v>1243</v>
      </c>
      <c r="B822">
        <v>817</v>
      </c>
      <c r="C822">
        <v>1261</v>
      </c>
      <c r="D822" t="s">
        <v>2877</v>
      </c>
      <c r="E822" t="str">
        <f>IF(NOT(ISERROR(VLOOKUP(D822,'ESO DungeonFinder'!$A$2:$A$999,1,FALSE))),"X","")</f>
        <v/>
      </c>
      <c r="F822" s="70" t="str">
        <f t="shared" si="52"/>
        <v/>
      </c>
      <c r="G822" s="70" t="str">
        <f t="shared" si="53"/>
        <v>Blackwood</v>
      </c>
      <c r="H822" s="70">
        <f t="shared" si="54"/>
        <v>1243</v>
      </c>
      <c r="I822" s="70">
        <f t="shared" si="55"/>
        <v>1261</v>
      </c>
      <c r="J822">
        <v>22</v>
      </c>
      <c r="K822" s="3" t="str">
        <f ca="1">VLOOKUP(J822,ConstDLCIds!$A$4:$B$1000,2,FALSE)</f>
        <v>DLC_BLACKWOOD</v>
      </c>
      <c r="L822" s="3" t="str">
        <f ca="1">VLOOKUP(J822,ConstDLCIds!$A$4:$C$1000,3,FALSE)</f>
        <v>Blackwood</v>
      </c>
    </row>
    <row r="823" spans="1:12" x14ac:dyDescent="0.25">
      <c r="A823">
        <v>1244</v>
      </c>
      <c r="B823">
        <v>818</v>
      </c>
      <c r="C823">
        <v>1261</v>
      </c>
      <c r="D823" t="s">
        <v>2878</v>
      </c>
      <c r="E823" t="str">
        <f>IF(NOT(ISERROR(VLOOKUP(D823,'ESO DungeonFinder'!$A$2:$A$999,1,FALSE))),"X","")</f>
        <v/>
      </c>
      <c r="F823" s="70" t="str">
        <f t="shared" si="52"/>
        <v/>
      </c>
      <c r="G823" s="70" t="str">
        <f t="shared" si="53"/>
        <v>Blackwood</v>
      </c>
      <c r="H823" s="70">
        <f t="shared" si="54"/>
        <v>1244</v>
      </c>
      <c r="I823" s="70">
        <f t="shared" si="55"/>
        <v>1261</v>
      </c>
      <c r="J823">
        <v>22</v>
      </c>
      <c r="K823" s="3" t="str">
        <f ca="1">VLOOKUP(J823,ConstDLCIds!$A$4:$B$1000,2,FALSE)</f>
        <v>DLC_BLACKWOOD</v>
      </c>
      <c r="L823" s="3" t="str">
        <f ca="1">VLOOKUP(J823,ConstDLCIds!$A$4:$C$1000,3,FALSE)</f>
        <v>Blackwood</v>
      </c>
    </row>
    <row r="824" spans="1:12" x14ac:dyDescent="0.25">
      <c r="A824">
        <v>1245</v>
      </c>
      <c r="B824">
        <v>819</v>
      </c>
      <c r="C824">
        <v>1261</v>
      </c>
      <c r="D824" t="s">
        <v>2879</v>
      </c>
      <c r="E824" t="str">
        <f>IF(NOT(ISERROR(VLOOKUP(D824,'ESO DungeonFinder'!$A$2:$A$999,1,FALSE))),"X","")</f>
        <v/>
      </c>
      <c r="F824" s="70" t="str">
        <f t="shared" si="52"/>
        <v/>
      </c>
      <c r="G824" s="70" t="str">
        <f t="shared" si="53"/>
        <v>Blackwood</v>
      </c>
      <c r="H824" s="70">
        <f t="shared" si="54"/>
        <v>1245</v>
      </c>
      <c r="I824" s="70">
        <f t="shared" si="55"/>
        <v>1261</v>
      </c>
      <c r="J824">
        <v>22</v>
      </c>
      <c r="K824" s="3" t="str">
        <f ca="1">VLOOKUP(J824,ConstDLCIds!$A$4:$B$1000,2,FALSE)</f>
        <v>DLC_BLACKWOOD</v>
      </c>
      <c r="L824" s="3" t="str">
        <f ca="1">VLOOKUP(J824,ConstDLCIds!$A$4:$C$1000,3,FALSE)</f>
        <v>Blackwood</v>
      </c>
    </row>
    <row r="825" spans="1:12" x14ac:dyDescent="0.25">
      <c r="A825">
        <v>1246</v>
      </c>
      <c r="B825">
        <v>820</v>
      </c>
      <c r="C825">
        <v>1261</v>
      </c>
      <c r="D825" t="s">
        <v>2880</v>
      </c>
      <c r="E825" t="str">
        <f>IF(NOT(ISERROR(VLOOKUP(D825,'ESO DungeonFinder'!$A$2:$A$999,1,FALSE))),"X","")</f>
        <v/>
      </c>
      <c r="F825" s="70" t="str">
        <f t="shared" si="52"/>
        <v/>
      </c>
      <c r="G825" s="70" t="str">
        <f t="shared" si="53"/>
        <v>Blackwood</v>
      </c>
      <c r="H825" s="70">
        <f t="shared" si="54"/>
        <v>1246</v>
      </c>
      <c r="I825" s="70">
        <f t="shared" si="55"/>
        <v>1261</v>
      </c>
      <c r="J825">
        <v>22</v>
      </c>
      <c r="K825" s="3" t="str">
        <f ca="1">VLOOKUP(J825,ConstDLCIds!$A$4:$B$1000,2,FALSE)</f>
        <v>DLC_BLACKWOOD</v>
      </c>
      <c r="L825" s="3" t="str">
        <f ca="1">VLOOKUP(J825,ConstDLCIds!$A$4:$C$1000,3,FALSE)</f>
        <v>Blackwood</v>
      </c>
    </row>
    <row r="826" spans="1:12" x14ac:dyDescent="0.25">
      <c r="A826">
        <v>1247</v>
      </c>
      <c r="B826">
        <v>821</v>
      </c>
      <c r="C826">
        <v>1261</v>
      </c>
      <c r="D826" t="s">
        <v>2881</v>
      </c>
      <c r="E826" t="str">
        <f>IF(NOT(ISERROR(VLOOKUP(D826,'ESO DungeonFinder'!$A$2:$A$999,1,FALSE))),"X","")</f>
        <v/>
      </c>
      <c r="F826" s="70" t="str">
        <f t="shared" si="52"/>
        <v/>
      </c>
      <c r="G826" s="70" t="str">
        <f t="shared" si="53"/>
        <v>Blackwood</v>
      </c>
      <c r="H826" s="70">
        <f t="shared" si="54"/>
        <v>1247</v>
      </c>
      <c r="I826" s="70">
        <f t="shared" si="55"/>
        <v>1261</v>
      </c>
      <c r="J826">
        <v>22</v>
      </c>
      <c r="K826" s="3" t="str">
        <f ca="1">VLOOKUP(J826,ConstDLCIds!$A$4:$B$1000,2,FALSE)</f>
        <v>DLC_BLACKWOOD</v>
      </c>
      <c r="L826" s="3" t="str">
        <f ca="1">VLOOKUP(J826,ConstDLCIds!$A$4:$C$1000,3,FALSE)</f>
        <v>Blackwood</v>
      </c>
    </row>
    <row r="827" spans="1:12" x14ac:dyDescent="0.25">
      <c r="A827">
        <v>1248</v>
      </c>
      <c r="B827">
        <v>822</v>
      </c>
      <c r="C827">
        <v>1261</v>
      </c>
      <c r="D827" t="s">
        <v>2882</v>
      </c>
      <c r="E827" t="str">
        <f>IF(NOT(ISERROR(VLOOKUP(D827,'ESO DungeonFinder'!$A$2:$A$999,1,FALSE))),"X","")</f>
        <v/>
      </c>
      <c r="F827" s="70" t="str">
        <f t="shared" si="52"/>
        <v/>
      </c>
      <c r="G827" s="70" t="str">
        <f t="shared" si="53"/>
        <v>Blackwood</v>
      </c>
      <c r="H827" s="70">
        <f t="shared" si="54"/>
        <v>1248</v>
      </c>
      <c r="I827" s="70">
        <f t="shared" si="55"/>
        <v>1261</v>
      </c>
      <c r="J827">
        <v>22</v>
      </c>
      <c r="K827" s="3" t="str">
        <f ca="1">VLOOKUP(J827,ConstDLCIds!$A$4:$B$1000,2,FALSE)</f>
        <v>DLC_BLACKWOOD</v>
      </c>
      <c r="L827" s="3" t="str">
        <f ca="1">VLOOKUP(J827,ConstDLCIds!$A$4:$C$1000,3,FALSE)</f>
        <v>Blackwood</v>
      </c>
    </row>
    <row r="828" spans="1:12" x14ac:dyDescent="0.25">
      <c r="A828">
        <v>1249</v>
      </c>
      <c r="B828">
        <v>823</v>
      </c>
      <c r="C828">
        <v>1261</v>
      </c>
      <c r="D828" t="s">
        <v>2883</v>
      </c>
      <c r="E828" t="str">
        <f>IF(NOT(ISERROR(VLOOKUP(D828,'ESO DungeonFinder'!$A$2:$A$999,1,FALSE))),"X","")</f>
        <v/>
      </c>
      <c r="F828" s="70" t="str">
        <f t="shared" si="52"/>
        <v/>
      </c>
      <c r="G828" s="70" t="str">
        <f t="shared" si="53"/>
        <v>Blackwood</v>
      </c>
      <c r="H828" s="70">
        <f t="shared" si="54"/>
        <v>1249</v>
      </c>
      <c r="I828" s="70">
        <f t="shared" si="55"/>
        <v>1261</v>
      </c>
      <c r="J828">
        <v>22</v>
      </c>
      <c r="K828" s="3" t="str">
        <f ca="1">VLOOKUP(J828,ConstDLCIds!$A$4:$B$1000,2,FALSE)</f>
        <v>DLC_BLACKWOOD</v>
      </c>
      <c r="L828" s="3" t="str">
        <f ca="1">VLOOKUP(J828,ConstDLCIds!$A$4:$C$1000,3,FALSE)</f>
        <v>Blackwood</v>
      </c>
    </row>
    <row r="829" spans="1:12" x14ac:dyDescent="0.25">
      <c r="A829">
        <v>1250</v>
      </c>
      <c r="B829">
        <v>824</v>
      </c>
      <c r="C829">
        <v>1261</v>
      </c>
      <c r="D829" t="s">
        <v>2884</v>
      </c>
      <c r="E829" t="str">
        <f>IF(NOT(ISERROR(VLOOKUP(D829,'ESO DungeonFinder'!$A$2:$A$999,1,FALSE))),"X","")</f>
        <v/>
      </c>
      <c r="F829" s="70" t="str">
        <f t="shared" si="52"/>
        <v/>
      </c>
      <c r="G829" s="70" t="str">
        <f t="shared" si="53"/>
        <v>Blackwood</v>
      </c>
      <c r="H829" s="70">
        <f t="shared" si="54"/>
        <v>1250</v>
      </c>
      <c r="I829" s="70">
        <f t="shared" si="55"/>
        <v>1261</v>
      </c>
      <c r="J829">
        <v>22</v>
      </c>
      <c r="K829" s="3" t="str">
        <f ca="1">VLOOKUP(J829,ConstDLCIds!$A$4:$B$1000,2,FALSE)</f>
        <v>DLC_BLACKWOOD</v>
      </c>
      <c r="L829" s="3" t="str">
        <f ca="1">VLOOKUP(J829,ConstDLCIds!$A$4:$C$1000,3,FALSE)</f>
        <v>Blackwood</v>
      </c>
    </row>
    <row r="830" spans="1:12" x14ac:dyDescent="0.25">
      <c r="A830">
        <v>1251</v>
      </c>
      <c r="B830">
        <v>825</v>
      </c>
      <c r="C830">
        <v>1261</v>
      </c>
      <c r="D830" t="s">
        <v>2885</v>
      </c>
      <c r="E830" t="str">
        <f>IF(NOT(ISERROR(VLOOKUP(D830,'ESO DungeonFinder'!$A$2:$A$999,1,FALSE))),"X","")</f>
        <v/>
      </c>
      <c r="F830" s="70" t="str">
        <f t="shared" si="52"/>
        <v/>
      </c>
      <c r="G830" s="70" t="str">
        <f t="shared" si="53"/>
        <v>Blackwood</v>
      </c>
      <c r="H830" s="70">
        <f t="shared" si="54"/>
        <v>1251</v>
      </c>
      <c r="I830" s="70">
        <f t="shared" si="55"/>
        <v>1261</v>
      </c>
      <c r="J830">
        <v>22</v>
      </c>
      <c r="K830" s="3" t="str">
        <f ca="1">VLOOKUP(J830,ConstDLCIds!$A$4:$B$1000,2,FALSE)</f>
        <v>DLC_BLACKWOOD</v>
      </c>
      <c r="L830" s="3" t="str">
        <f ca="1">VLOOKUP(J830,ConstDLCIds!$A$4:$C$1000,3,FALSE)</f>
        <v>Blackwood</v>
      </c>
    </row>
    <row r="831" spans="1:12" x14ac:dyDescent="0.25">
      <c r="A831">
        <v>1252</v>
      </c>
      <c r="B831">
        <v>826</v>
      </c>
      <c r="C831">
        <v>1261</v>
      </c>
      <c r="D831" t="s">
        <v>2886</v>
      </c>
      <c r="E831" t="str">
        <f>IF(NOT(ISERROR(VLOOKUP(D831,'ESO DungeonFinder'!$A$2:$A$999,1,FALSE))),"X","")</f>
        <v/>
      </c>
      <c r="F831" s="70" t="str">
        <f t="shared" si="52"/>
        <v/>
      </c>
      <c r="G831" s="70" t="str">
        <f t="shared" si="53"/>
        <v>Blackwood</v>
      </c>
      <c r="H831" s="70">
        <f t="shared" si="54"/>
        <v>1252</v>
      </c>
      <c r="I831" s="70">
        <f t="shared" si="55"/>
        <v>1261</v>
      </c>
      <c r="J831">
        <v>22</v>
      </c>
      <c r="K831" s="3" t="str">
        <f ca="1">VLOOKUP(J831,ConstDLCIds!$A$4:$B$1000,2,FALSE)</f>
        <v>DLC_BLACKWOOD</v>
      </c>
      <c r="L831" s="3" t="str">
        <f ca="1">VLOOKUP(J831,ConstDLCIds!$A$4:$C$1000,3,FALSE)</f>
        <v>Blackwood</v>
      </c>
    </row>
    <row r="832" spans="1:12" x14ac:dyDescent="0.25">
      <c r="A832">
        <v>1253</v>
      </c>
      <c r="B832">
        <v>827</v>
      </c>
      <c r="C832">
        <v>1261</v>
      </c>
      <c r="D832" t="s">
        <v>2887</v>
      </c>
      <c r="E832" t="str">
        <f>IF(NOT(ISERROR(VLOOKUP(D832,'ESO DungeonFinder'!$A$2:$A$999,1,FALSE))),"X","")</f>
        <v/>
      </c>
      <c r="F832" s="70" t="str">
        <f t="shared" si="52"/>
        <v/>
      </c>
      <c r="G832" s="70" t="str">
        <f t="shared" si="53"/>
        <v>Blackwood</v>
      </c>
      <c r="H832" s="70">
        <f t="shared" si="54"/>
        <v>1253</v>
      </c>
      <c r="I832" s="70">
        <f t="shared" si="55"/>
        <v>1261</v>
      </c>
      <c r="J832">
        <v>22</v>
      </c>
      <c r="K832" s="3" t="str">
        <f ca="1">VLOOKUP(J832,ConstDLCIds!$A$4:$B$1000,2,FALSE)</f>
        <v>DLC_BLACKWOOD</v>
      </c>
      <c r="L832" s="3" t="str">
        <f ca="1">VLOOKUP(J832,ConstDLCIds!$A$4:$C$1000,3,FALSE)</f>
        <v>Blackwood</v>
      </c>
    </row>
    <row r="833" spans="1:12" x14ac:dyDescent="0.25">
      <c r="A833">
        <v>1254</v>
      </c>
      <c r="B833">
        <v>828</v>
      </c>
      <c r="C833">
        <v>1261</v>
      </c>
      <c r="D833" t="s">
        <v>2888</v>
      </c>
      <c r="E833" t="str">
        <f>IF(NOT(ISERROR(VLOOKUP(D833,'ESO DungeonFinder'!$A$2:$A$999,1,FALSE))),"X","")</f>
        <v/>
      </c>
      <c r="F833" s="70" t="str">
        <f t="shared" si="52"/>
        <v/>
      </c>
      <c r="G833" s="70" t="str">
        <f t="shared" si="53"/>
        <v>Blackwood</v>
      </c>
      <c r="H833" s="70">
        <f t="shared" si="54"/>
        <v>1254</v>
      </c>
      <c r="I833" s="70">
        <f t="shared" si="55"/>
        <v>1261</v>
      </c>
      <c r="J833">
        <v>22</v>
      </c>
      <c r="K833" s="3" t="str">
        <f ca="1">VLOOKUP(J833,ConstDLCIds!$A$4:$B$1000,2,FALSE)</f>
        <v>DLC_BLACKWOOD</v>
      </c>
      <c r="L833" s="3" t="str">
        <f ca="1">VLOOKUP(J833,ConstDLCIds!$A$4:$C$1000,3,FALSE)</f>
        <v>Blackwood</v>
      </c>
    </row>
    <row r="834" spans="1:12" x14ac:dyDescent="0.25">
      <c r="A834">
        <v>1255</v>
      </c>
      <c r="B834">
        <v>829</v>
      </c>
      <c r="C834">
        <v>1261</v>
      </c>
      <c r="D834" t="s">
        <v>2889</v>
      </c>
      <c r="E834" t="str">
        <f>IF(NOT(ISERROR(VLOOKUP(D834,'ESO DungeonFinder'!$A$2:$A$999,1,FALSE))),"X","")</f>
        <v/>
      </c>
      <c r="F834" s="70" t="str">
        <f t="shared" si="52"/>
        <v/>
      </c>
      <c r="G834" s="70" t="str">
        <f t="shared" si="53"/>
        <v>Blackwood</v>
      </c>
      <c r="H834" s="70">
        <f t="shared" si="54"/>
        <v>1255</v>
      </c>
      <c r="I834" s="70">
        <f t="shared" si="55"/>
        <v>1261</v>
      </c>
      <c r="J834">
        <v>22</v>
      </c>
      <c r="K834" s="3" t="str">
        <f ca="1">VLOOKUP(J834,ConstDLCIds!$A$4:$B$1000,2,FALSE)</f>
        <v>DLC_BLACKWOOD</v>
      </c>
      <c r="L834" s="3" t="str">
        <f ca="1">VLOOKUP(J834,ConstDLCIds!$A$4:$C$1000,3,FALSE)</f>
        <v>Blackwood</v>
      </c>
    </row>
    <row r="835" spans="1:12" x14ac:dyDescent="0.25">
      <c r="A835">
        <v>1256</v>
      </c>
      <c r="B835">
        <v>830</v>
      </c>
      <c r="C835">
        <v>1261</v>
      </c>
      <c r="D835" t="s">
        <v>2890</v>
      </c>
      <c r="E835" t="str">
        <f>IF(NOT(ISERROR(VLOOKUP(D835,'ESO DungeonFinder'!$A$2:$A$999,1,FALSE))),"X","")</f>
        <v/>
      </c>
      <c r="F835" s="70" t="str">
        <f t="shared" si="52"/>
        <v/>
      </c>
      <c r="G835" s="70" t="str">
        <f t="shared" si="53"/>
        <v>Blackwood</v>
      </c>
      <c r="H835" s="70">
        <f t="shared" si="54"/>
        <v>1256</v>
      </c>
      <c r="I835" s="70">
        <f t="shared" si="55"/>
        <v>1261</v>
      </c>
      <c r="J835">
        <v>22</v>
      </c>
      <c r="K835" s="3" t="str">
        <f ca="1">VLOOKUP(J835,ConstDLCIds!$A$4:$B$1000,2,FALSE)</f>
        <v>DLC_BLACKWOOD</v>
      </c>
      <c r="L835" s="3" t="str">
        <f ca="1">VLOOKUP(J835,ConstDLCIds!$A$4:$C$1000,3,FALSE)</f>
        <v>Blackwood</v>
      </c>
    </row>
    <row r="836" spans="1:12" x14ac:dyDescent="0.25">
      <c r="A836">
        <v>1257</v>
      </c>
      <c r="B836">
        <v>831</v>
      </c>
      <c r="C836">
        <v>1261</v>
      </c>
      <c r="D836" t="s">
        <v>2891</v>
      </c>
      <c r="E836" t="str">
        <f>IF(NOT(ISERROR(VLOOKUP(D836,'ESO DungeonFinder'!$A$2:$A$999,1,FALSE))),"X","")</f>
        <v/>
      </c>
      <c r="F836" s="70" t="str">
        <f t="shared" si="52"/>
        <v/>
      </c>
      <c r="G836" s="70" t="str">
        <f t="shared" si="53"/>
        <v>Blackwood</v>
      </c>
      <c r="H836" s="70">
        <f t="shared" si="54"/>
        <v>1257</v>
      </c>
      <c r="I836" s="70">
        <f t="shared" si="55"/>
        <v>1261</v>
      </c>
      <c r="J836">
        <v>22</v>
      </c>
      <c r="K836" s="3" t="str">
        <f ca="1">VLOOKUP(J836,ConstDLCIds!$A$4:$B$1000,2,FALSE)</f>
        <v>DLC_BLACKWOOD</v>
      </c>
      <c r="L836" s="3" t="str">
        <f ca="1">VLOOKUP(J836,ConstDLCIds!$A$4:$C$1000,3,FALSE)</f>
        <v>Blackwood</v>
      </c>
    </row>
    <row r="837" spans="1:12" x14ac:dyDescent="0.25">
      <c r="A837">
        <v>1258</v>
      </c>
      <c r="B837">
        <v>832</v>
      </c>
      <c r="C837">
        <v>1261</v>
      </c>
      <c r="D837" t="s">
        <v>2892</v>
      </c>
      <c r="E837" t="str">
        <f>IF(NOT(ISERROR(VLOOKUP(D837,'ESO DungeonFinder'!$A$2:$A$999,1,FALSE))),"X","")</f>
        <v/>
      </c>
      <c r="F837" s="70" t="str">
        <f t="shared" si="52"/>
        <v/>
      </c>
      <c r="G837" s="70" t="str">
        <f t="shared" si="53"/>
        <v>Blackwood</v>
      </c>
      <c r="H837" s="70">
        <f t="shared" si="54"/>
        <v>1258</v>
      </c>
      <c r="I837" s="70">
        <f t="shared" si="55"/>
        <v>1261</v>
      </c>
      <c r="J837">
        <v>22</v>
      </c>
      <c r="K837" s="3" t="str">
        <f ca="1">VLOOKUP(J837,ConstDLCIds!$A$4:$B$1000,2,FALSE)</f>
        <v>DLC_BLACKWOOD</v>
      </c>
      <c r="L837" s="3" t="str">
        <f ca="1">VLOOKUP(J837,ConstDLCIds!$A$4:$C$1000,3,FALSE)</f>
        <v>Blackwood</v>
      </c>
    </row>
    <row r="838" spans="1:12" x14ac:dyDescent="0.25">
      <c r="A838">
        <v>1259</v>
      </c>
      <c r="B838">
        <v>833</v>
      </c>
      <c r="C838">
        <v>1261</v>
      </c>
      <c r="D838" t="s">
        <v>1563</v>
      </c>
      <c r="E838" t="str">
        <f>IF(NOT(ISERROR(VLOOKUP(D838,'ESO DungeonFinder'!$A$2:$A$999,1,FALSE))),"X","")</f>
        <v/>
      </c>
      <c r="F838" s="70" t="str">
        <f t="shared" si="52"/>
        <v/>
      </c>
      <c r="G838" s="70" t="str">
        <f t="shared" si="53"/>
        <v>Blackwood</v>
      </c>
      <c r="H838" s="70">
        <f t="shared" si="54"/>
        <v>1259</v>
      </c>
      <c r="I838" s="70">
        <f t="shared" si="55"/>
        <v>1261</v>
      </c>
      <c r="J838">
        <v>22</v>
      </c>
      <c r="K838" s="3" t="str">
        <f ca="1">VLOOKUP(J838,ConstDLCIds!$A$4:$B$1000,2,FALSE)</f>
        <v>DLC_BLACKWOOD</v>
      </c>
      <c r="L838" s="3" t="str">
        <f ca="1">VLOOKUP(J838,ConstDLCIds!$A$4:$C$1000,3,FALSE)</f>
        <v>Blackwood</v>
      </c>
    </row>
    <row r="839" spans="1:12" x14ac:dyDescent="0.25">
      <c r="A839">
        <v>1260</v>
      </c>
      <c r="B839">
        <v>834</v>
      </c>
      <c r="C839">
        <v>1261</v>
      </c>
      <c r="D839" t="s">
        <v>1605</v>
      </c>
      <c r="E839" t="str">
        <f>IF(NOT(ISERROR(VLOOKUP(D839,'ESO DungeonFinder'!$A$2:$A$999,1,FALSE))),"X","")</f>
        <v/>
      </c>
      <c r="F839" s="70" t="str">
        <f t="shared" ref="F839:F902" si="56">IF(EXACT(A839,C839),"X","")</f>
        <v/>
      </c>
      <c r="G839" s="70" t="str">
        <f t="shared" ref="G839:G902" si="57">IF(A839&lt;&gt;C839,VLOOKUP(C839,$A$5:$D$9956,4,FALSE),"")</f>
        <v>Blackwood</v>
      </c>
      <c r="H839" s="70">
        <f t="shared" ref="H839:H902" si="58">A839</f>
        <v>1260</v>
      </c>
      <c r="I839" s="70">
        <f t="shared" ref="I839:I902" si="59">C839</f>
        <v>1261</v>
      </c>
      <c r="J839">
        <v>22</v>
      </c>
      <c r="K839" s="3" t="str">
        <f ca="1">VLOOKUP(J839,ConstDLCIds!$A$4:$B$1000,2,FALSE)</f>
        <v>DLC_BLACKWOOD</v>
      </c>
      <c r="L839" s="3" t="str">
        <f ca="1">VLOOKUP(J839,ConstDLCIds!$A$4:$C$1000,3,FALSE)</f>
        <v>Blackwood</v>
      </c>
    </row>
    <row r="840" spans="1:12" x14ac:dyDescent="0.25">
      <c r="A840">
        <v>1261</v>
      </c>
      <c r="B840">
        <v>835</v>
      </c>
      <c r="C840">
        <v>1261</v>
      </c>
      <c r="D840" t="s">
        <v>74</v>
      </c>
      <c r="E840" t="str">
        <f>IF(NOT(ISERROR(VLOOKUP(D840,'ESO DungeonFinder'!$A$2:$A$999,1,FALSE))),"X","")</f>
        <v/>
      </c>
      <c r="F840" s="70" t="str">
        <f t="shared" si="56"/>
        <v>X</v>
      </c>
      <c r="G840" s="70" t="str">
        <f t="shared" si="57"/>
        <v/>
      </c>
      <c r="H840" s="70">
        <f t="shared" si="58"/>
        <v>1261</v>
      </c>
      <c r="I840" s="70">
        <f t="shared" si="59"/>
        <v>1261</v>
      </c>
      <c r="J840">
        <v>14</v>
      </c>
      <c r="K840" s="3" t="str">
        <f ca="1">VLOOKUP(J840,ConstDLCIds!$A$4:$B$1000,2,FALSE)</f>
        <v>DLC_ELSWEYR</v>
      </c>
      <c r="L840" s="3" t="str">
        <f ca="1">VLOOKUP(J840,ConstDLCIds!$A$4:$C$1000,3,FALSE)</f>
        <v>Elsweyr</v>
      </c>
    </row>
    <row r="841" spans="1:12" x14ac:dyDescent="0.25">
      <c r="A841">
        <v>1262</v>
      </c>
      <c r="B841">
        <v>836</v>
      </c>
      <c r="C841">
        <v>19</v>
      </c>
      <c r="D841" t="s">
        <v>2893</v>
      </c>
      <c r="E841" t="str">
        <f>IF(NOT(ISERROR(VLOOKUP(D841,'ESO DungeonFinder'!$A$2:$A$999,1,FALSE))),"X","")</f>
        <v/>
      </c>
      <c r="F841" s="70" t="str">
        <f t="shared" si="56"/>
        <v/>
      </c>
      <c r="G841" s="70" t="str">
        <f t="shared" si="57"/>
        <v>Stormhaven</v>
      </c>
      <c r="H841" s="70">
        <f t="shared" si="58"/>
        <v>1262</v>
      </c>
      <c r="I841" s="70">
        <f t="shared" si="59"/>
        <v>19</v>
      </c>
      <c r="J841">
        <v>0</v>
      </c>
      <c r="K841" s="3" t="str">
        <f>VLOOKUP(J841,ConstDLCIds!$A$4:$B$1000,2,FALSE)</f>
        <v>DLC_BASE_GAME</v>
      </c>
      <c r="L841" s="3" t="str">
        <f>VLOOKUP(J841,ConstDLCIds!$A$4:$C$1000,3,FALSE)</f>
        <v>Included in base game</v>
      </c>
    </row>
    <row r="842" spans="1:12" x14ac:dyDescent="0.25">
      <c r="A842">
        <v>1263</v>
      </c>
      <c r="B842">
        <v>837</v>
      </c>
      <c r="C842">
        <v>1261</v>
      </c>
      <c r="D842" t="s">
        <v>1576</v>
      </c>
      <c r="E842" t="str">
        <f>IF(NOT(ISERROR(VLOOKUP(D842,'ESO DungeonFinder'!$A$2:$A$999,1,FALSE))),"X","")</f>
        <v/>
      </c>
      <c r="F842" s="70" t="str">
        <f t="shared" si="56"/>
        <v/>
      </c>
      <c r="G842" s="70" t="str">
        <f t="shared" si="57"/>
        <v>Blackwood</v>
      </c>
      <c r="H842" s="70">
        <f t="shared" si="58"/>
        <v>1263</v>
      </c>
      <c r="I842" s="70">
        <f t="shared" si="59"/>
        <v>1261</v>
      </c>
      <c r="J842">
        <v>22</v>
      </c>
      <c r="K842" s="3" t="str">
        <f ca="1">VLOOKUP(J842,ConstDLCIds!$A$4:$B$1000,2,FALSE)</f>
        <v>DLC_BLACKWOOD</v>
      </c>
      <c r="L842" s="3" t="str">
        <f ca="1">VLOOKUP(J842,ConstDLCIds!$A$4:$C$1000,3,FALSE)</f>
        <v>Blackwood</v>
      </c>
    </row>
    <row r="843" spans="1:12" x14ac:dyDescent="0.25">
      <c r="A843">
        <v>1264</v>
      </c>
      <c r="B843">
        <v>838</v>
      </c>
      <c r="C843">
        <v>1207</v>
      </c>
      <c r="D843" t="s">
        <v>2894</v>
      </c>
      <c r="E843" t="str">
        <f>IF(NOT(ISERROR(VLOOKUP(D843,'ESO DungeonFinder'!$A$2:$A$999,1,FALSE))),"X","")</f>
        <v/>
      </c>
      <c r="F843" s="70" t="str">
        <f t="shared" si="56"/>
        <v/>
      </c>
      <c r="G843" s="70" t="str">
        <f t="shared" si="57"/>
        <v>The Reach</v>
      </c>
      <c r="H843" s="70">
        <f t="shared" si="58"/>
        <v>1264</v>
      </c>
      <c r="I843" s="70">
        <f t="shared" si="59"/>
        <v>1207</v>
      </c>
      <c r="J843">
        <v>20</v>
      </c>
      <c r="K843" s="3" t="str">
        <f ca="1">VLOOKUP(J843,ConstDLCIds!$A$4:$B$1000,2,FALSE)</f>
        <v>DLC_MARKARTH</v>
      </c>
      <c r="L843" s="3" t="str">
        <f ca="1">VLOOKUP(J843,ConstDLCIds!$A$4:$C$1000,3,FALSE)</f>
        <v>Markarth</v>
      </c>
    </row>
    <row r="844" spans="1:12" x14ac:dyDescent="0.25">
      <c r="A844">
        <v>1265</v>
      </c>
      <c r="B844">
        <v>839</v>
      </c>
      <c r="C844">
        <v>1160</v>
      </c>
      <c r="D844" t="s">
        <v>2895</v>
      </c>
      <c r="E844" t="str">
        <f>IF(NOT(ISERROR(VLOOKUP(D844,'ESO DungeonFinder'!$A$2:$A$999,1,FALSE))),"X","")</f>
        <v/>
      </c>
      <c r="F844" s="70" t="str">
        <f t="shared" si="56"/>
        <v/>
      </c>
      <c r="G844" s="70" t="str">
        <f t="shared" si="57"/>
        <v>Western Skyrim</v>
      </c>
      <c r="H844" s="70">
        <f t="shared" si="58"/>
        <v>1265</v>
      </c>
      <c r="I844" s="70">
        <f t="shared" si="59"/>
        <v>1160</v>
      </c>
      <c r="J844">
        <v>18</v>
      </c>
      <c r="K844" s="3" t="str">
        <f ca="1">VLOOKUP(J844,ConstDLCIds!$A$4:$B$1000,2,FALSE)</f>
        <v>DLC_GREYMOOR</v>
      </c>
      <c r="L844" s="3" t="str">
        <f ca="1">VLOOKUP(J844,ConstDLCIds!$A$4:$C$1000,3,FALSE)</f>
        <v>Greymoor</v>
      </c>
    </row>
    <row r="845" spans="1:12" x14ac:dyDescent="0.25">
      <c r="A845">
        <v>1266</v>
      </c>
      <c r="B845">
        <v>840</v>
      </c>
      <c r="C845">
        <v>1261</v>
      </c>
      <c r="D845" t="s">
        <v>2896</v>
      </c>
      <c r="E845" t="str">
        <f>IF(NOT(ISERROR(VLOOKUP(D845,'ESO DungeonFinder'!$A$2:$A$999,1,FALSE))),"X","")</f>
        <v/>
      </c>
      <c r="F845" s="70" t="str">
        <f t="shared" si="56"/>
        <v/>
      </c>
      <c r="G845" s="70" t="str">
        <f t="shared" si="57"/>
        <v>Blackwood</v>
      </c>
      <c r="H845" s="70">
        <f t="shared" si="58"/>
        <v>1266</v>
      </c>
      <c r="I845" s="70">
        <f t="shared" si="59"/>
        <v>1261</v>
      </c>
      <c r="J845">
        <v>22</v>
      </c>
      <c r="K845" s="3" t="str">
        <f ca="1">VLOOKUP(J845,ConstDLCIds!$A$4:$B$1000,2,FALSE)</f>
        <v>DLC_BLACKWOOD</v>
      </c>
      <c r="L845" s="3" t="str">
        <f ca="1">VLOOKUP(J845,ConstDLCIds!$A$4:$C$1000,3,FALSE)</f>
        <v>Blackwood</v>
      </c>
    </row>
    <row r="846" spans="1:12" x14ac:dyDescent="0.25">
      <c r="A846">
        <v>1267</v>
      </c>
      <c r="B846">
        <v>841</v>
      </c>
      <c r="C846">
        <v>3</v>
      </c>
      <c r="D846" t="s">
        <v>1628</v>
      </c>
      <c r="E846" t="str">
        <f>IF(NOT(ISERROR(VLOOKUP(D846,'ESO DungeonFinder'!$A$2:$A$999,1,FALSE))),"X","")</f>
        <v>X</v>
      </c>
      <c r="F846" s="70" t="str">
        <f t="shared" si="56"/>
        <v/>
      </c>
      <c r="G846" s="70" t="str">
        <f t="shared" si="57"/>
        <v>Glenumbra</v>
      </c>
      <c r="H846" s="70">
        <f t="shared" si="58"/>
        <v>1267</v>
      </c>
      <c r="I846" s="70">
        <f t="shared" si="59"/>
        <v>3</v>
      </c>
      <c r="J846">
        <v>23</v>
      </c>
      <c r="K846" s="3" t="str">
        <f ca="1">VLOOKUP(J846,ConstDLCIds!$A$4:$B$1000,2,FALSE)</f>
        <v>DLC_WAKING_FLAME</v>
      </c>
      <c r="L846" s="3" t="str">
        <f ca="1">VLOOKUP(J846,ConstDLCIds!$A$4:$C$1000,3,FALSE)</f>
        <v>Waking Flame</v>
      </c>
    </row>
    <row r="847" spans="1:12" x14ac:dyDescent="0.25">
      <c r="A847">
        <v>1268</v>
      </c>
      <c r="B847">
        <v>842</v>
      </c>
      <c r="C847">
        <v>1261</v>
      </c>
      <c r="D847" t="s">
        <v>1621</v>
      </c>
      <c r="E847" t="str">
        <f>IF(NOT(ISERROR(VLOOKUP(D847,'ESO DungeonFinder'!$A$2:$A$999,1,FALSE))),"X","")</f>
        <v>X</v>
      </c>
      <c r="F847" s="70" t="str">
        <f t="shared" si="56"/>
        <v/>
      </c>
      <c r="G847" s="70" t="str">
        <f t="shared" si="57"/>
        <v>Blackwood</v>
      </c>
      <c r="H847" s="70">
        <f t="shared" si="58"/>
        <v>1268</v>
      </c>
      <c r="I847" s="70">
        <f t="shared" si="59"/>
        <v>1261</v>
      </c>
      <c r="J847">
        <v>22</v>
      </c>
      <c r="K847" s="3" t="str">
        <f ca="1">VLOOKUP(J847,ConstDLCIds!$A$4:$B$1000,2,FALSE)</f>
        <v>DLC_BLACKWOOD</v>
      </c>
      <c r="L847" s="3" t="str">
        <f ca="1">VLOOKUP(J847,ConstDLCIds!$A$4:$C$1000,3,FALSE)</f>
        <v>Blackwood</v>
      </c>
    </row>
    <row r="848" spans="1:12" x14ac:dyDescent="0.25">
      <c r="A848">
        <v>1270</v>
      </c>
      <c r="B848">
        <v>843</v>
      </c>
      <c r="C848">
        <v>849</v>
      </c>
      <c r="D848" t="s">
        <v>2897</v>
      </c>
      <c r="E848" t="str">
        <f>IF(NOT(ISERROR(VLOOKUP(D848,'ESO DungeonFinder'!$A$2:$A$999,1,FALSE))),"X","")</f>
        <v/>
      </c>
      <c r="F848" s="70" t="str">
        <f t="shared" si="56"/>
        <v/>
      </c>
      <c r="G848" s="70" t="str">
        <f t="shared" si="57"/>
        <v>Vvardenfell</v>
      </c>
      <c r="H848" s="70">
        <f t="shared" si="58"/>
        <v>1270</v>
      </c>
      <c r="I848" s="70">
        <f t="shared" si="59"/>
        <v>849</v>
      </c>
      <c r="J848">
        <v>6</v>
      </c>
      <c r="K848" s="3" t="str">
        <f ca="1">VLOOKUP(J848,ConstDLCIds!$A$4:$B$1000,2,FALSE)</f>
        <v>DLC_MORROWIND</v>
      </c>
      <c r="L848" s="3" t="str">
        <f ca="1">VLOOKUP(J848,ConstDLCIds!$A$4:$C$1000,3,FALSE)</f>
        <v>Morrowind</v>
      </c>
    </row>
    <row r="849" spans="1:12" x14ac:dyDescent="0.25">
      <c r="A849">
        <v>1271</v>
      </c>
      <c r="B849">
        <v>844</v>
      </c>
      <c r="C849">
        <v>823</v>
      </c>
      <c r="D849" t="s">
        <v>2898</v>
      </c>
      <c r="E849" t="str">
        <f>IF(NOT(ISERROR(VLOOKUP(D849,'ESO DungeonFinder'!$A$2:$A$999,1,FALSE))),"X","")</f>
        <v/>
      </c>
      <c r="F849" s="70" t="str">
        <f t="shared" si="56"/>
        <v/>
      </c>
      <c r="G849" s="70" t="str">
        <f t="shared" si="57"/>
        <v>Gold Coast</v>
      </c>
      <c r="H849" s="70">
        <f t="shared" si="58"/>
        <v>1271</v>
      </c>
      <c r="I849" s="70">
        <f t="shared" si="59"/>
        <v>823</v>
      </c>
      <c r="J849">
        <v>4</v>
      </c>
      <c r="K849" s="3" t="str">
        <f ca="1">VLOOKUP(J849,ConstDLCIds!$A$4:$B$1000,2,FALSE)</f>
        <v>DLC_DARK_BROTHERHOOD</v>
      </c>
      <c r="L849" s="3" t="str">
        <f ca="1">VLOOKUP(J849,ConstDLCIds!$A$4:$C$1000,3,FALSE)</f>
        <v>Dark Brotherhood</v>
      </c>
    </row>
    <row r="850" spans="1:12" x14ac:dyDescent="0.25">
      <c r="A850">
        <v>1272</v>
      </c>
      <c r="B850">
        <v>845</v>
      </c>
      <c r="C850">
        <v>1261</v>
      </c>
      <c r="D850" t="s">
        <v>2193</v>
      </c>
      <c r="E850" t="str">
        <f>IF(NOT(ISERROR(VLOOKUP(D850,'ESO DungeonFinder'!$A$2:$A$999,1,FALSE))),"X","")</f>
        <v/>
      </c>
      <c r="F850" s="70" t="str">
        <f t="shared" si="56"/>
        <v/>
      </c>
      <c r="G850" s="70" t="str">
        <f t="shared" si="57"/>
        <v>Blackwood</v>
      </c>
      <c r="H850" s="70">
        <f t="shared" si="58"/>
        <v>1272</v>
      </c>
      <c r="I850" s="70">
        <f t="shared" si="59"/>
        <v>1261</v>
      </c>
      <c r="J850">
        <v>22</v>
      </c>
      <c r="K850" s="3" t="str">
        <f ca="1">VLOOKUP(J850,ConstDLCIds!$A$4:$B$1000,2,FALSE)</f>
        <v>DLC_BLACKWOOD</v>
      </c>
      <c r="L850" s="3" t="str">
        <f ca="1">VLOOKUP(J850,ConstDLCIds!$A$4:$C$1000,3,FALSE)</f>
        <v>Blackwood</v>
      </c>
    </row>
    <row r="851" spans="1:12" x14ac:dyDescent="0.25">
      <c r="A851">
        <v>1274</v>
      </c>
      <c r="B851">
        <v>846</v>
      </c>
      <c r="C851">
        <v>3</v>
      </c>
      <c r="D851" t="s">
        <v>2899</v>
      </c>
      <c r="E851" t="str">
        <f>IF(NOT(ISERROR(VLOOKUP(D851,'ESO DungeonFinder'!$A$2:$A$999,1,FALSE))),"X","")</f>
        <v/>
      </c>
      <c r="F851" s="70" t="str">
        <f t="shared" si="56"/>
        <v/>
      </c>
      <c r="G851" s="70" t="str">
        <f t="shared" si="57"/>
        <v>Glenumbra</v>
      </c>
      <c r="H851" s="70">
        <f t="shared" si="58"/>
        <v>1274</v>
      </c>
      <c r="I851" s="70">
        <f t="shared" si="59"/>
        <v>3</v>
      </c>
      <c r="J851">
        <v>0</v>
      </c>
      <c r="K851" s="3" t="str">
        <f>VLOOKUP(J851,ConstDLCIds!$A$4:$B$1000,2,FALSE)</f>
        <v>DLC_BASE_GAME</v>
      </c>
      <c r="L851" s="3" t="str">
        <f>VLOOKUP(J851,ConstDLCIds!$A$4:$C$1000,3,FALSE)</f>
        <v>Included in base game</v>
      </c>
    </row>
    <row r="852" spans="1:12" x14ac:dyDescent="0.25">
      <c r="A852">
        <v>1275</v>
      </c>
      <c r="B852">
        <v>847</v>
      </c>
      <c r="C852">
        <v>1261</v>
      </c>
      <c r="D852" t="s">
        <v>2900</v>
      </c>
      <c r="E852" t="str">
        <f>IF(NOT(ISERROR(VLOOKUP(D852,'ESO DungeonFinder'!$A$2:$A$999,1,FALSE))),"X","")</f>
        <v/>
      </c>
      <c r="F852" s="70" t="str">
        <f t="shared" si="56"/>
        <v/>
      </c>
      <c r="G852" s="70" t="str">
        <f t="shared" si="57"/>
        <v>Blackwood</v>
      </c>
      <c r="H852" s="70">
        <f t="shared" si="58"/>
        <v>1275</v>
      </c>
      <c r="I852" s="70">
        <f t="shared" si="59"/>
        <v>1261</v>
      </c>
      <c r="J852">
        <v>22</v>
      </c>
      <c r="K852" s="3" t="str">
        <f ca="1">VLOOKUP(J852,ConstDLCIds!$A$4:$B$1000,2,FALSE)</f>
        <v>DLC_BLACKWOOD</v>
      </c>
      <c r="L852" s="3" t="str">
        <f ca="1">VLOOKUP(J852,ConstDLCIds!$A$4:$C$1000,3,FALSE)</f>
        <v>Blackwood</v>
      </c>
    </row>
    <row r="853" spans="1:12" x14ac:dyDescent="0.25">
      <c r="A853">
        <v>1276</v>
      </c>
      <c r="B853">
        <v>848</v>
      </c>
      <c r="C853">
        <v>1261</v>
      </c>
      <c r="D853" t="s">
        <v>2901</v>
      </c>
      <c r="E853" t="str">
        <f>IF(NOT(ISERROR(VLOOKUP(D853,'ESO DungeonFinder'!$A$2:$A$999,1,FALSE))),"X","")</f>
        <v/>
      </c>
      <c r="F853" s="70" t="str">
        <f t="shared" si="56"/>
        <v/>
      </c>
      <c r="G853" s="70" t="str">
        <f t="shared" si="57"/>
        <v>Blackwood</v>
      </c>
      <c r="H853" s="70">
        <f t="shared" si="58"/>
        <v>1276</v>
      </c>
      <c r="I853" s="70">
        <f t="shared" si="59"/>
        <v>1261</v>
      </c>
      <c r="J853">
        <v>22</v>
      </c>
      <c r="K853" s="3" t="str">
        <f ca="1">VLOOKUP(J853,ConstDLCIds!$A$4:$B$1000,2,FALSE)</f>
        <v>DLC_BLACKWOOD</v>
      </c>
      <c r="L853" s="3" t="str">
        <f ca="1">VLOOKUP(J853,ConstDLCIds!$A$4:$C$1000,3,FALSE)</f>
        <v>Blackwood</v>
      </c>
    </row>
    <row r="854" spans="1:12" x14ac:dyDescent="0.25">
      <c r="A854">
        <v>1277</v>
      </c>
      <c r="B854">
        <v>849</v>
      </c>
      <c r="C854">
        <v>1261</v>
      </c>
      <c r="D854" t="s">
        <v>2902</v>
      </c>
      <c r="E854" t="str">
        <f>IF(NOT(ISERROR(VLOOKUP(D854,'ESO DungeonFinder'!$A$2:$A$999,1,FALSE))),"X","")</f>
        <v/>
      </c>
      <c r="F854" s="70" t="str">
        <f t="shared" si="56"/>
        <v/>
      </c>
      <c r="G854" s="70" t="str">
        <f t="shared" si="57"/>
        <v>Blackwood</v>
      </c>
      <c r="H854" s="70">
        <f t="shared" si="58"/>
        <v>1277</v>
      </c>
      <c r="I854" s="70">
        <f t="shared" si="59"/>
        <v>1261</v>
      </c>
      <c r="J854">
        <v>22</v>
      </c>
      <c r="K854" s="3" t="str">
        <f ca="1">VLOOKUP(J854,ConstDLCIds!$A$4:$B$1000,2,FALSE)</f>
        <v>DLC_BLACKWOOD</v>
      </c>
      <c r="L854" s="3" t="str">
        <f ca="1">VLOOKUP(J854,ConstDLCIds!$A$4:$C$1000,3,FALSE)</f>
        <v>Blackwood</v>
      </c>
    </row>
    <row r="855" spans="1:12" x14ac:dyDescent="0.25">
      <c r="A855">
        <v>1278</v>
      </c>
      <c r="B855">
        <v>850</v>
      </c>
      <c r="C855">
        <v>108</v>
      </c>
      <c r="D855" t="s">
        <v>2903</v>
      </c>
      <c r="E855" t="str">
        <f>IF(NOT(ISERROR(VLOOKUP(D855,'ESO DungeonFinder'!$A$2:$A$999,1,FALSE))),"X","")</f>
        <v/>
      </c>
      <c r="F855" s="70" t="str">
        <f t="shared" si="56"/>
        <v/>
      </c>
      <c r="G855" s="70" t="str">
        <f t="shared" si="57"/>
        <v>Greenshade</v>
      </c>
      <c r="H855" s="70">
        <f t="shared" si="58"/>
        <v>1278</v>
      </c>
      <c r="I855" s="70">
        <f t="shared" si="59"/>
        <v>108</v>
      </c>
      <c r="J855">
        <v>0</v>
      </c>
      <c r="K855" s="3" t="str">
        <f>VLOOKUP(J855,ConstDLCIds!$A$4:$B$1000,2,FALSE)</f>
        <v>DLC_BASE_GAME</v>
      </c>
      <c r="L855" s="3" t="str">
        <f>VLOOKUP(J855,ConstDLCIds!$A$4:$C$1000,3,FALSE)</f>
        <v>Included in base game</v>
      </c>
    </row>
    <row r="856" spans="1:12" x14ac:dyDescent="0.25">
      <c r="A856">
        <v>1279</v>
      </c>
      <c r="B856">
        <v>851</v>
      </c>
      <c r="C856">
        <v>108</v>
      </c>
      <c r="D856" t="s">
        <v>2904</v>
      </c>
      <c r="E856" t="str">
        <f>IF(NOT(ISERROR(VLOOKUP(D856,'ESO DungeonFinder'!$A$2:$A$999,1,FALSE))),"X","")</f>
        <v/>
      </c>
      <c r="F856" s="70" t="str">
        <f t="shared" si="56"/>
        <v/>
      </c>
      <c r="G856" s="70" t="str">
        <f t="shared" si="57"/>
        <v>Greenshade</v>
      </c>
      <c r="H856" s="70">
        <f t="shared" si="58"/>
        <v>1279</v>
      </c>
      <c r="I856" s="70">
        <f t="shared" si="59"/>
        <v>108</v>
      </c>
      <c r="J856">
        <v>0</v>
      </c>
      <c r="K856" s="3" t="str">
        <f>VLOOKUP(J856,ConstDLCIds!$A$4:$B$1000,2,FALSE)</f>
        <v>DLC_BASE_GAME</v>
      </c>
      <c r="L856" s="3" t="str">
        <f>VLOOKUP(J856,ConstDLCIds!$A$4:$C$1000,3,FALSE)</f>
        <v>Included in base game</v>
      </c>
    </row>
    <row r="857" spans="1:12" x14ac:dyDescent="0.25">
      <c r="A857">
        <v>1280</v>
      </c>
      <c r="B857">
        <v>852</v>
      </c>
      <c r="C857">
        <v>108</v>
      </c>
      <c r="D857" t="s">
        <v>2905</v>
      </c>
      <c r="E857" t="str">
        <f>IF(NOT(ISERROR(VLOOKUP(D857,'ESO DungeonFinder'!$A$2:$A$999,1,FALSE))),"X","")</f>
        <v/>
      </c>
      <c r="F857" s="70" t="str">
        <f t="shared" si="56"/>
        <v/>
      </c>
      <c r="G857" s="70" t="str">
        <f t="shared" si="57"/>
        <v>Greenshade</v>
      </c>
      <c r="H857" s="70">
        <f t="shared" si="58"/>
        <v>1280</v>
      </c>
      <c r="I857" s="70">
        <f t="shared" si="59"/>
        <v>108</v>
      </c>
      <c r="J857">
        <v>0</v>
      </c>
      <c r="K857" s="3" t="str">
        <f>VLOOKUP(J857,ConstDLCIds!$A$4:$B$1000,2,FALSE)</f>
        <v>DLC_BASE_GAME</v>
      </c>
      <c r="L857" s="3" t="str">
        <f>VLOOKUP(J857,ConstDLCIds!$A$4:$C$1000,3,FALSE)</f>
        <v>Included in base game</v>
      </c>
    </row>
    <row r="858" spans="1:12" x14ac:dyDescent="0.25">
      <c r="A858">
        <v>1281</v>
      </c>
      <c r="B858">
        <v>853</v>
      </c>
      <c r="C858">
        <v>108</v>
      </c>
      <c r="D858" t="s">
        <v>2905</v>
      </c>
      <c r="E858" t="str">
        <f>IF(NOT(ISERROR(VLOOKUP(D858,'ESO DungeonFinder'!$A$2:$A$999,1,FALSE))),"X","")</f>
        <v/>
      </c>
      <c r="F858" s="70" t="str">
        <f t="shared" si="56"/>
        <v/>
      </c>
      <c r="G858" s="70" t="str">
        <f t="shared" si="57"/>
        <v>Greenshade</v>
      </c>
      <c r="H858" s="70">
        <f t="shared" si="58"/>
        <v>1281</v>
      </c>
      <c r="I858" s="70">
        <f t="shared" si="59"/>
        <v>108</v>
      </c>
      <c r="J858">
        <v>0</v>
      </c>
      <c r="K858" s="3" t="str">
        <f>VLOOKUP(J858,ConstDLCIds!$A$4:$B$1000,2,FALSE)</f>
        <v>DLC_BASE_GAME</v>
      </c>
      <c r="L858" s="3" t="str">
        <f>VLOOKUP(J858,ConstDLCIds!$A$4:$C$1000,3,FALSE)</f>
        <v>Included in base game</v>
      </c>
    </row>
    <row r="859" spans="1:12" x14ac:dyDescent="0.25">
      <c r="A859">
        <v>1282</v>
      </c>
      <c r="B859">
        <v>854</v>
      </c>
      <c r="C859">
        <v>1282</v>
      </c>
      <c r="D859" t="s">
        <v>1674</v>
      </c>
      <c r="E859" t="str">
        <f>IF(NOT(ISERROR(VLOOKUP(D859,'ESO DungeonFinder'!$A$2:$A$999,1,FALSE))),"X","")</f>
        <v/>
      </c>
      <c r="F859" s="70" t="str">
        <f t="shared" si="56"/>
        <v>X</v>
      </c>
      <c r="G859" s="70" t="str">
        <f t="shared" si="57"/>
        <v/>
      </c>
      <c r="H859" s="70">
        <f t="shared" si="58"/>
        <v>1282</v>
      </c>
      <c r="I859" s="70">
        <f t="shared" si="59"/>
        <v>1282</v>
      </c>
      <c r="J859">
        <v>13</v>
      </c>
      <c r="K859" s="3" t="str">
        <f ca="1">VLOOKUP(J859,ConstDLCIds!$A$4:$B$1000,2,FALSE)</f>
        <v>DLC_WRATHSTONE</v>
      </c>
      <c r="L859" s="3" t="str">
        <f ca="1">VLOOKUP(J859,ConstDLCIds!$A$4:$C$1000,3,FALSE)</f>
        <v>Wrathstone</v>
      </c>
    </row>
    <row r="860" spans="1:12" x14ac:dyDescent="0.25">
      <c r="A860">
        <v>1283</v>
      </c>
      <c r="B860">
        <v>855</v>
      </c>
      <c r="C860">
        <v>1282</v>
      </c>
      <c r="D860" t="s">
        <v>1643</v>
      </c>
      <c r="E860" t="str">
        <f>IF(NOT(ISERROR(VLOOKUP(D860,'ESO DungeonFinder'!$A$2:$A$999,1,FALSE))),"X","")</f>
        <v/>
      </c>
      <c r="F860" s="70" t="str">
        <f t="shared" si="56"/>
        <v/>
      </c>
      <c r="G860" s="70" t="str">
        <f t="shared" si="57"/>
        <v>Fargrave</v>
      </c>
      <c r="H860" s="70">
        <f t="shared" si="58"/>
        <v>1283</v>
      </c>
      <c r="I860" s="70">
        <f t="shared" si="59"/>
        <v>1282</v>
      </c>
      <c r="J860">
        <v>24</v>
      </c>
      <c r="K860" s="3" t="str">
        <f ca="1">VLOOKUP(J860,ConstDLCIds!$A$4:$B$1000,2,FALSE)</f>
        <v>DLC_DEADLANDS</v>
      </c>
      <c r="L860" s="3" t="str">
        <f ca="1">VLOOKUP(J860,ConstDLCIds!$A$4:$C$1000,3,FALSE)</f>
        <v>The Deadlands</v>
      </c>
    </row>
    <row r="861" spans="1:12" x14ac:dyDescent="0.25">
      <c r="A861">
        <v>1284</v>
      </c>
      <c r="B861">
        <v>856</v>
      </c>
      <c r="C861">
        <v>1282</v>
      </c>
      <c r="D861" t="s">
        <v>2906</v>
      </c>
      <c r="E861" t="str">
        <f>IF(NOT(ISERROR(VLOOKUP(D861,'ESO DungeonFinder'!$A$2:$A$999,1,FALSE))),"X","")</f>
        <v/>
      </c>
      <c r="F861" s="70" t="str">
        <f t="shared" si="56"/>
        <v/>
      </c>
      <c r="G861" s="70" t="str">
        <f t="shared" si="57"/>
        <v>Fargrave</v>
      </c>
      <c r="H861" s="70">
        <f t="shared" si="58"/>
        <v>1284</v>
      </c>
      <c r="I861" s="70">
        <f t="shared" si="59"/>
        <v>1282</v>
      </c>
      <c r="J861">
        <v>24</v>
      </c>
      <c r="K861" s="3" t="str">
        <f ca="1">VLOOKUP(J861,ConstDLCIds!$A$4:$B$1000,2,FALSE)</f>
        <v>DLC_DEADLANDS</v>
      </c>
      <c r="L861" s="3" t="str">
        <f ca="1">VLOOKUP(J861,ConstDLCIds!$A$4:$C$1000,3,FALSE)</f>
        <v>The Deadlands</v>
      </c>
    </row>
    <row r="862" spans="1:12" x14ac:dyDescent="0.25">
      <c r="A862">
        <v>1285</v>
      </c>
      <c r="B862">
        <v>857</v>
      </c>
      <c r="C862">
        <v>1286</v>
      </c>
      <c r="D862" t="s">
        <v>2907</v>
      </c>
      <c r="E862" t="str">
        <f>IF(NOT(ISERROR(VLOOKUP(D862,'ESO DungeonFinder'!$A$2:$A$999,1,FALSE))),"X","")</f>
        <v/>
      </c>
      <c r="F862" s="70" t="str">
        <f t="shared" si="56"/>
        <v/>
      </c>
      <c r="G862" s="70" t="str">
        <f t="shared" si="57"/>
        <v>The Deadlands</v>
      </c>
      <c r="H862" s="70">
        <f t="shared" si="58"/>
        <v>1285</v>
      </c>
      <c r="I862" s="70">
        <f t="shared" si="59"/>
        <v>1286</v>
      </c>
      <c r="J862">
        <v>24</v>
      </c>
      <c r="K862" s="3" t="str">
        <f ca="1">VLOOKUP(J862,ConstDLCIds!$A$4:$B$1000,2,FALSE)</f>
        <v>DLC_DEADLANDS</v>
      </c>
      <c r="L862" s="3" t="str">
        <f ca="1">VLOOKUP(J862,ConstDLCIds!$A$4:$C$1000,3,FALSE)</f>
        <v>The Deadlands</v>
      </c>
    </row>
    <row r="863" spans="1:12" x14ac:dyDescent="0.25">
      <c r="A863">
        <v>1286</v>
      </c>
      <c r="B863">
        <v>858</v>
      </c>
      <c r="C863">
        <v>1286</v>
      </c>
      <c r="D863" t="s">
        <v>80</v>
      </c>
      <c r="E863" t="str">
        <f>IF(NOT(ISERROR(VLOOKUP(D863,'ESO DungeonFinder'!$A$2:$A$999,1,FALSE))),"X","")</f>
        <v/>
      </c>
      <c r="F863" s="70" t="str">
        <f t="shared" si="56"/>
        <v>X</v>
      </c>
      <c r="G863" s="70" t="str">
        <f t="shared" si="57"/>
        <v/>
      </c>
      <c r="H863" s="70">
        <f t="shared" si="58"/>
        <v>1286</v>
      </c>
      <c r="I863" s="70">
        <f t="shared" si="59"/>
        <v>1286</v>
      </c>
      <c r="J863">
        <v>0</v>
      </c>
      <c r="K863" s="3" t="str">
        <f>VLOOKUP(J863,ConstDLCIds!$A$4:$B$1000,2,FALSE)</f>
        <v>DLC_BASE_GAME</v>
      </c>
      <c r="L863" s="3" t="str">
        <f>VLOOKUP(J863,ConstDLCIds!$A$4:$C$1000,3,FALSE)</f>
        <v>Included in base game</v>
      </c>
    </row>
    <row r="864" spans="1:12" x14ac:dyDescent="0.25">
      <c r="A864">
        <v>1287</v>
      </c>
      <c r="B864">
        <v>859</v>
      </c>
      <c r="C864">
        <v>1286</v>
      </c>
      <c r="D864" t="s">
        <v>2908</v>
      </c>
      <c r="E864" t="str">
        <f>IF(NOT(ISERROR(VLOOKUP(D864,'ESO DungeonFinder'!$A$2:$A$999,1,FALSE))),"X","")</f>
        <v/>
      </c>
      <c r="F864" s="70" t="str">
        <f t="shared" si="56"/>
        <v/>
      </c>
      <c r="G864" s="70" t="str">
        <f t="shared" si="57"/>
        <v>The Deadlands</v>
      </c>
      <c r="H864" s="70">
        <f t="shared" si="58"/>
        <v>1287</v>
      </c>
      <c r="I864" s="70">
        <f t="shared" si="59"/>
        <v>1286</v>
      </c>
      <c r="J864">
        <v>24</v>
      </c>
      <c r="K864" s="3" t="str">
        <f ca="1">VLOOKUP(J864,ConstDLCIds!$A$4:$B$1000,2,FALSE)</f>
        <v>DLC_DEADLANDS</v>
      </c>
      <c r="L864" s="3" t="str">
        <f ca="1">VLOOKUP(J864,ConstDLCIds!$A$4:$C$1000,3,FALSE)</f>
        <v>The Deadlands</v>
      </c>
    </row>
    <row r="865" spans="1:12" x14ac:dyDescent="0.25">
      <c r="A865">
        <v>1289</v>
      </c>
      <c r="B865">
        <v>860</v>
      </c>
      <c r="C865">
        <v>1286</v>
      </c>
      <c r="D865" t="s">
        <v>2909</v>
      </c>
      <c r="E865" t="str">
        <f>IF(NOT(ISERROR(VLOOKUP(D865,'ESO DungeonFinder'!$A$2:$A$999,1,FALSE))),"X","")</f>
        <v/>
      </c>
      <c r="F865" s="70" t="str">
        <f t="shared" si="56"/>
        <v/>
      </c>
      <c r="G865" s="70" t="str">
        <f t="shared" si="57"/>
        <v>The Deadlands</v>
      </c>
      <c r="H865" s="70">
        <f t="shared" si="58"/>
        <v>1289</v>
      </c>
      <c r="I865" s="70">
        <f t="shared" si="59"/>
        <v>1286</v>
      </c>
      <c r="J865">
        <v>24</v>
      </c>
      <c r="K865" s="3" t="str">
        <f ca="1">VLOOKUP(J865,ConstDLCIds!$A$4:$B$1000,2,FALSE)</f>
        <v>DLC_DEADLANDS</v>
      </c>
      <c r="L865" s="3" t="str">
        <f ca="1">VLOOKUP(J865,ConstDLCIds!$A$4:$C$1000,3,FALSE)</f>
        <v>The Deadlands</v>
      </c>
    </row>
    <row r="866" spans="1:12" x14ac:dyDescent="0.25">
      <c r="A866">
        <v>1290</v>
      </c>
      <c r="B866">
        <v>861</v>
      </c>
      <c r="C866">
        <v>1286</v>
      </c>
      <c r="D866" t="s">
        <v>2910</v>
      </c>
      <c r="E866" t="str">
        <f>IF(NOT(ISERROR(VLOOKUP(D866,'ESO DungeonFinder'!$A$2:$A$999,1,FALSE))),"X","")</f>
        <v/>
      </c>
      <c r="F866" s="70" t="str">
        <f t="shared" si="56"/>
        <v/>
      </c>
      <c r="G866" s="70" t="str">
        <f t="shared" si="57"/>
        <v>The Deadlands</v>
      </c>
      <c r="H866" s="70">
        <f t="shared" si="58"/>
        <v>1290</v>
      </c>
      <c r="I866" s="70">
        <f t="shared" si="59"/>
        <v>1286</v>
      </c>
      <c r="J866">
        <v>24</v>
      </c>
      <c r="K866" s="3" t="str">
        <f ca="1">VLOOKUP(J866,ConstDLCIds!$A$4:$B$1000,2,FALSE)</f>
        <v>DLC_DEADLANDS</v>
      </c>
      <c r="L866" s="3" t="str">
        <f ca="1">VLOOKUP(J866,ConstDLCIds!$A$4:$C$1000,3,FALSE)</f>
        <v>The Deadlands</v>
      </c>
    </row>
    <row r="867" spans="1:12" x14ac:dyDescent="0.25">
      <c r="A867">
        <v>1291</v>
      </c>
      <c r="B867">
        <v>862</v>
      </c>
      <c r="C867">
        <v>1286</v>
      </c>
      <c r="D867" t="s">
        <v>2911</v>
      </c>
      <c r="E867" t="str">
        <f>IF(NOT(ISERROR(VLOOKUP(D867,'ESO DungeonFinder'!$A$2:$A$999,1,FALSE))),"X","")</f>
        <v/>
      </c>
      <c r="F867" s="70" t="str">
        <f t="shared" si="56"/>
        <v/>
      </c>
      <c r="G867" s="70" t="str">
        <f t="shared" si="57"/>
        <v>The Deadlands</v>
      </c>
      <c r="H867" s="70">
        <f t="shared" si="58"/>
        <v>1291</v>
      </c>
      <c r="I867" s="70">
        <f t="shared" si="59"/>
        <v>1286</v>
      </c>
      <c r="J867">
        <v>24</v>
      </c>
      <c r="K867" s="3" t="str">
        <f ca="1">VLOOKUP(J867,ConstDLCIds!$A$4:$B$1000,2,FALSE)</f>
        <v>DLC_DEADLANDS</v>
      </c>
      <c r="L867" s="3" t="str">
        <f ca="1">VLOOKUP(J867,ConstDLCIds!$A$4:$C$1000,3,FALSE)</f>
        <v>The Deadlands</v>
      </c>
    </row>
    <row r="868" spans="1:12" x14ac:dyDescent="0.25">
      <c r="A868">
        <v>1292</v>
      </c>
      <c r="B868">
        <v>863</v>
      </c>
      <c r="C868">
        <v>1286</v>
      </c>
      <c r="D868" t="s">
        <v>2912</v>
      </c>
      <c r="E868" t="str">
        <f>IF(NOT(ISERROR(VLOOKUP(D868,'ESO DungeonFinder'!$A$2:$A$999,1,FALSE))),"X","")</f>
        <v/>
      </c>
      <c r="F868" s="70" t="str">
        <f t="shared" si="56"/>
        <v/>
      </c>
      <c r="G868" s="70" t="str">
        <f t="shared" si="57"/>
        <v>The Deadlands</v>
      </c>
      <c r="H868" s="70">
        <f t="shared" si="58"/>
        <v>1292</v>
      </c>
      <c r="I868" s="70">
        <f t="shared" si="59"/>
        <v>1286</v>
      </c>
      <c r="J868">
        <v>24</v>
      </c>
      <c r="K868" s="3" t="str">
        <f ca="1">VLOOKUP(J868,ConstDLCIds!$A$4:$B$1000,2,FALSE)</f>
        <v>DLC_DEADLANDS</v>
      </c>
      <c r="L868" s="3" t="str">
        <f ca="1">VLOOKUP(J868,ConstDLCIds!$A$4:$C$1000,3,FALSE)</f>
        <v>The Deadlands</v>
      </c>
    </row>
    <row r="869" spans="1:12" x14ac:dyDescent="0.25">
      <c r="A869">
        <v>1293</v>
      </c>
      <c r="B869">
        <v>864</v>
      </c>
      <c r="C869">
        <v>1282</v>
      </c>
      <c r="D869" t="s">
        <v>2913</v>
      </c>
      <c r="E869" t="str">
        <f>IF(NOT(ISERROR(VLOOKUP(D869,'ESO DungeonFinder'!$A$2:$A$999,1,FALSE))),"X","")</f>
        <v/>
      </c>
      <c r="F869" s="70" t="str">
        <f t="shared" si="56"/>
        <v/>
      </c>
      <c r="G869" s="70" t="str">
        <f t="shared" si="57"/>
        <v>Fargrave</v>
      </c>
      <c r="H869" s="70">
        <f t="shared" si="58"/>
        <v>1293</v>
      </c>
      <c r="I869" s="70">
        <f t="shared" si="59"/>
        <v>1282</v>
      </c>
      <c r="J869">
        <v>24</v>
      </c>
      <c r="K869" s="3" t="str">
        <f ca="1">VLOOKUP(J869,ConstDLCIds!$A$4:$B$1000,2,FALSE)</f>
        <v>DLC_DEADLANDS</v>
      </c>
      <c r="L869" s="3" t="str">
        <f ca="1">VLOOKUP(J869,ConstDLCIds!$A$4:$C$1000,3,FALSE)</f>
        <v>The Deadlands</v>
      </c>
    </row>
    <row r="870" spans="1:12" x14ac:dyDescent="0.25">
      <c r="A870">
        <v>1294</v>
      </c>
      <c r="B870">
        <v>865</v>
      </c>
      <c r="C870">
        <v>1286</v>
      </c>
      <c r="D870" t="s">
        <v>2914</v>
      </c>
      <c r="E870" t="str">
        <f>IF(NOT(ISERROR(VLOOKUP(D870,'ESO DungeonFinder'!$A$2:$A$999,1,FALSE))),"X","")</f>
        <v/>
      </c>
      <c r="F870" s="70" t="str">
        <f t="shared" si="56"/>
        <v/>
      </c>
      <c r="G870" s="70" t="str">
        <f t="shared" si="57"/>
        <v>The Deadlands</v>
      </c>
      <c r="H870" s="70">
        <f t="shared" si="58"/>
        <v>1294</v>
      </c>
      <c r="I870" s="70">
        <f t="shared" si="59"/>
        <v>1286</v>
      </c>
      <c r="J870">
        <v>24</v>
      </c>
      <c r="K870" s="3" t="str">
        <f ca="1">VLOOKUP(J870,ConstDLCIds!$A$4:$B$1000,2,FALSE)</f>
        <v>DLC_DEADLANDS</v>
      </c>
      <c r="L870" s="3" t="str">
        <f ca="1">VLOOKUP(J870,ConstDLCIds!$A$4:$C$1000,3,FALSE)</f>
        <v>The Deadlands</v>
      </c>
    </row>
    <row r="871" spans="1:12" x14ac:dyDescent="0.25">
      <c r="A871">
        <v>1295</v>
      </c>
      <c r="B871">
        <v>866</v>
      </c>
      <c r="C871">
        <v>1286</v>
      </c>
      <c r="D871" t="s">
        <v>2915</v>
      </c>
      <c r="E871" t="str">
        <f>IF(NOT(ISERROR(VLOOKUP(D871,'ESO DungeonFinder'!$A$2:$A$999,1,FALSE))),"X","")</f>
        <v/>
      </c>
      <c r="F871" s="70" t="str">
        <f t="shared" si="56"/>
        <v/>
      </c>
      <c r="G871" s="70" t="str">
        <f t="shared" si="57"/>
        <v>The Deadlands</v>
      </c>
      <c r="H871" s="70">
        <f t="shared" si="58"/>
        <v>1295</v>
      </c>
      <c r="I871" s="70">
        <f t="shared" si="59"/>
        <v>1286</v>
      </c>
      <c r="J871">
        <v>24</v>
      </c>
      <c r="K871" s="3" t="str">
        <f ca="1">VLOOKUP(J871,ConstDLCIds!$A$4:$B$1000,2,FALSE)</f>
        <v>DLC_DEADLANDS</v>
      </c>
      <c r="L871" s="3" t="str">
        <f ca="1">VLOOKUP(J871,ConstDLCIds!$A$4:$C$1000,3,FALSE)</f>
        <v>The Deadlands</v>
      </c>
    </row>
    <row r="872" spans="1:12" x14ac:dyDescent="0.25">
      <c r="A872">
        <v>1296</v>
      </c>
      <c r="B872">
        <v>867</v>
      </c>
      <c r="C872">
        <v>1286</v>
      </c>
      <c r="D872" t="s">
        <v>2916</v>
      </c>
      <c r="E872" t="str">
        <f>IF(NOT(ISERROR(VLOOKUP(D872,'ESO DungeonFinder'!$A$2:$A$999,1,FALSE))),"X","")</f>
        <v/>
      </c>
      <c r="F872" s="70" t="str">
        <f t="shared" si="56"/>
        <v/>
      </c>
      <c r="G872" s="70" t="str">
        <f t="shared" si="57"/>
        <v>The Deadlands</v>
      </c>
      <c r="H872" s="70">
        <f t="shared" si="58"/>
        <v>1296</v>
      </c>
      <c r="I872" s="70">
        <f t="shared" si="59"/>
        <v>1286</v>
      </c>
      <c r="J872">
        <v>24</v>
      </c>
      <c r="K872" s="3" t="str">
        <f ca="1">VLOOKUP(J872,ConstDLCIds!$A$4:$B$1000,2,FALSE)</f>
        <v>DLC_DEADLANDS</v>
      </c>
      <c r="L872" s="3" t="str">
        <f ca="1">VLOOKUP(J872,ConstDLCIds!$A$4:$C$1000,3,FALSE)</f>
        <v>The Deadlands</v>
      </c>
    </row>
    <row r="873" spans="1:12" x14ac:dyDescent="0.25">
      <c r="A873">
        <v>1297</v>
      </c>
      <c r="B873">
        <v>868</v>
      </c>
      <c r="C873">
        <v>1286</v>
      </c>
      <c r="D873" t="s">
        <v>2917</v>
      </c>
      <c r="E873" t="str">
        <f>IF(NOT(ISERROR(VLOOKUP(D873,'ESO DungeonFinder'!$A$2:$A$999,1,FALSE))),"X","")</f>
        <v/>
      </c>
      <c r="F873" s="70" t="str">
        <f t="shared" si="56"/>
        <v/>
      </c>
      <c r="G873" s="70" t="str">
        <f t="shared" si="57"/>
        <v>The Deadlands</v>
      </c>
      <c r="H873" s="70">
        <f t="shared" si="58"/>
        <v>1297</v>
      </c>
      <c r="I873" s="70">
        <f t="shared" si="59"/>
        <v>1286</v>
      </c>
      <c r="J873">
        <v>24</v>
      </c>
      <c r="K873" s="3" t="str">
        <f ca="1">VLOOKUP(J873,ConstDLCIds!$A$4:$B$1000,2,FALSE)</f>
        <v>DLC_DEADLANDS</v>
      </c>
      <c r="L873" s="3" t="str">
        <f ca="1">VLOOKUP(J873,ConstDLCIds!$A$4:$C$1000,3,FALSE)</f>
        <v>The Deadlands</v>
      </c>
    </row>
    <row r="874" spans="1:12" x14ac:dyDescent="0.25">
      <c r="A874">
        <v>1298</v>
      </c>
      <c r="B874">
        <v>869</v>
      </c>
      <c r="C874">
        <v>1286</v>
      </c>
      <c r="D874" t="s">
        <v>2918</v>
      </c>
      <c r="E874" t="str">
        <f>IF(NOT(ISERROR(VLOOKUP(D874,'ESO DungeonFinder'!$A$2:$A$999,1,FALSE))),"X","")</f>
        <v/>
      </c>
      <c r="F874" s="70" t="str">
        <f t="shared" si="56"/>
        <v/>
      </c>
      <c r="G874" s="70" t="str">
        <f t="shared" si="57"/>
        <v>The Deadlands</v>
      </c>
      <c r="H874" s="70">
        <f t="shared" si="58"/>
        <v>1298</v>
      </c>
      <c r="I874" s="70">
        <f t="shared" si="59"/>
        <v>1286</v>
      </c>
      <c r="J874">
        <v>24</v>
      </c>
      <c r="K874" s="3" t="str">
        <f ca="1">VLOOKUP(J874,ConstDLCIds!$A$4:$B$1000,2,FALSE)</f>
        <v>DLC_DEADLANDS</v>
      </c>
      <c r="L874" s="3" t="str">
        <f ca="1">VLOOKUP(J874,ConstDLCIds!$A$4:$C$1000,3,FALSE)</f>
        <v>The Deadlands</v>
      </c>
    </row>
    <row r="875" spans="1:12" x14ac:dyDescent="0.25">
      <c r="A875">
        <v>1300</v>
      </c>
      <c r="B875">
        <v>870</v>
      </c>
      <c r="C875">
        <v>1286</v>
      </c>
      <c r="D875" t="s">
        <v>2919</v>
      </c>
      <c r="E875" t="str">
        <f>IF(NOT(ISERROR(VLOOKUP(D875,'ESO DungeonFinder'!$A$2:$A$999,1,FALSE))),"X","")</f>
        <v/>
      </c>
      <c r="F875" s="70" t="str">
        <f t="shared" si="56"/>
        <v/>
      </c>
      <c r="G875" s="70" t="str">
        <f t="shared" si="57"/>
        <v>The Deadlands</v>
      </c>
      <c r="H875" s="70">
        <f t="shared" si="58"/>
        <v>1300</v>
      </c>
      <c r="I875" s="70">
        <f t="shared" si="59"/>
        <v>1286</v>
      </c>
      <c r="J875">
        <v>24</v>
      </c>
      <c r="K875" s="3" t="str">
        <f ca="1">VLOOKUP(J875,ConstDLCIds!$A$4:$B$1000,2,FALSE)</f>
        <v>DLC_DEADLANDS</v>
      </c>
      <c r="L875" s="3" t="str">
        <f ca="1">VLOOKUP(J875,ConstDLCIds!$A$4:$C$1000,3,FALSE)</f>
        <v>The Deadlands</v>
      </c>
    </row>
    <row r="876" spans="1:12" x14ac:dyDescent="0.25">
      <c r="A876">
        <v>1301</v>
      </c>
      <c r="B876">
        <v>871</v>
      </c>
      <c r="C876">
        <v>1011</v>
      </c>
      <c r="D876" t="s">
        <v>1658</v>
      </c>
      <c r="E876" t="str">
        <f>IF(NOT(ISERROR(VLOOKUP(D876,'ESO DungeonFinder'!$A$2:$A$999,1,FALSE))),"X","")</f>
        <v>X</v>
      </c>
      <c r="F876" s="70" t="str">
        <f t="shared" si="56"/>
        <v/>
      </c>
      <c r="G876" s="70" t="str">
        <f t="shared" si="57"/>
        <v>Summerset</v>
      </c>
      <c r="H876" s="70">
        <f t="shared" si="58"/>
        <v>1301</v>
      </c>
      <c r="I876" s="70">
        <f t="shared" si="59"/>
        <v>1011</v>
      </c>
      <c r="J876">
        <v>25</v>
      </c>
      <c r="K876" s="3" t="str">
        <f ca="1">VLOOKUP(J876,ConstDLCIds!$A$4:$B$1000,2,FALSE)</f>
        <v>DLC_ASCENDING_TIDE</v>
      </c>
      <c r="L876" s="3" t="str">
        <f ca="1">VLOOKUP(J876,ConstDLCIds!$A$4:$C$1000,3,FALSE)</f>
        <v>Ascending Tide</v>
      </c>
    </row>
    <row r="877" spans="1:12" x14ac:dyDescent="0.25">
      <c r="A877">
        <v>1302</v>
      </c>
      <c r="B877">
        <v>872</v>
      </c>
      <c r="C877">
        <v>20</v>
      </c>
      <c r="D877" t="s">
        <v>1665</v>
      </c>
      <c r="E877" t="str">
        <f>IF(NOT(ISERROR(VLOOKUP(D877,'ESO DungeonFinder'!$A$2:$A$999,1,FALSE))),"X","")</f>
        <v>X</v>
      </c>
      <c r="F877" s="70" t="str">
        <f t="shared" si="56"/>
        <v/>
      </c>
      <c r="G877" s="70" t="str">
        <f t="shared" si="57"/>
        <v>Rivenspire</v>
      </c>
      <c r="H877" s="70">
        <f t="shared" si="58"/>
        <v>1302</v>
      </c>
      <c r="I877" s="70">
        <f t="shared" si="59"/>
        <v>20</v>
      </c>
      <c r="J877">
        <v>25</v>
      </c>
      <c r="K877" s="3" t="str">
        <f ca="1">VLOOKUP(J877,ConstDLCIds!$A$4:$B$1000,2,FALSE)</f>
        <v>DLC_ASCENDING_TIDE</v>
      </c>
      <c r="L877" s="3" t="str">
        <f ca="1">VLOOKUP(J877,ConstDLCIds!$A$4:$C$1000,3,FALSE)</f>
        <v>Ascending Tide</v>
      </c>
    </row>
    <row r="878" spans="1:12" x14ac:dyDescent="0.25">
      <c r="A878">
        <v>1304</v>
      </c>
      <c r="B878">
        <v>873</v>
      </c>
      <c r="C878">
        <v>1282</v>
      </c>
      <c r="D878" t="s">
        <v>2920</v>
      </c>
      <c r="E878" t="str">
        <f>IF(NOT(ISERROR(VLOOKUP(D878,'ESO DungeonFinder'!$A$2:$A$999,1,FALSE))),"X","")</f>
        <v/>
      </c>
      <c r="F878" s="70" t="str">
        <f t="shared" si="56"/>
        <v/>
      </c>
      <c r="G878" s="70" t="str">
        <f t="shared" si="57"/>
        <v>Fargrave</v>
      </c>
      <c r="H878" s="70">
        <f t="shared" si="58"/>
        <v>1304</v>
      </c>
      <c r="I878" s="70">
        <f t="shared" si="59"/>
        <v>1282</v>
      </c>
      <c r="J878">
        <v>24</v>
      </c>
      <c r="K878" s="3" t="str">
        <f ca="1">VLOOKUP(J878,ConstDLCIds!$A$4:$B$1000,2,FALSE)</f>
        <v>DLC_DEADLANDS</v>
      </c>
      <c r="L878" s="3" t="str">
        <f ca="1">VLOOKUP(J878,ConstDLCIds!$A$4:$C$1000,3,FALSE)</f>
        <v>The Deadlands</v>
      </c>
    </row>
    <row r="879" spans="1:12" x14ac:dyDescent="0.25">
      <c r="A879">
        <v>1306</v>
      </c>
      <c r="B879">
        <v>874</v>
      </c>
      <c r="C879">
        <v>58</v>
      </c>
      <c r="D879" t="s">
        <v>2921</v>
      </c>
      <c r="E879" t="str">
        <f>IF(NOT(ISERROR(VLOOKUP(D879,'ESO DungeonFinder'!$A$2:$A$999,1,FALSE))),"X","")</f>
        <v/>
      </c>
      <c r="F879" s="70" t="str">
        <f t="shared" si="56"/>
        <v/>
      </c>
      <c r="G879" s="70" t="str">
        <f t="shared" si="57"/>
        <v>Malabal Tor</v>
      </c>
      <c r="H879" s="70">
        <f t="shared" si="58"/>
        <v>1306</v>
      </c>
      <c r="I879" s="70">
        <f t="shared" si="59"/>
        <v>58</v>
      </c>
      <c r="J879">
        <v>0</v>
      </c>
      <c r="K879" s="3" t="str">
        <f>VLOOKUP(J879,ConstDLCIds!$A$4:$B$1000,2,FALSE)</f>
        <v>DLC_BASE_GAME</v>
      </c>
      <c r="L879" s="3" t="str">
        <f>VLOOKUP(J879,ConstDLCIds!$A$4:$C$1000,3,FALSE)</f>
        <v>Included in base game</v>
      </c>
    </row>
    <row r="880" spans="1:12" x14ac:dyDescent="0.25">
      <c r="A880">
        <v>1307</v>
      </c>
      <c r="B880">
        <v>875</v>
      </c>
      <c r="C880">
        <v>1261</v>
      </c>
      <c r="D880" t="s">
        <v>2922</v>
      </c>
      <c r="E880" t="str">
        <f>IF(NOT(ISERROR(VLOOKUP(D880,'ESO DungeonFinder'!$A$2:$A$999,1,FALSE))),"X","")</f>
        <v/>
      </c>
      <c r="F880" s="70" t="str">
        <f t="shared" si="56"/>
        <v/>
      </c>
      <c r="G880" s="70" t="str">
        <f t="shared" si="57"/>
        <v>Blackwood</v>
      </c>
      <c r="H880" s="70">
        <f t="shared" si="58"/>
        <v>1307</v>
      </c>
      <c r="I880" s="70">
        <f t="shared" si="59"/>
        <v>1261</v>
      </c>
      <c r="J880">
        <v>22</v>
      </c>
      <c r="K880" s="3" t="str">
        <f ca="1">VLOOKUP(J880,ConstDLCIds!$A$4:$B$1000,2,FALSE)</f>
        <v>DLC_BLACKWOOD</v>
      </c>
      <c r="L880" s="3" t="str">
        <f ca="1">VLOOKUP(J880,ConstDLCIds!$A$4:$C$1000,3,FALSE)</f>
        <v>Blackwood</v>
      </c>
    </row>
    <row r="881" spans="1:12" x14ac:dyDescent="0.25">
      <c r="A881">
        <v>1310</v>
      </c>
      <c r="B881">
        <v>876</v>
      </c>
      <c r="C881">
        <v>1286</v>
      </c>
      <c r="D881" t="s">
        <v>2193</v>
      </c>
      <c r="E881" t="str">
        <f>IF(NOT(ISERROR(VLOOKUP(D881,'ESO DungeonFinder'!$A$2:$A$999,1,FALSE))),"X","")</f>
        <v/>
      </c>
      <c r="F881" s="70" t="str">
        <f t="shared" si="56"/>
        <v/>
      </c>
      <c r="G881" s="70" t="str">
        <f t="shared" si="57"/>
        <v>The Deadlands</v>
      </c>
      <c r="H881" s="70">
        <f t="shared" si="58"/>
        <v>1310</v>
      </c>
      <c r="I881" s="70">
        <f t="shared" si="59"/>
        <v>1286</v>
      </c>
      <c r="J881">
        <v>24</v>
      </c>
      <c r="K881" s="3" t="str">
        <f ca="1">VLOOKUP(J881,ConstDLCIds!$A$4:$B$1000,2,FALSE)</f>
        <v>DLC_DEADLANDS</v>
      </c>
      <c r="L881" s="3" t="str">
        <f ca="1">VLOOKUP(J881,ConstDLCIds!$A$4:$C$1000,3,FALSE)</f>
        <v>The Deadlands</v>
      </c>
    </row>
    <row r="882" spans="1:12" x14ac:dyDescent="0.25">
      <c r="A882">
        <v>1311</v>
      </c>
      <c r="B882">
        <v>877</v>
      </c>
      <c r="C882">
        <v>849</v>
      </c>
      <c r="D882" t="s">
        <v>2923</v>
      </c>
      <c r="E882" t="str">
        <f>IF(NOT(ISERROR(VLOOKUP(D882,'ESO DungeonFinder'!$A$2:$A$999,1,FALSE))),"X","")</f>
        <v/>
      </c>
      <c r="F882" s="70" t="str">
        <f t="shared" si="56"/>
        <v/>
      </c>
      <c r="G882" s="70" t="str">
        <f t="shared" si="57"/>
        <v>Vvardenfell</v>
      </c>
      <c r="H882" s="70">
        <f t="shared" si="58"/>
        <v>1311</v>
      </c>
      <c r="I882" s="70">
        <f t="shared" si="59"/>
        <v>849</v>
      </c>
      <c r="J882">
        <v>6</v>
      </c>
      <c r="K882" s="3" t="str">
        <f ca="1">VLOOKUP(J882,ConstDLCIds!$A$4:$B$1000,2,FALSE)</f>
        <v>DLC_MORROWIND</v>
      </c>
      <c r="L882" s="3" t="str">
        <f ca="1">VLOOKUP(J882,ConstDLCIds!$A$4:$C$1000,3,FALSE)</f>
        <v>Morrowind</v>
      </c>
    </row>
    <row r="883" spans="1:12" x14ac:dyDescent="0.25">
      <c r="A883">
        <v>1312</v>
      </c>
      <c r="B883">
        <v>878</v>
      </c>
      <c r="C883">
        <v>849</v>
      </c>
      <c r="D883" t="s">
        <v>2924</v>
      </c>
      <c r="E883" t="str">
        <f>IF(NOT(ISERROR(VLOOKUP(D883,'ESO DungeonFinder'!$A$2:$A$999,1,FALSE))),"X","")</f>
        <v/>
      </c>
      <c r="F883" s="70" t="str">
        <f t="shared" si="56"/>
        <v/>
      </c>
      <c r="G883" s="70" t="str">
        <f t="shared" si="57"/>
        <v>Vvardenfell</v>
      </c>
      <c r="H883" s="70">
        <f t="shared" si="58"/>
        <v>1312</v>
      </c>
      <c r="I883" s="70">
        <f t="shared" si="59"/>
        <v>849</v>
      </c>
      <c r="J883">
        <v>6</v>
      </c>
      <c r="K883" s="3" t="str">
        <f ca="1">VLOOKUP(J883,ConstDLCIds!$A$4:$B$1000,2,FALSE)</f>
        <v>DLC_MORROWIND</v>
      </c>
      <c r="L883" s="3" t="str">
        <f ca="1">VLOOKUP(J883,ConstDLCIds!$A$4:$C$1000,3,FALSE)</f>
        <v>Morrowind</v>
      </c>
    </row>
    <row r="884" spans="1:12" x14ac:dyDescent="0.25">
      <c r="A884">
        <v>1313</v>
      </c>
      <c r="B884">
        <v>879</v>
      </c>
      <c r="C884">
        <v>1318</v>
      </c>
      <c r="D884" t="s">
        <v>2925</v>
      </c>
      <c r="E884" t="str">
        <f>IF(NOT(ISERROR(VLOOKUP(D884,'ESO DungeonFinder'!$A$2:$A$999,1,FALSE))),"X","")</f>
        <v/>
      </c>
      <c r="F884" s="70" t="str">
        <f t="shared" si="56"/>
        <v/>
      </c>
      <c r="G884" s="70" t="str">
        <f t="shared" si="57"/>
        <v>High Isle</v>
      </c>
      <c r="H884" s="70">
        <f t="shared" si="58"/>
        <v>1313</v>
      </c>
      <c r="I884" s="70">
        <f t="shared" si="59"/>
        <v>1318</v>
      </c>
      <c r="J884">
        <v>26</v>
      </c>
      <c r="K884" s="3" t="str">
        <f ca="1">VLOOKUP(J884,ConstDLCIds!$A$4:$B$1000,2,FALSE)</f>
        <v>DLC_HIGH_ISLE</v>
      </c>
      <c r="L884" s="3" t="str">
        <f ca="1">VLOOKUP(J884,ConstDLCIds!$A$4:$C$1000,3,FALSE)</f>
        <v>High Isle</v>
      </c>
    </row>
    <row r="885" spans="1:12" x14ac:dyDescent="0.25">
      <c r="A885">
        <v>1314</v>
      </c>
      <c r="B885">
        <v>880</v>
      </c>
      <c r="C885">
        <v>3</v>
      </c>
      <c r="D885" t="s">
        <v>2926</v>
      </c>
      <c r="E885" t="str">
        <f>IF(NOT(ISERROR(VLOOKUP(D885,'ESO DungeonFinder'!$A$2:$A$999,1,FALSE))),"X","")</f>
        <v/>
      </c>
      <c r="F885" s="70" t="str">
        <f t="shared" si="56"/>
        <v/>
      </c>
      <c r="G885" s="70" t="str">
        <f t="shared" si="57"/>
        <v>Glenumbra</v>
      </c>
      <c r="H885" s="70">
        <f t="shared" si="58"/>
        <v>1314</v>
      </c>
      <c r="I885" s="70">
        <f t="shared" si="59"/>
        <v>3</v>
      </c>
      <c r="J885">
        <v>0</v>
      </c>
      <c r="K885" s="3" t="str">
        <f>VLOOKUP(J885,ConstDLCIds!$A$4:$B$1000,2,FALSE)</f>
        <v>DLC_BASE_GAME</v>
      </c>
      <c r="L885" s="3" t="str">
        <f>VLOOKUP(J885,ConstDLCIds!$A$4:$C$1000,3,FALSE)</f>
        <v>Included in base game</v>
      </c>
    </row>
    <row r="886" spans="1:12" x14ac:dyDescent="0.25">
      <c r="A886">
        <v>1315</v>
      </c>
      <c r="B886">
        <v>881</v>
      </c>
      <c r="C886">
        <v>1318</v>
      </c>
      <c r="D886" t="s">
        <v>2927</v>
      </c>
      <c r="E886" t="str">
        <f>IF(NOT(ISERROR(VLOOKUP(D886,'ESO DungeonFinder'!$A$2:$A$999,1,FALSE))),"X","")</f>
        <v/>
      </c>
      <c r="F886" s="70" t="str">
        <f t="shared" si="56"/>
        <v/>
      </c>
      <c r="G886" s="70" t="str">
        <f t="shared" si="57"/>
        <v>High Isle</v>
      </c>
      <c r="H886" s="70">
        <f t="shared" si="58"/>
        <v>1315</v>
      </c>
      <c r="I886" s="70">
        <f t="shared" si="59"/>
        <v>1318</v>
      </c>
      <c r="J886">
        <v>26</v>
      </c>
      <c r="K886" s="3" t="str">
        <f ca="1">VLOOKUP(J886,ConstDLCIds!$A$4:$B$1000,2,FALSE)</f>
        <v>DLC_HIGH_ISLE</v>
      </c>
      <c r="L886" s="3" t="str">
        <f ca="1">VLOOKUP(J886,ConstDLCIds!$A$4:$C$1000,3,FALSE)</f>
        <v>High Isle</v>
      </c>
    </row>
    <row r="887" spans="1:12" x14ac:dyDescent="0.25">
      <c r="A887">
        <v>1316</v>
      </c>
      <c r="B887">
        <v>882</v>
      </c>
      <c r="C887">
        <v>1318</v>
      </c>
      <c r="D887" t="s">
        <v>2928</v>
      </c>
      <c r="E887" t="str">
        <f>IF(NOT(ISERROR(VLOOKUP(D887,'ESO DungeonFinder'!$A$2:$A$999,1,FALSE))),"X","")</f>
        <v/>
      </c>
      <c r="F887" s="70" t="str">
        <f t="shared" si="56"/>
        <v/>
      </c>
      <c r="G887" s="70" t="str">
        <f t="shared" si="57"/>
        <v>High Isle</v>
      </c>
      <c r="H887" s="70">
        <f t="shared" si="58"/>
        <v>1316</v>
      </c>
      <c r="I887" s="70">
        <f t="shared" si="59"/>
        <v>1318</v>
      </c>
      <c r="J887">
        <v>26</v>
      </c>
      <c r="K887" s="3" t="str">
        <f ca="1">VLOOKUP(J887,ConstDLCIds!$A$4:$B$1000,2,FALSE)</f>
        <v>DLC_HIGH_ISLE</v>
      </c>
      <c r="L887" s="3" t="str">
        <f ca="1">VLOOKUP(J887,ConstDLCIds!$A$4:$C$1000,3,FALSE)</f>
        <v>High Isle</v>
      </c>
    </row>
    <row r="888" spans="1:12" x14ac:dyDescent="0.25">
      <c r="A888">
        <v>1317</v>
      </c>
      <c r="B888">
        <v>883</v>
      </c>
      <c r="C888">
        <v>1318</v>
      </c>
      <c r="D888" t="s">
        <v>2929</v>
      </c>
      <c r="E888" t="str">
        <f>IF(NOT(ISERROR(VLOOKUP(D888,'ESO DungeonFinder'!$A$2:$A$999,1,FALSE))),"X","")</f>
        <v/>
      </c>
      <c r="F888" s="70" t="str">
        <f t="shared" si="56"/>
        <v/>
      </c>
      <c r="G888" s="70" t="str">
        <f t="shared" si="57"/>
        <v>High Isle</v>
      </c>
      <c r="H888" s="70">
        <f t="shared" si="58"/>
        <v>1317</v>
      </c>
      <c r="I888" s="70">
        <f t="shared" si="59"/>
        <v>1318</v>
      </c>
      <c r="J888">
        <v>26</v>
      </c>
      <c r="K888" s="3" t="str">
        <f ca="1">VLOOKUP(J888,ConstDLCIds!$A$4:$B$1000,2,FALSE)</f>
        <v>DLC_HIGH_ISLE</v>
      </c>
      <c r="L888" s="3" t="str">
        <f ca="1">VLOOKUP(J888,ConstDLCIds!$A$4:$C$1000,3,FALSE)</f>
        <v>High Isle</v>
      </c>
    </row>
    <row r="889" spans="1:12" x14ac:dyDescent="0.25">
      <c r="A889">
        <v>1318</v>
      </c>
      <c r="B889">
        <v>884</v>
      </c>
      <c r="C889">
        <v>1318</v>
      </c>
      <c r="D889" t="s">
        <v>86</v>
      </c>
      <c r="E889" t="str">
        <f>IF(NOT(ISERROR(VLOOKUP(D889,'ESO DungeonFinder'!$A$2:$A$999,1,FALSE))),"X","")</f>
        <v/>
      </c>
      <c r="F889" s="70" t="str">
        <f t="shared" si="56"/>
        <v>X</v>
      </c>
      <c r="G889" s="70" t="str">
        <f t="shared" si="57"/>
        <v/>
      </c>
      <c r="H889" s="70">
        <f t="shared" si="58"/>
        <v>1318</v>
      </c>
      <c r="I889" s="70">
        <f t="shared" si="59"/>
        <v>1318</v>
      </c>
      <c r="J889">
        <v>0</v>
      </c>
      <c r="K889" s="3" t="str">
        <f>VLOOKUP(J889,ConstDLCIds!$A$4:$B$1000,2,FALSE)</f>
        <v>DLC_BASE_GAME</v>
      </c>
      <c r="L889" s="3" t="str">
        <f>VLOOKUP(J889,ConstDLCIds!$A$4:$C$1000,3,FALSE)</f>
        <v>Included in base game</v>
      </c>
    </row>
    <row r="890" spans="1:12" x14ac:dyDescent="0.25">
      <c r="A890">
        <v>1319</v>
      </c>
      <c r="B890">
        <v>885</v>
      </c>
      <c r="C890">
        <v>1318</v>
      </c>
      <c r="D890" t="s">
        <v>2930</v>
      </c>
      <c r="E890" t="str">
        <f>IF(NOT(ISERROR(VLOOKUP(D890,'ESO DungeonFinder'!$A$2:$A$999,1,FALSE))),"X","")</f>
        <v/>
      </c>
      <c r="F890" s="70" t="str">
        <f t="shared" si="56"/>
        <v/>
      </c>
      <c r="G890" s="70" t="str">
        <f t="shared" si="57"/>
        <v>High Isle</v>
      </c>
      <c r="H890" s="70">
        <f t="shared" si="58"/>
        <v>1319</v>
      </c>
      <c r="I890" s="70">
        <f t="shared" si="59"/>
        <v>1318</v>
      </c>
      <c r="J890">
        <v>26</v>
      </c>
      <c r="K890" s="3" t="str">
        <f ca="1">VLOOKUP(J890,ConstDLCIds!$A$4:$B$1000,2,FALSE)</f>
        <v>DLC_HIGH_ISLE</v>
      </c>
      <c r="L890" s="3" t="str">
        <f ca="1">VLOOKUP(J890,ConstDLCIds!$A$4:$C$1000,3,FALSE)</f>
        <v>High Isle</v>
      </c>
    </row>
    <row r="891" spans="1:12" x14ac:dyDescent="0.25">
      <c r="A891">
        <v>1320</v>
      </c>
      <c r="B891">
        <v>886</v>
      </c>
      <c r="C891">
        <v>1318</v>
      </c>
      <c r="D891" t="s">
        <v>2931</v>
      </c>
      <c r="E891" t="str">
        <f>IF(NOT(ISERROR(VLOOKUP(D891,'ESO DungeonFinder'!$A$2:$A$999,1,FALSE))),"X","")</f>
        <v/>
      </c>
      <c r="F891" s="70" t="str">
        <f t="shared" si="56"/>
        <v/>
      </c>
      <c r="G891" s="70" t="str">
        <f t="shared" si="57"/>
        <v>High Isle</v>
      </c>
      <c r="H891" s="70">
        <f t="shared" si="58"/>
        <v>1320</v>
      </c>
      <c r="I891" s="70">
        <f t="shared" si="59"/>
        <v>1318</v>
      </c>
      <c r="J891">
        <v>26</v>
      </c>
      <c r="K891" s="3" t="str">
        <f ca="1">VLOOKUP(J891,ConstDLCIds!$A$4:$B$1000,2,FALSE)</f>
        <v>DLC_HIGH_ISLE</v>
      </c>
      <c r="L891" s="3" t="str">
        <f ca="1">VLOOKUP(J891,ConstDLCIds!$A$4:$C$1000,3,FALSE)</f>
        <v>High Isle</v>
      </c>
    </row>
    <row r="892" spans="1:12" x14ac:dyDescent="0.25">
      <c r="A892">
        <v>1321</v>
      </c>
      <c r="B892">
        <v>887</v>
      </c>
      <c r="C892">
        <v>1318</v>
      </c>
      <c r="D892" t="s">
        <v>2932</v>
      </c>
      <c r="E892" t="str">
        <f>IF(NOT(ISERROR(VLOOKUP(D892,'ESO DungeonFinder'!$A$2:$A$999,1,FALSE))),"X","")</f>
        <v/>
      </c>
      <c r="F892" s="70" t="str">
        <f t="shared" si="56"/>
        <v/>
      </c>
      <c r="G892" s="70" t="str">
        <f t="shared" si="57"/>
        <v>High Isle</v>
      </c>
      <c r="H892" s="70">
        <f t="shared" si="58"/>
        <v>1321</v>
      </c>
      <c r="I892" s="70">
        <f t="shared" si="59"/>
        <v>1318</v>
      </c>
      <c r="J892">
        <v>26</v>
      </c>
      <c r="K892" s="3" t="str">
        <f ca="1">VLOOKUP(J892,ConstDLCIds!$A$4:$B$1000,2,FALSE)</f>
        <v>DLC_HIGH_ISLE</v>
      </c>
      <c r="L892" s="3" t="str">
        <f ca="1">VLOOKUP(J892,ConstDLCIds!$A$4:$C$1000,3,FALSE)</f>
        <v>High Isle</v>
      </c>
    </row>
    <row r="893" spans="1:12" x14ac:dyDescent="0.25">
      <c r="A893">
        <v>1322</v>
      </c>
      <c r="B893">
        <v>888</v>
      </c>
      <c r="C893">
        <v>1318</v>
      </c>
      <c r="D893" t="s">
        <v>2933</v>
      </c>
      <c r="E893" t="str">
        <f>IF(NOT(ISERROR(VLOOKUP(D893,'ESO DungeonFinder'!$A$2:$A$999,1,FALSE))),"X","")</f>
        <v/>
      </c>
      <c r="F893" s="70" t="str">
        <f t="shared" si="56"/>
        <v/>
      </c>
      <c r="G893" s="70" t="str">
        <f t="shared" si="57"/>
        <v>High Isle</v>
      </c>
      <c r="H893" s="70">
        <f t="shared" si="58"/>
        <v>1322</v>
      </c>
      <c r="I893" s="70">
        <f t="shared" si="59"/>
        <v>1318</v>
      </c>
      <c r="J893">
        <v>26</v>
      </c>
      <c r="K893" s="3" t="str">
        <f ca="1">VLOOKUP(J893,ConstDLCIds!$A$4:$B$1000,2,FALSE)</f>
        <v>DLC_HIGH_ISLE</v>
      </c>
      <c r="L893" s="3" t="str">
        <f ca="1">VLOOKUP(J893,ConstDLCIds!$A$4:$C$1000,3,FALSE)</f>
        <v>High Isle</v>
      </c>
    </row>
    <row r="894" spans="1:12" x14ac:dyDescent="0.25">
      <c r="A894">
        <v>1324</v>
      </c>
      <c r="B894">
        <v>889</v>
      </c>
      <c r="C894">
        <v>1318</v>
      </c>
      <c r="D894" t="s">
        <v>2934</v>
      </c>
      <c r="E894" t="str">
        <f>IF(NOT(ISERROR(VLOOKUP(D894,'ESO DungeonFinder'!$A$2:$A$999,1,FALSE))),"X","")</f>
        <v/>
      </c>
      <c r="F894" s="70" t="str">
        <f t="shared" si="56"/>
        <v/>
      </c>
      <c r="G894" s="70" t="str">
        <f t="shared" si="57"/>
        <v>High Isle</v>
      </c>
      <c r="H894" s="70">
        <f t="shared" si="58"/>
        <v>1324</v>
      </c>
      <c r="I894" s="70">
        <f t="shared" si="59"/>
        <v>1318</v>
      </c>
      <c r="J894">
        <v>26</v>
      </c>
      <c r="K894" s="3" t="str">
        <f ca="1">VLOOKUP(J894,ConstDLCIds!$A$4:$B$1000,2,FALSE)</f>
        <v>DLC_HIGH_ISLE</v>
      </c>
      <c r="L894" s="3" t="str">
        <f ca="1">VLOOKUP(J894,ConstDLCIds!$A$4:$C$1000,3,FALSE)</f>
        <v>High Isle</v>
      </c>
    </row>
    <row r="895" spans="1:12" x14ac:dyDescent="0.25">
      <c r="A895">
        <v>1325</v>
      </c>
      <c r="B895">
        <v>890</v>
      </c>
      <c r="C895">
        <v>1443</v>
      </c>
      <c r="D895" t="s">
        <v>2935</v>
      </c>
      <c r="E895" t="str">
        <f>IF(NOT(ISERROR(VLOOKUP(D895,'ESO DungeonFinder'!$A$2:$A$999,1,FALSE))),"X","")</f>
        <v/>
      </c>
      <c r="F895" s="70" t="str">
        <f t="shared" si="56"/>
        <v/>
      </c>
      <c r="G895" s="70" t="str">
        <f t="shared" si="57"/>
        <v>West Weald</v>
      </c>
      <c r="H895" s="70">
        <f t="shared" si="58"/>
        <v>1325</v>
      </c>
      <c r="I895" s="70">
        <f t="shared" si="59"/>
        <v>1443</v>
      </c>
      <c r="J895">
        <v>34</v>
      </c>
      <c r="K895" s="3" t="str">
        <f ca="1">VLOOKUP(J895,ConstDLCIds!$A$4:$B$1000,2,FALSE)</f>
        <v>DLC_GOLD_ROAD</v>
      </c>
      <c r="L895" s="3" t="str">
        <f ca="1">VLOOKUP(J895,ConstDLCIds!$A$4:$C$1000,3,FALSE)</f>
        <v>Gold Road</v>
      </c>
    </row>
    <row r="896" spans="1:12" x14ac:dyDescent="0.25">
      <c r="A896">
        <v>1326</v>
      </c>
      <c r="B896">
        <v>891</v>
      </c>
      <c r="C896">
        <v>1318</v>
      </c>
      <c r="D896" t="s">
        <v>2936</v>
      </c>
      <c r="E896" t="str">
        <f>IF(NOT(ISERROR(VLOOKUP(D896,'ESO DungeonFinder'!$A$2:$A$999,1,FALSE))),"X","")</f>
        <v/>
      </c>
      <c r="F896" s="70" t="str">
        <f t="shared" si="56"/>
        <v/>
      </c>
      <c r="G896" s="70" t="str">
        <f t="shared" si="57"/>
        <v>High Isle</v>
      </c>
      <c r="H896" s="70">
        <f t="shared" si="58"/>
        <v>1326</v>
      </c>
      <c r="I896" s="70">
        <f t="shared" si="59"/>
        <v>1318</v>
      </c>
      <c r="J896">
        <v>26</v>
      </c>
      <c r="K896" s="3" t="str">
        <f ca="1">VLOOKUP(J896,ConstDLCIds!$A$4:$B$1000,2,FALSE)</f>
        <v>DLC_HIGH_ISLE</v>
      </c>
      <c r="L896" s="3" t="str">
        <f ca="1">VLOOKUP(J896,ConstDLCIds!$A$4:$C$1000,3,FALSE)</f>
        <v>High Isle</v>
      </c>
    </row>
    <row r="897" spans="1:12" x14ac:dyDescent="0.25">
      <c r="A897">
        <v>1327</v>
      </c>
      <c r="B897">
        <v>892</v>
      </c>
      <c r="C897">
        <v>1318</v>
      </c>
      <c r="D897" t="s">
        <v>2844</v>
      </c>
      <c r="E897" t="str">
        <f>IF(NOT(ISERROR(VLOOKUP(D897,'ESO DungeonFinder'!$A$2:$A$999,1,FALSE))),"X","")</f>
        <v/>
      </c>
      <c r="F897" s="70" t="str">
        <f t="shared" si="56"/>
        <v/>
      </c>
      <c r="G897" s="70" t="str">
        <f t="shared" si="57"/>
        <v>High Isle</v>
      </c>
      <c r="H897" s="70">
        <f t="shared" si="58"/>
        <v>1327</v>
      </c>
      <c r="I897" s="70">
        <f t="shared" si="59"/>
        <v>1318</v>
      </c>
      <c r="J897">
        <v>26</v>
      </c>
      <c r="K897" s="3" t="str">
        <f ca="1">VLOOKUP(J897,ConstDLCIds!$A$4:$B$1000,2,FALSE)</f>
        <v>DLC_HIGH_ISLE</v>
      </c>
      <c r="L897" s="3" t="str">
        <f ca="1">VLOOKUP(J897,ConstDLCIds!$A$4:$C$1000,3,FALSE)</f>
        <v>High Isle</v>
      </c>
    </row>
    <row r="898" spans="1:12" x14ac:dyDescent="0.25">
      <c r="A898">
        <v>1328</v>
      </c>
      <c r="B898">
        <v>893</v>
      </c>
      <c r="C898">
        <v>1318</v>
      </c>
      <c r="D898" t="s">
        <v>2937</v>
      </c>
      <c r="E898" t="str">
        <f>IF(NOT(ISERROR(VLOOKUP(D898,'ESO DungeonFinder'!$A$2:$A$999,1,FALSE))),"X","")</f>
        <v/>
      </c>
      <c r="F898" s="70" t="str">
        <f t="shared" si="56"/>
        <v/>
      </c>
      <c r="G898" s="70" t="str">
        <f t="shared" si="57"/>
        <v>High Isle</v>
      </c>
      <c r="H898" s="70">
        <f t="shared" si="58"/>
        <v>1328</v>
      </c>
      <c r="I898" s="70">
        <f t="shared" si="59"/>
        <v>1318</v>
      </c>
      <c r="J898">
        <v>26</v>
      </c>
      <c r="K898" s="3" t="str">
        <f ca="1">VLOOKUP(J898,ConstDLCIds!$A$4:$B$1000,2,FALSE)</f>
        <v>DLC_HIGH_ISLE</v>
      </c>
      <c r="L898" s="3" t="str">
        <f ca="1">VLOOKUP(J898,ConstDLCIds!$A$4:$C$1000,3,FALSE)</f>
        <v>High Isle</v>
      </c>
    </row>
    <row r="899" spans="1:12" x14ac:dyDescent="0.25">
      <c r="A899">
        <v>1329</v>
      </c>
      <c r="B899">
        <v>894</v>
      </c>
      <c r="C899">
        <v>1318</v>
      </c>
      <c r="D899" t="s">
        <v>2936</v>
      </c>
      <c r="E899" t="str">
        <f>IF(NOT(ISERROR(VLOOKUP(D899,'ESO DungeonFinder'!$A$2:$A$999,1,FALSE))),"X","")</f>
        <v/>
      </c>
      <c r="F899" s="70" t="str">
        <f t="shared" si="56"/>
        <v/>
      </c>
      <c r="G899" s="70" t="str">
        <f t="shared" si="57"/>
        <v>High Isle</v>
      </c>
      <c r="H899" s="70">
        <f t="shared" si="58"/>
        <v>1329</v>
      </c>
      <c r="I899" s="70">
        <f t="shared" si="59"/>
        <v>1318</v>
      </c>
      <c r="J899">
        <v>26</v>
      </c>
      <c r="K899" s="3" t="str">
        <f ca="1">VLOOKUP(J899,ConstDLCIds!$A$4:$B$1000,2,FALSE)</f>
        <v>DLC_HIGH_ISLE</v>
      </c>
      <c r="L899" s="3" t="str">
        <f ca="1">VLOOKUP(J899,ConstDLCIds!$A$4:$C$1000,3,FALSE)</f>
        <v>High Isle</v>
      </c>
    </row>
    <row r="900" spans="1:12" x14ac:dyDescent="0.25">
      <c r="A900">
        <v>1330</v>
      </c>
      <c r="B900">
        <v>895</v>
      </c>
      <c r="C900">
        <v>1318</v>
      </c>
      <c r="D900" t="s">
        <v>2938</v>
      </c>
      <c r="E900" t="str">
        <f>IF(NOT(ISERROR(VLOOKUP(D900,'ESO DungeonFinder'!$A$2:$A$999,1,FALSE))),"X","")</f>
        <v/>
      </c>
      <c r="F900" s="70" t="str">
        <f t="shared" si="56"/>
        <v/>
      </c>
      <c r="G900" s="70" t="str">
        <f t="shared" si="57"/>
        <v>High Isle</v>
      </c>
      <c r="H900" s="70">
        <f t="shared" si="58"/>
        <v>1330</v>
      </c>
      <c r="I900" s="70">
        <f t="shared" si="59"/>
        <v>1318</v>
      </c>
      <c r="J900">
        <v>26</v>
      </c>
      <c r="K900" s="3" t="str">
        <f ca="1">VLOOKUP(J900,ConstDLCIds!$A$4:$B$1000,2,FALSE)</f>
        <v>DLC_HIGH_ISLE</v>
      </c>
      <c r="L900" s="3" t="str">
        <f ca="1">VLOOKUP(J900,ConstDLCIds!$A$4:$C$1000,3,FALSE)</f>
        <v>High Isle</v>
      </c>
    </row>
    <row r="901" spans="1:12" x14ac:dyDescent="0.25">
      <c r="A901">
        <v>1331</v>
      </c>
      <c r="B901">
        <v>896</v>
      </c>
      <c r="C901">
        <v>1318</v>
      </c>
      <c r="D901" t="s">
        <v>2939</v>
      </c>
      <c r="E901" t="str">
        <f>IF(NOT(ISERROR(VLOOKUP(D901,'ESO DungeonFinder'!$A$2:$A$999,1,FALSE))),"X","")</f>
        <v/>
      </c>
      <c r="F901" s="70" t="str">
        <f t="shared" si="56"/>
        <v/>
      </c>
      <c r="G901" s="70" t="str">
        <f t="shared" si="57"/>
        <v>High Isle</v>
      </c>
      <c r="H901" s="70">
        <f t="shared" si="58"/>
        <v>1331</v>
      </c>
      <c r="I901" s="70">
        <f t="shared" si="59"/>
        <v>1318</v>
      </c>
      <c r="J901">
        <v>26</v>
      </c>
      <c r="K901" s="3" t="str">
        <f ca="1">VLOOKUP(J901,ConstDLCIds!$A$4:$B$1000,2,FALSE)</f>
        <v>DLC_HIGH_ISLE</v>
      </c>
      <c r="L901" s="3" t="str">
        <f ca="1">VLOOKUP(J901,ConstDLCIds!$A$4:$C$1000,3,FALSE)</f>
        <v>High Isle</v>
      </c>
    </row>
    <row r="902" spans="1:12" x14ac:dyDescent="0.25">
      <c r="A902">
        <v>1332</v>
      </c>
      <c r="B902">
        <v>897</v>
      </c>
      <c r="C902">
        <v>1318</v>
      </c>
      <c r="D902" t="s">
        <v>2940</v>
      </c>
      <c r="E902" t="str">
        <f>IF(NOT(ISERROR(VLOOKUP(D902,'ESO DungeonFinder'!$A$2:$A$999,1,FALSE))),"X","")</f>
        <v/>
      </c>
      <c r="F902" s="70" t="str">
        <f t="shared" si="56"/>
        <v/>
      </c>
      <c r="G902" s="70" t="str">
        <f t="shared" si="57"/>
        <v>High Isle</v>
      </c>
      <c r="H902" s="70">
        <f t="shared" si="58"/>
        <v>1332</v>
      </c>
      <c r="I902" s="70">
        <f t="shared" si="59"/>
        <v>1318</v>
      </c>
      <c r="J902">
        <v>26</v>
      </c>
      <c r="K902" s="3" t="str">
        <f ca="1">VLOOKUP(J902,ConstDLCIds!$A$4:$B$1000,2,FALSE)</f>
        <v>DLC_HIGH_ISLE</v>
      </c>
      <c r="L902" s="3" t="str">
        <f ca="1">VLOOKUP(J902,ConstDLCIds!$A$4:$C$1000,3,FALSE)</f>
        <v>High Isle</v>
      </c>
    </row>
    <row r="903" spans="1:12" x14ac:dyDescent="0.25">
      <c r="A903">
        <v>1333</v>
      </c>
      <c r="B903">
        <v>898</v>
      </c>
      <c r="C903">
        <v>1318</v>
      </c>
      <c r="D903" t="s">
        <v>2941</v>
      </c>
      <c r="E903" t="str">
        <f>IF(NOT(ISERROR(VLOOKUP(D903,'ESO DungeonFinder'!$A$2:$A$999,1,FALSE))),"X","")</f>
        <v/>
      </c>
      <c r="F903" s="70" t="str">
        <f t="shared" ref="F903:F966" si="60">IF(EXACT(A903,C903),"X","")</f>
        <v/>
      </c>
      <c r="G903" s="70" t="str">
        <f t="shared" ref="G903:G966" si="61">IF(A903&lt;&gt;C903,VLOOKUP(C903,$A$5:$D$9956,4,FALSE),"")</f>
        <v>High Isle</v>
      </c>
      <c r="H903" s="70">
        <f t="shared" ref="H903:H966" si="62">A903</f>
        <v>1333</v>
      </c>
      <c r="I903" s="70">
        <f t="shared" ref="I903:I966" si="63">C903</f>
        <v>1318</v>
      </c>
      <c r="J903">
        <v>26</v>
      </c>
      <c r="K903" s="3" t="str">
        <f ca="1">VLOOKUP(J903,ConstDLCIds!$A$4:$B$1000,2,FALSE)</f>
        <v>DLC_HIGH_ISLE</v>
      </c>
      <c r="L903" s="3" t="str">
        <f ca="1">VLOOKUP(J903,ConstDLCIds!$A$4:$C$1000,3,FALSE)</f>
        <v>High Isle</v>
      </c>
    </row>
    <row r="904" spans="1:12" x14ac:dyDescent="0.25">
      <c r="A904">
        <v>1334</v>
      </c>
      <c r="B904">
        <v>899</v>
      </c>
      <c r="C904">
        <v>1318</v>
      </c>
      <c r="D904" t="s">
        <v>1824</v>
      </c>
      <c r="E904" t="str">
        <f>IF(NOT(ISERROR(VLOOKUP(D904,'ESO DungeonFinder'!$A$2:$A$999,1,FALSE))),"X","")</f>
        <v/>
      </c>
      <c r="F904" s="70" t="str">
        <f t="shared" si="60"/>
        <v/>
      </c>
      <c r="G904" s="70" t="str">
        <f t="shared" si="61"/>
        <v>High Isle</v>
      </c>
      <c r="H904" s="70">
        <f t="shared" si="62"/>
        <v>1334</v>
      </c>
      <c r="I904" s="70">
        <f t="shared" si="63"/>
        <v>1318</v>
      </c>
      <c r="J904">
        <v>26</v>
      </c>
      <c r="K904" s="3" t="str">
        <f ca="1">VLOOKUP(J904,ConstDLCIds!$A$4:$B$1000,2,FALSE)</f>
        <v>DLC_HIGH_ISLE</v>
      </c>
      <c r="L904" s="3" t="str">
        <f ca="1">VLOOKUP(J904,ConstDLCIds!$A$4:$C$1000,3,FALSE)</f>
        <v>High Isle</v>
      </c>
    </row>
    <row r="905" spans="1:12" x14ac:dyDescent="0.25">
      <c r="A905">
        <v>1335</v>
      </c>
      <c r="B905">
        <v>900</v>
      </c>
      <c r="C905">
        <v>1318</v>
      </c>
      <c r="D905" t="s">
        <v>2942</v>
      </c>
      <c r="E905" t="str">
        <f>IF(NOT(ISERROR(VLOOKUP(D905,'ESO DungeonFinder'!$A$2:$A$999,1,FALSE))),"X","")</f>
        <v/>
      </c>
      <c r="F905" s="70" t="str">
        <f t="shared" si="60"/>
        <v/>
      </c>
      <c r="G905" s="70" t="str">
        <f t="shared" si="61"/>
        <v>High Isle</v>
      </c>
      <c r="H905" s="70">
        <f t="shared" si="62"/>
        <v>1335</v>
      </c>
      <c r="I905" s="70">
        <f t="shared" si="63"/>
        <v>1318</v>
      </c>
      <c r="J905">
        <v>26</v>
      </c>
      <c r="K905" s="3" t="str">
        <f ca="1">VLOOKUP(J905,ConstDLCIds!$A$4:$B$1000,2,FALSE)</f>
        <v>DLC_HIGH_ISLE</v>
      </c>
      <c r="L905" s="3" t="str">
        <f ca="1">VLOOKUP(J905,ConstDLCIds!$A$4:$C$1000,3,FALSE)</f>
        <v>High Isle</v>
      </c>
    </row>
    <row r="906" spans="1:12" x14ac:dyDescent="0.25">
      <c r="A906">
        <v>1336</v>
      </c>
      <c r="B906">
        <v>901</v>
      </c>
      <c r="C906">
        <v>1318</v>
      </c>
      <c r="D906" t="s">
        <v>2943</v>
      </c>
      <c r="E906" t="str">
        <f>IF(NOT(ISERROR(VLOOKUP(D906,'ESO DungeonFinder'!$A$2:$A$999,1,FALSE))),"X","")</f>
        <v/>
      </c>
      <c r="F906" s="70" t="str">
        <f t="shared" si="60"/>
        <v/>
      </c>
      <c r="G906" s="70" t="str">
        <f t="shared" si="61"/>
        <v>High Isle</v>
      </c>
      <c r="H906" s="70">
        <f t="shared" si="62"/>
        <v>1336</v>
      </c>
      <c r="I906" s="70">
        <f t="shared" si="63"/>
        <v>1318</v>
      </c>
      <c r="J906">
        <v>26</v>
      </c>
      <c r="K906" s="3" t="str">
        <f ca="1">VLOOKUP(J906,ConstDLCIds!$A$4:$B$1000,2,FALSE)</f>
        <v>DLC_HIGH_ISLE</v>
      </c>
      <c r="L906" s="3" t="str">
        <f ca="1">VLOOKUP(J906,ConstDLCIds!$A$4:$C$1000,3,FALSE)</f>
        <v>High Isle</v>
      </c>
    </row>
    <row r="907" spans="1:12" x14ac:dyDescent="0.25">
      <c r="A907">
        <v>1337</v>
      </c>
      <c r="B907">
        <v>902</v>
      </c>
      <c r="C907">
        <v>1318</v>
      </c>
      <c r="D907" t="s">
        <v>1716</v>
      </c>
      <c r="E907" t="str">
        <f>IF(NOT(ISERROR(VLOOKUP(D907,'ESO DungeonFinder'!$A$2:$A$999,1,FALSE))),"X","")</f>
        <v/>
      </c>
      <c r="F907" s="70" t="str">
        <f t="shared" si="60"/>
        <v/>
      </c>
      <c r="G907" s="70" t="str">
        <f t="shared" si="61"/>
        <v>High Isle</v>
      </c>
      <c r="H907" s="70">
        <f t="shared" si="62"/>
        <v>1337</v>
      </c>
      <c r="I907" s="70">
        <f t="shared" si="63"/>
        <v>1318</v>
      </c>
      <c r="J907">
        <v>26</v>
      </c>
      <c r="K907" s="3" t="str">
        <f ca="1">VLOOKUP(J907,ConstDLCIds!$A$4:$B$1000,2,FALSE)</f>
        <v>DLC_HIGH_ISLE</v>
      </c>
      <c r="L907" s="3" t="str">
        <f ca="1">VLOOKUP(J907,ConstDLCIds!$A$4:$C$1000,3,FALSE)</f>
        <v>High Isle</v>
      </c>
    </row>
    <row r="908" spans="1:12" x14ac:dyDescent="0.25">
      <c r="A908">
        <v>1338</v>
      </c>
      <c r="B908">
        <v>903</v>
      </c>
      <c r="C908">
        <v>1318</v>
      </c>
      <c r="D908" t="s">
        <v>2194</v>
      </c>
      <c r="E908" t="str">
        <f>IF(NOT(ISERROR(VLOOKUP(D908,'ESO DungeonFinder'!$A$2:$A$999,1,FALSE))),"X","")</f>
        <v/>
      </c>
      <c r="F908" s="70" t="str">
        <f t="shared" si="60"/>
        <v/>
      </c>
      <c r="G908" s="70" t="str">
        <f t="shared" si="61"/>
        <v>High Isle</v>
      </c>
      <c r="H908" s="70">
        <f t="shared" si="62"/>
        <v>1338</v>
      </c>
      <c r="I908" s="70">
        <f t="shared" si="63"/>
        <v>1318</v>
      </c>
      <c r="J908">
        <v>26</v>
      </c>
      <c r="K908" s="3" t="str">
        <f ca="1">VLOOKUP(J908,ConstDLCIds!$A$4:$B$1000,2,FALSE)</f>
        <v>DLC_HIGH_ISLE</v>
      </c>
      <c r="L908" s="3" t="str">
        <f ca="1">VLOOKUP(J908,ConstDLCIds!$A$4:$C$1000,3,FALSE)</f>
        <v>High Isle</v>
      </c>
    </row>
    <row r="909" spans="1:12" x14ac:dyDescent="0.25">
      <c r="A909">
        <v>1342</v>
      </c>
      <c r="B909">
        <v>904</v>
      </c>
      <c r="C909">
        <v>1282</v>
      </c>
      <c r="D909" t="s">
        <v>2944</v>
      </c>
      <c r="E909" t="str">
        <f>IF(NOT(ISERROR(VLOOKUP(D909,'ESO DungeonFinder'!$A$2:$A$999,1,FALSE))),"X","")</f>
        <v/>
      </c>
      <c r="F909" s="70" t="str">
        <f t="shared" si="60"/>
        <v/>
      </c>
      <c r="G909" s="70" t="str">
        <f t="shared" si="61"/>
        <v>Fargrave</v>
      </c>
      <c r="H909" s="70">
        <f t="shared" si="62"/>
        <v>1342</v>
      </c>
      <c r="I909" s="70">
        <f t="shared" si="63"/>
        <v>1282</v>
      </c>
      <c r="J909">
        <v>24</v>
      </c>
      <c r="K909" s="3" t="str">
        <f ca="1">VLOOKUP(J909,ConstDLCIds!$A$4:$B$1000,2,FALSE)</f>
        <v>DLC_DEADLANDS</v>
      </c>
      <c r="L909" s="3" t="str">
        <f ca="1">VLOOKUP(J909,ConstDLCIds!$A$4:$C$1000,3,FALSE)</f>
        <v>The Deadlands</v>
      </c>
    </row>
    <row r="910" spans="1:12" x14ac:dyDescent="0.25">
      <c r="A910">
        <v>1343</v>
      </c>
      <c r="B910">
        <v>905</v>
      </c>
      <c r="C910">
        <v>1286</v>
      </c>
      <c r="D910" t="s">
        <v>2945</v>
      </c>
      <c r="E910" t="str">
        <f>IF(NOT(ISERROR(VLOOKUP(D910,'ESO DungeonFinder'!$A$2:$A$999,1,FALSE))),"X","")</f>
        <v/>
      </c>
      <c r="F910" s="70" t="str">
        <f t="shared" si="60"/>
        <v/>
      </c>
      <c r="G910" s="70" t="str">
        <f t="shared" si="61"/>
        <v>The Deadlands</v>
      </c>
      <c r="H910" s="70">
        <f t="shared" si="62"/>
        <v>1343</v>
      </c>
      <c r="I910" s="70">
        <f t="shared" si="63"/>
        <v>1286</v>
      </c>
      <c r="J910">
        <v>24</v>
      </c>
      <c r="K910" s="3" t="str">
        <f ca="1">VLOOKUP(J910,ConstDLCIds!$A$4:$B$1000,2,FALSE)</f>
        <v>DLC_DEADLANDS</v>
      </c>
      <c r="L910" s="3" t="str">
        <f ca="1">VLOOKUP(J910,ConstDLCIds!$A$4:$C$1000,3,FALSE)</f>
        <v>The Deadlands</v>
      </c>
    </row>
    <row r="911" spans="1:12" x14ac:dyDescent="0.25">
      <c r="A911">
        <v>1344</v>
      </c>
      <c r="B911">
        <v>906</v>
      </c>
      <c r="C911">
        <v>1318</v>
      </c>
      <c r="D911" t="s">
        <v>1723</v>
      </c>
      <c r="E911" t="str">
        <f>IF(NOT(ISERROR(VLOOKUP(D911,'ESO DungeonFinder'!$A$2:$A$999,1,FALSE))),"X","")</f>
        <v>X</v>
      </c>
      <c r="F911" s="70" t="str">
        <f t="shared" si="60"/>
        <v/>
      </c>
      <c r="G911" s="70" t="str">
        <f t="shared" si="61"/>
        <v>High Isle</v>
      </c>
      <c r="H911" s="70">
        <f t="shared" si="62"/>
        <v>1344</v>
      </c>
      <c r="I911" s="70">
        <f t="shared" si="63"/>
        <v>1318</v>
      </c>
      <c r="J911">
        <v>26</v>
      </c>
      <c r="K911" s="3" t="str">
        <f ca="1">VLOOKUP(J911,ConstDLCIds!$A$4:$B$1000,2,FALSE)</f>
        <v>DLC_HIGH_ISLE</v>
      </c>
      <c r="L911" s="3" t="str">
        <f ca="1">VLOOKUP(J911,ConstDLCIds!$A$4:$C$1000,3,FALSE)</f>
        <v>High Isle</v>
      </c>
    </row>
    <row r="912" spans="1:12" x14ac:dyDescent="0.25">
      <c r="A912">
        <v>1345</v>
      </c>
      <c r="B912">
        <v>907</v>
      </c>
      <c r="C912">
        <v>535</v>
      </c>
      <c r="D912" t="s">
        <v>2946</v>
      </c>
      <c r="E912" t="str">
        <f>IF(NOT(ISERROR(VLOOKUP(D912,'ESO DungeonFinder'!$A$2:$A$999,1,FALSE))),"X","")</f>
        <v/>
      </c>
      <c r="F912" s="70" t="str">
        <f t="shared" si="60"/>
        <v/>
      </c>
      <c r="G912" s="70" t="str">
        <f t="shared" si="61"/>
        <v>Betnikh</v>
      </c>
      <c r="H912" s="70">
        <f t="shared" si="62"/>
        <v>1345</v>
      </c>
      <c r="I912" s="70">
        <f t="shared" si="63"/>
        <v>535</v>
      </c>
      <c r="J912">
        <v>0</v>
      </c>
      <c r="K912" s="3" t="str">
        <f>VLOOKUP(J912,ConstDLCIds!$A$4:$B$1000,2,FALSE)</f>
        <v>DLC_BASE_GAME</v>
      </c>
      <c r="L912" s="3" t="str">
        <f>VLOOKUP(J912,ConstDLCIds!$A$4:$C$1000,3,FALSE)</f>
        <v>Included in base game</v>
      </c>
    </row>
    <row r="913" spans="1:12" x14ac:dyDescent="0.25">
      <c r="A913">
        <v>1346</v>
      </c>
      <c r="B913">
        <v>908</v>
      </c>
      <c r="C913">
        <v>3</v>
      </c>
      <c r="D913" t="s">
        <v>4318</v>
      </c>
      <c r="E913" t="str">
        <f>IF(NOT(ISERROR(VLOOKUP(D913,'ESO DungeonFinder'!$A$2:$A$999,1,FALSE))),"X","")</f>
        <v/>
      </c>
      <c r="F913" s="70" t="str">
        <f t="shared" si="60"/>
        <v/>
      </c>
      <c r="G913" s="70" t="str">
        <f t="shared" si="61"/>
        <v>Glenumbra</v>
      </c>
      <c r="H913" s="70">
        <f t="shared" si="62"/>
        <v>1346</v>
      </c>
      <c r="I913" s="70">
        <f t="shared" si="63"/>
        <v>3</v>
      </c>
      <c r="J913">
        <v>27</v>
      </c>
      <c r="K913" s="3" t="str">
        <f ca="1">VLOOKUP(J913,ConstDLCIds!$A$4:$B$1000,2,FALSE)</f>
        <v>DLC_LOST_DEPTHS</v>
      </c>
      <c r="L913" s="3" t="str">
        <f ca="1">VLOOKUP(J913,ConstDLCIds!$A$4:$C$1000,3,FALSE)</f>
        <v>Lost Depths</v>
      </c>
    </row>
    <row r="914" spans="1:12" x14ac:dyDescent="0.25">
      <c r="A914">
        <v>1360</v>
      </c>
      <c r="B914">
        <v>909</v>
      </c>
      <c r="C914">
        <v>1318</v>
      </c>
      <c r="D914" t="s">
        <v>1789</v>
      </c>
      <c r="E914" t="str">
        <f>IF(NOT(ISERROR(VLOOKUP(D914,'ESO DungeonFinder'!$A$2:$A$999,1,FALSE))),"X","")</f>
        <v>X</v>
      </c>
      <c r="F914" s="70" t="str">
        <f t="shared" si="60"/>
        <v/>
      </c>
      <c r="G914" s="70" t="str">
        <f t="shared" si="61"/>
        <v>High Isle</v>
      </c>
      <c r="H914" s="70">
        <f t="shared" si="62"/>
        <v>1360</v>
      </c>
      <c r="I914" s="70">
        <f t="shared" si="63"/>
        <v>1318</v>
      </c>
      <c r="J914">
        <v>27</v>
      </c>
      <c r="K914" s="3" t="str">
        <f ca="1">VLOOKUP(J914,ConstDLCIds!$A$4:$B$1000,2,FALSE)</f>
        <v>DLC_LOST_DEPTHS</v>
      </c>
      <c r="L914" s="3" t="str">
        <f ca="1">VLOOKUP(J914,ConstDLCIds!$A$4:$C$1000,3,FALSE)</f>
        <v>Lost Depths</v>
      </c>
    </row>
    <row r="915" spans="1:12" x14ac:dyDescent="0.25">
      <c r="A915">
        <v>1361</v>
      </c>
      <c r="B915">
        <v>910</v>
      </c>
      <c r="C915">
        <v>1318</v>
      </c>
      <c r="D915" t="s">
        <v>1796</v>
      </c>
      <c r="E915" t="str">
        <f>IF(NOT(ISERROR(VLOOKUP(D915,'ESO DungeonFinder'!$A$2:$A$999,1,FALSE))),"X","")</f>
        <v>X</v>
      </c>
      <c r="F915" s="70" t="str">
        <f t="shared" si="60"/>
        <v/>
      </c>
      <c r="G915" s="70" t="str">
        <f t="shared" si="61"/>
        <v>High Isle</v>
      </c>
      <c r="H915" s="70">
        <f t="shared" si="62"/>
        <v>1361</v>
      </c>
      <c r="I915" s="70">
        <f t="shared" si="63"/>
        <v>1318</v>
      </c>
      <c r="J915">
        <v>26</v>
      </c>
      <c r="K915" s="3" t="str">
        <f ca="1">VLOOKUP(J915,ConstDLCIds!$A$4:$B$1000,2,FALSE)</f>
        <v>DLC_HIGH_ISLE</v>
      </c>
      <c r="L915" s="3" t="str">
        <f ca="1">VLOOKUP(J915,ConstDLCIds!$A$4:$C$1000,3,FALSE)</f>
        <v>High Isle</v>
      </c>
    </row>
    <row r="916" spans="1:12" x14ac:dyDescent="0.25">
      <c r="A916">
        <v>1363</v>
      </c>
      <c r="B916">
        <v>911</v>
      </c>
      <c r="C916">
        <v>1318</v>
      </c>
      <c r="D916" t="s">
        <v>2947</v>
      </c>
      <c r="E916" t="str">
        <f>IF(NOT(ISERROR(VLOOKUP(D916,'ESO DungeonFinder'!$A$2:$A$999,1,FALSE))),"X","")</f>
        <v/>
      </c>
      <c r="F916" s="70" t="str">
        <f t="shared" si="60"/>
        <v/>
      </c>
      <c r="G916" s="70" t="str">
        <f t="shared" si="61"/>
        <v>High Isle</v>
      </c>
      <c r="H916" s="70">
        <f t="shared" si="62"/>
        <v>1363</v>
      </c>
      <c r="I916" s="70">
        <f t="shared" si="63"/>
        <v>1318</v>
      </c>
      <c r="J916">
        <v>26</v>
      </c>
      <c r="K916" s="3" t="str">
        <f ca="1">VLOOKUP(J916,ConstDLCIds!$A$4:$B$1000,2,FALSE)</f>
        <v>DLC_HIGH_ISLE</v>
      </c>
      <c r="L916" s="3" t="str">
        <f ca="1">VLOOKUP(J916,ConstDLCIds!$A$4:$C$1000,3,FALSE)</f>
        <v>High Isle</v>
      </c>
    </row>
    <row r="917" spans="1:12" x14ac:dyDescent="0.25">
      <c r="A917">
        <v>1364</v>
      </c>
      <c r="B917">
        <v>912</v>
      </c>
      <c r="C917">
        <v>1318</v>
      </c>
      <c r="D917" t="s">
        <v>2948</v>
      </c>
      <c r="E917" t="str">
        <f>IF(NOT(ISERROR(VLOOKUP(D917,'ESO DungeonFinder'!$A$2:$A$999,1,FALSE))),"X","")</f>
        <v/>
      </c>
      <c r="F917" s="70" t="str">
        <f t="shared" si="60"/>
        <v/>
      </c>
      <c r="G917" s="70" t="str">
        <f t="shared" si="61"/>
        <v>High Isle</v>
      </c>
      <c r="H917" s="70">
        <f t="shared" si="62"/>
        <v>1364</v>
      </c>
      <c r="I917" s="70">
        <f t="shared" si="63"/>
        <v>1318</v>
      </c>
      <c r="J917">
        <v>0</v>
      </c>
      <c r="K917" s="3" t="str">
        <f>VLOOKUP(J917,ConstDLCIds!$A$4:$B$1000,2,FALSE)</f>
        <v>DLC_BASE_GAME</v>
      </c>
      <c r="L917" s="3" t="str">
        <f>VLOOKUP(J917,ConstDLCIds!$A$4:$C$1000,3,FALSE)</f>
        <v>Included in base game</v>
      </c>
    </row>
    <row r="918" spans="1:12" x14ac:dyDescent="0.25">
      <c r="A918">
        <v>1365</v>
      </c>
      <c r="B918">
        <v>913</v>
      </c>
      <c r="C918">
        <v>3</v>
      </c>
      <c r="D918" t="s">
        <v>2949</v>
      </c>
      <c r="E918" t="str">
        <f>IF(NOT(ISERROR(VLOOKUP(D918,'ESO DungeonFinder'!$A$2:$A$999,1,FALSE))),"X","")</f>
        <v/>
      </c>
      <c r="F918" s="70" t="str">
        <f t="shared" si="60"/>
        <v/>
      </c>
      <c r="G918" s="70" t="str">
        <f t="shared" si="61"/>
        <v>Glenumbra</v>
      </c>
      <c r="H918" s="70">
        <f t="shared" si="62"/>
        <v>1365</v>
      </c>
      <c r="I918" s="70">
        <f t="shared" si="63"/>
        <v>3</v>
      </c>
      <c r="J918">
        <v>0</v>
      </c>
      <c r="K918" s="3" t="str">
        <f>VLOOKUP(J918,ConstDLCIds!$A$4:$B$1000,2,FALSE)</f>
        <v>DLC_BASE_GAME</v>
      </c>
      <c r="L918" s="3" t="str">
        <f>VLOOKUP(J918,ConstDLCIds!$A$4:$C$1000,3,FALSE)</f>
        <v>Included in base game</v>
      </c>
    </row>
    <row r="919" spans="1:12" x14ac:dyDescent="0.25">
      <c r="A919">
        <v>1366</v>
      </c>
      <c r="B919">
        <v>914</v>
      </c>
      <c r="C919">
        <v>92</v>
      </c>
      <c r="D919" t="s">
        <v>2950</v>
      </c>
      <c r="E919" t="str">
        <f>IF(NOT(ISERROR(VLOOKUP(D919,'ESO DungeonFinder'!$A$2:$A$999,1,FALSE))),"X","")</f>
        <v/>
      </c>
      <c r="F919" s="70" t="str">
        <f t="shared" si="60"/>
        <v/>
      </c>
      <c r="G919" s="70" t="str">
        <f t="shared" si="61"/>
        <v>Bangkorai</v>
      </c>
      <c r="H919" s="70">
        <f t="shared" si="62"/>
        <v>1366</v>
      </c>
      <c r="I919" s="70">
        <f t="shared" si="63"/>
        <v>92</v>
      </c>
      <c r="J919">
        <v>28</v>
      </c>
      <c r="K919" s="3" t="str">
        <f ca="1">VLOOKUP(J919,ConstDLCIds!$A$4:$B$1000,2,FALSE)</f>
        <v>DLC_FIRESONG</v>
      </c>
      <c r="L919" s="3" t="str">
        <f ca="1">VLOOKUP(J919,ConstDLCIds!$A$4:$C$1000,3,FALSE)</f>
        <v>Firesong</v>
      </c>
    </row>
    <row r="920" spans="1:12" x14ac:dyDescent="0.25">
      <c r="A920">
        <v>1367</v>
      </c>
      <c r="B920">
        <v>915</v>
      </c>
      <c r="C920">
        <v>1383</v>
      </c>
      <c r="D920" t="s">
        <v>2951</v>
      </c>
      <c r="E920" t="str">
        <f>IF(NOT(ISERROR(VLOOKUP(D920,'ESO DungeonFinder'!$A$2:$A$999,1,FALSE))),"X","")</f>
        <v/>
      </c>
      <c r="F920" s="70" t="str">
        <f t="shared" si="60"/>
        <v/>
      </c>
      <c r="G920" s="70" t="str">
        <f t="shared" si="61"/>
        <v>Galen</v>
      </c>
      <c r="H920" s="70">
        <f t="shared" si="62"/>
        <v>1367</v>
      </c>
      <c r="I920" s="70">
        <f t="shared" si="63"/>
        <v>1383</v>
      </c>
      <c r="J920">
        <v>28</v>
      </c>
      <c r="K920" s="3" t="str">
        <f ca="1">VLOOKUP(J920,ConstDLCIds!$A$4:$B$1000,2,FALSE)</f>
        <v>DLC_FIRESONG</v>
      </c>
      <c r="L920" s="3" t="str">
        <f ca="1">VLOOKUP(J920,ConstDLCIds!$A$4:$C$1000,3,FALSE)</f>
        <v>Firesong</v>
      </c>
    </row>
    <row r="921" spans="1:12" x14ac:dyDescent="0.25">
      <c r="A921">
        <v>1368</v>
      </c>
      <c r="B921">
        <v>916</v>
      </c>
      <c r="C921">
        <v>1383</v>
      </c>
      <c r="D921" t="s">
        <v>2952</v>
      </c>
      <c r="E921" t="str">
        <f>IF(NOT(ISERROR(VLOOKUP(D921,'ESO DungeonFinder'!$A$2:$A$999,1,FALSE))),"X","")</f>
        <v/>
      </c>
      <c r="F921" s="70" t="str">
        <f t="shared" si="60"/>
        <v/>
      </c>
      <c r="G921" s="70" t="str">
        <f t="shared" si="61"/>
        <v>Galen</v>
      </c>
      <c r="H921" s="70">
        <f t="shared" si="62"/>
        <v>1368</v>
      </c>
      <c r="I921" s="70">
        <f t="shared" si="63"/>
        <v>1383</v>
      </c>
      <c r="J921">
        <v>28</v>
      </c>
      <c r="K921" s="3" t="str">
        <f ca="1">VLOOKUP(J921,ConstDLCIds!$A$4:$B$1000,2,FALSE)</f>
        <v>DLC_FIRESONG</v>
      </c>
      <c r="L921" s="3" t="str">
        <f ca="1">VLOOKUP(J921,ConstDLCIds!$A$4:$C$1000,3,FALSE)</f>
        <v>Firesong</v>
      </c>
    </row>
    <row r="922" spans="1:12" x14ac:dyDescent="0.25">
      <c r="A922">
        <v>1369</v>
      </c>
      <c r="B922">
        <v>917</v>
      </c>
      <c r="C922">
        <v>1383</v>
      </c>
      <c r="D922" t="s">
        <v>2953</v>
      </c>
      <c r="E922" t="str">
        <f>IF(NOT(ISERROR(VLOOKUP(D922,'ESO DungeonFinder'!$A$2:$A$999,1,FALSE))),"X","")</f>
        <v/>
      </c>
      <c r="F922" s="70" t="str">
        <f t="shared" si="60"/>
        <v/>
      </c>
      <c r="G922" s="70" t="str">
        <f t="shared" si="61"/>
        <v>Galen</v>
      </c>
      <c r="H922" s="70">
        <f t="shared" si="62"/>
        <v>1369</v>
      </c>
      <c r="I922" s="70">
        <f t="shared" si="63"/>
        <v>1383</v>
      </c>
      <c r="J922">
        <v>28</v>
      </c>
      <c r="K922" s="3" t="str">
        <f ca="1">VLOOKUP(J922,ConstDLCIds!$A$4:$B$1000,2,FALSE)</f>
        <v>DLC_FIRESONG</v>
      </c>
      <c r="L922" s="3" t="str">
        <f ca="1">VLOOKUP(J922,ConstDLCIds!$A$4:$C$1000,3,FALSE)</f>
        <v>Firesong</v>
      </c>
    </row>
    <row r="923" spans="1:12" x14ac:dyDescent="0.25">
      <c r="A923">
        <v>1370</v>
      </c>
      <c r="B923">
        <v>918</v>
      </c>
      <c r="C923">
        <v>1383</v>
      </c>
      <c r="D923" t="s">
        <v>2954</v>
      </c>
      <c r="E923" t="str">
        <f>IF(NOT(ISERROR(VLOOKUP(D923,'ESO DungeonFinder'!$A$2:$A$999,1,FALSE))),"X","")</f>
        <v/>
      </c>
      <c r="F923" s="70" t="str">
        <f t="shared" si="60"/>
        <v/>
      </c>
      <c r="G923" s="70" t="str">
        <f t="shared" si="61"/>
        <v>Galen</v>
      </c>
      <c r="H923" s="70">
        <f t="shared" si="62"/>
        <v>1370</v>
      </c>
      <c r="I923" s="70">
        <f t="shared" si="63"/>
        <v>1383</v>
      </c>
      <c r="J923">
        <v>28</v>
      </c>
      <c r="K923" s="3" t="str">
        <f ca="1">VLOOKUP(J923,ConstDLCIds!$A$4:$B$1000,2,FALSE)</f>
        <v>DLC_FIRESONG</v>
      </c>
      <c r="L923" s="3" t="str">
        <f ca="1">VLOOKUP(J923,ConstDLCIds!$A$4:$C$1000,3,FALSE)</f>
        <v>Firesong</v>
      </c>
    </row>
    <row r="924" spans="1:12" x14ac:dyDescent="0.25">
      <c r="A924">
        <v>1371</v>
      </c>
      <c r="B924">
        <v>919</v>
      </c>
      <c r="C924">
        <v>1383</v>
      </c>
      <c r="D924" t="s">
        <v>2955</v>
      </c>
      <c r="E924" t="str">
        <f>IF(NOT(ISERROR(VLOOKUP(D924,'ESO DungeonFinder'!$A$2:$A$999,1,FALSE))),"X","")</f>
        <v/>
      </c>
      <c r="F924" s="70" t="str">
        <f t="shared" si="60"/>
        <v/>
      </c>
      <c r="G924" s="70" t="str">
        <f t="shared" si="61"/>
        <v>Galen</v>
      </c>
      <c r="H924" s="70">
        <f t="shared" si="62"/>
        <v>1371</v>
      </c>
      <c r="I924" s="70">
        <f t="shared" si="63"/>
        <v>1383</v>
      </c>
      <c r="J924">
        <v>28</v>
      </c>
      <c r="K924" s="3" t="str">
        <f ca="1">VLOOKUP(J924,ConstDLCIds!$A$4:$B$1000,2,FALSE)</f>
        <v>DLC_FIRESONG</v>
      </c>
      <c r="L924" s="3" t="str">
        <f ca="1">VLOOKUP(J924,ConstDLCIds!$A$4:$C$1000,3,FALSE)</f>
        <v>Firesong</v>
      </c>
    </row>
    <row r="925" spans="1:12" x14ac:dyDescent="0.25">
      <c r="A925">
        <v>1372</v>
      </c>
      <c r="B925">
        <v>920</v>
      </c>
      <c r="C925">
        <v>1383</v>
      </c>
      <c r="D925" t="s">
        <v>2956</v>
      </c>
      <c r="E925" t="str">
        <f>IF(NOT(ISERROR(VLOOKUP(D925,'ESO DungeonFinder'!$A$2:$A$999,1,FALSE))),"X","")</f>
        <v/>
      </c>
      <c r="F925" s="70" t="str">
        <f t="shared" si="60"/>
        <v/>
      </c>
      <c r="G925" s="70" t="str">
        <f t="shared" si="61"/>
        <v>Galen</v>
      </c>
      <c r="H925" s="70">
        <f t="shared" si="62"/>
        <v>1372</v>
      </c>
      <c r="I925" s="70">
        <f t="shared" si="63"/>
        <v>1383</v>
      </c>
      <c r="J925">
        <v>28</v>
      </c>
      <c r="K925" s="3" t="str">
        <f ca="1">VLOOKUP(J925,ConstDLCIds!$A$4:$B$1000,2,FALSE)</f>
        <v>DLC_FIRESONG</v>
      </c>
      <c r="L925" s="3" t="str">
        <f ca="1">VLOOKUP(J925,ConstDLCIds!$A$4:$C$1000,3,FALSE)</f>
        <v>Firesong</v>
      </c>
    </row>
    <row r="926" spans="1:12" x14ac:dyDescent="0.25">
      <c r="A926">
        <v>1373</v>
      </c>
      <c r="B926">
        <v>921</v>
      </c>
      <c r="C926">
        <v>1383</v>
      </c>
      <c r="D926" t="s">
        <v>2957</v>
      </c>
      <c r="E926" t="str">
        <f>IF(NOT(ISERROR(VLOOKUP(D926,'ESO DungeonFinder'!$A$2:$A$999,1,FALSE))),"X","")</f>
        <v/>
      </c>
      <c r="F926" s="70" t="str">
        <f t="shared" si="60"/>
        <v/>
      </c>
      <c r="G926" s="70" t="str">
        <f t="shared" si="61"/>
        <v>Galen</v>
      </c>
      <c r="H926" s="70">
        <f t="shared" si="62"/>
        <v>1373</v>
      </c>
      <c r="I926" s="70">
        <f t="shared" si="63"/>
        <v>1383</v>
      </c>
      <c r="J926">
        <v>28</v>
      </c>
      <c r="K926" s="3" t="str">
        <f ca="1">VLOOKUP(J926,ConstDLCIds!$A$4:$B$1000,2,FALSE)</f>
        <v>DLC_FIRESONG</v>
      </c>
      <c r="L926" s="3" t="str">
        <f ca="1">VLOOKUP(J926,ConstDLCIds!$A$4:$C$1000,3,FALSE)</f>
        <v>Firesong</v>
      </c>
    </row>
    <row r="927" spans="1:12" x14ac:dyDescent="0.25">
      <c r="A927">
        <v>1374</v>
      </c>
      <c r="B927">
        <v>922</v>
      </c>
      <c r="C927">
        <v>1383</v>
      </c>
      <c r="D927" t="s">
        <v>2958</v>
      </c>
      <c r="E927" t="str">
        <f>IF(NOT(ISERROR(VLOOKUP(D927,'ESO DungeonFinder'!$A$2:$A$999,1,FALSE))),"X","")</f>
        <v/>
      </c>
      <c r="F927" s="70" t="str">
        <f t="shared" si="60"/>
        <v/>
      </c>
      <c r="G927" s="70" t="str">
        <f t="shared" si="61"/>
        <v>Galen</v>
      </c>
      <c r="H927" s="70">
        <f t="shared" si="62"/>
        <v>1374</v>
      </c>
      <c r="I927" s="70">
        <f t="shared" si="63"/>
        <v>1383</v>
      </c>
      <c r="J927">
        <v>28</v>
      </c>
      <c r="K927" s="3" t="str">
        <f ca="1">VLOOKUP(J927,ConstDLCIds!$A$4:$B$1000,2,FALSE)</f>
        <v>DLC_FIRESONG</v>
      </c>
      <c r="L927" s="3" t="str">
        <f ca="1">VLOOKUP(J927,ConstDLCIds!$A$4:$C$1000,3,FALSE)</f>
        <v>Firesong</v>
      </c>
    </row>
    <row r="928" spans="1:12" x14ac:dyDescent="0.25">
      <c r="A928">
        <v>1375</v>
      </c>
      <c r="B928">
        <v>923</v>
      </c>
      <c r="C928">
        <v>1383</v>
      </c>
      <c r="D928" t="s">
        <v>2959</v>
      </c>
      <c r="E928" t="str">
        <f>IF(NOT(ISERROR(VLOOKUP(D928,'ESO DungeonFinder'!$A$2:$A$999,1,FALSE))),"X","")</f>
        <v/>
      </c>
      <c r="F928" s="70" t="str">
        <f t="shared" si="60"/>
        <v/>
      </c>
      <c r="G928" s="70" t="str">
        <f t="shared" si="61"/>
        <v>Galen</v>
      </c>
      <c r="H928" s="70">
        <f t="shared" si="62"/>
        <v>1375</v>
      </c>
      <c r="I928" s="70">
        <f t="shared" si="63"/>
        <v>1383</v>
      </c>
      <c r="J928">
        <v>28</v>
      </c>
      <c r="K928" s="3" t="str">
        <f ca="1">VLOOKUP(J928,ConstDLCIds!$A$4:$B$1000,2,FALSE)</f>
        <v>DLC_FIRESONG</v>
      </c>
      <c r="L928" s="3" t="str">
        <f ca="1">VLOOKUP(J928,ConstDLCIds!$A$4:$C$1000,3,FALSE)</f>
        <v>Firesong</v>
      </c>
    </row>
    <row r="929" spans="1:12" x14ac:dyDescent="0.25">
      <c r="A929">
        <v>1376</v>
      </c>
      <c r="B929">
        <v>924</v>
      </c>
      <c r="C929">
        <v>1383</v>
      </c>
      <c r="D929" t="s">
        <v>2960</v>
      </c>
      <c r="E929" t="str">
        <f>IF(NOT(ISERROR(VLOOKUP(D929,'ESO DungeonFinder'!$A$2:$A$999,1,FALSE))),"X","")</f>
        <v/>
      </c>
      <c r="F929" s="70" t="str">
        <f t="shared" si="60"/>
        <v/>
      </c>
      <c r="G929" s="70" t="str">
        <f t="shared" si="61"/>
        <v>Galen</v>
      </c>
      <c r="H929" s="70">
        <f t="shared" si="62"/>
        <v>1376</v>
      </c>
      <c r="I929" s="70">
        <f t="shared" si="63"/>
        <v>1383</v>
      </c>
      <c r="J929">
        <v>28</v>
      </c>
      <c r="K929" s="3" t="str">
        <f ca="1">VLOOKUP(J929,ConstDLCIds!$A$4:$B$1000,2,FALSE)</f>
        <v>DLC_FIRESONG</v>
      </c>
      <c r="L929" s="3" t="str">
        <f ca="1">VLOOKUP(J929,ConstDLCIds!$A$4:$C$1000,3,FALSE)</f>
        <v>Firesong</v>
      </c>
    </row>
    <row r="930" spans="1:12" x14ac:dyDescent="0.25">
      <c r="A930">
        <v>1377</v>
      </c>
      <c r="B930">
        <v>925</v>
      </c>
      <c r="C930">
        <v>1383</v>
      </c>
      <c r="D930" t="s">
        <v>2961</v>
      </c>
      <c r="E930" t="str">
        <f>IF(NOT(ISERROR(VLOOKUP(D930,'ESO DungeonFinder'!$A$2:$A$999,1,FALSE))),"X","")</f>
        <v/>
      </c>
      <c r="F930" s="70" t="str">
        <f t="shared" si="60"/>
        <v/>
      </c>
      <c r="G930" s="70" t="str">
        <f t="shared" si="61"/>
        <v>Galen</v>
      </c>
      <c r="H930" s="70">
        <f t="shared" si="62"/>
        <v>1377</v>
      </c>
      <c r="I930" s="70">
        <f t="shared" si="63"/>
        <v>1383</v>
      </c>
      <c r="J930">
        <v>28</v>
      </c>
      <c r="K930" s="3" t="str">
        <f ca="1">VLOOKUP(J930,ConstDLCIds!$A$4:$B$1000,2,FALSE)</f>
        <v>DLC_FIRESONG</v>
      </c>
      <c r="L930" s="3" t="str">
        <f ca="1">VLOOKUP(J930,ConstDLCIds!$A$4:$C$1000,3,FALSE)</f>
        <v>Firesong</v>
      </c>
    </row>
    <row r="931" spans="1:12" x14ac:dyDescent="0.25">
      <c r="A931">
        <v>1378</v>
      </c>
      <c r="B931">
        <v>926</v>
      </c>
      <c r="C931">
        <v>1383</v>
      </c>
      <c r="D931" t="s">
        <v>2962</v>
      </c>
      <c r="E931" t="str">
        <f>IF(NOT(ISERROR(VLOOKUP(D931,'ESO DungeonFinder'!$A$2:$A$999,1,FALSE))),"X","")</f>
        <v/>
      </c>
      <c r="F931" s="70" t="str">
        <f t="shared" si="60"/>
        <v/>
      </c>
      <c r="G931" s="70" t="str">
        <f t="shared" si="61"/>
        <v>Galen</v>
      </c>
      <c r="H931" s="70">
        <f t="shared" si="62"/>
        <v>1378</v>
      </c>
      <c r="I931" s="70">
        <f t="shared" si="63"/>
        <v>1383</v>
      </c>
      <c r="J931">
        <v>28</v>
      </c>
      <c r="K931" s="3" t="str">
        <f ca="1">VLOOKUP(J931,ConstDLCIds!$A$4:$B$1000,2,FALSE)</f>
        <v>DLC_FIRESONG</v>
      </c>
      <c r="L931" s="3" t="str">
        <f ca="1">VLOOKUP(J931,ConstDLCIds!$A$4:$C$1000,3,FALSE)</f>
        <v>Firesong</v>
      </c>
    </row>
    <row r="932" spans="1:12" x14ac:dyDescent="0.25">
      <c r="A932">
        <v>1379</v>
      </c>
      <c r="B932">
        <v>927</v>
      </c>
      <c r="C932">
        <v>1383</v>
      </c>
      <c r="D932" t="s">
        <v>2963</v>
      </c>
      <c r="E932" t="str">
        <f>IF(NOT(ISERROR(VLOOKUP(D932,'ESO DungeonFinder'!$A$2:$A$999,1,FALSE))),"X","")</f>
        <v/>
      </c>
      <c r="F932" s="70" t="str">
        <f t="shared" si="60"/>
        <v/>
      </c>
      <c r="G932" s="70" t="str">
        <f t="shared" si="61"/>
        <v>Galen</v>
      </c>
      <c r="H932" s="70">
        <f t="shared" si="62"/>
        <v>1379</v>
      </c>
      <c r="I932" s="70">
        <f t="shared" si="63"/>
        <v>1383</v>
      </c>
      <c r="J932">
        <v>28</v>
      </c>
      <c r="K932" s="3" t="str">
        <f ca="1">VLOOKUP(J932,ConstDLCIds!$A$4:$B$1000,2,FALSE)</f>
        <v>DLC_FIRESONG</v>
      </c>
      <c r="L932" s="3" t="str">
        <f ca="1">VLOOKUP(J932,ConstDLCIds!$A$4:$C$1000,3,FALSE)</f>
        <v>Firesong</v>
      </c>
    </row>
    <row r="933" spans="1:12" x14ac:dyDescent="0.25">
      <c r="A933">
        <v>1380</v>
      </c>
      <c r="B933">
        <v>928</v>
      </c>
      <c r="C933">
        <v>1383</v>
      </c>
      <c r="D933" t="s">
        <v>2964</v>
      </c>
      <c r="E933" t="str">
        <f>IF(NOT(ISERROR(VLOOKUP(D933,'ESO DungeonFinder'!$A$2:$A$999,1,FALSE))),"X","")</f>
        <v/>
      </c>
      <c r="F933" s="70" t="str">
        <f t="shared" si="60"/>
        <v/>
      </c>
      <c r="G933" s="70" t="str">
        <f t="shared" si="61"/>
        <v>Galen</v>
      </c>
      <c r="H933" s="70">
        <f t="shared" si="62"/>
        <v>1380</v>
      </c>
      <c r="I933" s="70">
        <f t="shared" si="63"/>
        <v>1383</v>
      </c>
      <c r="J933">
        <v>28</v>
      </c>
      <c r="K933" s="3" t="str">
        <f ca="1">VLOOKUP(J933,ConstDLCIds!$A$4:$B$1000,2,FALSE)</f>
        <v>DLC_FIRESONG</v>
      </c>
      <c r="L933" s="3" t="str">
        <f ca="1">VLOOKUP(J933,ConstDLCIds!$A$4:$C$1000,3,FALSE)</f>
        <v>Firesong</v>
      </c>
    </row>
    <row r="934" spans="1:12" x14ac:dyDescent="0.25">
      <c r="A934">
        <v>1381</v>
      </c>
      <c r="B934">
        <v>929</v>
      </c>
      <c r="C934">
        <v>1383</v>
      </c>
      <c r="D934" t="s">
        <v>2965</v>
      </c>
      <c r="E934" t="str">
        <f>IF(NOT(ISERROR(VLOOKUP(D934,'ESO DungeonFinder'!$A$2:$A$999,1,FALSE))),"X","")</f>
        <v/>
      </c>
      <c r="F934" s="70" t="str">
        <f t="shared" si="60"/>
        <v/>
      </c>
      <c r="G934" s="70" t="str">
        <f t="shared" si="61"/>
        <v>Galen</v>
      </c>
      <c r="H934" s="70">
        <f t="shared" si="62"/>
        <v>1381</v>
      </c>
      <c r="I934" s="70">
        <f t="shared" si="63"/>
        <v>1383</v>
      </c>
      <c r="J934">
        <v>28</v>
      </c>
      <c r="K934" s="3" t="str">
        <f ca="1">VLOOKUP(J934,ConstDLCIds!$A$4:$B$1000,2,FALSE)</f>
        <v>DLC_FIRESONG</v>
      </c>
      <c r="L934" s="3" t="str">
        <f ca="1">VLOOKUP(J934,ConstDLCIds!$A$4:$C$1000,3,FALSE)</f>
        <v>Firesong</v>
      </c>
    </row>
    <row r="935" spans="1:12" x14ac:dyDescent="0.25">
      <c r="A935">
        <v>1382</v>
      </c>
      <c r="B935">
        <v>930</v>
      </c>
      <c r="C935">
        <v>1383</v>
      </c>
      <c r="D935" t="s">
        <v>2966</v>
      </c>
      <c r="E935" t="str">
        <f>IF(NOT(ISERROR(VLOOKUP(D935,'ESO DungeonFinder'!$A$2:$A$999,1,FALSE))),"X","")</f>
        <v/>
      </c>
      <c r="F935" s="70" t="str">
        <f t="shared" si="60"/>
        <v/>
      </c>
      <c r="G935" s="70" t="str">
        <f t="shared" si="61"/>
        <v>Galen</v>
      </c>
      <c r="H935" s="70">
        <f t="shared" si="62"/>
        <v>1382</v>
      </c>
      <c r="I935" s="70">
        <f t="shared" si="63"/>
        <v>1383</v>
      </c>
      <c r="J935">
        <v>8</v>
      </c>
      <c r="K935" s="3" t="str">
        <f ca="1">VLOOKUP(J935,ConstDLCIds!$A$4:$B$1000,2,FALSE)</f>
        <v>DLC_CLOCKWORK_CITY</v>
      </c>
      <c r="L935" s="3" t="str">
        <f ca="1">VLOOKUP(J935,ConstDLCIds!$A$4:$C$1000,3,FALSE)</f>
        <v>Clockwork City</v>
      </c>
    </row>
    <row r="936" spans="1:12" x14ac:dyDescent="0.25">
      <c r="A936">
        <v>1383</v>
      </c>
      <c r="B936">
        <v>931</v>
      </c>
      <c r="C936">
        <v>1383</v>
      </c>
      <c r="D936" t="s">
        <v>1813</v>
      </c>
      <c r="E936" t="str">
        <f>IF(NOT(ISERROR(VLOOKUP(D936,'ESO DungeonFinder'!$A$2:$A$999,1,FALSE))),"X","")</f>
        <v/>
      </c>
      <c r="F936" s="70" t="str">
        <f t="shared" si="60"/>
        <v>X</v>
      </c>
      <c r="G936" s="70" t="str">
        <f t="shared" si="61"/>
        <v/>
      </c>
      <c r="H936" s="70">
        <f t="shared" si="62"/>
        <v>1383</v>
      </c>
      <c r="I936" s="70">
        <f t="shared" si="63"/>
        <v>1383</v>
      </c>
      <c r="J936">
        <v>28</v>
      </c>
      <c r="K936" s="3" t="str">
        <f ca="1">VLOOKUP(J936,ConstDLCIds!$A$4:$B$1000,2,FALSE)</f>
        <v>DLC_FIRESONG</v>
      </c>
      <c r="L936" s="3" t="str">
        <f ca="1">VLOOKUP(J936,ConstDLCIds!$A$4:$C$1000,3,FALSE)</f>
        <v>Firesong</v>
      </c>
    </row>
    <row r="937" spans="1:12" x14ac:dyDescent="0.25">
      <c r="A937">
        <v>1385</v>
      </c>
      <c r="B937">
        <v>932</v>
      </c>
      <c r="C937">
        <v>1383</v>
      </c>
      <c r="D937" t="s">
        <v>2967</v>
      </c>
      <c r="E937" t="str">
        <f>IF(NOT(ISERROR(VLOOKUP(D937,'ESO DungeonFinder'!$A$2:$A$999,1,FALSE))),"X","")</f>
        <v/>
      </c>
      <c r="F937" s="70" t="str">
        <f t="shared" si="60"/>
        <v/>
      </c>
      <c r="G937" s="70" t="str">
        <f t="shared" si="61"/>
        <v>Galen</v>
      </c>
      <c r="H937" s="70">
        <f t="shared" si="62"/>
        <v>1385</v>
      </c>
      <c r="I937" s="70">
        <f t="shared" si="63"/>
        <v>1383</v>
      </c>
      <c r="J937">
        <v>28</v>
      </c>
      <c r="K937" s="3" t="str">
        <f ca="1">VLOOKUP(J937,ConstDLCIds!$A$4:$B$1000,2,FALSE)</f>
        <v>DLC_FIRESONG</v>
      </c>
      <c r="L937" s="3" t="str">
        <f ca="1">VLOOKUP(J937,ConstDLCIds!$A$4:$C$1000,3,FALSE)</f>
        <v>Firesong</v>
      </c>
    </row>
    <row r="938" spans="1:12" x14ac:dyDescent="0.25">
      <c r="A938">
        <v>1386</v>
      </c>
      <c r="B938">
        <v>933</v>
      </c>
      <c r="C938">
        <v>1383</v>
      </c>
      <c r="D938" t="s">
        <v>2956</v>
      </c>
      <c r="E938" t="str">
        <f>IF(NOT(ISERROR(VLOOKUP(D938,'ESO DungeonFinder'!$A$2:$A$999,1,FALSE))),"X","")</f>
        <v/>
      </c>
      <c r="F938" s="70" t="str">
        <f t="shared" si="60"/>
        <v/>
      </c>
      <c r="G938" s="70" t="str">
        <f t="shared" si="61"/>
        <v>Galen</v>
      </c>
      <c r="H938" s="70">
        <f t="shared" si="62"/>
        <v>1386</v>
      </c>
      <c r="I938" s="70">
        <f t="shared" si="63"/>
        <v>1383</v>
      </c>
      <c r="J938">
        <v>28</v>
      </c>
      <c r="K938" s="3" t="str">
        <f ca="1">VLOOKUP(J938,ConstDLCIds!$A$4:$B$1000,2,FALSE)</f>
        <v>DLC_FIRESONG</v>
      </c>
      <c r="L938" s="3" t="str">
        <f ca="1">VLOOKUP(J938,ConstDLCIds!$A$4:$C$1000,3,FALSE)</f>
        <v>Firesong</v>
      </c>
    </row>
    <row r="939" spans="1:12" x14ac:dyDescent="0.25">
      <c r="A939">
        <v>1387</v>
      </c>
      <c r="B939">
        <v>934</v>
      </c>
      <c r="C939">
        <v>1383</v>
      </c>
      <c r="D939" t="s">
        <v>2968</v>
      </c>
      <c r="E939" t="str">
        <f>IF(NOT(ISERROR(VLOOKUP(D939,'ESO DungeonFinder'!$A$2:$A$999,1,FALSE))),"X","")</f>
        <v/>
      </c>
      <c r="F939" s="70" t="str">
        <f t="shared" si="60"/>
        <v/>
      </c>
      <c r="G939" s="70" t="str">
        <f t="shared" si="61"/>
        <v>Galen</v>
      </c>
      <c r="H939" s="70">
        <f t="shared" si="62"/>
        <v>1387</v>
      </c>
      <c r="I939" s="70">
        <f t="shared" si="63"/>
        <v>1383</v>
      </c>
      <c r="J939">
        <v>29</v>
      </c>
      <c r="K939" s="3" t="str">
        <f ca="1">VLOOKUP(J939,ConstDLCIds!$A$4:$B$1000,2,FALSE)</f>
        <v>DLC_SCRIBES_OF_FATE</v>
      </c>
      <c r="L939" s="3" t="str">
        <f ca="1">VLOOKUP(J939,ConstDLCIds!$A$4:$C$1000,3,FALSE)</f>
        <v>Scribes of Fate</v>
      </c>
    </row>
    <row r="940" spans="1:12" x14ac:dyDescent="0.25">
      <c r="A940">
        <v>1389</v>
      </c>
      <c r="B940">
        <v>935</v>
      </c>
      <c r="C940">
        <v>41</v>
      </c>
      <c r="D940" t="s">
        <v>1854</v>
      </c>
      <c r="E940" t="str">
        <f>IF(NOT(ISERROR(VLOOKUP(D940,'ESO DungeonFinder'!$A$2:$A$999,1,FALSE))),"X","")</f>
        <v>X</v>
      </c>
      <c r="F940" s="70" t="str">
        <f t="shared" si="60"/>
        <v/>
      </c>
      <c r="G940" s="70" t="str">
        <f t="shared" si="61"/>
        <v>Stonefalls</v>
      </c>
      <c r="H940" s="70">
        <f t="shared" si="62"/>
        <v>1389</v>
      </c>
      <c r="I940" s="70">
        <f t="shared" si="63"/>
        <v>41</v>
      </c>
      <c r="J940">
        <v>29</v>
      </c>
      <c r="K940" s="3" t="str">
        <f ca="1">VLOOKUP(J940,ConstDLCIds!$A$4:$B$1000,2,FALSE)</f>
        <v>DLC_SCRIBES_OF_FATE</v>
      </c>
      <c r="L940" s="3" t="str">
        <f ca="1">VLOOKUP(J940,ConstDLCIds!$A$4:$C$1000,3,FALSE)</f>
        <v>Scribes of Fate</v>
      </c>
    </row>
    <row r="941" spans="1:12" x14ac:dyDescent="0.25">
      <c r="A941">
        <v>1390</v>
      </c>
      <c r="B941">
        <v>936</v>
      </c>
      <c r="C941">
        <v>103</v>
      </c>
      <c r="D941" t="s">
        <v>1864</v>
      </c>
      <c r="E941" t="str">
        <f>IF(NOT(ISERROR(VLOOKUP(D941,'ESO DungeonFinder'!$A$2:$A$999,1,FALSE))),"X","")</f>
        <v>X</v>
      </c>
      <c r="F941" s="70" t="str">
        <f t="shared" si="60"/>
        <v/>
      </c>
      <c r="G941" s="70" t="str">
        <f t="shared" si="61"/>
        <v>The Rift</v>
      </c>
      <c r="H941" s="70">
        <f t="shared" si="62"/>
        <v>1390</v>
      </c>
      <c r="I941" s="70">
        <f t="shared" si="63"/>
        <v>103</v>
      </c>
      <c r="J941">
        <v>0</v>
      </c>
      <c r="K941" s="3" t="str">
        <f>VLOOKUP(J941,ConstDLCIds!$A$4:$B$1000,2,FALSE)</f>
        <v>DLC_BASE_GAME</v>
      </c>
      <c r="L941" s="3" t="str">
        <f>VLOOKUP(J941,ConstDLCIds!$A$4:$C$1000,3,FALSE)</f>
        <v>Included in base game</v>
      </c>
    </row>
    <row r="942" spans="1:12" x14ac:dyDescent="0.25">
      <c r="A942">
        <v>1391</v>
      </c>
      <c r="B942">
        <v>937</v>
      </c>
      <c r="C942">
        <v>537</v>
      </c>
      <c r="D942" t="s">
        <v>2969</v>
      </c>
      <c r="E942" t="str">
        <f>IF(NOT(ISERROR(VLOOKUP(D942,'ESO DungeonFinder'!$A$2:$A$999,1,FALSE))),"X","")</f>
        <v/>
      </c>
      <c r="F942" s="70" t="str">
        <f t="shared" si="60"/>
        <v/>
      </c>
      <c r="G942" s="70" t="str">
        <f t="shared" si="61"/>
        <v>Khenarthi's Roost</v>
      </c>
      <c r="H942" s="70">
        <f t="shared" si="62"/>
        <v>1391</v>
      </c>
      <c r="I942" s="70">
        <f t="shared" si="63"/>
        <v>537</v>
      </c>
      <c r="J942">
        <v>0</v>
      </c>
      <c r="K942" s="3" t="str">
        <f>VLOOKUP(J942,ConstDLCIds!$A$4:$B$1000,2,FALSE)</f>
        <v>DLC_BASE_GAME</v>
      </c>
      <c r="L942" s="3" t="str">
        <f>VLOOKUP(J942,ConstDLCIds!$A$4:$C$1000,3,FALSE)</f>
        <v>Included in base game</v>
      </c>
    </row>
    <row r="943" spans="1:12" x14ac:dyDescent="0.25">
      <c r="A943">
        <v>1392</v>
      </c>
      <c r="B943">
        <v>938</v>
      </c>
      <c r="C943">
        <v>537</v>
      </c>
      <c r="D943" t="s">
        <v>2970</v>
      </c>
      <c r="E943" t="str">
        <f>IF(NOT(ISERROR(VLOOKUP(D943,'ESO DungeonFinder'!$A$2:$A$999,1,FALSE))),"X","")</f>
        <v/>
      </c>
      <c r="F943" s="70" t="str">
        <f t="shared" si="60"/>
        <v/>
      </c>
      <c r="G943" s="70" t="str">
        <f t="shared" si="61"/>
        <v>Khenarthi's Roost</v>
      </c>
      <c r="H943" s="70">
        <f t="shared" si="62"/>
        <v>1392</v>
      </c>
      <c r="I943" s="70">
        <f t="shared" si="63"/>
        <v>537</v>
      </c>
      <c r="J943">
        <v>30</v>
      </c>
      <c r="K943" s="3" t="str">
        <f ca="1">VLOOKUP(J943,ConstDLCIds!$A$4:$B$1000,2,FALSE)</f>
        <v>DLC_NECROM</v>
      </c>
      <c r="L943" s="3" t="str">
        <f ca="1">VLOOKUP(J943,ConstDLCIds!$A$4:$C$1000,3,FALSE)</f>
        <v>Necrom</v>
      </c>
    </row>
    <row r="944" spans="1:12" x14ac:dyDescent="0.25">
      <c r="A944">
        <v>1393</v>
      </c>
      <c r="B944">
        <v>939</v>
      </c>
      <c r="C944">
        <v>1414</v>
      </c>
      <c r="D944" t="s">
        <v>2971</v>
      </c>
      <c r="E944" t="str">
        <f>IF(NOT(ISERROR(VLOOKUP(D944,'ESO DungeonFinder'!$A$2:$A$999,1,FALSE))),"X","")</f>
        <v/>
      </c>
      <c r="F944" s="70" t="str">
        <f t="shared" si="60"/>
        <v/>
      </c>
      <c r="G944" s="70" t="str">
        <f t="shared" si="61"/>
        <v>Telvanni Peninsula</v>
      </c>
      <c r="H944" s="70">
        <f t="shared" si="62"/>
        <v>1393</v>
      </c>
      <c r="I944" s="70">
        <f t="shared" si="63"/>
        <v>1414</v>
      </c>
      <c r="J944">
        <v>30</v>
      </c>
      <c r="K944" s="3" t="str">
        <f ca="1">VLOOKUP(J944,ConstDLCIds!$A$4:$B$1000,2,FALSE)</f>
        <v>DLC_NECROM</v>
      </c>
      <c r="L944" s="3" t="str">
        <f ca="1">VLOOKUP(J944,ConstDLCIds!$A$4:$C$1000,3,FALSE)</f>
        <v>Necrom</v>
      </c>
    </row>
    <row r="945" spans="1:12" x14ac:dyDescent="0.25">
      <c r="A945">
        <v>1394</v>
      </c>
      <c r="B945">
        <v>940</v>
      </c>
      <c r="C945">
        <v>1414</v>
      </c>
      <c r="D945" t="s">
        <v>2972</v>
      </c>
      <c r="E945" t="str">
        <f>IF(NOT(ISERROR(VLOOKUP(D945,'ESO DungeonFinder'!$A$2:$A$999,1,FALSE))),"X","")</f>
        <v/>
      </c>
      <c r="F945" s="70" t="str">
        <f t="shared" si="60"/>
        <v/>
      </c>
      <c r="G945" s="70" t="str">
        <f t="shared" si="61"/>
        <v>Telvanni Peninsula</v>
      </c>
      <c r="H945" s="70">
        <f t="shared" si="62"/>
        <v>1394</v>
      </c>
      <c r="I945" s="70">
        <f t="shared" si="63"/>
        <v>1414</v>
      </c>
      <c r="J945">
        <v>30</v>
      </c>
      <c r="K945" s="3" t="str">
        <f ca="1">VLOOKUP(J945,ConstDLCIds!$A$4:$B$1000,2,FALSE)</f>
        <v>DLC_NECROM</v>
      </c>
      <c r="L945" s="3" t="str">
        <f ca="1">VLOOKUP(J945,ConstDLCIds!$A$4:$C$1000,3,FALSE)</f>
        <v>Necrom</v>
      </c>
    </row>
    <row r="946" spans="1:12" x14ac:dyDescent="0.25">
      <c r="A946">
        <v>1395</v>
      </c>
      <c r="B946">
        <v>941</v>
      </c>
      <c r="C946">
        <v>1414</v>
      </c>
      <c r="D946" t="s">
        <v>2972</v>
      </c>
      <c r="E946" t="str">
        <f>IF(NOT(ISERROR(VLOOKUP(D946,'ESO DungeonFinder'!$A$2:$A$999,1,FALSE))),"X","")</f>
        <v/>
      </c>
      <c r="F946" s="70" t="str">
        <f t="shared" si="60"/>
        <v/>
      </c>
      <c r="G946" s="70" t="str">
        <f t="shared" si="61"/>
        <v>Telvanni Peninsula</v>
      </c>
      <c r="H946" s="70">
        <f t="shared" si="62"/>
        <v>1395</v>
      </c>
      <c r="I946" s="70">
        <f t="shared" si="63"/>
        <v>1414</v>
      </c>
      <c r="J946">
        <v>30</v>
      </c>
      <c r="K946" s="3" t="str">
        <f ca="1">VLOOKUP(J946,ConstDLCIds!$A$4:$B$1000,2,FALSE)</f>
        <v>DLC_NECROM</v>
      </c>
      <c r="L946" s="3" t="str">
        <f ca="1">VLOOKUP(J946,ConstDLCIds!$A$4:$C$1000,3,FALSE)</f>
        <v>Necrom</v>
      </c>
    </row>
    <row r="947" spans="1:12" x14ac:dyDescent="0.25">
      <c r="A947">
        <v>1396</v>
      </c>
      <c r="B947">
        <v>942</v>
      </c>
      <c r="C947">
        <v>1414</v>
      </c>
      <c r="D947" t="s">
        <v>2973</v>
      </c>
      <c r="E947" t="str">
        <f>IF(NOT(ISERROR(VLOOKUP(D947,'ESO DungeonFinder'!$A$2:$A$999,1,FALSE))),"X","")</f>
        <v/>
      </c>
      <c r="F947" s="70" t="str">
        <f t="shared" si="60"/>
        <v/>
      </c>
      <c r="G947" s="70" t="str">
        <f t="shared" si="61"/>
        <v>Telvanni Peninsula</v>
      </c>
      <c r="H947" s="70">
        <f t="shared" si="62"/>
        <v>1396</v>
      </c>
      <c r="I947" s="70">
        <f t="shared" si="63"/>
        <v>1414</v>
      </c>
      <c r="J947">
        <v>30</v>
      </c>
      <c r="K947" s="3" t="str">
        <f ca="1">VLOOKUP(J947,ConstDLCIds!$A$4:$B$1000,2,FALSE)</f>
        <v>DLC_NECROM</v>
      </c>
      <c r="L947" s="3" t="str">
        <f ca="1">VLOOKUP(J947,ConstDLCIds!$A$4:$C$1000,3,FALSE)</f>
        <v>Necrom</v>
      </c>
    </row>
    <row r="948" spans="1:12" x14ac:dyDescent="0.25">
      <c r="A948">
        <v>1397</v>
      </c>
      <c r="B948">
        <v>943</v>
      </c>
      <c r="C948">
        <v>1414</v>
      </c>
      <c r="D948" t="s">
        <v>2974</v>
      </c>
      <c r="E948" t="str">
        <f>IF(NOT(ISERROR(VLOOKUP(D948,'ESO DungeonFinder'!$A$2:$A$999,1,FALSE))),"X","")</f>
        <v/>
      </c>
      <c r="F948" s="70" t="str">
        <f t="shared" si="60"/>
        <v/>
      </c>
      <c r="G948" s="70" t="str">
        <f t="shared" si="61"/>
        <v>Telvanni Peninsula</v>
      </c>
      <c r="H948" s="70">
        <f t="shared" si="62"/>
        <v>1397</v>
      </c>
      <c r="I948" s="70">
        <f t="shared" si="63"/>
        <v>1414</v>
      </c>
      <c r="J948">
        <v>30</v>
      </c>
      <c r="K948" s="3" t="str">
        <f ca="1">VLOOKUP(J948,ConstDLCIds!$A$4:$B$1000,2,FALSE)</f>
        <v>DLC_NECROM</v>
      </c>
      <c r="L948" s="3" t="str">
        <f ca="1">VLOOKUP(J948,ConstDLCIds!$A$4:$C$1000,3,FALSE)</f>
        <v>Necrom</v>
      </c>
    </row>
    <row r="949" spans="1:12" x14ac:dyDescent="0.25">
      <c r="A949">
        <v>1398</v>
      </c>
      <c r="B949">
        <v>944</v>
      </c>
      <c r="C949">
        <v>1414</v>
      </c>
      <c r="D949" t="s">
        <v>2975</v>
      </c>
      <c r="E949" t="str">
        <f>IF(NOT(ISERROR(VLOOKUP(D949,'ESO DungeonFinder'!$A$2:$A$999,1,FALSE))),"X","")</f>
        <v/>
      </c>
      <c r="F949" s="70" t="str">
        <f t="shared" si="60"/>
        <v/>
      </c>
      <c r="G949" s="70" t="str">
        <f t="shared" si="61"/>
        <v>Telvanni Peninsula</v>
      </c>
      <c r="H949" s="70">
        <f t="shared" si="62"/>
        <v>1398</v>
      </c>
      <c r="I949" s="70">
        <f t="shared" si="63"/>
        <v>1414</v>
      </c>
      <c r="J949">
        <v>30</v>
      </c>
      <c r="K949" s="3" t="str">
        <f ca="1">VLOOKUP(J949,ConstDLCIds!$A$4:$B$1000,2,FALSE)</f>
        <v>DLC_NECROM</v>
      </c>
      <c r="L949" s="3" t="str">
        <f ca="1">VLOOKUP(J949,ConstDLCIds!$A$4:$C$1000,3,FALSE)</f>
        <v>Necrom</v>
      </c>
    </row>
    <row r="950" spans="1:12" x14ac:dyDescent="0.25">
      <c r="A950">
        <v>1399</v>
      </c>
      <c r="B950">
        <v>945</v>
      </c>
      <c r="C950">
        <v>1414</v>
      </c>
      <c r="D950" t="s">
        <v>2976</v>
      </c>
      <c r="E950" t="str">
        <f>IF(NOT(ISERROR(VLOOKUP(D950,'ESO DungeonFinder'!$A$2:$A$999,1,FALSE))),"X","")</f>
        <v/>
      </c>
      <c r="F950" s="70" t="str">
        <f t="shared" si="60"/>
        <v/>
      </c>
      <c r="G950" s="70" t="str">
        <f t="shared" si="61"/>
        <v>Telvanni Peninsula</v>
      </c>
      <c r="H950" s="70">
        <f t="shared" si="62"/>
        <v>1399</v>
      </c>
      <c r="I950" s="70">
        <f t="shared" si="63"/>
        <v>1414</v>
      </c>
      <c r="J950">
        <v>30</v>
      </c>
      <c r="K950" s="3" t="str">
        <f ca="1">VLOOKUP(J950,ConstDLCIds!$A$4:$B$1000,2,FALSE)</f>
        <v>DLC_NECROM</v>
      </c>
      <c r="L950" s="3" t="str">
        <f ca="1">VLOOKUP(J950,ConstDLCIds!$A$4:$C$1000,3,FALSE)</f>
        <v>Necrom</v>
      </c>
    </row>
    <row r="951" spans="1:12" x14ac:dyDescent="0.25">
      <c r="A951">
        <v>1400</v>
      </c>
      <c r="B951">
        <v>946</v>
      </c>
      <c r="C951">
        <v>1414</v>
      </c>
      <c r="D951" t="s">
        <v>2977</v>
      </c>
      <c r="E951" t="str">
        <f>IF(NOT(ISERROR(VLOOKUP(D951,'ESO DungeonFinder'!$A$2:$A$999,1,FALSE))),"X","")</f>
        <v/>
      </c>
      <c r="F951" s="70" t="str">
        <f t="shared" si="60"/>
        <v/>
      </c>
      <c r="G951" s="70" t="str">
        <f t="shared" si="61"/>
        <v>Telvanni Peninsula</v>
      </c>
      <c r="H951" s="70">
        <f t="shared" si="62"/>
        <v>1400</v>
      </c>
      <c r="I951" s="70">
        <f t="shared" si="63"/>
        <v>1414</v>
      </c>
      <c r="J951">
        <v>30</v>
      </c>
      <c r="K951" s="3" t="str">
        <f ca="1">VLOOKUP(J951,ConstDLCIds!$A$4:$B$1000,2,FALSE)</f>
        <v>DLC_NECROM</v>
      </c>
      <c r="L951" s="3" t="str">
        <f ca="1">VLOOKUP(J951,ConstDLCIds!$A$4:$C$1000,3,FALSE)</f>
        <v>Necrom</v>
      </c>
    </row>
    <row r="952" spans="1:12" x14ac:dyDescent="0.25">
      <c r="A952">
        <v>1401</v>
      </c>
      <c r="B952">
        <v>947</v>
      </c>
      <c r="C952">
        <v>1414</v>
      </c>
      <c r="D952" t="s">
        <v>2978</v>
      </c>
      <c r="E952" t="str">
        <f>IF(NOT(ISERROR(VLOOKUP(D952,'ESO DungeonFinder'!$A$2:$A$999,1,FALSE))),"X","")</f>
        <v/>
      </c>
      <c r="F952" s="70" t="str">
        <f t="shared" si="60"/>
        <v/>
      </c>
      <c r="G952" s="70" t="str">
        <f t="shared" si="61"/>
        <v>Telvanni Peninsula</v>
      </c>
      <c r="H952" s="70">
        <f t="shared" si="62"/>
        <v>1401</v>
      </c>
      <c r="I952" s="70">
        <f t="shared" si="63"/>
        <v>1414</v>
      </c>
      <c r="J952">
        <v>30</v>
      </c>
      <c r="K952" s="3" t="str">
        <f ca="1">VLOOKUP(J952,ConstDLCIds!$A$4:$B$1000,2,FALSE)</f>
        <v>DLC_NECROM</v>
      </c>
      <c r="L952" s="3" t="str">
        <f ca="1">VLOOKUP(J952,ConstDLCIds!$A$4:$C$1000,3,FALSE)</f>
        <v>Necrom</v>
      </c>
    </row>
    <row r="953" spans="1:12" x14ac:dyDescent="0.25">
      <c r="A953">
        <v>1402</v>
      </c>
      <c r="B953">
        <v>948</v>
      </c>
      <c r="C953">
        <v>1414</v>
      </c>
      <c r="D953" t="s">
        <v>2979</v>
      </c>
      <c r="E953" t="str">
        <f>IF(NOT(ISERROR(VLOOKUP(D953,'ESO DungeonFinder'!$A$2:$A$999,1,FALSE))),"X","")</f>
        <v/>
      </c>
      <c r="F953" s="70" t="str">
        <f t="shared" si="60"/>
        <v/>
      </c>
      <c r="G953" s="70" t="str">
        <f t="shared" si="61"/>
        <v>Telvanni Peninsula</v>
      </c>
      <c r="H953" s="70">
        <f t="shared" si="62"/>
        <v>1402</v>
      </c>
      <c r="I953" s="70">
        <f t="shared" si="63"/>
        <v>1414</v>
      </c>
      <c r="J953">
        <v>30</v>
      </c>
      <c r="K953" s="3" t="str">
        <f ca="1">VLOOKUP(J953,ConstDLCIds!$A$4:$B$1000,2,FALSE)</f>
        <v>DLC_NECROM</v>
      </c>
      <c r="L953" s="3" t="str">
        <f ca="1">VLOOKUP(J953,ConstDLCIds!$A$4:$C$1000,3,FALSE)</f>
        <v>Necrom</v>
      </c>
    </row>
    <row r="954" spans="1:12" x14ac:dyDescent="0.25">
      <c r="A954">
        <v>1403</v>
      </c>
      <c r="B954">
        <v>949</v>
      </c>
      <c r="C954">
        <v>1414</v>
      </c>
      <c r="D954" t="s">
        <v>2980</v>
      </c>
      <c r="E954" t="str">
        <f>IF(NOT(ISERROR(VLOOKUP(D954,'ESO DungeonFinder'!$A$2:$A$999,1,FALSE))),"X","")</f>
        <v/>
      </c>
      <c r="F954" s="70" t="str">
        <f t="shared" si="60"/>
        <v/>
      </c>
      <c r="G954" s="70" t="str">
        <f t="shared" si="61"/>
        <v>Telvanni Peninsula</v>
      </c>
      <c r="H954" s="70">
        <f t="shared" si="62"/>
        <v>1403</v>
      </c>
      <c r="I954" s="70">
        <f t="shared" si="63"/>
        <v>1414</v>
      </c>
      <c r="J954">
        <v>30</v>
      </c>
      <c r="K954" s="3" t="str">
        <f ca="1">VLOOKUP(J954,ConstDLCIds!$A$4:$B$1000,2,FALSE)</f>
        <v>DLC_NECROM</v>
      </c>
      <c r="L954" s="3" t="str">
        <f ca="1">VLOOKUP(J954,ConstDLCIds!$A$4:$C$1000,3,FALSE)</f>
        <v>Necrom</v>
      </c>
    </row>
    <row r="955" spans="1:12" x14ac:dyDescent="0.25">
      <c r="A955">
        <v>1404</v>
      </c>
      <c r="B955">
        <v>950</v>
      </c>
      <c r="C955">
        <v>1414</v>
      </c>
      <c r="D955" t="s">
        <v>2981</v>
      </c>
      <c r="E955" t="str">
        <f>IF(NOT(ISERROR(VLOOKUP(D955,'ESO DungeonFinder'!$A$2:$A$999,1,FALSE))),"X","")</f>
        <v/>
      </c>
      <c r="F955" s="70" t="str">
        <f t="shared" si="60"/>
        <v/>
      </c>
      <c r="G955" s="70" t="str">
        <f t="shared" si="61"/>
        <v>Telvanni Peninsula</v>
      </c>
      <c r="H955" s="70">
        <f t="shared" si="62"/>
        <v>1404</v>
      </c>
      <c r="I955" s="70">
        <f t="shared" si="63"/>
        <v>1414</v>
      </c>
      <c r="J955">
        <v>30</v>
      </c>
      <c r="K955" s="3" t="str">
        <f ca="1">VLOOKUP(J955,ConstDLCIds!$A$4:$B$1000,2,FALSE)</f>
        <v>DLC_NECROM</v>
      </c>
      <c r="L955" s="3" t="str">
        <f ca="1">VLOOKUP(J955,ConstDLCIds!$A$4:$C$1000,3,FALSE)</f>
        <v>Necrom</v>
      </c>
    </row>
    <row r="956" spans="1:12" x14ac:dyDescent="0.25">
      <c r="A956">
        <v>1405</v>
      </c>
      <c r="B956">
        <v>951</v>
      </c>
      <c r="C956">
        <v>1414</v>
      </c>
      <c r="D956" t="s">
        <v>2982</v>
      </c>
      <c r="E956" t="str">
        <f>IF(NOT(ISERROR(VLOOKUP(D956,'ESO DungeonFinder'!$A$2:$A$999,1,FALSE))),"X","")</f>
        <v/>
      </c>
      <c r="F956" s="70" t="str">
        <f t="shared" si="60"/>
        <v/>
      </c>
      <c r="G956" s="70" t="str">
        <f t="shared" si="61"/>
        <v>Telvanni Peninsula</v>
      </c>
      <c r="H956" s="70">
        <f t="shared" si="62"/>
        <v>1405</v>
      </c>
      <c r="I956" s="70">
        <f t="shared" si="63"/>
        <v>1414</v>
      </c>
      <c r="J956">
        <v>30</v>
      </c>
      <c r="K956" s="3" t="str">
        <f ca="1">VLOOKUP(J956,ConstDLCIds!$A$4:$B$1000,2,FALSE)</f>
        <v>DLC_NECROM</v>
      </c>
      <c r="L956" s="3" t="str">
        <f ca="1">VLOOKUP(J956,ConstDLCIds!$A$4:$C$1000,3,FALSE)</f>
        <v>Necrom</v>
      </c>
    </row>
    <row r="957" spans="1:12" x14ac:dyDescent="0.25">
      <c r="A957">
        <v>1406</v>
      </c>
      <c r="B957">
        <v>952</v>
      </c>
      <c r="C957">
        <v>1414</v>
      </c>
      <c r="D957" t="s">
        <v>2983</v>
      </c>
      <c r="E957" t="str">
        <f>IF(NOT(ISERROR(VLOOKUP(D957,'ESO DungeonFinder'!$A$2:$A$999,1,FALSE))),"X","")</f>
        <v/>
      </c>
      <c r="F957" s="70" t="str">
        <f t="shared" si="60"/>
        <v/>
      </c>
      <c r="G957" s="70" t="str">
        <f t="shared" si="61"/>
        <v>Telvanni Peninsula</v>
      </c>
      <c r="H957" s="70">
        <f t="shared" si="62"/>
        <v>1406</v>
      </c>
      <c r="I957" s="70">
        <f t="shared" si="63"/>
        <v>1414</v>
      </c>
      <c r="J957">
        <v>30</v>
      </c>
      <c r="K957" s="3" t="str">
        <f ca="1">VLOOKUP(J957,ConstDLCIds!$A$4:$B$1000,2,FALSE)</f>
        <v>DLC_NECROM</v>
      </c>
      <c r="L957" s="3" t="str">
        <f ca="1">VLOOKUP(J957,ConstDLCIds!$A$4:$C$1000,3,FALSE)</f>
        <v>Necrom</v>
      </c>
    </row>
    <row r="958" spans="1:12" x14ac:dyDescent="0.25">
      <c r="A958">
        <v>1407</v>
      </c>
      <c r="B958">
        <v>953</v>
      </c>
      <c r="C958">
        <v>1414</v>
      </c>
      <c r="D958" t="s">
        <v>2984</v>
      </c>
      <c r="E958" t="str">
        <f>IF(NOT(ISERROR(VLOOKUP(D958,'ESO DungeonFinder'!$A$2:$A$999,1,FALSE))),"X","")</f>
        <v/>
      </c>
      <c r="F958" s="70" t="str">
        <f t="shared" si="60"/>
        <v/>
      </c>
      <c r="G958" s="70" t="str">
        <f t="shared" si="61"/>
        <v>Telvanni Peninsula</v>
      </c>
      <c r="H958" s="70">
        <f t="shared" si="62"/>
        <v>1407</v>
      </c>
      <c r="I958" s="70">
        <f t="shared" si="63"/>
        <v>1414</v>
      </c>
      <c r="J958">
        <v>30</v>
      </c>
      <c r="K958" s="3" t="str">
        <f ca="1">VLOOKUP(J958,ConstDLCIds!$A$4:$B$1000,2,FALSE)</f>
        <v>DLC_NECROM</v>
      </c>
      <c r="L958" s="3" t="str">
        <f ca="1">VLOOKUP(J958,ConstDLCIds!$A$4:$C$1000,3,FALSE)</f>
        <v>Necrom</v>
      </c>
    </row>
    <row r="959" spans="1:12" x14ac:dyDescent="0.25">
      <c r="A959">
        <v>1408</v>
      </c>
      <c r="B959">
        <v>954</v>
      </c>
      <c r="C959">
        <v>1414</v>
      </c>
      <c r="D959" t="s">
        <v>2985</v>
      </c>
      <c r="E959" t="str">
        <f>IF(NOT(ISERROR(VLOOKUP(D959,'ESO DungeonFinder'!$A$2:$A$999,1,FALSE))),"X","")</f>
        <v/>
      </c>
      <c r="F959" s="70" t="str">
        <f t="shared" si="60"/>
        <v/>
      </c>
      <c r="G959" s="70" t="str">
        <f t="shared" si="61"/>
        <v>Telvanni Peninsula</v>
      </c>
      <c r="H959" s="70">
        <f t="shared" si="62"/>
        <v>1408</v>
      </c>
      <c r="I959" s="70">
        <f t="shared" si="63"/>
        <v>1414</v>
      </c>
      <c r="J959">
        <v>30</v>
      </c>
      <c r="K959" s="3" t="str">
        <f ca="1">VLOOKUP(J959,ConstDLCIds!$A$4:$B$1000,2,FALSE)</f>
        <v>DLC_NECROM</v>
      </c>
      <c r="L959" s="3" t="str">
        <f ca="1">VLOOKUP(J959,ConstDLCIds!$A$4:$C$1000,3,FALSE)</f>
        <v>Necrom</v>
      </c>
    </row>
    <row r="960" spans="1:12" x14ac:dyDescent="0.25">
      <c r="A960">
        <v>1409</v>
      </c>
      <c r="B960">
        <v>955</v>
      </c>
      <c r="C960">
        <v>1414</v>
      </c>
      <c r="D960" t="s">
        <v>2986</v>
      </c>
      <c r="E960" t="str">
        <f>IF(NOT(ISERROR(VLOOKUP(D960,'ESO DungeonFinder'!$A$2:$A$999,1,FALSE))),"X","")</f>
        <v/>
      </c>
      <c r="F960" s="70" t="str">
        <f t="shared" si="60"/>
        <v/>
      </c>
      <c r="G960" s="70" t="str">
        <f t="shared" si="61"/>
        <v>Telvanni Peninsula</v>
      </c>
      <c r="H960" s="70">
        <f t="shared" si="62"/>
        <v>1409</v>
      </c>
      <c r="I960" s="70">
        <f t="shared" si="63"/>
        <v>1414</v>
      </c>
      <c r="J960">
        <v>30</v>
      </c>
      <c r="K960" s="3" t="str">
        <f ca="1">VLOOKUP(J960,ConstDLCIds!$A$4:$B$1000,2,FALSE)</f>
        <v>DLC_NECROM</v>
      </c>
      <c r="L960" s="3" t="str">
        <f ca="1">VLOOKUP(J960,ConstDLCIds!$A$4:$C$1000,3,FALSE)</f>
        <v>Necrom</v>
      </c>
    </row>
    <row r="961" spans="1:12" x14ac:dyDescent="0.25">
      <c r="A961">
        <v>1410</v>
      </c>
      <c r="B961">
        <v>956</v>
      </c>
      <c r="C961">
        <v>1414</v>
      </c>
      <c r="D961" t="s">
        <v>2987</v>
      </c>
      <c r="E961" t="str">
        <f>IF(NOT(ISERROR(VLOOKUP(D961,'ESO DungeonFinder'!$A$2:$A$999,1,FALSE))),"X","")</f>
        <v/>
      </c>
      <c r="F961" s="70" t="str">
        <f t="shared" si="60"/>
        <v/>
      </c>
      <c r="G961" s="70" t="str">
        <f t="shared" si="61"/>
        <v>Telvanni Peninsula</v>
      </c>
      <c r="H961" s="70">
        <f t="shared" si="62"/>
        <v>1410</v>
      </c>
      <c r="I961" s="70">
        <f t="shared" si="63"/>
        <v>1414</v>
      </c>
      <c r="J961">
        <v>30</v>
      </c>
      <c r="K961" s="3" t="str">
        <f ca="1">VLOOKUP(J961,ConstDLCIds!$A$4:$B$1000,2,FALSE)</f>
        <v>DLC_NECROM</v>
      </c>
      <c r="L961" s="3" t="str">
        <f ca="1">VLOOKUP(J961,ConstDLCIds!$A$4:$C$1000,3,FALSE)</f>
        <v>Necrom</v>
      </c>
    </row>
    <row r="962" spans="1:12" x14ac:dyDescent="0.25">
      <c r="A962">
        <v>1411</v>
      </c>
      <c r="B962">
        <v>957</v>
      </c>
      <c r="C962">
        <v>1414</v>
      </c>
      <c r="D962" t="s">
        <v>2988</v>
      </c>
      <c r="E962" t="str">
        <f>IF(NOT(ISERROR(VLOOKUP(D962,'ESO DungeonFinder'!$A$2:$A$999,1,FALSE))),"X","")</f>
        <v/>
      </c>
      <c r="F962" s="70" t="str">
        <f t="shared" si="60"/>
        <v/>
      </c>
      <c r="G962" s="70" t="str">
        <f t="shared" si="61"/>
        <v>Telvanni Peninsula</v>
      </c>
      <c r="H962" s="70">
        <f t="shared" si="62"/>
        <v>1411</v>
      </c>
      <c r="I962" s="70">
        <f t="shared" si="63"/>
        <v>1414</v>
      </c>
      <c r="J962">
        <v>30</v>
      </c>
      <c r="K962" s="3" t="str">
        <f ca="1">VLOOKUP(J962,ConstDLCIds!$A$4:$B$1000,2,FALSE)</f>
        <v>DLC_NECROM</v>
      </c>
      <c r="L962" s="3" t="str">
        <f ca="1">VLOOKUP(J962,ConstDLCIds!$A$4:$C$1000,3,FALSE)</f>
        <v>Necrom</v>
      </c>
    </row>
    <row r="963" spans="1:12" x14ac:dyDescent="0.25">
      <c r="A963">
        <v>1412</v>
      </c>
      <c r="B963">
        <v>958</v>
      </c>
      <c r="C963">
        <v>1414</v>
      </c>
      <c r="D963" t="s">
        <v>2989</v>
      </c>
      <c r="E963" t="str">
        <f>IF(NOT(ISERROR(VLOOKUP(D963,'ESO DungeonFinder'!$A$2:$A$999,1,FALSE))),"X","")</f>
        <v/>
      </c>
      <c r="F963" s="70" t="str">
        <f t="shared" si="60"/>
        <v/>
      </c>
      <c r="G963" s="70" t="str">
        <f t="shared" si="61"/>
        <v>Telvanni Peninsula</v>
      </c>
      <c r="H963" s="70">
        <f t="shared" si="62"/>
        <v>1412</v>
      </c>
      <c r="I963" s="70">
        <f t="shared" si="63"/>
        <v>1414</v>
      </c>
      <c r="J963">
        <v>30</v>
      </c>
      <c r="K963" s="3" t="str">
        <f ca="1">VLOOKUP(J963,ConstDLCIds!$A$4:$B$1000,2,FALSE)</f>
        <v>DLC_NECROM</v>
      </c>
      <c r="L963" s="3" t="str">
        <f ca="1">VLOOKUP(J963,ConstDLCIds!$A$4:$C$1000,3,FALSE)</f>
        <v>Necrom</v>
      </c>
    </row>
    <row r="964" spans="1:12" x14ac:dyDescent="0.25">
      <c r="A964">
        <v>1413</v>
      </c>
      <c r="B964">
        <v>959</v>
      </c>
      <c r="C964">
        <v>1414</v>
      </c>
      <c r="D964" t="s">
        <v>1897</v>
      </c>
      <c r="E964" t="str">
        <f>IF(NOT(ISERROR(VLOOKUP(D964,'ESO DungeonFinder'!$A$2:$A$999,1,FALSE))),"X","")</f>
        <v/>
      </c>
      <c r="F964" s="70" t="str">
        <f t="shared" si="60"/>
        <v/>
      </c>
      <c r="G964" s="70" t="str">
        <f t="shared" si="61"/>
        <v>Telvanni Peninsula</v>
      </c>
      <c r="H964" s="70">
        <f t="shared" si="62"/>
        <v>1413</v>
      </c>
      <c r="I964" s="70">
        <f t="shared" si="63"/>
        <v>1414</v>
      </c>
      <c r="J964">
        <v>30</v>
      </c>
      <c r="K964" s="3" t="str">
        <f ca="1">VLOOKUP(J964,ConstDLCIds!$A$4:$B$1000,2,FALSE)</f>
        <v>DLC_NECROM</v>
      </c>
      <c r="L964" s="3" t="str">
        <f ca="1">VLOOKUP(J964,ConstDLCIds!$A$4:$C$1000,3,FALSE)</f>
        <v>Necrom</v>
      </c>
    </row>
    <row r="965" spans="1:12" x14ac:dyDescent="0.25">
      <c r="A965">
        <v>1414</v>
      </c>
      <c r="B965">
        <v>960</v>
      </c>
      <c r="C965">
        <v>1414</v>
      </c>
      <c r="D965" t="s">
        <v>1881</v>
      </c>
      <c r="E965" t="str">
        <f>IF(NOT(ISERROR(VLOOKUP(D965,'ESO DungeonFinder'!$A$2:$A$999,1,FALSE))),"X","")</f>
        <v/>
      </c>
      <c r="F965" s="70" t="str">
        <f t="shared" si="60"/>
        <v>X</v>
      </c>
      <c r="G965" s="70" t="str">
        <f t="shared" si="61"/>
        <v/>
      </c>
      <c r="H965" s="70">
        <f t="shared" si="62"/>
        <v>1414</v>
      </c>
      <c r="I965" s="70">
        <f t="shared" si="63"/>
        <v>1414</v>
      </c>
      <c r="J965">
        <v>30</v>
      </c>
      <c r="K965" s="3" t="str">
        <f ca="1">VLOOKUP(J965,ConstDLCIds!$A$4:$B$1000,2,FALSE)</f>
        <v>DLC_NECROM</v>
      </c>
      <c r="L965" s="3" t="str">
        <f ca="1">VLOOKUP(J965,ConstDLCIds!$A$4:$C$1000,3,FALSE)</f>
        <v>Necrom</v>
      </c>
    </row>
    <row r="966" spans="1:12" x14ac:dyDescent="0.25">
      <c r="A966">
        <v>1415</v>
      </c>
      <c r="B966">
        <v>961</v>
      </c>
      <c r="C966">
        <v>1414</v>
      </c>
      <c r="D966" t="s">
        <v>2195</v>
      </c>
      <c r="E966" t="str">
        <f>IF(NOT(ISERROR(VLOOKUP(D966,'ESO DungeonFinder'!$A$2:$A$999,1,FALSE))),"X","")</f>
        <v/>
      </c>
      <c r="F966" s="70" t="str">
        <f t="shared" si="60"/>
        <v/>
      </c>
      <c r="G966" s="70" t="str">
        <f t="shared" si="61"/>
        <v>Telvanni Peninsula</v>
      </c>
      <c r="H966" s="70">
        <f t="shared" si="62"/>
        <v>1415</v>
      </c>
      <c r="I966" s="70">
        <f t="shared" si="63"/>
        <v>1414</v>
      </c>
      <c r="J966">
        <v>30</v>
      </c>
      <c r="K966" s="3" t="str">
        <f ca="1">VLOOKUP(J966,ConstDLCIds!$A$4:$B$1000,2,FALSE)</f>
        <v>DLC_NECROM</v>
      </c>
      <c r="L966" s="3" t="str">
        <f ca="1">VLOOKUP(J966,ConstDLCIds!$A$4:$C$1000,3,FALSE)</f>
        <v>Necrom</v>
      </c>
    </row>
    <row r="967" spans="1:12" x14ac:dyDescent="0.25">
      <c r="A967">
        <v>1416</v>
      </c>
      <c r="B967">
        <v>962</v>
      </c>
      <c r="C967">
        <v>1414</v>
      </c>
      <c r="D967" t="s">
        <v>1901</v>
      </c>
      <c r="E967" t="str">
        <f>IF(NOT(ISERROR(VLOOKUP(D967,'ESO DungeonFinder'!$A$2:$A$999,1,FALSE))),"X","")</f>
        <v/>
      </c>
      <c r="F967" s="70" t="str">
        <f t="shared" ref="F967:F1030" si="64">IF(EXACT(A967,C967),"X","")</f>
        <v/>
      </c>
      <c r="G967" s="70" t="str">
        <f t="shared" ref="G967:G1030" si="65">IF(A967&lt;&gt;C967,VLOOKUP(C967,$A$5:$D$9956,4,FALSE),"")</f>
        <v>Telvanni Peninsula</v>
      </c>
      <c r="H967" s="70">
        <f t="shared" ref="H967:H1030" si="66">A967</f>
        <v>1416</v>
      </c>
      <c r="I967" s="70">
        <f t="shared" ref="I967:I1030" si="67">C967</f>
        <v>1414</v>
      </c>
      <c r="J967">
        <v>30</v>
      </c>
      <c r="K967" s="3" t="str">
        <f ca="1">VLOOKUP(J967,ConstDLCIds!$A$4:$B$1000,2,FALSE)</f>
        <v>DLC_NECROM</v>
      </c>
      <c r="L967" s="3" t="str">
        <f ca="1">VLOOKUP(J967,ConstDLCIds!$A$4:$C$1000,3,FALSE)</f>
        <v>Necrom</v>
      </c>
    </row>
    <row r="968" spans="1:12" x14ac:dyDescent="0.25">
      <c r="A968">
        <v>1417</v>
      </c>
      <c r="B968">
        <v>963</v>
      </c>
      <c r="C968">
        <v>1414</v>
      </c>
      <c r="D968" t="s">
        <v>2990</v>
      </c>
      <c r="E968" t="str">
        <f>IF(NOT(ISERROR(VLOOKUP(D968,'ESO DungeonFinder'!$A$2:$A$999,1,FALSE))),"X","")</f>
        <v/>
      </c>
      <c r="F968" s="70" t="str">
        <f t="shared" si="64"/>
        <v/>
      </c>
      <c r="G968" s="70" t="str">
        <f t="shared" si="65"/>
        <v>Telvanni Peninsula</v>
      </c>
      <c r="H968" s="70">
        <f t="shared" si="66"/>
        <v>1417</v>
      </c>
      <c r="I968" s="70">
        <f t="shared" si="67"/>
        <v>1414</v>
      </c>
      <c r="J968">
        <v>30</v>
      </c>
      <c r="K968" s="3" t="str">
        <f ca="1">VLOOKUP(J968,ConstDLCIds!$A$4:$B$1000,2,FALSE)</f>
        <v>DLC_NECROM</v>
      </c>
      <c r="L968" s="3" t="str">
        <f ca="1">VLOOKUP(J968,ConstDLCIds!$A$4:$C$1000,3,FALSE)</f>
        <v>Necrom</v>
      </c>
    </row>
    <row r="969" spans="1:12" x14ac:dyDescent="0.25">
      <c r="A969">
        <v>1420</v>
      </c>
      <c r="B969">
        <v>964</v>
      </c>
      <c r="C969">
        <v>1414</v>
      </c>
      <c r="D969" t="s">
        <v>2991</v>
      </c>
      <c r="E969" t="str">
        <f>IF(NOT(ISERROR(VLOOKUP(D969,'ESO DungeonFinder'!$A$2:$A$999,1,FALSE))),"X","")</f>
        <v/>
      </c>
      <c r="F969" s="70" t="str">
        <f t="shared" si="64"/>
        <v/>
      </c>
      <c r="G969" s="70" t="str">
        <f t="shared" si="65"/>
        <v>Telvanni Peninsula</v>
      </c>
      <c r="H969" s="70">
        <f t="shared" si="66"/>
        <v>1420</v>
      </c>
      <c r="I969" s="70">
        <f t="shared" si="67"/>
        <v>1414</v>
      </c>
      <c r="J969">
        <v>30</v>
      </c>
      <c r="K969" s="3" t="str">
        <f ca="1">VLOOKUP(J969,ConstDLCIds!$A$4:$B$1000,2,FALSE)</f>
        <v>DLC_NECROM</v>
      </c>
      <c r="L969" s="3" t="str">
        <f ca="1">VLOOKUP(J969,ConstDLCIds!$A$4:$C$1000,3,FALSE)</f>
        <v>Necrom</v>
      </c>
    </row>
    <row r="970" spans="1:12" x14ac:dyDescent="0.25">
      <c r="A970">
        <v>1421</v>
      </c>
      <c r="B970">
        <v>965</v>
      </c>
      <c r="C970">
        <v>1414</v>
      </c>
      <c r="D970" t="s">
        <v>2992</v>
      </c>
      <c r="E970" t="str">
        <f>IF(NOT(ISERROR(VLOOKUP(D970,'ESO DungeonFinder'!$A$2:$A$999,1,FALSE))),"X","")</f>
        <v/>
      </c>
      <c r="F970" s="70" t="str">
        <f t="shared" si="64"/>
        <v/>
      </c>
      <c r="G970" s="70" t="str">
        <f t="shared" si="65"/>
        <v>Telvanni Peninsula</v>
      </c>
      <c r="H970" s="70">
        <f t="shared" si="66"/>
        <v>1421</v>
      </c>
      <c r="I970" s="70">
        <f t="shared" si="67"/>
        <v>1414</v>
      </c>
      <c r="J970">
        <v>30</v>
      </c>
      <c r="K970" s="3" t="str">
        <f ca="1">VLOOKUP(J970,ConstDLCIds!$A$4:$B$1000,2,FALSE)</f>
        <v>DLC_NECROM</v>
      </c>
      <c r="L970" s="3" t="str">
        <f ca="1">VLOOKUP(J970,ConstDLCIds!$A$4:$C$1000,3,FALSE)</f>
        <v>Necrom</v>
      </c>
    </row>
    <row r="971" spans="1:12" x14ac:dyDescent="0.25">
      <c r="A971">
        <v>1422</v>
      </c>
      <c r="B971">
        <v>966</v>
      </c>
      <c r="C971">
        <v>1414</v>
      </c>
      <c r="D971" t="s">
        <v>2993</v>
      </c>
      <c r="E971" t="str">
        <f>IF(NOT(ISERROR(VLOOKUP(D971,'ESO DungeonFinder'!$A$2:$A$999,1,FALSE))),"X","")</f>
        <v/>
      </c>
      <c r="F971" s="70" t="str">
        <f t="shared" si="64"/>
        <v/>
      </c>
      <c r="G971" s="70" t="str">
        <f t="shared" si="65"/>
        <v>Telvanni Peninsula</v>
      </c>
      <c r="H971" s="70">
        <f t="shared" si="66"/>
        <v>1422</v>
      </c>
      <c r="I971" s="70">
        <f t="shared" si="67"/>
        <v>1414</v>
      </c>
      <c r="J971">
        <v>30</v>
      </c>
      <c r="K971" s="3" t="str">
        <f ca="1">VLOOKUP(J971,ConstDLCIds!$A$4:$B$1000,2,FALSE)</f>
        <v>DLC_NECROM</v>
      </c>
      <c r="L971" s="3" t="str">
        <f ca="1">VLOOKUP(J971,ConstDLCIds!$A$4:$C$1000,3,FALSE)</f>
        <v>Necrom</v>
      </c>
    </row>
    <row r="972" spans="1:12" x14ac:dyDescent="0.25">
      <c r="A972">
        <v>1423</v>
      </c>
      <c r="B972">
        <v>967</v>
      </c>
      <c r="C972">
        <v>1414</v>
      </c>
      <c r="D972" t="s">
        <v>2994</v>
      </c>
      <c r="E972" t="str">
        <f>IF(NOT(ISERROR(VLOOKUP(D972,'ESO DungeonFinder'!$A$2:$A$999,1,FALSE))),"X","")</f>
        <v/>
      </c>
      <c r="F972" s="70" t="str">
        <f t="shared" si="64"/>
        <v/>
      </c>
      <c r="G972" s="70" t="str">
        <f t="shared" si="65"/>
        <v>Telvanni Peninsula</v>
      </c>
      <c r="H972" s="70">
        <f t="shared" si="66"/>
        <v>1423</v>
      </c>
      <c r="I972" s="70">
        <f t="shared" si="67"/>
        <v>1414</v>
      </c>
      <c r="J972">
        <v>30</v>
      </c>
      <c r="K972" s="3" t="str">
        <f ca="1">VLOOKUP(J972,ConstDLCIds!$A$4:$B$1000,2,FALSE)</f>
        <v>DLC_NECROM</v>
      </c>
      <c r="L972" s="3" t="str">
        <f ca="1">VLOOKUP(J972,ConstDLCIds!$A$4:$C$1000,3,FALSE)</f>
        <v>Necrom</v>
      </c>
    </row>
    <row r="973" spans="1:12" x14ac:dyDescent="0.25">
      <c r="A973">
        <v>1424</v>
      </c>
      <c r="B973">
        <v>968</v>
      </c>
      <c r="C973">
        <v>1414</v>
      </c>
      <c r="D973" t="s">
        <v>2995</v>
      </c>
      <c r="E973" t="str">
        <f>IF(NOT(ISERROR(VLOOKUP(D973,'ESO DungeonFinder'!$A$2:$A$999,1,FALSE))),"X","")</f>
        <v/>
      </c>
      <c r="F973" s="70" t="str">
        <f t="shared" si="64"/>
        <v/>
      </c>
      <c r="G973" s="70" t="str">
        <f t="shared" si="65"/>
        <v>Telvanni Peninsula</v>
      </c>
      <c r="H973" s="70">
        <f t="shared" si="66"/>
        <v>1424</v>
      </c>
      <c r="I973" s="70">
        <f t="shared" si="67"/>
        <v>1414</v>
      </c>
      <c r="J973">
        <v>32</v>
      </c>
      <c r="K973" s="3" t="str">
        <f ca="1">VLOOKUP(J973,ConstDLCIds!$A$4:$B$1000,2,FALSE)</f>
        <v>NO_DLC_SECRET_OF_THE_TELVANNI</v>
      </c>
      <c r="L973" s="3" t="str">
        <f ca="1">VLOOKUP(J973,ConstDLCIds!$A$4:$C$1000,3,FALSE)</f>
        <v>Secret of the Telvanni</v>
      </c>
    </row>
    <row r="974" spans="1:12" x14ac:dyDescent="0.25">
      <c r="A974">
        <v>1425</v>
      </c>
      <c r="B974">
        <v>969</v>
      </c>
      <c r="C974">
        <v>1414</v>
      </c>
      <c r="D974" t="s">
        <v>2996</v>
      </c>
      <c r="E974" t="str">
        <f>IF(NOT(ISERROR(VLOOKUP(D974,'ESO DungeonFinder'!$A$2:$A$999,1,FALSE))),"X","")</f>
        <v/>
      </c>
      <c r="F974" s="70" t="str">
        <f t="shared" si="64"/>
        <v/>
      </c>
      <c r="G974" s="70" t="str">
        <f t="shared" si="65"/>
        <v>Telvanni Peninsula</v>
      </c>
      <c r="H974" s="70">
        <f t="shared" si="66"/>
        <v>1425</v>
      </c>
      <c r="I974" s="70">
        <f t="shared" si="67"/>
        <v>1414</v>
      </c>
      <c r="J974">
        <v>29</v>
      </c>
      <c r="K974" s="3" t="str">
        <f ca="1">VLOOKUP(J974,ConstDLCIds!$A$4:$B$1000,2,FALSE)</f>
        <v>DLC_SCRIBES_OF_FATE</v>
      </c>
      <c r="L974" s="3" t="str">
        <f ca="1">VLOOKUP(J974,ConstDLCIds!$A$4:$C$1000,3,FALSE)</f>
        <v>Scribes of Fate</v>
      </c>
    </row>
    <row r="975" spans="1:12" x14ac:dyDescent="0.25">
      <c r="A975">
        <v>1427</v>
      </c>
      <c r="B975">
        <v>970</v>
      </c>
      <c r="C975">
        <v>1414</v>
      </c>
      <c r="D975" t="s">
        <v>1915</v>
      </c>
      <c r="E975" t="str">
        <f>IF(NOT(ISERROR(VLOOKUP(D975,'ESO DungeonFinder'!$A$2:$A$999,1,FALSE))),"X","")</f>
        <v/>
      </c>
      <c r="F975" s="70" t="str">
        <f t="shared" si="64"/>
        <v/>
      </c>
      <c r="G975" s="70" t="str">
        <f t="shared" si="65"/>
        <v>Telvanni Peninsula</v>
      </c>
      <c r="H975" s="70">
        <f t="shared" si="66"/>
        <v>1427</v>
      </c>
      <c r="I975" s="70">
        <f t="shared" si="67"/>
        <v>1414</v>
      </c>
      <c r="J975">
        <v>30</v>
      </c>
      <c r="K975" s="3" t="str">
        <f ca="1">VLOOKUP(J975,ConstDLCIds!$A$4:$B$1000,2,FALSE)</f>
        <v>DLC_NECROM</v>
      </c>
      <c r="L975" s="3" t="str">
        <f ca="1">VLOOKUP(J975,ConstDLCIds!$A$4:$C$1000,3,FALSE)</f>
        <v>Necrom</v>
      </c>
    </row>
    <row r="976" spans="1:12" x14ac:dyDescent="0.25">
      <c r="A976">
        <v>1429</v>
      </c>
      <c r="B976">
        <v>971</v>
      </c>
      <c r="C976">
        <v>1429</v>
      </c>
      <c r="D976" t="s">
        <v>2997</v>
      </c>
      <c r="E976" t="str">
        <f>IF(NOT(ISERROR(VLOOKUP(D976,'ESO DungeonFinder'!$A$2:$A$999,1,FALSE))),"X","")</f>
        <v/>
      </c>
      <c r="F976" s="70" t="str">
        <f t="shared" si="64"/>
        <v>X</v>
      </c>
      <c r="G976" s="70" t="str">
        <f t="shared" si="65"/>
        <v/>
      </c>
      <c r="H976" s="70">
        <f t="shared" si="66"/>
        <v>1429</v>
      </c>
      <c r="I976" s="70">
        <f t="shared" si="67"/>
        <v>1429</v>
      </c>
      <c r="J976">
        <v>26</v>
      </c>
      <c r="K976" s="3" t="str">
        <f ca="1">VLOOKUP(J976,ConstDLCIds!$A$4:$B$1000,2,FALSE)</f>
        <v>DLC_HIGH_ISLE</v>
      </c>
      <c r="L976" s="3" t="str">
        <f ca="1">VLOOKUP(J976,ConstDLCIds!$A$4:$C$1000,3,FALSE)</f>
        <v>High Isle</v>
      </c>
    </row>
    <row r="977" spans="1:12" x14ac:dyDescent="0.25">
      <c r="A977">
        <v>1432</v>
      </c>
      <c r="B977">
        <v>972</v>
      </c>
      <c r="C977">
        <v>1318</v>
      </c>
      <c r="D977" t="s">
        <v>2998</v>
      </c>
      <c r="E977" t="str">
        <f>IF(NOT(ISERROR(VLOOKUP(D977,'ESO DungeonFinder'!$A$2:$A$999,1,FALSE))),"X","")</f>
        <v/>
      </c>
      <c r="F977" s="70" t="str">
        <f t="shared" si="64"/>
        <v/>
      </c>
      <c r="G977" s="70" t="str">
        <f t="shared" si="65"/>
        <v>High Isle</v>
      </c>
      <c r="H977" s="70">
        <f t="shared" si="66"/>
        <v>1432</v>
      </c>
      <c r="I977" s="70">
        <f t="shared" si="67"/>
        <v>1318</v>
      </c>
      <c r="J977">
        <v>32</v>
      </c>
      <c r="K977" s="3" t="str">
        <f ca="1">VLOOKUP(J977,ConstDLCIds!$A$4:$B$1000,2,FALSE)</f>
        <v>NO_DLC_SECRET_OF_THE_TELVANNI</v>
      </c>
      <c r="L977" s="3" t="str">
        <f ca="1">VLOOKUP(J977,ConstDLCIds!$A$4:$C$1000,3,FALSE)</f>
        <v>Secret of the Telvanni</v>
      </c>
    </row>
    <row r="978" spans="1:12" x14ac:dyDescent="0.25">
      <c r="A978">
        <v>1433</v>
      </c>
      <c r="B978">
        <v>973</v>
      </c>
      <c r="C978">
        <v>1414</v>
      </c>
      <c r="D978" t="s">
        <v>2999</v>
      </c>
      <c r="E978" t="str">
        <f>IF(NOT(ISERROR(VLOOKUP(D978,'ESO DungeonFinder'!$A$2:$A$999,1,FALSE))),"X","")</f>
        <v/>
      </c>
      <c r="F978" s="70" t="str">
        <f t="shared" si="64"/>
        <v/>
      </c>
      <c r="G978" s="70" t="str">
        <f t="shared" si="65"/>
        <v>Telvanni Peninsula</v>
      </c>
      <c r="H978" s="70">
        <f t="shared" si="66"/>
        <v>1433</v>
      </c>
      <c r="I978" s="70">
        <f t="shared" si="67"/>
        <v>1414</v>
      </c>
      <c r="J978">
        <v>32</v>
      </c>
      <c r="K978" s="3" t="str">
        <f ca="1">VLOOKUP(J978,ConstDLCIds!$A$4:$B$1000,2,FALSE)</f>
        <v>NO_DLC_SECRET_OF_THE_TELVANNI</v>
      </c>
      <c r="L978" s="3" t="str">
        <f ca="1">VLOOKUP(J978,ConstDLCIds!$A$4:$C$1000,3,FALSE)</f>
        <v>Secret of the Telvanni</v>
      </c>
    </row>
    <row r="979" spans="1:12" x14ac:dyDescent="0.25">
      <c r="A979">
        <v>1434</v>
      </c>
      <c r="B979">
        <v>974</v>
      </c>
      <c r="C979">
        <v>1414</v>
      </c>
      <c r="D979" t="s">
        <v>3000</v>
      </c>
      <c r="E979" t="str">
        <f>IF(NOT(ISERROR(VLOOKUP(D979,'ESO DungeonFinder'!$A$2:$A$999,1,FALSE))),"X","")</f>
        <v/>
      </c>
      <c r="F979" s="70" t="str">
        <f t="shared" si="64"/>
        <v/>
      </c>
      <c r="G979" s="70" t="str">
        <f t="shared" si="65"/>
        <v>Telvanni Peninsula</v>
      </c>
      <c r="H979" s="70">
        <f t="shared" si="66"/>
        <v>1434</v>
      </c>
      <c r="I979" s="70">
        <f t="shared" si="67"/>
        <v>1414</v>
      </c>
      <c r="J979">
        <v>28</v>
      </c>
      <c r="K979" s="3" t="str">
        <f ca="1">VLOOKUP(J979,ConstDLCIds!$A$4:$B$1000,2,FALSE)</f>
        <v>DLC_FIRESONG</v>
      </c>
      <c r="L979" s="3" t="str">
        <f ca="1">VLOOKUP(J979,ConstDLCIds!$A$4:$C$1000,3,FALSE)</f>
        <v>Firesong</v>
      </c>
    </row>
    <row r="980" spans="1:12" x14ac:dyDescent="0.25">
      <c r="A980">
        <v>1435</v>
      </c>
      <c r="B980">
        <v>975</v>
      </c>
      <c r="C980">
        <v>1383</v>
      </c>
      <c r="D980" t="s">
        <v>3001</v>
      </c>
      <c r="E980" t="str">
        <f>IF(NOT(ISERROR(VLOOKUP(D980,'ESO DungeonFinder'!$A$2:$A$999,1,FALSE))),"X","")</f>
        <v/>
      </c>
      <c r="F980" s="70" t="str">
        <f t="shared" si="64"/>
        <v/>
      </c>
      <c r="G980" s="70" t="str">
        <f t="shared" si="65"/>
        <v>Galen</v>
      </c>
      <c r="H980" s="70">
        <f t="shared" si="66"/>
        <v>1435</v>
      </c>
      <c r="I980" s="70">
        <f t="shared" si="67"/>
        <v>1383</v>
      </c>
      <c r="J980">
        <v>30</v>
      </c>
      <c r="K980" s="3" t="str">
        <f ca="1">VLOOKUP(J980,ConstDLCIds!$A$4:$B$1000,2,FALSE)</f>
        <v>DLC_NECROM</v>
      </c>
      <c r="L980" s="3" t="str">
        <f ca="1">VLOOKUP(J980,ConstDLCIds!$A$4:$C$1000,3,FALSE)</f>
        <v>Necrom</v>
      </c>
    </row>
    <row r="981" spans="1:12" x14ac:dyDescent="0.25">
      <c r="A981">
        <v>1436</v>
      </c>
      <c r="B981">
        <v>976</v>
      </c>
      <c r="C981">
        <v>1413</v>
      </c>
      <c r="D981" t="s">
        <v>1930</v>
      </c>
      <c r="E981" t="str">
        <f>IF(NOT(ISERROR(VLOOKUP(D981,'ESO DungeonFinder'!$A$2:$A$999,1,FALSE))),"X","")</f>
        <v/>
      </c>
      <c r="F981" s="70" t="str">
        <f t="shared" si="64"/>
        <v/>
      </c>
      <c r="G981" s="70" t="str">
        <f t="shared" si="65"/>
        <v>Apocrypha</v>
      </c>
      <c r="H981" s="70">
        <f t="shared" si="66"/>
        <v>1436</v>
      </c>
      <c r="I981" s="70">
        <f t="shared" si="67"/>
        <v>1413</v>
      </c>
      <c r="J981">
        <v>8</v>
      </c>
      <c r="K981" s="3" t="str">
        <f ca="1">VLOOKUP(J981,ConstDLCIds!$A$4:$B$1000,2,FALSE)</f>
        <v>DLC_CLOCKWORK_CITY</v>
      </c>
      <c r="L981" s="3" t="str">
        <f ca="1">VLOOKUP(J981,ConstDLCIds!$A$4:$C$1000,3,FALSE)</f>
        <v>Clockwork City</v>
      </c>
    </row>
    <row r="982" spans="1:12" x14ac:dyDescent="0.25">
      <c r="A982">
        <v>1437</v>
      </c>
      <c r="B982">
        <v>977</v>
      </c>
      <c r="C982">
        <v>981</v>
      </c>
      <c r="D982" t="s">
        <v>3002</v>
      </c>
      <c r="E982" t="str">
        <f>IF(NOT(ISERROR(VLOOKUP(D982,'ESO DungeonFinder'!$A$2:$A$999,1,FALSE))),"X","")</f>
        <v/>
      </c>
      <c r="F982" s="70" t="str">
        <f t="shared" si="64"/>
        <v/>
      </c>
      <c r="G982" s="70" t="str">
        <f t="shared" si="65"/>
        <v>The Brass Fortress</v>
      </c>
      <c r="H982" s="70">
        <f t="shared" si="66"/>
        <v>1437</v>
      </c>
      <c r="I982" s="70">
        <f t="shared" si="67"/>
        <v>981</v>
      </c>
      <c r="J982">
        <v>0</v>
      </c>
      <c r="K982" s="3" t="str">
        <f>VLOOKUP(J982,ConstDLCIds!$A$4:$B$1000,2,FALSE)</f>
        <v>DLC_BASE_GAME</v>
      </c>
      <c r="L982" s="3" t="str">
        <f>VLOOKUP(J982,ConstDLCIds!$A$4:$C$1000,3,FALSE)</f>
        <v>Included in base game</v>
      </c>
    </row>
    <row r="983" spans="1:12" x14ac:dyDescent="0.25">
      <c r="A983">
        <v>1438</v>
      </c>
      <c r="B983">
        <v>978</v>
      </c>
      <c r="C983">
        <v>104</v>
      </c>
      <c r="D983" t="s">
        <v>3003</v>
      </c>
      <c r="E983" t="str">
        <f>IF(NOT(ISERROR(VLOOKUP(D983,'ESO DungeonFinder'!$A$2:$A$999,1,FALSE))),"X","")</f>
        <v/>
      </c>
      <c r="F983" s="70" t="str">
        <f t="shared" si="64"/>
        <v/>
      </c>
      <c r="G983" s="70" t="str">
        <f t="shared" si="65"/>
        <v>Alik'r Desert</v>
      </c>
      <c r="H983" s="70">
        <f t="shared" si="66"/>
        <v>1438</v>
      </c>
      <c r="I983" s="70">
        <f t="shared" si="67"/>
        <v>104</v>
      </c>
      <c r="J983">
        <v>6</v>
      </c>
      <c r="K983" s="3" t="str">
        <f ca="1">VLOOKUP(J983,ConstDLCIds!$A$4:$B$1000,2,FALSE)</f>
        <v>DLC_MORROWIND</v>
      </c>
      <c r="L983" s="3" t="str">
        <f ca="1">VLOOKUP(J983,ConstDLCIds!$A$4:$C$1000,3,FALSE)</f>
        <v>Morrowind</v>
      </c>
    </row>
    <row r="984" spans="1:12" x14ac:dyDescent="0.25">
      <c r="A984">
        <v>1439</v>
      </c>
      <c r="B984">
        <v>979</v>
      </c>
      <c r="C984">
        <v>849</v>
      </c>
      <c r="D984" t="s">
        <v>3004</v>
      </c>
      <c r="E984" t="str">
        <f>IF(NOT(ISERROR(VLOOKUP(D984,'ESO DungeonFinder'!$A$2:$A$999,1,FALSE))),"X","")</f>
        <v/>
      </c>
      <c r="F984" s="70" t="str">
        <f t="shared" si="64"/>
        <v/>
      </c>
      <c r="G984" s="70" t="str">
        <f t="shared" si="65"/>
        <v>Vvardenfell</v>
      </c>
      <c r="H984" s="70">
        <f t="shared" si="66"/>
        <v>1439</v>
      </c>
      <c r="I984" s="70">
        <f t="shared" si="67"/>
        <v>849</v>
      </c>
      <c r="J984">
        <v>34</v>
      </c>
      <c r="K984" s="3" t="str">
        <f ca="1">VLOOKUP(J984,ConstDLCIds!$A$4:$B$1000,2,FALSE)</f>
        <v>DLC_GOLD_ROAD</v>
      </c>
      <c r="L984" s="3" t="str">
        <f ca="1">VLOOKUP(J984,ConstDLCIds!$A$4:$C$1000,3,FALSE)</f>
        <v>Gold Road</v>
      </c>
    </row>
    <row r="985" spans="1:12" x14ac:dyDescent="0.25">
      <c r="A985">
        <v>1440</v>
      </c>
      <c r="B985">
        <v>980</v>
      </c>
      <c r="C985">
        <v>1443</v>
      </c>
      <c r="D985" t="s">
        <v>3005</v>
      </c>
      <c r="E985" t="str">
        <f>IF(NOT(ISERROR(VLOOKUP(D985,'ESO DungeonFinder'!$A$2:$A$999,1,FALSE))),"X","")</f>
        <v/>
      </c>
      <c r="F985" s="70" t="str">
        <f t="shared" si="64"/>
        <v/>
      </c>
      <c r="G985" s="70" t="str">
        <f t="shared" si="65"/>
        <v>West Weald</v>
      </c>
      <c r="H985" s="70">
        <f t="shared" si="66"/>
        <v>1440</v>
      </c>
      <c r="I985" s="70">
        <f t="shared" si="67"/>
        <v>1443</v>
      </c>
      <c r="J985">
        <v>34</v>
      </c>
      <c r="K985" s="3" t="str">
        <f ca="1">VLOOKUP(J985,ConstDLCIds!$A$4:$B$1000,2,FALSE)</f>
        <v>DLC_GOLD_ROAD</v>
      </c>
      <c r="L985" s="3" t="str">
        <f ca="1">VLOOKUP(J985,ConstDLCIds!$A$4:$C$1000,3,FALSE)</f>
        <v>Gold Road</v>
      </c>
    </row>
    <row r="986" spans="1:12" x14ac:dyDescent="0.25">
      <c r="A986">
        <v>1441</v>
      </c>
      <c r="B986">
        <v>981</v>
      </c>
      <c r="C986">
        <v>1443</v>
      </c>
      <c r="D986" t="s">
        <v>2935</v>
      </c>
      <c r="E986" t="str">
        <f>IF(NOT(ISERROR(VLOOKUP(D986,'ESO DungeonFinder'!$A$2:$A$999,1,FALSE))),"X","")</f>
        <v/>
      </c>
      <c r="F986" s="70" t="str">
        <f t="shared" si="64"/>
        <v/>
      </c>
      <c r="G986" s="70" t="str">
        <f t="shared" si="65"/>
        <v>West Weald</v>
      </c>
      <c r="H986" s="70">
        <f t="shared" si="66"/>
        <v>1441</v>
      </c>
      <c r="I986" s="70">
        <f t="shared" si="67"/>
        <v>1443</v>
      </c>
      <c r="J986">
        <v>34</v>
      </c>
      <c r="K986" s="3" t="str">
        <f ca="1">VLOOKUP(J986,ConstDLCIds!$A$4:$B$1000,2,FALSE)</f>
        <v>DLC_GOLD_ROAD</v>
      </c>
      <c r="L986" s="3" t="str">
        <f ca="1">VLOOKUP(J986,ConstDLCIds!$A$4:$C$1000,3,FALSE)</f>
        <v>Gold Road</v>
      </c>
    </row>
    <row r="987" spans="1:12" x14ac:dyDescent="0.25">
      <c r="A987">
        <v>1442</v>
      </c>
      <c r="B987">
        <v>982</v>
      </c>
      <c r="C987">
        <v>1443</v>
      </c>
      <c r="D987" t="s">
        <v>3006</v>
      </c>
      <c r="E987" t="str">
        <f>IF(NOT(ISERROR(VLOOKUP(D987,'ESO DungeonFinder'!$A$2:$A$999,1,FALSE))),"X","")</f>
        <v/>
      </c>
      <c r="F987" s="70" t="str">
        <f t="shared" si="64"/>
        <v/>
      </c>
      <c r="G987" s="70" t="str">
        <f t="shared" si="65"/>
        <v>West Weald</v>
      </c>
      <c r="H987" s="70">
        <f t="shared" si="66"/>
        <v>1442</v>
      </c>
      <c r="I987" s="70">
        <f t="shared" si="67"/>
        <v>1443</v>
      </c>
      <c r="J987">
        <v>34</v>
      </c>
      <c r="K987" s="3" t="str">
        <f ca="1">VLOOKUP(J987,ConstDLCIds!$A$4:$B$1000,2,FALSE)</f>
        <v>DLC_GOLD_ROAD</v>
      </c>
      <c r="L987" s="3" t="str">
        <f ca="1">VLOOKUP(J987,ConstDLCIds!$A$4:$C$1000,3,FALSE)</f>
        <v>Gold Road</v>
      </c>
    </row>
    <row r="988" spans="1:12" x14ac:dyDescent="0.25">
      <c r="A988">
        <v>1443</v>
      </c>
      <c r="B988">
        <v>983</v>
      </c>
      <c r="C988">
        <v>1443</v>
      </c>
      <c r="D988" t="s">
        <v>1971</v>
      </c>
      <c r="E988" t="str">
        <f>IF(NOT(ISERROR(VLOOKUP(D988,'ESO DungeonFinder'!$A$2:$A$999,1,FALSE))),"X","")</f>
        <v/>
      </c>
      <c r="F988" s="70" t="str">
        <f t="shared" si="64"/>
        <v>X</v>
      </c>
      <c r="G988" s="70" t="str">
        <f t="shared" si="65"/>
        <v/>
      </c>
      <c r="H988" s="70">
        <f t="shared" si="66"/>
        <v>1443</v>
      </c>
      <c r="I988" s="70">
        <f t="shared" si="67"/>
        <v>1443</v>
      </c>
      <c r="J988">
        <v>34</v>
      </c>
      <c r="K988" s="3" t="str">
        <f ca="1">VLOOKUP(J988,ConstDLCIds!$A$4:$B$1000,2,FALSE)</f>
        <v>DLC_GOLD_ROAD</v>
      </c>
      <c r="L988" s="3" t="str">
        <f ca="1">VLOOKUP(J988,ConstDLCIds!$A$4:$C$1000,3,FALSE)</f>
        <v>Gold Road</v>
      </c>
    </row>
    <row r="989" spans="1:12" x14ac:dyDescent="0.25">
      <c r="A989">
        <v>1444</v>
      </c>
      <c r="B989">
        <v>984</v>
      </c>
      <c r="C989">
        <v>1443</v>
      </c>
      <c r="D989" t="s">
        <v>3007</v>
      </c>
      <c r="E989" t="str">
        <f>IF(NOT(ISERROR(VLOOKUP(D989,'ESO DungeonFinder'!$A$2:$A$999,1,FALSE))),"X","")</f>
        <v/>
      </c>
      <c r="F989" s="70" t="str">
        <f t="shared" si="64"/>
        <v/>
      </c>
      <c r="G989" s="70" t="str">
        <f t="shared" si="65"/>
        <v>West Weald</v>
      </c>
      <c r="H989" s="70">
        <f t="shared" si="66"/>
        <v>1444</v>
      </c>
      <c r="I989" s="70">
        <f t="shared" si="67"/>
        <v>1443</v>
      </c>
      <c r="J989">
        <v>34</v>
      </c>
      <c r="K989" s="3" t="str">
        <f ca="1">VLOOKUP(J989,ConstDLCIds!$A$4:$B$1000,2,FALSE)</f>
        <v>DLC_GOLD_ROAD</v>
      </c>
      <c r="L989" s="3" t="str">
        <f ca="1">VLOOKUP(J989,ConstDLCIds!$A$4:$C$1000,3,FALSE)</f>
        <v>Gold Road</v>
      </c>
    </row>
    <row r="990" spans="1:12" x14ac:dyDescent="0.25">
      <c r="A990">
        <v>1445</v>
      </c>
      <c r="B990">
        <v>985</v>
      </c>
      <c r="C990">
        <v>1443</v>
      </c>
      <c r="D990" t="s">
        <v>3008</v>
      </c>
      <c r="E990" t="str">
        <f>IF(NOT(ISERROR(VLOOKUP(D990,'ESO DungeonFinder'!$A$2:$A$999,1,FALSE))),"X","")</f>
        <v/>
      </c>
      <c r="F990" s="70" t="str">
        <f t="shared" si="64"/>
        <v/>
      </c>
      <c r="G990" s="70" t="str">
        <f t="shared" si="65"/>
        <v>West Weald</v>
      </c>
      <c r="H990" s="70">
        <f t="shared" si="66"/>
        <v>1445</v>
      </c>
      <c r="I990" s="70">
        <f t="shared" si="67"/>
        <v>1443</v>
      </c>
      <c r="J990">
        <v>34</v>
      </c>
      <c r="K990" s="3" t="str">
        <f ca="1">VLOOKUP(J990,ConstDLCIds!$A$4:$B$1000,2,FALSE)</f>
        <v>DLC_GOLD_ROAD</v>
      </c>
      <c r="L990" s="3" t="str">
        <f ca="1">VLOOKUP(J990,ConstDLCIds!$A$4:$C$1000,3,FALSE)</f>
        <v>Gold Road</v>
      </c>
    </row>
    <row r="991" spans="1:12" x14ac:dyDescent="0.25">
      <c r="A991">
        <v>1446</v>
      </c>
      <c r="B991">
        <v>986</v>
      </c>
      <c r="C991">
        <v>1443</v>
      </c>
      <c r="D991" t="s">
        <v>3009</v>
      </c>
      <c r="E991" t="str">
        <f>IF(NOT(ISERROR(VLOOKUP(D991,'ESO DungeonFinder'!$A$2:$A$999,1,FALSE))),"X","")</f>
        <v/>
      </c>
      <c r="F991" s="70" t="str">
        <f t="shared" si="64"/>
        <v/>
      </c>
      <c r="G991" s="70" t="str">
        <f t="shared" si="65"/>
        <v>West Weald</v>
      </c>
      <c r="H991" s="70">
        <f t="shared" si="66"/>
        <v>1446</v>
      </c>
      <c r="I991" s="70">
        <f t="shared" si="67"/>
        <v>1443</v>
      </c>
      <c r="J991">
        <v>34</v>
      </c>
      <c r="K991" s="3" t="str">
        <f ca="1">VLOOKUP(J991,ConstDLCIds!$A$4:$B$1000,2,FALSE)</f>
        <v>DLC_GOLD_ROAD</v>
      </c>
      <c r="L991" s="3" t="str">
        <f ca="1">VLOOKUP(J991,ConstDLCIds!$A$4:$C$1000,3,FALSE)</f>
        <v>Gold Road</v>
      </c>
    </row>
    <row r="992" spans="1:12" x14ac:dyDescent="0.25">
      <c r="A992">
        <v>1447</v>
      </c>
      <c r="B992">
        <v>987</v>
      </c>
      <c r="C992">
        <v>1443</v>
      </c>
      <c r="D992" t="s">
        <v>3010</v>
      </c>
      <c r="E992" t="str">
        <f>IF(NOT(ISERROR(VLOOKUP(D992,'ESO DungeonFinder'!$A$2:$A$999,1,FALSE))),"X","")</f>
        <v/>
      </c>
      <c r="F992" s="70" t="str">
        <f t="shared" si="64"/>
        <v/>
      </c>
      <c r="G992" s="70" t="str">
        <f t="shared" si="65"/>
        <v>West Weald</v>
      </c>
      <c r="H992" s="70">
        <f t="shared" si="66"/>
        <v>1447</v>
      </c>
      <c r="I992" s="70">
        <f t="shared" si="67"/>
        <v>1443</v>
      </c>
      <c r="J992">
        <v>34</v>
      </c>
      <c r="K992" s="3" t="str">
        <f ca="1">VLOOKUP(J992,ConstDLCIds!$A$4:$B$1000,2,FALSE)</f>
        <v>DLC_GOLD_ROAD</v>
      </c>
      <c r="L992" s="3" t="str">
        <f ca="1">VLOOKUP(J992,ConstDLCIds!$A$4:$C$1000,3,FALSE)</f>
        <v>Gold Road</v>
      </c>
    </row>
    <row r="993" spans="1:12" x14ac:dyDescent="0.25">
      <c r="A993">
        <v>1448</v>
      </c>
      <c r="B993">
        <v>988</v>
      </c>
      <c r="C993">
        <v>1443</v>
      </c>
      <c r="D993" t="s">
        <v>3011</v>
      </c>
      <c r="E993" t="str">
        <f>IF(NOT(ISERROR(VLOOKUP(D993,'ESO DungeonFinder'!$A$2:$A$999,1,FALSE))),"X","")</f>
        <v/>
      </c>
      <c r="F993" s="70" t="str">
        <f t="shared" si="64"/>
        <v/>
      </c>
      <c r="G993" s="70" t="str">
        <f t="shared" si="65"/>
        <v>West Weald</v>
      </c>
      <c r="H993" s="70">
        <f t="shared" si="66"/>
        <v>1448</v>
      </c>
      <c r="I993" s="70">
        <f t="shared" si="67"/>
        <v>1443</v>
      </c>
      <c r="J993">
        <v>34</v>
      </c>
      <c r="K993" s="3" t="str">
        <f ca="1">VLOOKUP(J993,ConstDLCIds!$A$4:$B$1000,2,FALSE)</f>
        <v>DLC_GOLD_ROAD</v>
      </c>
      <c r="L993" s="3" t="str">
        <f ca="1">VLOOKUP(J993,ConstDLCIds!$A$4:$C$1000,3,FALSE)</f>
        <v>Gold Road</v>
      </c>
    </row>
    <row r="994" spans="1:12" x14ac:dyDescent="0.25">
      <c r="A994">
        <v>1449</v>
      </c>
      <c r="B994">
        <v>989</v>
      </c>
      <c r="C994">
        <v>1443</v>
      </c>
      <c r="D994" t="s">
        <v>3012</v>
      </c>
      <c r="E994" t="str">
        <f>IF(NOT(ISERROR(VLOOKUP(D994,'ESO DungeonFinder'!$A$2:$A$999,1,FALSE))),"X","")</f>
        <v/>
      </c>
      <c r="F994" s="70" t="str">
        <f t="shared" si="64"/>
        <v/>
      </c>
      <c r="G994" s="70" t="str">
        <f t="shared" si="65"/>
        <v>West Weald</v>
      </c>
      <c r="H994" s="70">
        <f t="shared" si="66"/>
        <v>1449</v>
      </c>
      <c r="I994" s="70">
        <f t="shared" si="67"/>
        <v>1443</v>
      </c>
      <c r="J994">
        <v>34</v>
      </c>
      <c r="K994" s="3" t="str">
        <f ca="1">VLOOKUP(J994,ConstDLCIds!$A$4:$B$1000,2,FALSE)</f>
        <v>DLC_GOLD_ROAD</v>
      </c>
      <c r="L994" s="3" t="str">
        <f ca="1">VLOOKUP(J994,ConstDLCIds!$A$4:$C$1000,3,FALSE)</f>
        <v>Gold Road</v>
      </c>
    </row>
    <row r="995" spans="1:12" x14ac:dyDescent="0.25">
      <c r="A995">
        <v>1450</v>
      </c>
      <c r="B995">
        <v>990</v>
      </c>
      <c r="C995">
        <v>1443</v>
      </c>
      <c r="D995" t="s">
        <v>3013</v>
      </c>
      <c r="E995" t="str">
        <f>IF(NOT(ISERROR(VLOOKUP(D995,'ESO DungeonFinder'!$A$2:$A$999,1,FALSE))),"X","")</f>
        <v/>
      </c>
      <c r="F995" s="70" t="str">
        <f t="shared" si="64"/>
        <v/>
      </c>
      <c r="G995" s="70" t="str">
        <f t="shared" si="65"/>
        <v>West Weald</v>
      </c>
      <c r="H995" s="70">
        <f t="shared" si="66"/>
        <v>1450</v>
      </c>
      <c r="I995" s="70">
        <f t="shared" si="67"/>
        <v>1443</v>
      </c>
      <c r="J995">
        <v>34</v>
      </c>
      <c r="K995" s="3" t="str">
        <f ca="1">VLOOKUP(J995,ConstDLCIds!$A$4:$B$1000,2,FALSE)</f>
        <v>DLC_GOLD_ROAD</v>
      </c>
      <c r="L995" s="3" t="str">
        <f ca="1">VLOOKUP(J995,ConstDLCIds!$A$4:$C$1000,3,FALSE)</f>
        <v>Gold Road</v>
      </c>
    </row>
    <row r="996" spans="1:12" x14ac:dyDescent="0.25">
      <c r="A996">
        <v>1451</v>
      </c>
      <c r="B996">
        <v>991</v>
      </c>
      <c r="C996">
        <v>1443</v>
      </c>
      <c r="D996" t="s">
        <v>3014</v>
      </c>
      <c r="E996" t="str">
        <f>IF(NOT(ISERROR(VLOOKUP(D996,'ESO DungeonFinder'!$A$2:$A$999,1,FALSE))),"X","")</f>
        <v/>
      </c>
      <c r="F996" s="70" t="str">
        <f t="shared" si="64"/>
        <v/>
      </c>
      <c r="G996" s="70" t="str">
        <f t="shared" si="65"/>
        <v>West Weald</v>
      </c>
      <c r="H996" s="70">
        <f t="shared" si="66"/>
        <v>1451</v>
      </c>
      <c r="I996" s="70">
        <f t="shared" si="67"/>
        <v>1443</v>
      </c>
      <c r="J996">
        <v>34</v>
      </c>
      <c r="K996" s="3" t="str">
        <f ca="1">VLOOKUP(J996,ConstDLCIds!$A$4:$B$1000,2,FALSE)</f>
        <v>DLC_GOLD_ROAD</v>
      </c>
      <c r="L996" s="3" t="str">
        <f ca="1">VLOOKUP(J996,ConstDLCIds!$A$4:$C$1000,3,FALSE)</f>
        <v>Gold Road</v>
      </c>
    </row>
    <row r="997" spans="1:12" x14ac:dyDescent="0.25">
      <c r="A997">
        <v>1452</v>
      </c>
      <c r="B997">
        <v>992</v>
      </c>
      <c r="C997">
        <v>1443</v>
      </c>
      <c r="D997" t="s">
        <v>3015</v>
      </c>
      <c r="E997" t="str">
        <f>IF(NOT(ISERROR(VLOOKUP(D997,'ESO DungeonFinder'!$A$2:$A$999,1,FALSE))),"X","")</f>
        <v/>
      </c>
      <c r="F997" s="70" t="str">
        <f t="shared" si="64"/>
        <v/>
      </c>
      <c r="G997" s="70" t="str">
        <f t="shared" si="65"/>
        <v>West Weald</v>
      </c>
      <c r="H997" s="70">
        <f t="shared" si="66"/>
        <v>1452</v>
      </c>
      <c r="I997" s="70">
        <f t="shared" si="67"/>
        <v>1443</v>
      </c>
      <c r="J997">
        <v>34</v>
      </c>
      <c r="K997" s="3" t="str">
        <f ca="1">VLOOKUP(J997,ConstDLCIds!$A$4:$B$1000,2,FALSE)</f>
        <v>DLC_GOLD_ROAD</v>
      </c>
      <c r="L997" s="3" t="str">
        <f ca="1">VLOOKUP(J997,ConstDLCIds!$A$4:$C$1000,3,FALSE)</f>
        <v>Gold Road</v>
      </c>
    </row>
    <row r="998" spans="1:12" x14ac:dyDescent="0.25">
      <c r="A998">
        <v>1453</v>
      </c>
      <c r="B998">
        <v>993</v>
      </c>
      <c r="C998">
        <v>1443</v>
      </c>
      <c r="D998" t="s">
        <v>3016</v>
      </c>
      <c r="E998" t="str">
        <f>IF(NOT(ISERROR(VLOOKUP(D998,'ESO DungeonFinder'!$A$2:$A$999,1,FALSE))),"X","")</f>
        <v/>
      </c>
      <c r="F998" s="70" t="str">
        <f t="shared" si="64"/>
        <v/>
      </c>
      <c r="G998" s="70" t="str">
        <f t="shared" si="65"/>
        <v>West Weald</v>
      </c>
      <c r="H998" s="70">
        <f t="shared" si="66"/>
        <v>1453</v>
      </c>
      <c r="I998" s="70">
        <f t="shared" si="67"/>
        <v>1443</v>
      </c>
      <c r="J998">
        <v>34</v>
      </c>
      <c r="K998" s="3" t="str">
        <f ca="1">VLOOKUP(J998,ConstDLCIds!$A$4:$B$1000,2,FALSE)</f>
        <v>DLC_GOLD_ROAD</v>
      </c>
      <c r="L998" s="3" t="str">
        <f ca="1">VLOOKUP(J998,ConstDLCIds!$A$4:$C$1000,3,FALSE)</f>
        <v>Gold Road</v>
      </c>
    </row>
    <row r="999" spans="1:12" x14ac:dyDescent="0.25">
      <c r="A999">
        <v>1454</v>
      </c>
      <c r="B999">
        <v>994</v>
      </c>
      <c r="C999">
        <v>1443</v>
      </c>
      <c r="D999" t="s">
        <v>3017</v>
      </c>
      <c r="E999" t="str">
        <f>IF(NOT(ISERROR(VLOOKUP(D999,'ESO DungeonFinder'!$A$2:$A$999,1,FALSE))),"X","")</f>
        <v/>
      </c>
      <c r="F999" s="70" t="str">
        <f t="shared" si="64"/>
        <v/>
      </c>
      <c r="G999" s="70" t="str">
        <f t="shared" si="65"/>
        <v>West Weald</v>
      </c>
      <c r="H999" s="70">
        <f t="shared" si="66"/>
        <v>1454</v>
      </c>
      <c r="I999" s="70">
        <f t="shared" si="67"/>
        <v>1443</v>
      </c>
      <c r="J999">
        <v>34</v>
      </c>
      <c r="K999" s="3" t="str">
        <f ca="1">VLOOKUP(J999,ConstDLCIds!$A$4:$B$1000,2,FALSE)</f>
        <v>DLC_GOLD_ROAD</v>
      </c>
      <c r="L999" s="3" t="str">
        <f ca="1">VLOOKUP(J999,ConstDLCIds!$A$4:$C$1000,3,FALSE)</f>
        <v>Gold Road</v>
      </c>
    </row>
    <row r="1000" spans="1:12" x14ac:dyDescent="0.25">
      <c r="A1000">
        <v>1455</v>
      </c>
      <c r="B1000">
        <v>995</v>
      </c>
      <c r="C1000">
        <v>1443</v>
      </c>
      <c r="D1000" t="s">
        <v>3018</v>
      </c>
      <c r="E1000" t="str">
        <f>IF(NOT(ISERROR(VLOOKUP(D1000,'ESO DungeonFinder'!$A$2:$A$999,1,FALSE))),"X","")</f>
        <v/>
      </c>
      <c r="F1000" s="70" t="str">
        <f t="shared" si="64"/>
        <v/>
      </c>
      <c r="G1000" s="70" t="str">
        <f t="shared" si="65"/>
        <v>West Weald</v>
      </c>
      <c r="H1000" s="70">
        <f t="shared" si="66"/>
        <v>1455</v>
      </c>
      <c r="I1000" s="70">
        <f t="shared" si="67"/>
        <v>1443</v>
      </c>
      <c r="J1000">
        <v>34</v>
      </c>
      <c r="K1000" s="3" t="str">
        <f ca="1">VLOOKUP(J1000,ConstDLCIds!$A$4:$B$1000,2,FALSE)</f>
        <v>DLC_GOLD_ROAD</v>
      </c>
      <c r="L1000" s="3" t="str">
        <f ca="1">VLOOKUP(J1000,ConstDLCIds!$A$4:$C$1000,3,FALSE)</f>
        <v>Gold Road</v>
      </c>
    </row>
    <row r="1001" spans="1:12" x14ac:dyDescent="0.25">
      <c r="A1001">
        <v>1456</v>
      </c>
      <c r="B1001">
        <v>996</v>
      </c>
      <c r="C1001">
        <v>1443</v>
      </c>
      <c r="D1001" t="s">
        <v>3019</v>
      </c>
      <c r="E1001" t="str">
        <f>IF(NOT(ISERROR(VLOOKUP(D1001,'ESO DungeonFinder'!$A$2:$A$999,1,FALSE))),"X","")</f>
        <v/>
      </c>
      <c r="F1001" s="70" t="str">
        <f t="shared" si="64"/>
        <v/>
      </c>
      <c r="G1001" s="70" t="str">
        <f t="shared" si="65"/>
        <v>West Weald</v>
      </c>
      <c r="H1001" s="70">
        <f t="shared" si="66"/>
        <v>1456</v>
      </c>
      <c r="I1001" s="70">
        <f t="shared" si="67"/>
        <v>1443</v>
      </c>
      <c r="J1001">
        <v>34</v>
      </c>
      <c r="K1001" s="3" t="str">
        <f ca="1">VLOOKUP(J1001,ConstDLCIds!$A$4:$B$1000,2,FALSE)</f>
        <v>DLC_GOLD_ROAD</v>
      </c>
      <c r="L1001" s="3" t="str">
        <f ca="1">VLOOKUP(J1001,ConstDLCIds!$A$4:$C$1000,3,FALSE)</f>
        <v>Gold Road</v>
      </c>
    </row>
    <row r="1002" spans="1:12" x14ac:dyDescent="0.25">
      <c r="A1002">
        <v>1457</v>
      </c>
      <c r="B1002">
        <v>997</v>
      </c>
      <c r="C1002">
        <v>1463</v>
      </c>
      <c r="D1002" t="s">
        <v>3020</v>
      </c>
      <c r="E1002" t="str">
        <f>IF(NOT(ISERROR(VLOOKUP(D1002,'ESO DungeonFinder'!$A$2:$A$999,1,FALSE))),"X","")</f>
        <v/>
      </c>
      <c r="F1002" s="70" t="str">
        <f t="shared" si="64"/>
        <v/>
      </c>
      <c r="G1002" s="70" t="str">
        <f t="shared" si="65"/>
        <v>The Scholarium</v>
      </c>
      <c r="H1002" s="70">
        <f t="shared" si="66"/>
        <v>1457</v>
      </c>
      <c r="I1002" s="70">
        <f t="shared" si="67"/>
        <v>1463</v>
      </c>
      <c r="J1002">
        <v>34</v>
      </c>
      <c r="K1002" s="3" t="str">
        <f ca="1">VLOOKUP(J1002,ConstDLCIds!$A$4:$B$1000,2,FALSE)</f>
        <v>DLC_GOLD_ROAD</v>
      </c>
      <c r="L1002" s="3" t="str">
        <f ca="1">VLOOKUP(J1002,ConstDLCIds!$A$4:$C$1000,3,FALSE)</f>
        <v>Gold Road</v>
      </c>
    </row>
    <row r="1003" spans="1:12" x14ac:dyDescent="0.25">
      <c r="A1003">
        <v>1458</v>
      </c>
      <c r="B1003">
        <v>998</v>
      </c>
      <c r="C1003">
        <v>1443</v>
      </c>
      <c r="D1003" t="s">
        <v>2990</v>
      </c>
      <c r="E1003" t="str">
        <f>IF(NOT(ISERROR(VLOOKUP(D1003,'ESO DungeonFinder'!$A$2:$A$999,1,FALSE))),"X","")</f>
        <v/>
      </c>
      <c r="F1003" s="70" t="str">
        <f t="shared" si="64"/>
        <v/>
      </c>
      <c r="G1003" s="70" t="str">
        <f t="shared" si="65"/>
        <v>West Weald</v>
      </c>
      <c r="H1003" s="70">
        <f t="shared" si="66"/>
        <v>1458</v>
      </c>
      <c r="I1003" s="70">
        <f t="shared" si="67"/>
        <v>1443</v>
      </c>
      <c r="J1003">
        <v>34</v>
      </c>
      <c r="K1003" s="3" t="str">
        <f ca="1">VLOOKUP(J1003,ConstDLCIds!$A$4:$B$1000,2,FALSE)</f>
        <v>DLC_GOLD_ROAD</v>
      </c>
      <c r="L1003" s="3" t="str">
        <f ca="1">VLOOKUP(J1003,ConstDLCIds!$A$4:$C$1000,3,FALSE)</f>
        <v>Gold Road</v>
      </c>
    </row>
    <row r="1004" spans="1:12" x14ac:dyDescent="0.25">
      <c r="A1004">
        <v>1459</v>
      </c>
      <c r="B1004">
        <v>999</v>
      </c>
      <c r="C1004">
        <v>1443</v>
      </c>
      <c r="D1004" t="s">
        <v>3021</v>
      </c>
      <c r="E1004" t="str">
        <f>IF(NOT(ISERROR(VLOOKUP(D1004,'ESO DungeonFinder'!$A$2:$A$999,1,FALSE))),"X","")</f>
        <v/>
      </c>
      <c r="F1004" s="70" t="str">
        <f t="shared" si="64"/>
        <v/>
      </c>
      <c r="G1004" s="70" t="str">
        <f t="shared" si="65"/>
        <v>West Weald</v>
      </c>
      <c r="H1004" s="70">
        <f t="shared" si="66"/>
        <v>1459</v>
      </c>
      <c r="I1004" s="70">
        <f t="shared" si="67"/>
        <v>1443</v>
      </c>
      <c r="J1004">
        <v>34</v>
      </c>
      <c r="K1004" s="3" t="str">
        <f ca="1">VLOOKUP(J1004,ConstDLCIds!$A$4:$B$1000,2,FALSE)</f>
        <v>DLC_GOLD_ROAD</v>
      </c>
      <c r="L1004" s="3" t="str">
        <f ca="1">VLOOKUP(J1004,ConstDLCIds!$A$4:$C$1000,3,FALSE)</f>
        <v>Gold Road</v>
      </c>
    </row>
    <row r="1005" spans="1:12" x14ac:dyDescent="0.25">
      <c r="A1005">
        <v>1460</v>
      </c>
      <c r="B1005">
        <v>1000</v>
      </c>
      <c r="C1005">
        <v>1460</v>
      </c>
      <c r="D1005" t="s">
        <v>3022</v>
      </c>
      <c r="E1005" t="str">
        <f>IF(NOT(ISERROR(VLOOKUP(D1005,'ESO DungeonFinder'!$A$2:$A$999,1,FALSE))),"X","")</f>
        <v/>
      </c>
      <c r="F1005" s="70" t="str">
        <f t="shared" si="64"/>
        <v>X</v>
      </c>
      <c r="G1005" s="70" t="str">
        <f t="shared" si="65"/>
        <v/>
      </c>
      <c r="H1005" s="70">
        <f t="shared" si="66"/>
        <v>1460</v>
      </c>
      <c r="I1005" s="70">
        <f t="shared" si="67"/>
        <v>1460</v>
      </c>
      <c r="J1005">
        <v>34</v>
      </c>
      <c r="K1005" s="3" t="str">
        <f ca="1">VLOOKUP(J1005,ConstDLCIds!$A$4:$B$1000,2,FALSE)</f>
        <v>DLC_GOLD_ROAD</v>
      </c>
      <c r="L1005" s="3" t="str">
        <f ca="1">VLOOKUP(J1005,ConstDLCIds!$A$4:$C$1000,3,FALSE)</f>
        <v>Gold Road</v>
      </c>
    </row>
    <row r="1006" spans="1:12" x14ac:dyDescent="0.25">
      <c r="A1006">
        <v>1461</v>
      </c>
      <c r="B1006">
        <v>1001</v>
      </c>
      <c r="C1006">
        <v>1443</v>
      </c>
      <c r="D1006" t="s">
        <v>3023</v>
      </c>
      <c r="E1006" t="str">
        <f>IF(NOT(ISERROR(VLOOKUP(D1006,'ESO DungeonFinder'!$A$2:$A$999,1,FALSE))),"X","")</f>
        <v/>
      </c>
      <c r="F1006" s="70" t="str">
        <f t="shared" si="64"/>
        <v/>
      </c>
      <c r="G1006" s="70" t="str">
        <f t="shared" si="65"/>
        <v>West Weald</v>
      </c>
      <c r="H1006" s="70">
        <f t="shared" si="66"/>
        <v>1461</v>
      </c>
      <c r="I1006" s="70">
        <f t="shared" si="67"/>
        <v>1443</v>
      </c>
      <c r="J1006">
        <v>34</v>
      </c>
      <c r="K1006" s="3" t="str">
        <f ca="1">VLOOKUP(J1006,ConstDLCIds!$A$4:$B$1000,2,FALSE)</f>
        <v>DLC_GOLD_ROAD</v>
      </c>
      <c r="L1006" s="3" t="str">
        <f ca="1">VLOOKUP(J1006,ConstDLCIds!$A$4:$C$1000,3,FALSE)</f>
        <v>Gold Road</v>
      </c>
    </row>
    <row r="1007" spans="1:12" x14ac:dyDescent="0.25">
      <c r="A1007">
        <v>1462</v>
      </c>
      <c r="B1007">
        <v>1002</v>
      </c>
      <c r="C1007">
        <v>1443</v>
      </c>
      <c r="D1007" t="s">
        <v>3024</v>
      </c>
      <c r="E1007" t="str">
        <f>IF(NOT(ISERROR(VLOOKUP(D1007,'ESO DungeonFinder'!$A$2:$A$999,1,FALSE))),"X","")</f>
        <v/>
      </c>
      <c r="F1007" s="70" t="str">
        <f t="shared" si="64"/>
        <v/>
      </c>
      <c r="G1007" s="70" t="str">
        <f t="shared" si="65"/>
        <v>West Weald</v>
      </c>
      <c r="H1007" s="70">
        <f t="shared" si="66"/>
        <v>1462</v>
      </c>
      <c r="I1007" s="70">
        <f t="shared" si="67"/>
        <v>1443</v>
      </c>
      <c r="J1007">
        <v>34</v>
      </c>
      <c r="K1007" s="3" t="str">
        <f ca="1">VLOOKUP(J1007,ConstDLCIds!$A$4:$B$1000,2,FALSE)</f>
        <v>DLC_GOLD_ROAD</v>
      </c>
      <c r="L1007" s="3" t="str">
        <f ca="1">VLOOKUP(J1007,ConstDLCIds!$A$4:$C$1000,3,FALSE)</f>
        <v>Gold Road</v>
      </c>
    </row>
    <row r="1008" spans="1:12" x14ac:dyDescent="0.25">
      <c r="A1008">
        <v>1463</v>
      </c>
      <c r="B1008">
        <v>1003</v>
      </c>
      <c r="C1008">
        <v>1463</v>
      </c>
      <c r="D1008" t="s">
        <v>3025</v>
      </c>
      <c r="E1008" t="str">
        <f>IF(NOT(ISERROR(VLOOKUP(D1008,'ESO DungeonFinder'!$A$2:$A$999,1,FALSE))),"X","")</f>
        <v/>
      </c>
      <c r="F1008" s="70" t="str">
        <f t="shared" si="64"/>
        <v>X</v>
      </c>
      <c r="G1008" s="70" t="str">
        <f t="shared" si="65"/>
        <v/>
      </c>
      <c r="H1008" s="70">
        <f t="shared" si="66"/>
        <v>1463</v>
      </c>
      <c r="I1008" s="70">
        <f t="shared" si="67"/>
        <v>1463</v>
      </c>
      <c r="J1008">
        <v>34</v>
      </c>
      <c r="K1008" s="3" t="str">
        <f ca="1">VLOOKUP(J1008,ConstDLCIds!$A$4:$B$1000,2,FALSE)</f>
        <v>DLC_GOLD_ROAD</v>
      </c>
      <c r="L1008" s="3" t="str">
        <f ca="1">VLOOKUP(J1008,ConstDLCIds!$A$4:$C$1000,3,FALSE)</f>
        <v>Gold Road</v>
      </c>
    </row>
    <row r="1009" spans="1:12" x14ac:dyDescent="0.25">
      <c r="A1009">
        <v>1464</v>
      </c>
      <c r="B1009">
        <v>1004</v>
      </c>
      <c r="C1009">
        <v>1443</v>
      </c>
      <c r="D1009" t="s">
        <v>3026</v>
      </c>
      <c r="E1009" t="str">
        <f>IF(NOT(ISERROR(VLOOKUP(D1009,'ESO DungeonFinder'!$A$2:$A$999,1,FALSE))),"X","")</f>
        <v/>
      </c>
      <c r="F1009" s="70" t="str">
        <f t="shared" si="64"/>
        <v/>
      </c>
      <c r="G1009" s="70" t="str">
        <f t="shared" si="65"/>
        <v>West Weald</v>
      </c>
      <c r="H1009" s="70">
        <f t="shared" si="66"/>
        <v>1464</v>
      </c>
      <c r="I1009" s="70">
        <f t="shared" si="67"/>
        <v>1443</v>
      </c>
      <c r="J1009">
        <v>34</v>
      </c>
      <c r="K1009" s="3" t="str">
        <f ca="1">VLOOKUP(J1009,ConstDLCIds!$A$4:$B$1000,2,FALSE)</f>
        <v>DLC_GOLD_ROAD</v>
      </c>
      <c r="L1009" s="3" t="str">
        <f ca="1">VLOOKUP(J1009,ConstDLCIds!$A$4:$C$1000,3,FALSE)</f>
        <v>Gold Road</v>
      </c>
    </row>
    <row r="1010" spans="1:12" x14ac:dyDescent="0.25">
      <c r="A1010">
        <v>1465</v>
      </c>
      <c r="B1010">
        <v>1005</v>
      </c>
      <c r="C1010">
        <v>1443</v>
      </c>
      <c r="D1010" t="s">
        <v>3027</v>
      </c>
      <c r="E1010" t="str">
        <f>IF(NOT(ISERROR(VLOOKUP(D1010,'ESO DungeonFinder'!$A$2:$A$999,1,FALSE))),"X","")</f>
        <v/>
      </c>
      <c r="F1010" s="70" t="str">
        <f t="shared" si="64"/>
        <v/>
      </c>
      <c r="G1010" s="70" t="str">
        <f t="shared" si="65"/>
        <v>West Weald</v>
      </c>
      <c r="H1010" s="70">
        <f t="shared" si="66"/>
        <v>1465</v>
      </c>
      <c r="I1010" s="70">
        <f t="shared" si="67"/>
        <v>1443</v>
      </c>
      <c r="J1010">
        <v>34</v>
      </c>
      <c r="K1010" s="3" t="str">
        <f ca="1">VLOOKUP(J1010,ConstDLCIds!$A$4:$B$1000,2,FALSE)</f>
        <v>DLC_GOLD_ROAD</v>
      </c>
      <c r="L1010" s="3" t="str">
        <f ca="1">VLOOKUP(J1010,ConstDLCIds!$A$4:$C$1000,3,FALSE)</f>
        <v>Gold Road</v>
      </c>
    </row>
    <row r="1011" spans="1:12" x14ac:dyDescent="0.25">
      <c r="A1011">
        <v>1466</v>
      </c>
      <c r="B1011">
        <v>1006</v>
      </c>
      <c r="C1011">
        <v>1443</v>
      </c>
      <c r="D1011" t="s">
        <v>1972</v>
      </c>
      <c r="E1011" t="str">
        <f>IF(NOT(ISERROR(VLOOKUP(D1011,'ESO DungeonFinder'!$A$2:$A$999,1,FALSE))),"X","")</f>
        <v/>
      </c>
      <c r="F1011" s="70" t="str">
        <f t="shared" si="64"/>
        <v/>
      </c>
      <c r="G1011" s="70" t="str">
        <f t="shared" si="65"/>
        <v>West Weald</v>
      </c>
      <c r="H1011" s="70">
        <f t="shared" si="66"/>
        <v>1466</v>
      </c>
      <c r="I1011" s="70">
        <f t="shared" si="67"/>
        <v>1443</v>
      </c>
      <c r="J1011">
        <v>34</v>
      </c>
      <c r="K1011" s="3" t="str">
        <f ca="1">VLOOKUP(J1011,ConstDLCIds!$A$4:$B$1000,2,FALSE)</f>
        <v>DLC_GOLD_ROAD</v>
      </c>
      <c r="L1011" s="3" t="str">
        <f ca="1">VLOOKUP(J1011,ConstDLCIds!$A$4:$C$1000,3,FALSE)</f>
        <v>Gold Road</v>
      </c>
    </row>
    <row r="1012" spans="1:12" x14ac:dyDescent="0.25">
      <c r="A1012">
        <v>1467</v>
      </c>
      <c r="B1012">
        <v>1007</v>
      </c>
      <c r="C1012">
        <v>1443</v>
      </c>
      <c r="D1012" t="s">
        <v>2196</v>
      </c>
      <c r="E1012" t="str">
        <f>IF(NOT(ISERROR(VLOOKUP(D1012,'ESO DungeonFinder'!$A$2:$A$999,1,FALSE))),"X","")</f>
        <v/>
      </c>
      <c r="F1012" s="70" t="str">
        <f t="shared" si="64"/>
        <v/>
      </c>
      <c r="G1012" s="70" t="str">
        <f t="shared" si="65"/>
        <v>West Weald</v>
      </c>
      <c r="H1012" s="70">
        <f t="shared" si="66"/>
        <v>1467</v>
      </c>
      <c r="I1012" s="70">
        <f t="shared" si="67"/>
        <v>1443</v>
      </c>
      <c r="J1012">
        <v>34</v>
      </c>
      <c r="K1012" s="3" t="str">
        <f ca="1">VLOOKUP(J1012,ConstDLCIds!$A$4:$B$1000,2,FALSE)</f>
        <v>DLC_GOLD_ROAD</v>
      </c>
      <c r="L1012" s="3" t="str">
        <f ca="1">VLOOKUP(J1012,ConstDLCIds!$A$4:$C$1000,3,FALSE)</f>
        <v>Gold Road</v>
      </c>
    </row>
    <row r="1013" spans="1:12" x14ac:dyDescent="0.25">
      <c r="A1013">
        <v>1468</v>
      </c>
      <c r="B1013">
        <v>1008</v>
      </c>
      <c r="C1013">
        <v>1414</v>
      </c>
      <c r="D1013" t="s">
        <v>3028</v>
      </c>
      <c r="E1013" t="str">
        <f>IF(NOT(ISERROR(VLOOKUP(D1013,'ESO DungeonFinder'!$A$2:$A$999,1,FALSE))),"X","")</f>
        <v/>
      </c>
      <c r="F1013" s="70" t="str">
        <f t="shared" si="64"/>
        <v/>
      </c>
      <c r="G1013" s="70" t="str">
        <f t="shared" si="65"/>
        <v>Telvanni Peninsula</v>
      </c>
      <c r="H1013" s="70">
        <f t="shared" si="66"/>
        <v>1468</v>
      </c>
      <c r="I1013" s="70">
        <f t="shared" si="67"/>
        <v>1414</v>
      </c>
      <c r="J1013">
        <v>33</v>
      </c>
      <c r="K1013" s="3" t="str">
        <f ca="1">VLOOKUP(J1013,ConstDLCIds!$A$4:$B$1000,2,FALSE)</f>
        <v>DLC_SCIONS_OF_ITHELIA</v>
      </c>
      <c r="L1013" s="3" t="str">
        <f ca="1">VLOOKUP(J1013,ConstDLCIds!$A$4:$C$1000,3,FALSE)</f>
        <v>Scions of Ithelia</v>
      </c>
    </row>
    <row r="1014" spans="1:12" x14ac:dyDescent="0.25">
      <c r="A1014">
        <v>1470</v>
      </c>
      <c r="B1014">
        <v>1009</v>
      </c>
      <c r="C1014">
        <v>1207</v>
      </c>
      <c r="D1014" t="s">
        <v>1956</v>
      </c>
      <c r="E1014" t="str">
        <f>IF(NOT(ISERROR(VLOOKUP(D1014,'ESO DungeonFinder'!$A$2:$A$999,1,FALSE))),"X","")</f>
        <v>X</v>
      </c>
      <c r="F1014" s="70" t="str">
        <f t="shared" si="64"/>
        <v/>
      </c>
      <c r="G1014" s="70" t="str">
        <f t="shared" si="65"/>
        <v>The Reach</v>
      </c>
      <c r="H1014" s="70">
        <f t="shared" si="66"/>
        <v>1470</v>
      </c>
      <c r="I1014" s="70">
        <f t="shared" si="67"/>
        <v>1207</v>
      </c>
      <c r="J1014">
        <v>33</v>
      </c>
      <c r="K1014" s="3" t="str">
        <f ca="1">VLOOKUP(J1014,ConstDLCIds!$A$4:$B$1000,2,FALSE)</f>
        <v>DLC_SCIONS_OF_ITHELIA</v>
      </c>
      <c r="L1014" s="3" t="str">
        <f ca="1">VLOOKUP(J1014,ConstDLCIds!$A$4:$C$1000,3,FALSE)</f>
        <v>Scions of Ithelia</v>
      </c>
    </row>
    <row r="1015" spans="1:12" x14ac:dyDescent="0.25">
      <c r="A1015">
        <v>1471</v>
      </c>
      <c r="B1015">
        <v>1010</v>
      </c>
      <c r="C1015">
        <v>684</v>
      </c>
      <c r="D1015" t="s">
        <v>1962</v>
      </c>
      <c r="E1015" t="str">
        <f>IF(NOT(ISERROR(VLOOKUP(D1015,'ESO DungeonFinder'!$A$2:$A$999,1,FALSE))),"X","")</f>
        <v>X</v>
      </c>
      <c r="F1015" s="70" t="str">
        <f t="shared" si="64"/>
        <v/>
      </c>
      <c r="G1015" s="70" t="str">
        <f t="shared" si="65"/>
        <v>Wrothgar</v>
      </c>
      <c r="H1015" s="70">
        <f t="shared" si="66"/>
        <v>1471</v>
      </c>
      <c r="I1015" s="70">
        <f t="shared" si="67"/>
        <v>684</v>
      </c>
      <c r="J1015">
        <v>28</v>
      </c>
      <c r="K1015" s="3" t="str">
        <f ca="1">VLOOKUP(J1015,ConstDLCIds!$A$4:$B$1000,2,FALSE)</f>
        <v>DLC_FIRESONG</v>
      </c>
      <c r="L1015" s="3" t="str">
        <f ca="1">VLOOKUP(J1015,ConstDLCIds!$A$4:$C$1000,3,FALSE)</f>
        <v>Firesong</v>
      </c>
    </row>
    <row r="1016" spans="1:12" x14ac:dyDescent="0.25">
      <c r="A1016">
        <v>1472</v>
      </c>
      <c r="B1016">
        <v>1011</v>
      </c>
      <c r="C1016">
        <v>1383</v>
      </c>
      <c r="D1016" t="s">
        <v>3029</v>
      </c>
      <c r="E1016" t="str">
        <f>IF(NOT(ISERROR(VLOOKUP(D1016,'ESO DungeonFinder'!$A$2:$A$999,1,FALSE))),"X","")</f>
        <v/>
      </c>
      <c r="F1016" s="70" t="str">
        <f t="shared" si="64"/>
        <v/>
      </c>
      <c r="G1016" s="70" t="str">
        <f t="shared" si="65"/>
        <v>Galen</v>
      </c>
      <c r="H1016" s="70">
        <f t="shared" si="66"/>
        <v>1472</v>
      </c>
      <c r="I1016" s="70">
        <f t="shared" si="67"/>
        <v>1383</v>
      </c>
      <c r="J1016">
        <v>30</v>
      </c>
      <c r="K1016" s="3" t="str">
        <f ca="1">VLOOKUP(J1016,ConstDLCIds!$A$4:$B$1000,2,FALSE)</f>
        <v>DLC_NECROM</v>
      </c>
      <c r="L1016" s="3" t="str">
        <f ca="1">VLOOKUP(J1016,ConstDLCIds!$A$4:$C$1000,3,FALSE)</f>
        <v>Necrom</v>
      </c>
    </row>
    <row r="1017" spans="1:12" x14ac:dyDescent="0.25">
      <c r="A1017">
        <v>1473</v>
      </c>
      <c r="B1017">
        <v>1012</v>
      </c>
      <c r="C1017">
        <v>1413</v>
      </c>
      <c r="D1017" t="s">
        <v>3030</v>
      </c>
      <c r="E1017" t="str">
        <f>IF(NOT(ISERROR(VLOOKUP(D1017,'ESO DungeonFinder'!$A$2:$A$999,1,FALSE))),"X","")</f>
        <v/>
      </c>
      <c r="F1017" s="70" t="str">
        <f t="shared" si="64"/>
        <v/>
      </c>
      <c r="G1017" s="70" t="str">
        <f t="shared" si="65"/>
        <v>Apocrypha</v>
      </c>
      <c r="H1017" s="70">
        <f t="shared" si="66"/>
        <v>1473</v>
      </c>
      <c r="I1017" s="70">
        <f t="shared" si="67"/>
        <v>1413</v>
      </c>
      <c r="J1017">
        <v>34</v>
      </c>
      <c r="K1017" s="3" t="str">
        <f ca="1">VLOOKUP(J1017,ConstDLCIds!$A$4:$B$1000,2,FALSE)</f>
        <v>DLC_GOLD_ROAD</v>
      </c>
      <c r="L1017" s="3" t="str">
        <f ca="1">VLOOKUP(J1017,ConstDLCIds!$A$4:$C$1000,3,FALSE)</f>
        <v>Gold Road</v>
      </c>
    </row>
    <row r="1018" spans="1:12" x14ac:dyDescent="0.25">
      <c r="A1018">
        <v>1474</v>
      </c>
      <c r="B1018">
        <v>1013</v>
      </c>
      <c r="C1018">
        <v>1443</v>
      </c>
      <c r="D1018" t="s">
        <v>2990</v>
      </c>
      <c r="E1018" t="str">
        <f>IF(NOT(ISERROR(VLOOKUP(D1018,'ESO DungeonFinder'!$A$2:$A$999,1,FALSE))),"X","")</f>
        <v/>
      </c>
      <c r="F1018" s="70" t="str">
        <f t="shared" si="64"/>
        <v/>
      </c>
      <c r="G1018" s="70" t="str">
        <f t="shared" si="65"/>
        <v>West Weald</v>
      </c>
      <c r="H1018" s="70">
        <f t="shared" si="66"/>
        <v>1474</v>
      </c>
      <c r="I1018" s="70">
        <f t="shared" si="67"/>
        <v>1443</v>
      </c>
      <c r="J1018">
        <v>34</v>
      </c>
      <c r="K1018" s="3" t="str">
        <f ca="1">VLOOKUP(J1018,ConstDLCIds!$A$4:$B$1000,2,FALSE)</f>
        <v>DLC_GOLD_ROAD</v>
      </c>
      <c r="L1018" s="3" t="str">
        <f ca="1">VLOOKUP(J1018,ConstDLCIds!$A$4:$C$1000,3,FALSE)</f>
        <v>Gold Road</v>
      </c>
    </row>
    <row r="1019" spans="1:12" x14ac:dyDescent="0.25">
      <c r="A1019">
        <v>1475</v>
      </c>
      <c r="B1019">
        <v>1014</v>
      </c>
      <c r="C1019">
        <v>1475</v>
      </c>
      <c r="D1019" t="s">
        <v>3031</v>
      </c>
      <c r="E1019" t="str">
        <f>IF(NOT(ISERROR(VLOOKUP(D1019,'ESO DungeonFinder'!$A$2:$A$999,1,FALSE))),"X","")</f>
        <v/>
      </c>
      <c r="F1019" s="70" t="str">
        <f t="shared" si="64"/>
        <v>X</v>
      </c>
      <c r="G1019" s="70" t="str">
        <f t="shared" si="65"/>
        <v/>
      </c>
      <c r="H1019" s="70">
        <f t="shared" si="66"/>
        <v>1475</v>
      </c>
      <c r="I1019" s="70">
        <f t="shared" si="67"/>
        <v>1475</v>
      </c>
      <c r="J1019">
        <v>34</v>
      </c>
      <c r="K1019" s="3" t="str">
        <f ca="1">VLOOKUP(J1019,ConstDLCIds!$A$4:$B$1000,2,FALSE)</f>
        <v>DLC_GOLD_ROAD</v>
      </c>
      <c r="L1019" s="3" t="str">
        <f ca="1">VLOOKUP(J1019,ConstDLCIds!$A$4:$C$1000,3,FALSE)</f>
        <v>Gold Road</v>
      </c>
    </row>
    <row r="1020" spans="1:12" x14ac:dyDescent="0.25">
      <c r="A1020">
        <v>1478</v>
      </c>
      <c r="B1020">
        <v>1015</v>
      </c>
      <c r="C1020">
        <v>1443</v>
      </c>
      <c r="D1020" t="s">
        <v>2002</v>
      </c>
      <c r="E1020" t="str">
        <f>IF(NOT(ISERROR(VLOOKUP(D1020,'ESO DungeonFinder'!$A$2:$A$999,1,FALSE))),"X","")</f>
        <v/>
      </c>
      <c r="F1020" s="70" t="str">
        <f t="shared" si="64"/>
        <v/>
      </c>
      <c r="G1020" s="70" t="str">
        <f t="shared" si="65"/>
        <v>West Weald</v>
      </c>
      <c r="H1020" s="70">
        <f t="shared" si="66"/>
        <v>1478</v>
      </c>
      <c r="I1020" s="70">
        <f t="shared" si="67"/>
        <v>1443</v>
      </c>
      <c r="J1020">
        <v>34</v>
      </c>
      <c r="K1020" s="3" t="str">
        <f ca="1">VLOOKUP(J1020,ConstDLCIds!$A$4:$B$1000,2,FALSE)</f>
        <v>DLC_GOLD_ROAD</v>
      </c>
      <c r="L1020" s="3" t="str">
        <f ca="1">VLOOKUP(J1020,ConstDLCIds!$A$4:$C$1000,3,FALSE)</f>
        <v>Gold Road</v>
      </c>
    </row>
    <row r="1021" spans="1:12" x14ac:dyDescent="0.25">
      <c r="A1021">
        <v>1479</v>
      </c>
      <c r="B1021">
        <v>1016</v>
      </c>
      <c r="C1021">
        <v>1261</v>
      </c>
      <c r="D1021" t="s">
        <v>3032</v>
      </c>
      <c r="E1021" t="str">
        <f>IF(NOT(ISERROR(VLOOKUP(D1021,'ESO DungeonFinder'!$A$2:$A$999,1,FALSE))),"X","")</f>
        <v/>
      </c>
      <c r="F1021" s="70" t="str">
        <f t="shared" si="64"/>
        <v/>
      </c>
      <c r="G1021" s="70" t="str">
        <f t="shared" si="65"/>
        <v>Blackwood</v>
      </c>
      <c r="H1021" s="70">
        <f t="shared" si="66"/>
        <v>1479</v>
      </c>
      <c r="I1021" s="70">
        <f t="shared" si="67"/>
        <v>1261</v>
      </c>
      <c r="J1021">
        <v>34</v>
      </c>
      <c r="K1021" s="3" t="str">
        <f ca="1">VLOOKUP(J1021,ConstDLCIds!$A$4:$B$1000,2,FALSE)</f>
        <v>DLC_GOLD_ROAD</v>
      </c>
      <c r="L1021" s="3" t="str">
        <f ca="1">VLOOKUP(J1021,ConstDLCIds!$A$4:$C$1000,3,FALSE)</f>
        <v>Gold Road</v>
      </c>
    </row>
    <row r="1022" spans="1:12" x14ac:dyDescent="0.25">
      <c r="A1022">
        <v>1481</v>
      </c>
      <c r="B1022">
        <v>1017</v>
      </c>
      <c r="C1022">
        <v>1481</v>
      </c>
      <c r="D1022" t="s">
        <v>3033</v>
      </c>
      <c r="E1022" t="str">
        <f>IF(NOT(ISERROR(VLOOKUP(D1022,'ESO DungeonFinder'!$A$2:$A$999,1,FALSE))),"X","")</f>
        <v/>
      </c>
      <c r="F1022" s="70" t="str">
        <f t="shared" si="64"/>
        <v>X</v>
      </c>
      <c r="G1022" s="70" t="str">
        <f t="shared" si="65"/>
        <v/>
      </c>
      <c r="H1022" s="70">
        <f t="shared" si="66"/>
        <v>1481</v>
      </c>
      <c r="I1022" s="70">
        <f t="shared" si="67"/>
        <v>1481</v>
      </c>
      <c r="J1022">
        <v>34</v>
      </c>
      <c r="K1022" s="3" t="str">
        <f ca="1">VLOOKUP(J1022,ConstDLCIds!$A$4:$B$1000,2,FALSE)</f>
        <v>DLC_GOLD_ROAD</v>
      </c>
      <c r="L1022" s="3" t="str">
        <f ca="1">VLOOKUP(J1022,ConstDLCIds!$A$4:$C$1000,3,FALSE)</f>
        <v>Gold Road</v>
      </c>
    </row>
    <row r="1023" spans="1:12" x14ac:dyDescent="0.25">
      <c r="A1023">
        <v>1482</v>
      </c>
      <c r="B1023">
        <v>1018</v>
      </c>
      <c r="C1023">
        <v>1482</v>
      </c>
      <c r="D1023" t="s">
        <v>3034</v>
      </c>
      <c r="E1023" t="str">
        <f>IF(NOT(ISERROR(VLOOKUP(D1023,'ESO DungeonFinder'!$A$2:$A$999,1,FALSE))),"X","")</f>
        <v/>
      </c>
      <c r="F1023" s="70" t="str">
        <f t="shared" si="64"/>
        <v>X</v>
      </c>
      <c r="G1023" s="70" t="str">
        <f t="shared" si="65"/>
        <v/>
      </c>
      <c r="H1023" s="70">
        <f t="shared" si="66"/>
        <v>1482</v>
      </c>
      <c r="I1023" s="70">
        <f t="shared" si="67"/>
        <v>1482</v>
      </c>
      <c r="J1023">
        <v>35</v>
      </c>
      <c r="K1023" s="3" t="str">
        <f ca="1">VLOOKUP(J1023,ConstDLCIds!$A$4:$B$1000,2,FALSE)</f>
        <v>NO_DLC_UPDATE43</v>
      </c>
      <c r="L1023" s="3" t="str">
        <f ca="1">VLOOKUP(J1023,ConstDLCIds!$A$4:$C$1000,3,FALSE)</f>
        <v>Patch 43, House tours, QOL and other</v>
      </c>
    </row>
    <row r="1024" spans="1:12" x14ac:dyDescent="0.25">
      <c r="A1024">
        <v>1483</v>
      </c>
      <c r="B1024">
        <v>1019</v>
      </c>
      <c r="C1024">
        <v>1483</v>
      </c>
      <c r="D1024" t="s">
        <v>3035</v>
      </c>
      <c r="E1024" t="str">
        <f>IF(NOT(ISERROR(VLOOKUP(D1024,'ESO DungeonFinder'!$A$2:$A$999,1,FALSE))),"X","")</f>
        <v/>
      </c>
      <c r="F1024" s="70" t="str">
        <f t="shared" si="64"/>
        <v>X</v>
      </c>
      <c r="G1024" s="70" t="str">
        <f t="shared" si="65"/>
        <v/>
      </c>
      <c r="H1024" s="70">
        <f t="shared" si="66"/>
        <v>1483</v>
      </c>
      <c r="I1024" s="70">
        <f t="shared" si="67"/>
        <v>1483</v>
      </c>
      <c r="J1024">
        <v>35</v>
      </c>
      <c r="K1024" s="3" t="str">
        <f ca="1">VLOOKUP(J1024,ConstDLCIds!$A$4:$B$1000,2,FALSE)</f>
        <v>NO_DLC_UPDATE43</v>
      </c>
      <c r="L1024" s="3" t="str">
        <f ca="1">VLOOKUP(J1024,ConstDLCIds!$A$4:$C$1000,3,FALSE)</f>
        <v>Patch 43, House tours, QOL and other</v>
      </c>
    </row>
    <row r="1025" spans="1:12" x14ac:dyDescent="0.25">
      <c r="A1025">
        <v>1484</v>
      </c>
      <c r="B1025">
        <v>1020</v>
      </c>
      <c r="C1025">
        <v>1484</v>
      </c>
      <c r="D1025" t="s">
        <v>3036</v>
      </c>
      <c r="E1025" t="str">
        <f>IF(NOT(ISERROR(VLOOKUP(D1025,'ESO DungeonFinder'!$A$2:$A$999,1,FALSE))),"X","")</f>
        <v/>
      </c>
      <c r="F1025" s="70" t="str">
        <f t="shared" si="64"/>
        <v>X</v>
      </c>
      <c r="G1025" s="70" t="str">
        <f t="shared" si="65"/>
        <v/>
      </c>
      <c r="H1025" s="70">
        <f t="shared" si="66"/>
        <v>1484</v>
      </c>
      <c r="I1025" s="70">
        <f t="shared" si="67"/>
        <v>1484</v>
      </c>
      <c r="J1025">
        <v>36</v>
      </c>
      <c r="K1025" s="3" t="str">
        <f ca="1">VLOOKUP(J1025,ConstDLCIds!$A$4:$B$1000,2,FALSE)</f>
        <v>NO_DLC_UPDATE44</v>
      </c>
      <c r="L1025" s="3" t="str">
        <f ca="1">VLOOKUP(J1025,ConstDLCIds!$A$4:$C$1000,3,FALSE)</f>
        <v>Patch 44, BG changes, QOL and other</v>
      </c>
    </row>
    <row r="1026" spans="1:12" x14ac:dyDescent="0.25">
      <c r="A1026">
        <v>1485</v>
      </c>
      <c r="B1026">
        <v>1021</v>
      </c>
      <c r="C1026">
        <v>1485</v>
      </c>
      <c r="D1026" t="s">
        <v>3037</v>
      </c>
      <c r="E1026" t="str">
        <f>IF(NOT(ISERROR(VLOOKUP(D1026,'ESO DungeonFinder'!$A$2:$A$999,1,FALSE))),"X","")</f>
        <v/>
      </c>
      <c r="F1026" s="70" t="str">
        <f t="shared" si="64"/>
        <v>X</v>
      </c>
      <c r="G1026" s="70" t="str">
        <f t="shared" si="65"/>
        <v/>
      </c>
      <c r="H1026" s="70">
        <f t="shared" si="66"/>
        <v>1485</v>
      </c>
      <c r="I1026" s="70">
        <f t="shared" si="67"/>
        <v>1485</v>
      </c>
      <c r="J1026">
        <v>16</v>
      </c>
      <c r="K1026" s="3" t="str">
        <f ca="1">VLOOKUP(J1026,ConstDLCIds!$A$4:$B$1000,2,FALSE)</f>
        <v>DLC_DRAGONHOLD</v>
      </c>
      <c r="L1026" s="3" t="str">
        <f ca="1">VLOOKUP(J1026,ConstDLCIds!$A$4:$C$1000,3,FALSE)</f>
        <v>Dragonhold</v>
      </c>
    </row>
    <row r="1027" spans="1:12" x14ac:dyDescent="0.25">
      <c r="A1027">
        <v>1487</v>
      </c>
      <c r="B1027">
        <v>1022</v>
      </c>
      <c r="C1027">
        <v>1133</v>
      </c>
      <c r="D1027" t="s">
        <v>3038</v>
      </c>
      <c r="E1027" t="str">
        <f>IF(NOT(ISERROR(VLOOKUP(D1027,'ESO DungeonFinder'!$A$2:$A$999,1,FALSE))),"X","")</f>
        <v/>
      </c>
      <c r="F1027" s="70" t="str">
        <f t="shared" si="64"/>
        <v/>
      </c>
      <c r="G1027" s="70" t="str">
        <f t="shared" si="65"/>
        <v>Southern Elsweyr</v>
      </c>
      <c r="H1027" s="70">
        <f t="shared" si="66"/>
        <v>1487</v>
      </c>
      <c r="I1027" s="70">
        <f t="shared" si="67"/>
        <v>1133</v>
      </c>
      <c r="J1027">
        <v>34</v>
      </c>
      <c r="K1027" s="3" t="str">
        <f ca="1">VLOOKUP(J1027,ConstDLCIds!$A$4:$B$1000,2,FALSE)</f>
        <v>DLC_GOLD_ROAD</v>
      </c>
      <c r="L1027" s="3" t="str">
        <f ca="1">VLOOKUP(J1027,ConstDLCIds!$A$4:$C$1000,3,FALSE)</f>
        <v>Gold Road</v>
      </c>
    </row>
    <row r="1028" spans="1:12" x14ac:dyDescent="0.25">
      <c r="A1028">
        <v>1488</v>
      </c>
      <c r="B1028">
        <v>1023</v>
      </c>
      <c r="C1028">
        <v>1463</v>
      </c>
      <c r="D1028" t="s">
        <v>3039</v>
      </c>
      <c r="E1028" t="str">
        <f>IF(NOT(ISERROR(VLOOKUP(D1028,'ESO DungeonFinder'!$A$2:$A$999,1,FALSE))),"X","")</f>
        <v/>
      </c>
      <c r="F1028" s="70" t="str">
        <f t="shared" si="64"/>
        <v/>
      </c>
      <c r="G1028" s="70" t="str">
        <f t="shared" si="65"/>
        <v>The Scholarium</v>
      </c>
      <c r="H1028" s="70">
        <f t="shared" si="66"/>
        <v>1488</v>
      </c>
      <c r="I1028" s="70">
        <f t="shared" si="67"/>
        <v>1463</v>
      </c>
      <c r="J1028">
        <v>34</v>
      </c>
      <c r="K1028" s="3" t="str">
        <f ca="1">VLOOKUP(J1028,ConstDLCIds!$A$4:$B$1000,2,FALSE)</f>
        <v>DLC_GOLD_ROAD</v>
      </c>
      <c r="L1028" s="3" t="str">
        <f ca="1">VLOOKUP(J1028,ConstDLCIds!$A$4:$C$1000,3,FALSE)</f>
        <v>Gold Road</v>
      </c>
    </row>
    <row r="1029" spans="1:12" x14ac:dyDescent="0.25">
      <c r="A1029">
        <v>1491</v>
      </c>
      <c r="B1029">
        <v>1024</v>
      </c>
      <c r="C1029">
        <v>1443</v>
      </c>
      <c r="D1029" t="s">
        <v>3040</v>
      </c>
      <c r="E1029" t="str">
        <f>IF(NOT(ISERROR(VLOOKUP(D1029,'ESO DungeonFinder'!$A$2:$A$999,1,FALSE))),"X","")</f>
        <v/>
      </c>
      <c r="F1029" s="70" t="str">
        <f t="shared" si="64"/>
        <v/>
      </c>
      <c r="G1029" s="70" t="str">
        <f t="shared" si="65"/>
        <v>West Weald</v>
      </c>
      <c r="H1029" s="70">
        <f t="shared" si="66"/>
        <v>1491</v>
      </c>
      <c r="I1029" s="70">
        <f t="shared" si="67"/>
        <v>1443</v>
      </c>
      <c r="J1029">
        <v>34</v>
      </c>
      <c r="K1029" s="3" t="str">
        <f ca="1">VLOOKUP(J1029,ConstDLCIds!$A$4:$B$1000,2,FALSE)</f>
        <v>DLC_GOLD_ROAD</v>
      </c>
      <c r="L1029" s="3" t="str">
        <f ca="1">VLOOKUP(J1029,ConstDLCIds!$A$4:$C$1000,3,FALSE)</f>
        <v>Gold Road</v>
      </c>
    </row>
    <row r="1030" spans="1:12" x14ac:dyDescent="0.25">
      <c r="A1030">
        <v>1492</v>
      </c>
      <c r="B1030">
        <v>1025</v>
      </c>
      <c r="C1030">
        <v>1443</v>
      </c>
      <c r="D1030" t="s">
        <v>3041</v>
      </c>
      <c r="E1030" t="str">
        <f>IF(NOT(ISERROR(VLOOKUP(D1030,'ESO DungeonFinder'!$A$2:$A$999,1,FALSE))),"X","")</f>
        <v/>
      </c>
      <c r="F1030" s="70" t="str">
        <f t="shared" si="64"/>
        <v/>
      </c>
      <c r="G1030" s="70" t="str">
        <f t="shared" si="65"/>
        <v>West Weald</v>
      </c>
      <c r="H1030" s="70">
        <f t="shared" si="66"/>
        <v>1492</v>
      </c>
      <c r="I1030" s="70">
        <f t="shared" si="67"/>
        <v>1443</v>
      </c>
      <c r="J1030">
        <v>0</v>
      </c>
      <c r="K1030" s="3" t="str">
        <f>VLOOKUP(J1030,ConstDLCIds!$A$4:$B$1000,2,FALSE)</f>
        <v>DLC_BASE_GAME</v>
      </c>
      <c r="L1030" s="3" t="str">
        <f>VLOOKUP(J1030,ConstDLCIds!$A$4:$C$1000,3,FALSE)</f>
        <v>Included in base game</v>
      </c>
    </row>
    <row r="1031" spans="1:12" x14ac:dyDescent="0.25">
      <c r="A1031">
        <v>1494</v>
      </c>
      <c r="B1031">
        <v>1026</v>
      </c>
      <c r="C1031">
        <v>381</v>
      </c>
      <c r="D1031" t="s">
        <v>3042</v>
      </c>
      <c r="E1031" t="str">
        <f>IF(NOT(ISERROR(VLOOKUP(D1031,'ESO DungeonFinder'!$A$2:$A$999,1,FALSE))),"X","")</f>
        <v/>
      </c>
      <c r="F1031" s="70" t="str">
        <f t="shared" ref="F1031:F1094" si="68">IF(EXACT(A1031,C1031),"X","")</f>
        <v/>
      </c>
      <c r="G1031" s="70" t="str">
        <f t="shared" ref="G1031:G1094" si="69">IF(A1031&lt;&gt;C1031,VLOOKUP(C1031,$A$5:$D$9956,4,FALSE),"")</f>
        <v>Auridon</v>
      </c>
      <c r="H1031" s="70">
        <f t="shared" ref="H1031:H1094" si="70">A1031</f>
        <v>1494</v>
      </c>
      <c r="I1031" s="70">
        <f t="shared" ref="I1031:I1094" si="71">C1031</f>
        <v>381</v>
      </c>
      <c r="J1031">
        <v>34</v>
      </c>
      <c r="K1031" s="3" t="str">
        <f ca="1">VLOOKUP(J1031,ConstDLCIds!$A$4:$B$1000,2,FALSE)</f>
        <v>DLC_GOLD_ROAD</v>
      </c>
      <c r="L1031" s="3" t="str">
        <f ca="1">VLOOKUP(J1031,ConstDLCIds!$A$4:$C$1000,3,FALSE)</f>
        <v>Gold Road</v>
      </c>
    </row>
    <row r="1032" spans="1:12" x14ac:dyDescent="0.25">
      <c r="A1032">
        <v>1495</v>
      </c>
      <c r="B1032">
        <v>1027</v>
      </c>
      <c r="C1032">
        <v>1443</v>
      </c>
      <c r="D1032" t="s">
        <v>3043</v>
      </c>
      <c r="E1032" t="str">
        <f>IF(NOT(ISERROR(VLOOKUP(D1032,'ESO DungeonFinder'!$A$2:$A$999,1,FALSE))),"X","")</f>
        <v/>
      </c>
      <c r="F1032" s="70" t="str">
        <f t="shared" si="68"/>
        <v/>
      </c>
      <c r="G1032" s="70" t="str">
        <f t="shared" si="69"/>
        <v>West Weald</v>
      </c>
      <c r="H1032" s="70">
        <f t="shared" si="70"/>
        <v>1495</v>
      </c>
      <c r="I1032" s="70">
        <f t="shared" si="71"/>
        <v>1443</v>
      </c>
      <c r="J1032">
        <v>37</v>
      </c>
      <c r="K1032" s="3" t="str">
        <f ca="1">VLOOKUP(J1032,ConstDLCIds!$A$4:$B$1000,2,FALSE)</f>
        <v>DLC_FALLEN_BANNERS</v>
      </c>
      <c r="L1032" s="3" t="str">
        <f ca="1">VLOOKUP(J1032,ConstDLCIds!$A$4:$C$1000,3,FALSE)</f>
        <v>Fallen Banners</v>
      </c>
    </row>
    <row r="1033" spans="1:12" x14ac:dyDescent="0.25">
      <c r="A1033">
        <v>1496</v>
      </c>
      <c r="B1033">
        <v>1028</v>
      </c>
      <c r="C1033">
        <v>1443</v>
      </c>
      <c r="D1033" t="s">
        <v>2149</v>
      </c>
      <c r="E1033" t="str">
        <f>IF(NOT(ISERROR(VLOOKUP(D1033,'ESO DungeonFinder'!$A$2:$A$999,1,FALSE))),"X","")</f>
        <v>X</v>
      </c>
      <c r="F1033" s="70" t="str">
        <f t="shared" si="68"/>
        <v/>
      </c>
      <c r="G1033" s="70" t="str">
        <f t="shared" si="69"/>
        <v>West Weald</v>
      </c>
      <c r="H1033" s="70">
        <f t="shared" si="70"/>
        <v>1496</v>
      </c>
      <c r="I1033" s="70">
        <f t="shared" si="71"/>
        <v>1443</v>
      </c>
      <c r="J1033">
        <v>37</v>
      </c>
      <c r="K1033" s="3" t="str">
        <f ca="1">VLOOKUP(J1033,ConstDLCIds!$A$4:$B$1000,2,FALSE)</f>
        <v>DLC_FALLEN_BANNERS</v>
      </c>
      <c r="L1033" s="3" t="str">
        <f ca="1">VLOOKUP(J1033,ConstDLCIds!$A$4:$C$1000,3,FALSE)</f>
        <v>Fallen Banners</v>
      </c>
    </row>
    <row r="1034" spans="1:12" x14ac:dyDescent="0.25">
      <c r="A1034">
        <v>1497</v>
      </c>
      <c r="B1034">
        <v>1029</v>
      </c>
      <c r="C1034">
        <v>816</v>
      </c>
      <c r="D1034" t="s">
        <v>2150</v>
      </c>
      <c r="E1034" t="str">
        <f>IF(NOT(ISERROR(VLOOKUP(D1034,'ESO DungeonFinder'!$A$2:$A$999,1,FALSE))),"X","")</f>
        <v>X</v>
      </c>
      <c r="F1034" s="70" t="str">
        <f t="shared" si="68"/>
        <v/>
      </c>
      <c r="G1034" s="70" t="str">
        <f t="shared" si="69"/>
        <v>Hew's Bane</v>
      </c>
      <c r="H1034" s="70">
        <f t="shared" si="70"/>
        <v>1497</v>
      </c>
      <c r="I1034" s="70">
        <f t="shared" si="71"/>
        <v>816</v>
      </c>
      <c r="J1034">
        <v>36</v>
      </c>
      <c r="K1034" s="3" t="str">
        <f ca="1">VLOOKUP(J1034,ConstDLCIds!$A$4:$B$1000,2,FALSE)</f>
        <v>NO_DLC_UPDATE44</v>
      </c>
      <c r="L1034" s="3" t="str">
        <f ca="1">VLOOKUP(J1034,ConstDLCIds!$A$4:$C$1000,3,FALSE)</f>
        <v>Patch 44, BG changes, QOL and other</v>
      </c>
    </row>
    <row r="1035" spans="1:12" x14ac:dyDescent="0.25">
      <c r="A1035">
        <v>1498</v>
      </c>
      <c r="B1035">
        <v>1030</v>
      </c>
      <c r="C1035">
        <v>1498</v>
      </c>
      <c r="D1035" t="s">
        <v>3044</v>
      </c>
      <c r="E1035" t="str">
        <f>IF(NOT(ISERROR(VLOOKUP(D1035,'ESO DungeonFinder'!$A$2:$A$999,1,FALSE))),"X","")</f>
        <v/>
      </c>
      <c r="F1035" s="70" t="str">
        <f t="shared" si="68"/>
        <v>X</v>
      </c>
      <c r="G1035" s="70" t="str">
        <f t="shared" si="69"/>
        <v/>
      </c>
      <c r="H1035" s="70">
        <f t="shared" si="70"/>
        <v>1498</v>
      </c>
      <c r="I1035" s="70">
        <f t="shared" si="71"/>
        <v>1498</v>
      </c>
      <c r="J1035">
        <v>36</v>
      </c>
      <c r="K1035" s="3" t="str">
        <f ca="1">VLOOKUP(J1035,ConstDLCIds!$A$4:$B$1000,2,FALSE)</f>
        <v>NO_DLC_UPDATE44</v>
      </c>
      <c r="L1035" s="3" t="str">
        <f ca="1">VLOOKUP(J1035,ConstDLCIds!$A$4:$C$1000,3,FALSE)</f>
        <v>Patch 44, BG changes, QOL and other</v>
      </c>
    </row>
    <row r="1036" spans="1:12" x14ac:dyDescent="0.25">
      <c r="A1036">
        <v>1499</v>
      </c>
      <c r="B1036">
        <v>1031</v>
      </c>
      <c r="C1036">
        <v>1499</v>
      </c>
      <c r="D1036" t="s">
        <v>2780</v>
      </c>
      <c r="E1036" t="str">
        <f>IF(NOT(ISERROR(VLOOKUP(D1036,'ESO DungeonFinder'!$A$2:$A$999,1,FALSE))),"X","")</f>
        <v/>
      </c>
      <c r="F1036" s="70" t="str">
        <f t="shared" si="68"/>
        <v>X</v>
      </c>
      <c r="G1036" s="70" t="str">
        <f t="shared" si="69"/>
        <v/>
      </c>
      <c r="H1036" s="70">
        <f t="shared" si="70"/>
        <v>1499</v>
      </c>
      <c r="I1036" s="70">
        <f t="shared" si="71"/>
        <v>1499</v>
      </c>
      <c r="J1036">
        <v>18</v>
      </c>
      <c r="K1036" s="3" t="str">
        <f ca="1">VLOOKUP(J1036,ConstDLCIds!$A$4:$B$1000,2,FALSE)</f>
        <v>DLC_GREYMOOR</v>
      </c>
      <c r="L1036" s="3" t="str">
        <f ca="1">VLOOKUP(J1036,ConstDLCIds!$A$4:$C$1000,3,FALSE)</f>
        <v>Greymoor</v>
      </c>
    </row>
    <row r="1037" spans="1:12" x14ac:dyDescent="0.25">
      <c r="A1037">
        <v>1500</v>
      </c>
      <c r="B1037">
        <v>1032</v>
      </c>
      <c r="C1037">
        <v>1161</v>
      </c>
      <c r="D1037" t="s">
        <v>3045</v>
      </c>
      <c r="E1037" t="str">
        <f>IF(NOT(ISERROR(VLOOKUP(D1037,'ESO DungeonFinder'!$A$2:$A$999,1,FALSE))),"X","")</f>
        <v/>
      </c>
      <c r="F1037" s="70" t="str">
        <f t="shared" si="68"/>
        <v/>
      </c>
      <c r="G1037" s="70" t="str">
        <f t="shared" si="69"/>
        <v>Blackreach: Greymoor Caverns</v>
      </c>
      <c r="H1037" s="70">
        <f t="shared" si="70"/>
        <v>1500</v>
      </c>
      <c r="I1037" s="70">
        <f t="shared" si="71"/>
        <v>1161</v>
      </c>
      <c r="J1037">
        <v>0</v>
      </c>
      <c r="K1037" s="3" t="str">
        <f>VLOOKUP(J1037,ConstDLCIds!$A$4:$B$1000,2,FALSE)</f>
        <v>DLC_BASE_GAME</v>
      </c>
      <c r="L1037" s="3" t="str">
        <f>VLOOKUP(J1037,ConstDLCIds!$A$4:$C$1000,3,FALSE)</f>
        <v>Included in base game</v>
      </c>
    </row>
    <row r="1038" spans="1:12" x14ac:dyDescent="0.25">
      <c r="A1038">
        <v>1501</v>
      </c>
      <c r="B1038">
        <v>1033</v>
      </c>
      <c r="C1038">
        <v>103</v>
      </c>
      <c r="D1038" t="s">
        <v>3046</v>
      </c>
      <c r="E1038" t="str">
        <f>IF(NOT(ISERROR(VLOOKUP(D1038,'ESO DungeonFinder'!$A$2:$A$999,1,FALSE))),"X","")</f>
        <v/>
      </c>
      <c r="F1038" s="70" t="str">
        <f t="shared" si="68"/>
        <v/>
      </c>
      <c r="G1038" s="70" t="str">
        <f t="shared" si="69"/>
        <v>The Rift</v>
      </c>
      <c r="H1038" s="70">
        <f t="shared" si="70"/>
        <v>1501</v>
      </c>
      <c r="I1038" s="70">
        <f t="shared" si="71"/>
        <v>103</v>
      </c>
      <c r="J1038">
        <v>38</v>
      </c>
      <c r="K1038" s="3" t="str">
        <f ca="1">VLOOKUP(J1038,ConstDLCIds!$A$4:$B$1000,2,FALSE)</f>
        <v>DLC_SEASONS_OF_THE_WORMCULT1</v>
      </c>
      <c r="L1038" s="3" t="str">
        <f ca="1">VLOOKUP(J1038,ConstDLCIds!$A$4:$C$1000,3,FALSE)</f>
        <v>Seasons of the Wormcult Part 1</v>
      </c>
    </row>
    <row r="1039" spans="1:12" x14ac:dyDescent="0.25">
      <c r="A1039">
        <v>1502</v>
      </c>
      <c r="B1039">
        <v>1034</v>
      </c>
      <c r="C1039">
        <v>1502</v>
      </c>
      <c r="D1039" t="s">
        <v>2036</v>
      </c>
      <c r="E1039" t="str">
        <f>IF(NOT(ISERROR(VLOOKUP(D1039,'ESO DungeonFinder'!$A$2:$A$999,1,FALSE))),"X","")</f>
        <v/>
      </c>
      <c r="F1039" s="70" t="str">
        <f t="shared" si="68"/>
        <v>X</v>
      </c>
      <c r="G1039" s="70" t="str">
        <f t="shared" si="69"/>
        <v/>
      </c>
      <c r="H1039" s="70">
        <f t="shared" si="70"/>
        <v>1502</v>
      </c>
      <c r="I1039" s="70">
        <f t="shared" si="71"/>
        <v>1502</v>
      </c>
      <c r="J1039">
        <v>36</v>
      </c>
      <c r="K1039" s="3" t="str">
        <f ca="1">VLOOKUP(J1039,ConstDLCIds!$A$4:$B$1000,2,FALSE)</f>
        <v>NO_DLC_UPDATE44</v>
      </c>
      <c r="L1039" s="3" t="str">
        <f ca="1">VLOOKUP(J1039,ConstDLCIds!$A$4:$C$1000,3,FALSE)</f>
        <v>Patch 44, BG changes, QOL and other</v>
      </c>
    </row>
    <row r="1040" spans="1:12" x14ac:dyDescent="0.25">
      <c r="A1040">
        <v>1504</v>
      </c>
      <c r="B1040">
        <v>1035</v>
      </c>
      <c r="C1040">
        <v>1504</v>
      </c>
      <c r="D1040" t="s">
        <v>3047</v>
      </c>
      <c r="E1040" t="str">
        <f>IF(NOT(ISERROR(VLOOKUP(D1040,'ESO DungeonFinder'!$A$2:$A$999,1,FALSE))),"X","")</f>
        <v/>
      </c>
      <c r="F1040" s="70" t="str">
        <f t="shared" si="68"/>
        <v>X</v>
      </c>
      <c r="G1040" s="70" t="str">
        <f t="shared" si="69"/>
        <v/>
      </c>
      <c r="H1040" s="70">
        <f t="shared" si="70"/>
        <v>1504</v>
      </c>
      <c r="I1040" s="70">
        <f t="shared" si="71"/>
        <v>1504</v>
      </c>
      <c r="J1040">
        <v>37</v>
      </c>
      <c r="K1040" s="3" t="str">
        <f ca="1">VLOOKUP(J1040,ConstDLCIds!$A$4:$B$1000,2,FALSE)</f>
        <v>DLC_FALLEN_BANNERS</v>
      </c>
      <c r="L1040" s="3" t="str">
        <f ca="1">VLOOKUP(J1040,ConstDLCIds!$A$4:$C$1000,3,FALSE)</f>
        <v>Fallen Banners</v>
      </c>
    </row>
    <row r="1041" spans="1:12" x14ac:dyDescent="0.25">
      <c r="A1041">
        <v>1505</v>
      </c>
      <c r="B1041">
        <v>1036</v>
      </c>
      <c r="C1041">
        <v>20</v>
      </c>
      <c r="D1041" t="s">
        <v>3048</v>
      </c>
      <c r="E1041" t="str">
        <f>IF(NOT(ISERROR(VLOOKUP(D1041,'ESO DungeonFinder'!$A$2:$A$999,1,FALSE))),"X","")</f>
        <v/>
      </c>
      <c r="F1041" s="70" t="str">
        <f t="shared" si="68"/>
        <v/>
      </c>
      <c r="G1041" s="70" t="str">
        <f t="shared" si="69"/>
        <v>Rivenspire</v>
      </c>
      <c r="H1041" s="70">
        <f t="shared" si="70"/>
        <v>1505</v>
      </c>
      <c r="I1041" s="70">
        <f t="shared" si="71"/>
        <v>20</v>
      </c>
      <c r="J1041">
        <v>37</v>
      </c>
      <c r="K1041" s="3" t="str">
        <f ca="1">VLOOKUP(J1041,ConstDLCIds!$A$4:$B$1000,2,FALSE)</f>
        <v>DLC_FALLEN_BANNERS</v>
      </c>
      <c r="L1041" s="3" t="str">
        <f ca="1">VLOOKUP(J1041,ConstDLCIds!$A$4:$C$1000,3,FALSE)</f>
        <v>Fallen Banners</v>
      </c>
    </row>
    <row r="1042" spans="1:12" x14ac:dyDescent="0.25">
      <c r="A1042">
        <v>1506</v>
      </c>
      <c r="B1042">
        <v>1037</v>
      </c>
      <c r="C1042">
        <v>20</v>
      </c>
      <c r="D1042" t="s">
        <v>3049</v>
      </c>
      <c r="E1042" t="str">
        <f>IF(NOT(ISERROR(VLOOKUP(D1042,'ESO DungeonFinder'!$A$2:$A$999,1,FALSE))),"X","")</f>
        <v/>
      </c>
      <c r="F1042" s="70" t="str">
        <f t="shared" si="68"/>
        <v/>
      </c>
      <c r="G1042" s="70" t="str">
        <f t="shared" si="69"/>
        <v>Rivenspire</v>
      </c>
      <c r="H1042" s="70">
        <f t="shared" si="70"/>
        <v>1506</v>
      </c>
      <c r="I1042" s="70">
        <f t="shared" si="71"/>
        <v>20</v>
      </c>
      <c r="J1042">
        <v>37</v>
      </c>
      <c r="K1042" s="3" t="str">
        <f ca="1">VLOOKUP(J1042,ConstDLCIds!$A$4:$B$1000,2,FALSE)</f>
        <v>DLC_FALLEN_BANNERS</v>
      </c>
      <c r="L1042" s="3" t="str">
        <f ca="1">VLOOKUP(J1042,ConstDLCIds!$A$4:$C$1000,3,FALSE)</f>
        <v>Fallen Banners</v>
      </c>
    </row>
    <row r="1043" spans="1:12" x14ac:dyDescent="0.25">
      <c r="A1043">
        <v>1507</v>
      </c>
      <c r="B1043">
        <v>1038</v>
      </c>
      <c r="C1043">
        <v>208</v>
      </c>
      <c r="D1043" t="s">
        <v>554</v>
      </c>
      <c r="E1043" t="str">
        <f>IF(NOT(ISERROR(VLOOKUP(D1043,'ESO DungeonFinder'!$A$2:$A$999,1,FALSE))),"X","")</f>
        <v/>
      </c>
      <c r="F1043" s="70" t="str">
        <f t="shared" si="68"/>
        <v/>
      </c>
      <c r="G1043" s="70" t="str">
        <f t="shared" si="69"/>
        <v>The Earth Forge</v>
      </c>
      <c r="H1043" s="70">
        <f t="shared" si="70"/>
        <v>1507</v>
      </c>
      <c r="I1043" s="70">
        <f t="shared" si="71"/>
        <v>208</v>
      </c>
      <c r="J1043">
        <v>37</v>
      </c>
      <c r="K1043" s="3" t="str">
        <f ca="1">VLOOKUP(J1043,ConstDLCIds!$A$4:$B$1000,2,FALSE)</f>
        <v>DLC_FALLEN_BANNERS</v>
      </c>
      <c r="L1043" s="3" t="str">
        <f ca="1">VLOOKUP(J1043,ConstDLCIds!$A$4:$C$1000,3,FALSE)</f>
        <v>Fallen Banners</v>
      </c>
    </row>
    <row r="1044" spans="1:12" x14ac:dyDescent="0.25">
      <c r="A1044">
        <v>1508</v>
      </c>
      <c r="B1044">
        <v>1039</v>
      </c>
      <c r="C1044">
        <v>1508</v>
      </c>
      <c r="D1044" t="s">
        <v>2479</v>
      </c>
      <c r="E1044" t="str">
        <f>IF(NOT(ISERROR(VLOOKUP(D1044,'ESO DungeonFinder'!$A$2:$A$999,1,FALSE))),"X","")</f>
        <v/>
      </c>
      <c r="F1044" s="70" t="str">
        <f t="shared" si="68"/>
        <v>X</v>
      </c>
      <c r="G1044" s="70" t="str">
        <f t="shared" si="69"/>
        <v/>
      </c>
      <c r="H1044" s="70">
        <f t="shared" si="70"/>
        <v>1508</v>
      </c>
      <c r="I1044" s="70">
        <f t="shared" si="71"/>
        <v>1508</v>
      </c>
      <c r="J1044">
        <v>38</v>
      </c>
      <c r="K1044" s="3" t="str">
        <f ca="1">VLOOKUP(J1044,ConstDLCIds!$A$4:$B$1000,2,FALSE)</f>
        <v>DLC_SEASONS_OF_THE_WORMCULT1</v>
      </c>
      <c r="L1044" s="3" t="str">
        <f ca="1">VLOOKUP(J1044,ConstDLCIds!$A$4:$C$1000,3,FALSE)</f>
        <v>Seasons of the Wormcult Part 1</v>
      </c>
    </row>
    <row r="1045" spans="1:12" x14ac:dyDescent="0.25">
      <c r="A1045">
        <v>1509</v>
      </c>
      <c r="B1045">
        <v>1040</v>
      </c>
      <c r="C1045">
        <v>1502</v>
      </c>
      <c r="D1045" t="s">
        <v>3050</v>
      </c>
      <c r="E1045" t="str">
        <f>IF(NOT(ISERROR(VLOOKUP(D1045,'ESO DungeonFinder'!$A$2:$A$999,1,FALSE))),"X","")</f>
        <v/>
      </c>
      <c r="F1045" s="70" t="str">
        <f t="shared" si="68"/>
        <v/>
      </c>
      <c r="G1045" s="70" t="str">
        <f t="shared" si="69"/>
        <v>Solstice</v>
      </c>
      <c r="H1045" s="70">
        <f t="shared" si="70"/>
        <v>1509</v>
      </c>
      <c r="I1045" s="70">
        <f t="shared" si="71"/>
        <v>1502</v>
      </c>
      <c r="J1045">
        <v>38</v>
      </c>
      <c r="K1045" s="3" t="str">
        <f ca="1">VLOOKUP(J1045,ConstDLCIds!$A$4:$B$1000,2,FALSE)</f>
        <v>DLC_SEASONS_OF_THE_WORMCULT1</v>
      </c>
      <c r="L1045" s="3" t="str">
        <f ca="1">VLOOKUP(J1045,ConstDLCIds!$A$4:$C$1000,3,FALSE)</f>
        <v>Seasons of the Wormcult Part 1</v>
      </c>
    </row>
    <row r="1046" spans="1:12" x14ac:dyDescent="0.25">
      <c r="A1046">
        <v>1510</v>
      </c>
      <c r="B1046">
        <v>1041</v>
      </c>
      <c r="C1046">
        <v>1502</v>
      </c>
      <c r="D1046" t="s">
        <v>3051</v>
      </c>
      <c r="E1046" t="str">
        <f>IF(NOT(ISERROR(VLOOKUP(D1046,'ESO DungeonFinder'!$A$2:$A$999,1,FALSE))),"X","")</f>
        <v/>
      </c>
      <c r="F1046" s="70" t="str">
        <f t="shared" si="68"/>
        <v/>
      </c>
      <c r="G1046" s="70" t="str">
        <f t="shared" si="69"/>
        <v>Solstice</v>
      </c>
      <c r="H1046" s="70">
        <f t="shared" si="70"/>
        <v>1510</v>
      </c>
      <c r="I1046" s="70">
        <f t="shared" si="71"/>
        <v>1502</v>
      </c>
      <c r="J1046">
        <v>38</v>
      </c>
      <c r="K1046" s="3" t="str">
        <f ca="1">VLOOKUP(J1046,ConstDLCIds!$A$4:$B$1000,2,FALSE)</f>
        <v>DLC_SEASONS_OF_THE_WORMCULT1</v>
      </c>
      <c r="L1046" s="3" t="str">
        <f ca="1">VLOOKUP(J1046,ConstDLCIds!$A$4:$C$1000,3,FALSE)</f>
        <v>Seasons of the Wormcult Part 1</v>
      </c>
    </row>
    <row r="1047" spans="1:12" x14ac:dyDescent="0.25">
      <c r="A1047">
        <v>1511</v>
      </c>
      <c r="B1047">
        <v>1042</v>
      </c>
      <c r="C1047">
        <v>1502</v>
      </c>
      <c r="D1047" t="s">
        <v>3052</v>
      </c>
      <c r="E1047" t="str">
        <f>IF(NOT(ISERROR(VLOOKUP(D1047,'ESO DungeonFinder'!$A$2:$A$999,1,FALSE))),"X","")</f>
        <v/>
      </c>
      <c r="F1047" s="70" t="str">
        <f t="shared" si="68"/>
        <v/>
      </c>
      <c r="G1047" s="70" t="str">
        <f t="shared" si="69"/>
        <v>Solstice</v>
      </c>
      <c r="H1047" s="70">
        <f t="shared" si="70"/>
        <v>1511</v>
      </c>
      <c r="I1047" s="70">
        <f t="shared" si="71"/>
        <v>1502</v>
      </c>
      <c r="J1047">
        <v>38</v>
      </c>
      <c r="K1047" s="3" t="str">
        <f ca="1">VLOOKUP(J1047,ConstDLCIds!$A$4:$B$1000,2,FALSE)</f>
        <v>DLC_SEASONS_OF_THE_WORMCULT1</v>
      </c>
      <c r="L1047" s="3" t="str">
        <f ca="1">VLOOKUP(J1047,ConstDLCIds!$A$4:$C$1000,3,FALSE)</f>
        <v>Seasons of the Wormcult Part 1</v>
      </c>
    </row>
    <row r="1048" spans="1:12" x14ac:dyDescent="0.25">
      <c r="A1048">
        <v>1512</v>
      </c>
      <c r="B1048">
        <v>1043</v>
      </c>
      <c r="C1048">
        <v>1502</v>
      </c>
      <c r="D1048" t="s">
        <v>2043</v>
      </c>
      <c r="E1048" t="str">
        <f>IF(NOT(ISERROR(VLOOKUP(D1048,'ESO DungeonFinder'!$A$2:$A$999,1,FALSE))),"X","")</f>
        <v/>
      </c>
      <c r="F1048" s="70" t="str">
        <f t="shared" si="68"/>
        <v/>
      </c>
      <c r="G1048" s="70" t="str">
        <f t="shared" si="69"/>
        <v>Solstice</v>
      </c>
      <c r="H1048" s="70">
        <f t="shared" si="70"/>
        <v>1512</v>
      </c>
      <c r="I1048" s="70">
        <f t="shared" si="71"/>
        <v>1502</v>
      </c>
      <c r="J1048">
        <v>38</v>
      </c>
      <c r="K1048" s="3" t="str">
        <f ca="1">VLOOKUP(J1048,ConstDLCIds!$A$4:$B$1000,2,FALSE)</f>
        <v>DLC_SEASONS_OF_THE_WORMCULT1</v>
      </c>
      <c r="L1048" s="3" t="str">
        <f ca="1">VLOOKUP(J1048,ConstDLCIds!$A$4:$C$1000,3,FALSE)</f>
        <v>Seasons of the Wormcult Part 1</v>
      </c>
    </row>
    <row r="1049" spans="1:12" x14ac:dyDescent="0.25">
      <c r="A1049">
        <v>1513</v>
      </c>
      <c r="B1049">
        <v>1044</v>
      </c>
      <c r="C1049">
        <v>1502</v>
      </c>
      <c r="D1049" t="s">
        <v>2058</v>
      </c>
      <c r="E1049" t="str">
        <f>IF(NOT(ISERROR(VLOOKUP(D1049,'ESO DungeonFinder'!$A$2:$A$999,1,FALSE))),"X","")</f>
        <v/>
      </c>
      <c r="F1049" s="70" t="str">
        <f t="shared" si="68"/>
        <v/>
      </c>
      <c r="G1049" s="70" t="str">
        <f t="shared" si="69"/>
        <v>Solstice</v>
      </c>
      <c r="H1049" s="70">
        <f t="shared" si="70"/>
        <v>1513</v>
      </c>
      <c r="I1049" s="70">
        <f t="shared" si="71"/>
        <v>1502</v>
      </c>
      <c r="J1049">
        <v>38</v>
      </c>
      <c r="K1049" s="3" t="str">
        <f ca="1">VLOOKUP(J1049,ConstDLCIds!$A$4:$B$1000,2,FALSE)</f>
        <v>DLC_SEASONS_OF_THE_WORMCULT1</v>
      </c>
      <c r="L1049" s="3" t="str">
        <f ca="1">VLOOKUP(J1049,ConstDLCIds!$A$4:$C$1000,3,FALSE)</f>
        <v>Seasons of the Wormcult Part 1</v>
      </c>
    </row>
    <row r="1050" spans="1:12" x14ac:dyDescent="0.25">
      <c r="A1050">
        <v>1514</v>
      </c>
      <c r="B1050">
        <v>1045</v>
      </c>
      <c r="C1050">
        <v>1502</v>
      </c>
      <c r="D1050" t="s">
        <v>3053</v>
      </c>
      <c r="E1050" t="str">
        <f>IF(NOT(ISERROR(VLOOKUP(D1050,'ESO DungeonFinder'!$A$2:$A$999,1,FALSE))),"X","")</f>
        <v/>
      </c>
      <c r="F1050" s="70" t="str">
        <f t="shared" si="68"/>
        <v/>
      </c>
      <c r="G1050" s="70" t="str">
        <f t="shared" si="69"/>
        <v>Solstice</v>
      </c>
      <c r="H1050" s="70">
        <f t="shared" si="70"/>
        <v>1514</v>
      </c>
      <c r="I1050" s="70">
        <f t="shared" si="71"/>
        <v>1502</v>
      </c>
      <c r="J1050">
        <v>38</v>
      </c>
      <c r="K1050" s="3" t="str">
        <f ca="1">VLOOKUP(J1050,ConstDLCIds!$A$4:$B$1000,2,FALSE)</f>
        <v>DLC_SEASONS_OF_THE_WORMCULT1</v>
      </c>
      <c r="L1050" s="3" t="str">
        <f ca="1">VLOOKUP(J1050,ConstDLCIds!$A$4:$C$1000,3,FALSE)</f>
        <v>Seasons of the Wormcult Part 1</v>
      </c>
    </row>
    <row r="1051" spans="1:12" x14ac:dyDescent="0.25">
      <c r="A1051">
        <v>1515</v>
      </c>
      <c r="B1051">
        <v>1046</v>
      </c>
      <c r="C1051">
        <v>1502</v>
      </c>
      <c r="D1051" t="s">
        <v>3054</v>
      </c>
      <c r="E1051" t="str">
        <f>IF(NOT(ISERROR(VLOOKUP(D1051,'ESO DungeonFinder'!$A$2:$A$999,1,FALSE))),"X","")</f>
        <v/>
      </c>
      <c r="F1051" s="70" t="str">
        <f t="shared" si="68"/>
        <v/>
      </c>
      <c r="G1051" s="70" t="str">
        <f t="shared" si="69"/>
        <v>Solstice</v>
      </c>
      <c r="H1051" s="70">
        <f t="shared" si="70"/>
        <v>1515</v>
      </c>
      <c r="I1051" s="70">
        <f t="shared" si="71"/>
        <v>1502</v>
      </c>
      <c r="J1051">
        <v>38</v>
      </c>
      <c r="K1051" s="3" t="str">
        <f ca="1">VLOOKUP(J1051,ConstDLCIds!$A$4:$B$1000,2,FALSE)</f>
        <v>DLC_SEASONS_OF_THE_WORMCULT1</v>
      </c>
      <c r="L1051" s="3" t="str">
        <f ca="1">VLOOKUP(J1051,ConstDLCIds!$A$4:$C$1000,3,FALSE)</f>
        <v>Seasons of the Wormcult Part 1</v>
      </c>
    </row>
    <row r="1052" spans="1:12" x14ac:dyDescent="0.25">
      <c r="A1052">
        <v>1516</v>
      </c>
      <c r="B1052">
        <v>1047</v>
      </c>
      <c r="C1052">
        <v>1502</v>
      </c>
      <c r="D1052" t="s">
        <v>3055</v>
      </c>
      <c r="E1052" t="str">
        <f>IF(NOT(ISERROR(VLOOKUP(D1052,'ESO DungeonFinder'!$A$2:$A$999,1,FALSE))),"X","")</f>
        <v/>
      </c>
      <c r="F1052" s="70" t="str">
        <f t="shared" si="68"/>
        <v/>
      </c>
      <c r="G1052" s="70" t="str">
        <f t="shared" si="69"/>
        <v>Solstice</v>
      </c>
      <c r="H1052" s="70">
        <f t="shared" si="70"/>
        <v>1516</v>
      </c>
      <c r="I1052" s="70">
        <f t="shared" si="71"/>
        <v>1502</v>
      </c>
      <c r="J1052">
        <v>38</v>
      </c>
      <c r="K1052" s="3" t="str">
        <f ca="1">VLOOKUP(J1052,ConstDLCIds!$A$4:$B$1000,2,FALSE)</f>
        <v>DLC_SEASONS_OF_THE_WORMCULT1</v>
      </c>
      <c r="L1052" s="3" t="str">
        <f ca="1">VLOOKUP(J1052,ConstDLCIds!$A$4:$C$1000,3,FALSE)</f>
        <v>Seasons of the Wormcult Part 1</v>
      </c>
    </row>
    <row r="1053" spans="1:12" x14ac:dyDescent="0.25">
      <c r="A1053">
        <v>1517</v>
      </c>
      <c r="B1053">
        <v>1048</v>
      </c>
      <c r="C1053">
        <v>1502</v>
      </c>
      <c r="D1053" t="s">
        <v>3056</v>
      </c>
      <c r="E1053" t="str">
        <f>IF(NOT(ISERROR(VLOOKUP(D1053,'ESO DungeonFinder'!$A$2:$A$999,1,FALSE))),"X","")</f>
        <v/>
      </c>
      <c r="F1053" s="70" t="str">
        <f t="shared" si="68"/>
        <v/>
      </c>
      <c r="G1053" s="70" t="str">
        <f t="shared" si="69"/>
        <v>Solstice</v>
      </c>
      <c r="H1053" s="70">
        <f t="shared" si="70"/>
        <v>1517</v>
      </c>
      <c r="I1053" s="70">
        <f t="shared" si="71"/>
        <v>1502</v>
      </c>
      <c r="J1053">
        <v>38</v>
      </c>
      <c r="K1053" s="3" t="str">
        <f ca="1">VLOOKUP(J1053,ConstDLCIds!$A$4:$B$1000,2,FALSE)</f>
        <v>DLC_SEASONS_OF_THE_WORMCULT1</v>
      </c>
      <c r="L1053" s="3" t="str">
        <f ca="1">VLOOKUP(J1053,ConstDLCIds!$A$4:$C$1000,3,FALSE)</f>
        <v>Seasons of the Wormcult Part 1</v>
      </c>
    </row>
    <row r="1054" spans="1:12" x14ac:dyDescent="0.25">
      <c r="A1054">
        <v>1518</v>
      </c>
      <c r="B1054">
        <v>1049</v>
      </c>
      <c r="C1054">
        <v>1502</v>
      </c>
      <c r="D1054" t="s">
        <v>3057</v>
      </c>
      <c r="E1054" t="str">
        <f>IF(NOT(ISERROR(VLOOKUP(D1054,'ESO DungeonFinder'!$A$2:$A$999,1,FALSE))),"X","")</f>
        <v/>
      </c>
      <c r="F1054" s="70" t="str">
        <f t="shared" si="68"/>
        <v/>
      </c>
      <c r="G1054" s="70" t="str">
        <f t="shared" si="69"/>
        <v>Solstice</v>
      </c>
      <c r="H1054" s="70">
        <f t="shared" si="70"/>
        <v>1518</v>
      </c>
      <c r="I1054" s="70">
        <f t="shared" si="71"/>
        <v>1502</v>
      </c>
      <c r="J1054">
        <v>38</v>
      </c>
      <c r="K1054" s="3" t="str">
        <f ca="1">VLOOKUP(J1054,ConstDLCIds!$A$4:$B$1000,2,FALSE)</f>
        <v>DLC_SEASONS_OF_THE_WORMCULT1</v>
      </c>
      <c r="L1054" s="3" t="str">
        <f ca="1">VLOOKUP(J1054,ConstDLCIds!$A$4:$C$1000,3,FALSE)</f>
        <v>Seasons of the Wormcult Part 1</v>
      </c>
    </row>
    <row r="1055" spans="1:12" x14ac:dyDescent="0.25">
      <c r="A1055">
        <v>1520</v>
      </c>
      <c r="B1055">
        <v>1050</v>
      </c>
      <c r="C1055">
        <v>1502</v>
      </c>
      <c r="D1055" t="s">
        <v>3058</v>
      </c>
      <c r="E1055" t="str">
        <f>IF(NOT(ISERROR(VLOOKUP(D1055,'ESO DungeonFinder'!$A$2:$A$999,1,FALSE))),"X","")</f>
        <v/>
      </c>
      <c r="F1055" s="70" t="str">
        <f t="shared" si="68"/>
        <v/>
      </c>
      <c r="G1055" s="70" t="str">
        <f t="shared" si="69"/>
        <v>Solstice</v>
      </c>
      <c r="H1055" s="70">
        <f t="shared" si="70"/>
        <v>1520</v>
      </c>
      <c r="I1055" s="70">
        <f t="shared" si="71"/>
        <v>1502</v>
      </c>
      <c r="J1055">
        <v>38</v>
      </c>
      <c r="K1055" s="3" t="str">
        <f ca="1">VLOOKUP(J1055,ConstDLCIds!$A$4:$B$1000,2,FALSE)</f>
        <v>DLC_SEASONS_OF_THE_WORMCULT1</v>
      </c>
      <c r="L1055" s="3" t="str">
        <f ca="1">VLOOKUP(J1055,ConstDLCIds!$A$4:$C$1000,3,FALSE)</f>
        <v>Seasons of the Wormcult Part 1</v>
      </c>
    </row>
    <row r="1056" spans="1:12" x14ac:dyDescent="0.25">
      <c r="A1056">
        <v>1521</v>
      </c>
      <c r="B1056">
        <v>1051</v>
      </c>
      <c r="C1056">
        <v>1502</v>
      </c>
      <c r="D1056" t="s">
        <v>2501</v>
      </c>
      <c r="E1056" t="str">
        <f>IF(NOT(ISERROR(VLOOKUP(D1056,'ESO DungeonFinder'!$A$2:$A$999,1,FALSE))),"X","")</f>
        <v/>
      </c>
      <c r="F1056" s="70" t="str">
        <f t="shared" si="68"/>
        <v/>
      </c>
      <c r="G1056" s="70" t="str">
        <f t="shared" si="69"/>
        <v>Solstice</v>
      </c>
      <c r="H1056" s="70">
        <f t="shared" si="70"/>
        <v>1521</v>
      </c>
      <c r="I1056" s="70">
        <f t="shared" si="71"/>
        <v>1502</v>
      </c>
      <c r="J1056">
        <v>38</v>
      </c>
      <c r="K1056" s="3" t="str">
        <f ca="1">VLOOKUP(J1056,ConstDLCIds!$A$4:$B$1000,2,FALSE)</f>
        <v>DLC_SEASONS_OF_THE_WORMCULT1</v>
      </c>
      <c r="L1056" s="3" t="str">
        <f ca="1">VLOOKUP(J1056,ConstDLCIds!$A$4:$C$1000,3,FALSE)</f>
        <v>Seasons of the Wormcult Part 1</v>
      </c>
    </row>
    <row r="1057" spans="1:12" x14ac:dyDescent="0.25">
      <c r="A1057">
        <v>1522</v>
      </c>
      <c r="B1057">
        <v>1052</v>
      </c>
      <c r="C1057">
        <v>1502</v>
      </c>
      <c r="D1057" t="s">
        <v>3059</v>
      </c>
      <c r="E1057" t="str">
        <f>IF(NOT(ISERROR(VLOOKUP(D1057,'ESO DungeonFinder'!$A$2:$A$999,1,FALSE))),"X","")</f>
        <v/>
      </c>
      <c r="F1057" s="70" t="str">
        <f t="shared" si="68"/>
        <v/>
      </c>
      <c r="G1057" s="70" t="str">
        <f t="shared" si="69"/>
        <v>Solstice</v>
      </c>
      <c r="H1057" s="70">
        <f t="shared" si="70"/>
        <v>1522</v>
      </c>
      <c r="I1057" s="70">
        <f t="shared" si="71"/>
        <v>1502</v>
      </c>
      <c r="J1057">
        <v>38</v>
      </c>
      <c r="K1057" s="3" t="str">
        <f ca="1">VLOOKUP(J1057,ConstDLCIds!$A$4:$B$1000,2,FALSE)</f>
        <v>DLC_SEASONS_OF_THE_WORMCULT1</v>
      </c>
      <c r="L1057" s="3" t="str">
        <f ca="1">VLOOKUP(J1057,ConstDLCIds!$A$4:$C$1000,3,FALSE)</f>
        <v>Seasons of the Wormcult Part 1</v>
      </c>
    </row>
    <row r="1058" spans="1:12" x14ac:dyDescent="0.25">
      <c r="A1058">
        <v>1523</v>
      </c>
      <c r="B1058">
        <v>1053</v>
      </c>
      <c r="C1058">
        <v>1502</v>
      </c>
      <c r="D1058" t="s">
        <v>3060</v>
      </c>
      <c r="E1058" t="str">
        <f>IF(NOT(ISERROR(VLOOKUP(D1058,'ESO DungeonFinder'!$A$2:$A$999,1,FALSE))),"X","")</f>
        <v/>
      </c>
      <c r="F1058" s="70" t="str">
        <f t="shared" si="68"/>
        <v/>
      </c>
      <c r="G1058" s="70" t="str">
        <f t="shared" si="69"/>
        <v>Solstice</v>
      </c>
      <c r="H1058" s="70">
        <f t="shared" si="70"/>
        <v>1523</v>
      </c>
      <c r="I1058" s="70">
        <f t="shared" si="71"/>
        <v>1502</v>
      </c>
      <c r="J1058">
        <v>37</v>
      </c>
      <c r="K1058" s="3" t="str">
        <f ca="1">VLOOKUP(J1058,ConstDLCIds!$A$4:$B$1000,2,FALSE)</f>
        <v>DLC_FALLEN_BANNERS</v>
      </c>
      <c r="L1058" s="3" t="str">
        <f ca="1">VLOOKUP(J1058,ConstDLCIds!$A$4:$C$1000,3,FALSE)</f>
        <v>Fallen Banners</v>
      </c>
    </row>
    <row r="1059" spans="1:12" x14ac:dyDescent="0.25">
      <c r="A1059">
        <v>1524</v>
      </c>
      <c r="B1059">
        <v>1054</v>
      </c>
      <c r="C1059">
        <v>1524</v>
      </c>
      <c r="D1059" t="s">
        <v>3061</v>
      </c>
      <c r="E1059" t="str">
        <f>IF(NOT(ISERROR(VLOOKUP(D1059,'ESO DungeonFinder'!$A$2:$A$999,1,FALSE))),"X","")</f>
        <v/>
      </c>
      <c r="F1059" s="70" t="str">
        <f t="shared" si="68"/>
        <v>X</v>
      </c>
      <c r="G1059" s="70" t="str">
        <f t="shared" si="69"/>
        <v/>
      </c>
      <c r="H1059" s="70">
        <f t="shared" si="70"/>
        <v>1524</v>
      </c>
      <c r="I1059" s="70">
        <f t="shared" si="71"/>
        <v>1524</v>
      </c>
      <c r="J1059">
        <v>37</v>
      </c>
      <c r="K1059" s="3" t="str">
        <f ca="1">VLOOKUP(J1059,ConstDLCIds!$A$4:$B$1000,2,FALSE)</f>
        <v>DLC_FALLEN_BANNERS</v>
      </c>
      <c r="L1059" s="3" t="str">
        <f ca="1">VLOOKUP(J1059,ConstDLCIds!$A$4:$C$1000,3,FALSE)</f>
        <v>Fallen Banners</v>
      </c>
    </row>
    <row r="1060" spans="1:12" x14ac:dyDescent="0.25">
      <c r="A1060">
        <v>1526</v>
      </c>
      <c r="B1060">
        <v>1055</v>
      </c>
      <c r="C1060">
        <v>1502</v>
      </c>
      <c r="D1060" t="s">
        <v>3062</v>
      </c>
      <c r="E1060" t="str">
        <f>IF(NOT(ISERROR(VLOOKUP(D1060,'ESO DungeonFinder'!$A$2:$A$999,1,FALSE))),"X","")</f>
        <v/>
      </c>
      <c r="F1060" s="70" t="str">
        <f t="shared" si="68"/>
        <v/>
      </c>
      <c r="G1060" s="70" t="str">
        <f t="shared" si="69"/>
        <v>Solstice</v>
      </c>
      <c r="H1060" s="70">
        <f t="shared" si="70"/>
        <v>1526</v>
      </c>
      <c r="I1060" s="70">
        <f t="shared" si="71"/>
        <v>1502</v>
      </c>
      <c r="J1060">
        <v>38</v>
      </c>
      <c r="K1060" s="3" t="str">
        <f ca="1">VLOOKUP(J1060,ConstDLCIds!$A$4:$B$1000,2,FALSE)</f>
        <v>DLC_SEASONS_OF_THE_WORMCULT1</v>
      </c>
      <c r="L1060" s="3" t="str">
        <f ca="1">VLOOKUP(J1060,ConstDLCIds!$A$4:$C$1000,3,FALSE)</f>
        <v>Seasons of the Wormcult Part 1</v>
      </c>
    </row>
    <row r="1061" spans="1:12" x14ac:dyDescent="0.25">
      <c r="A1061">
        <v>1527</v>
      </c>
      <c r="B1061">
        <v>1056</v>
      </c>
      <c r="C1061">
        <v>1502</v>
      </c>
      <c r="D1061" t="s">
        <v>3063</v>
      </c>
      <c r="E1061" t="str">
        <f>IF(NOT(ISERROR(VLOOKUP(D1061,'ESO DungeonFinder'!$A$2:$A$999,1,FALSE))),"X","")</f>
        <v/>
      </c>
      <c r="F1061" s="70" t="str">
        <f t="shared" si="68"/>
        <v/>
      </c>
      <c r="G1061" s="70" t="str">
        <f t="shared" si="69"/>
        <v>Solstice</v>
      </c>
      <c r="H1061" s="70">
        <f t="shared" si="70"/>
        <v>1527</v>
      </c>
      <c r="I1061" s="70">
        <f t="shared" si="71"/>
        <v>1502</v>
      </c>
      <c r="J1061">
        <v>38</v>
      </c>
      <c r="K1061" s="3" t="str">
        <f ca="1">VLOOKUP(J1061,ConstDLCIds!$A$4:$B$1000,2,FALSE)</f>
        <v>DLC_SEASONS_OF_THE_WORMCULT1</v>
      </c>
      <c r="L1061" s="3" t="str">
        <f ca="1">VLOOKUP(J1061,ConstDLCIds!$A$4:$C$1000,3,FALSE)</f>
        <v>Seasons of the Wormcult Part 1</v>
      </c>
    </row>
    <row r="1062" spans="1:12" x14ac:dyDescent="0.25">
      <c r="A1062">
        <v>1528</v>
      </c>
      <c r="B1062">
        <v>1057</v>
      </c>
      <c r="C1062">
        <v>1502</v>
      </c>
      <c r="D1062" t="s">
        <v>3064</v>
      </c>
      <c r="E1062" t="str">
        <f>IF(NOT(ISERROR(VLOOKUP(D1062,'ESO DungeonFinder'!$A$2:$A$999,1,FALSE))),"X","")</f>
        <v/>
      </c>
      <c r="F1062" s="70" t="str">
        <f t="shared" si="68"/>
        <v/>
      </c>
      <c r="G1062" s="70" t="str">
        <f t="shared" si="69"/>
        <v>Solstice</v>
      </c>
      <c r="H1062" s="70">
        <f t="shared" si="70"/>
        <v>1528</v>
      </c>
      <c r="I1062" s="70">
        <f t="shared" si="71"/>
        <v>1502</v>
      </c>
      <c r="J1062">
        <v>38</v>
      </c>
      <c r="K1062" s="3" t="str">
        <f ca="1">VLOOKUP(J1062,ConstDLCIds!$A$4:$B$1000,2,FALSE)</f>
        <v>DLC_SEASONS_OF_THE_WORMCULT1</v>
      </c>
      <c r="L1062" s="3" t="str">
        <f ca="1">VLOOKUP(J1062,ConstDLCIds!$A$4:$C$1000,3,FALSE)</f>
        <v>Seasons of the Wormcult Part 1</v>
      </c>
    </row>
    <row r="1063" spans="1:12" x14ac:dyDescent="0.25">
      <c r="A1063">
        <v>1529</v>
      </c>
      <c r="B1063">
        <v>1058</v>
      </c>
      <c r="C1063">
        <v>1502</v>
      </c>
      <c r="D1063" t="s">
        <v>3065</v>
      </c>
      <c r="E1063" t="str">
        <f>IF(NOT(ISERROR(VLOOKUP(D1063,'ESO DungeonFinder'!$A$2:$A$999,1,FALSE))),"X","")</f>
        <v/>
      </c>
      <c r="F1063" s="70" t="str">
        <f t="shared" si="68"/>
        <v/>
      </c>
      <c r="G1063" s="70" t="str">
        <f t="shared" si="69"/>
        <v>Solstice</v>
      </c>
      <c r="H1063" s="70">
        <f t="shared" si="70"/>
        <v>1529</v>
      </c>
      <c r="I1063" s="70">
        <f t="shared" si="71"/>
        <v>1502</v>
      </c>
      <c r="J1063">
        <v>38</v>
      </c>
      <c r="K1063" s="3" t="str">
        <f ca="1">VLOOKUP(J1063,ConstDLCIds!$A$4:$B$1000,2,FALSE)</f>
        <v>DLC_SEASONS_OF_THE_WORMCULT1</v>
      </c>
      <c r="L1063" s="3" t="str">
        <f ca="1">VLOOKUP(J1063,ConstDLCIds!$A$4:$C$1000,3,FALSE)</f>
        <v>Seasons of the Wormcult Part 1</v>
      </c>
    </row>
    <row r="1064" spans="1:12" x14ac:dyDescent="0.25">
      <c r="A1064">
        <v>1530</v>
      </c>
      <c r="B1064">
        <v>1059</v>
      </c>
      <c r="C1064">
        <v>1502</v>
      </c>
      <c r="D1064" t="s">
        <v>2197</v>
      </c>
      <c r="E1064" t="str">
        <f>IF(NOT(ISERROR(VLOOKUP(D1064,'ESO DungeonFinder'!$A$2:$A$999,1,FALSE))),"X","")</f>
        <v/>
      </c>
      <c r="F1064" s="70" t="str">
        <f t="shared" si="68"/>
        <v/>
      </c>
      <c r="G1064" s="70" t="str">
        <f t="shared" si="69"/>
        <v>Solstice</v>
      </c>
      <c r="H1064" s="70">
        <f t="shared" si="70"/>
        <v>1530</v>
      </c>
      <c r="I1064" s="70">
        <f t="shared" si="71"/>
        <v>1502</v>
      </c>
      <c r="J1064">
        <v>38</v>
      </c>
      <c r="K1064" s="3" t="str">
        <f ca="1">VLOOKUP(J1064,ConstDLCIds!$A$4:$B$1000,2,FALSE)</f>
        <v>DLC_SEASONS_OF_THE_WORMCULT1</v>
      </c>
      <c r="L1064" s="3" t="str">
        <f ca="1">VLOOKUP(J1064,ConstDLCIds!$A$4:$C$1000,3,FALSE)</f>
        <v>Seasons of the Wormcult Part 1</v>
      </c>
    </row>
    <row r="1065" spans="1:12" x14ac:dyDescent="0.25">
      <c r="A1065">
        <v>1531</v>
      </c>
      <c r="B1065">
        <v>1060</v>
      </c>
      <c r="C1065">
        <v>1502</v>
      </c>
      <c r="D1065" t="s">
        <v>3066</v>
      </c>
      <c r="E1065" t="str">
        <f>IF(NOT(ISERROR(VLOOKUP(D1065,'ESO DungeonFinder'!$A$2:$A$999,1,FALSE))),"X","")</f>
        <v/>
      </c>
      <c r="F1065" s="70" t="str">
        <f t="shared" si="68"/>
        <v/>
      </c>
      <c r="G1065" s="70" t="str">
        <f t="shared" si="69"/>
        <v>Solstice</v>
      </c>
      <c r="H1065" s="70">
        <f t="shared" si="70"/>
        <v>1531</v>
      </c>
      <c r="I1065" s="70">
        <f t="shared" si="71"/>
        <v>1502</v>
      </c>
      <c r="J1065">
        <v>39</v>
      </c>
      <c r="K1065" s="3" t="str">
        <f ca="1">VLOOKUP(J1065,ConstDLCIds!$A$4:$B$1000,2,FALSE)</f>
        <v>DLC_FEAST_OF_SHADOWS</v>
      </c>
      <c r="L1065" s="3" t="str">
        <f ca="1">VLOOKUP(J1065,ConstDLCIds!$A$4:$C$1000,3,FALSE)</f>
        <v>Feast of Shadows</v>
      </c>
    </row>
    <row r="1066" spans="1:12" x14ac:dyDescent="0.25">
      <c r="A1066">
        <v>1532</v>
      </c>
      <c r="B1066">
        <v>1061</v>
      </c>
      <c r="C1066">
        <v>1502</v>
      </c>
      <c r="D1066" t="s">
        <v>3067</v>
      </c>
      <c r="E1066" t="str">
        <f>IF(NOT(ISERROR(VLOOKUP(D1066,'ESO DungeonFinder'!$A$2:$A$999,1,FALSE))),"X","")</f>
        <v/>
      </c>
      <c r="F1066" s="70" t="str">
        <f t="shared" si="68"/>
        <v/>
      </c>
      <c r="G1066" s="70" t="str">
        <f t="shared" si="69"/>
        <v>Solstice</v>
      </c>
      <c r="H1066" s="70">
        <f t="shared" si="70"/>
        <v>1532</v>
      </c>
      <c r="I1066" s="70">
        <f t="shared" si="71"/>
        <v>1502</v>
      </c>
      <c r="J1066">
        <v>39</v>
      </c>
      <c r="K1066" s="3" t="str">
        <f ca="1">VLOOKUP(J1066,ConstDLCIds!$A$4:$B$1000,2,FALSE)</f>
        <v>DLC_FEAST_OF_SHADOWS</v>
      </c>
      <c r="L1066" s="3" t="str">
        <f ca="1">VLOOKUP(J1066,ConstDLCIds!$A$4:$C$1000,3,FALSE)</f>
        <v>Feast of Shadows</v>
      </c>
    </row>
    <row r="1067" spans="1:12" x14ac:dyDescent="0.25">
      <c r="A1067">
        <v>1533</v>
      </c>
      <c r="B1067">
        <v>1062</v>
      </c>
      <c r="C1067">
        <v>3</v>
      </c>
      <c r="D1067" t="s">
        <v>4301</v>
      </c>
      <c r="E1067" t="str">
        <f>IF(NOT(ISERROR(VLOOKUP(D1067,'ESO DungeonFinder'!$A$2:$A$999,1,FALSE))),"X","")</f>
        <v/>
      </c>
      <c r="F1067" s="70" t="str">
        <f t="shared" si="68"/>
        <v/>
      </c>
      <c r="G1067" s="70" t="str">
        <f t="shared" si="69"/>
        <v>Glenumbra</v>
      </c>
      <c r="H1067" s="70">
        <f t="shared" si="70"/>
        <v>1533</v>
      </c>
      <c r="I1067" s="70">
        <f t="shared" si="71"/>
        <v>3</v>
      </c>
      <c r="J1067">
        <v>39</v>
      </c>
      <c r="K1067" s="3" t="str">
        <f ca="1">VLOOKUP(J1067,ConstDLCIds!$A$4:$B$1000,2,FALSE)</f>
        <v>DLC_FEAST_OF_SHADOWS</v>
      </c>
      <c r="L1067" s="3" t="str">
        <f ca="1">VLOOKUP(J1067,ConstDLCIds!$A$4:$C$1000,3,FALSE)</f>
        <v>Feast of Shadows</v>
      </c>
    </row>
    <row r="1068" spans="1:12" x14ac:dyDescent="0.25">
      <c r="A1068">
        <v>1534</v>
      </c>
      <c r="B1068">
        <v>1063</v>
      </c>
      <c r="C1068">
        <v>1502</v>
      </c>
      <c r="D1068" t="s">
        <v>3068</v>
      </c>
      <c r="E1068" t="str">
        <f>IF(NOT(ISERROR(VLOOKUP(D1068,'ESO DungeonFinder'!$A$2:$A$999,1,FALSE))),"X","")</f>
        <v/>
      </c>
      <c r="F1068" s="70" t="str">
        <f t="shared" si="68"/>
        <v/>
      </c>
      <c r="G1068" s="70" t="str">
        <f t="shared" si="69"/>
        <v>Solstice</v>
      </c>
      <c r="H1068" s="70">
        <f t="shared" si="70"/>
        <v>1534</v>
      </c>
      <c r="I1068" s="70">
        <f t="shared" si="71"/>
        <v>1502</v>
      </c>
      <c r="J1068">
        <v>39</v>
      </c>
      <c r="K1068" s="3" t="str">
        <f ca="1">VLOOKUP(J1068,ConstDLCIds!$A$4:$B$1000,2,FALSE)</f>
        <v>DLC_FEAST_OF_SHADOWS</v>
      </c>
      <c r="L1068" s="3" t="str">
        <f ca="1">VLOOKUP(J1068,ConstDLCIds!$A$4:$C$1000,3,FALSE)</f>
        <v>Feast of Shadows</v>
      </c>
    </row>
    <row r="1069" spans="1:12" x14ac:dyDescent="0.25">
      <c r="A1069">
        <v>1535</v>
      </c>
      <c r="B1069">
        <v>1064</v>
      </c>
      <c r="C1069">
        <v>1502</v>
      </c>
      <c r="D1069" t="s">
        <v>3069</v>
      </c>
      <c r="E1069" t="str">
        <f>IF(NOT(ISERROR(VLOOKUP(D1069,'ESO DungeonFinder'!$A$2:$A$999,1,FALSE))),"X","")</f>
        <v/>
      </c>
      <c r="F1069" s="70" t="str">
        <f t="shared" si="68"/>
        <v/>
      </c>
      <c r="G1069" s="70" t="str">
        <f t="shared" si="69"/>
        <v>Solstice</v>
      </c>
      <c r="H1069" s="70">
        <f t="shared" si="70"/>
        <v>1535</v>
      </c>
      <c r="I1069" s="70">
        <f t="shared" si="71"/>
        <v>1502</v>
      </c>
      <c r="J1069">
        <v>39</v>
      </c>
      <c r="K1069" s="3" t="str">
        <f ca="1">VLOOKUP(J1069,ConstDLCIds!$A$4:$B$1000,2,FALSE)</f>
        <v>DLC_FEAST_OF_SHADOWS</v>
      </c>
      <c r="L1069" s="3" t="str">
        <f ca="1">VLOOKUP(J1069,ConstDLCIds!$A$4:$C$1000,3,FALSE)</f>
        <v>Feast of Shadows</v>
      </c>
    </row>
    <row r="1070" spans="1:12" x14ac:dyDescent="0.25">
      <c r="A1070">
        <v>1536</v>
      </c>
      <c r="B1070">
        <v>1065</v>
      </c>
      <c r="C1070">
        <v>3</v>
      </c>
      <c r="D1070" t="s">
        <v>4319</v>
      </c>
      <c r="E1070" t="str">
        <f>IF(NOT(ISERROR(VLOOKUP(D1070,'ESO DungeonFinder'!$A$2:$A$999,1,FALSE))),"X","")</f>
        <v/>
      </c>
      <c r="F1070" s="70" t="str">
        <f t="shared" si="68"/>
        <v/>
      </c>
      <c r="G1070" s="70" t="str">
        <f t="shared" si="69"/>
        <v>Glenumbra</v>
      </c>
      <c r="H1070" s="70">
        <f t="shared" si="70"/>
        <v>1536</v>
      </c>
      <c r="I1070" s="70">
        <f t="shared" si="71"/>
        <v>3</v>
      </c>
      <c r="J1070">
        <v>39</v>
      </c>
      <c r="K1070" s="3" t="str">
        <f ca="1">VLOOKUP(J1070,ConstDLCIds!$A$4:$B$1000,2,FALSE)</f>
        <v>DLC_FEAST_OF_SHADOWS</v>
      </c>
      <c r="L1070" s="3" t="str">
        <f ca="1">VLOOKUP(J1070,ConstDLCIds!$A$4:$C$1000,3,FALSE)</f>
        <v>Feast of Shadows</v>
      </c>
    </row>
    <row r="1071" spans="1:12" x14ac:dyDescent="0.25">
      <c r="A1071">
        <v>1537</v>
      </c>
      <c r="B1071">
        <v>1066</v>
      </c>
      <c r="C1071">
        <v>1502</v>
      </c>
      <c r="D1071" t="s">
        <v>3070</v>
      </c>
      <c r="E1071" t="str">
        <f>IF(NOT(ISERROR(VLOOKUP(D1071,'ESO DungeonFinder'!$A$2:$A$999,1,FALSE))),"X","")</f>
        <v/>
      </c>
      <c r="F1071" s="70" t="str">
        <f t="shared" si="68"/>
        <v/>
      </c>
      <c r="G1071" s="70" t="str">
        <f t="shared" si="69"/>
        <v>Solstice</v>
      </c>
      <c r="H1071" s="70">
        <f t="shared" si="70"/>
        <v>1537</v>
      </c>
      <c r="I1071" s="70">
        <f t="shared" si="71"/>
        <v>1502</v>
      </c>
      <c r="J1071">
        <v>40</v>
      </c>
      <c r="K1071" s="3" t="str">
        <f ca="1">VLOOKUP(J1071,ConstDLCIds!$A$4:$B$1000,2,FALSE)</f>
        <v>DLC_SEASONS_OF_THE_WORMCULT2</v>
      </c>
      <c r="L1071" s="3" t="str">
        <f ca="1">VLOOKUP(J1071,ConstDLCIds!$A$4:$C$1000,3,FALSE)</f>
        <v>Seasons of the Wormcult Part 2</v>
      </c>
    </row>
    <row r="1072" spans="1:12" x14ac:dyDescent="0.25">
      <c r="A1072">
        <v>1538</v>
      </c>
      <c r="B1072">
        <v>1067</v>
      </c>
      <c r="C1072">
        <v>19</v>
      </c>
      <c r="D1072" t="s">
        <v>4320</v>
      </c>
      <c r="E1072" t="str">
        <f>IF(NOT(ISERROR(VLOOKUP(D1072,'ESO DungeonFinder'!$A$2:$A$999,1,FALSE))),"X","")</f>
        <v/>
      </c>
      <c r="F1072" s="70" t="str">
        <f t="shared" si="68"/>
        <v/>
      </c>
      <c r="G1072" s="70" t="str">
        <f t="shared" si="69"/>
        <v>Stormhaven</v>
      </c>
      <c r="H1072" s="70">
        <f t="shared" si="70"/>
        <v>1538</v>
      </c>
      <c r="I1072" s="70">
        <f t="shared" si="71"/>
        <v>19</v>
      </c>
      <c r="J1072">
        <v>40</v>
      </c>
      <c r="K1072" s="3" t="str">
        <f ca="1">VLOOKUP(J1072,ConstDLCIds!$A$4:$B$1000,2,FALSE)</f>
        <v>DLC_SEASONS_OF_THE_WORMCULT2</v>
      </c>
      <c r="L1072" s="3" t="str">
        <f ca="1">VLOOKUP(J1072,ConstDLCIds!$A$4:$C$1000,3,FALSE)</f>
        <v>Seasons of the Wormcult Part 2</v>
      </c>
    </row>
    <row r="1073" spans="1:12" x14ac:dyDescent="0.25">
      <c r="A1073">
        <v>1546</v>
      </c>
      <c r="B1073">
        <v>1068</v>
      </c>
      <c r="C1073">
        <v>1282</v>
      </c>
      <c r="D1073" t="s">
        <v>3071</v>
      </c>
      <c r="E1073" t="str">
        <f>IF(NOT(ISERROR(VLOOKUP(D1073,'ESO DungeonFinder'!$A$2:$A$999,1,FALSE))),"X","")</f>
        <v/>
      </c>
      <c r="F1073" s="70" t="str">
        <f t="shared" si="68"/>
        <v/>
      </c>
      <c r="G1073" s="70" t="str">
        <f t="shared" si="69"/>
        <v>Fargrave</v>
      </c>
      <c r="H1073" s="70">
        <f t="shared" si="70"/>
        <v>1546</v>
      </c>
      <c r="I1073" s="70">
        <f t="shared" si="71"/>
        <v>1282</v>
      </c>
      <c r="J1073">
        <v>40</v>
      </c>
      <c r="K1073" s="3" t="str">
        <f ca="1">VLOOKUP(J1073,ConstDLCIds!$A$4:$B$1000,2,FALSE)</f>
        <v>DLC_SEASONS_OF_THE_WORMCULT2</v>
      </c>
      <c r="L1073" s="3" t="str">
        <f ca="1">VLOOKUP(J1073,ConstDLCIds!$A$4:$C$1000,3,FALSE)</f>
        <v>Seasons of the Wormcult Part 2</v>
      </c>
    </row>
    <row r="1074" spans="1:12" x14ac:dyDescent="0.25">
      <c r="A1074">
        <v>1547</v>
      </c>
      <c r="B1074">
        <v>1069</v>
      </c>
      <c r="C1074">
        <v>1443</v>
      </c>
      <c r="D1074" t="s">
        <v>3072</v>
      </c>
      <c r="E1074" t="str">
        <f>IF(NOT(ISERROR(VLOOKUP(D1074,'ESO DungeonFinder'!$A$2:$A$999,1,FALSE))),"X","")</f>
        <v/>
      </c>
      <c r="F1074" s="70" t="str">
        <f t="shared" si="68"/>
        <v/>
      </c>
      <c r="G1074" s="70" t="str">
        <f t="shared" si="69"/>
        <v>West Weald</v>
      </c>
      <c r="H1074" s="70">
        <f t="shared" si="70"/>
        <v>1547</v>
      </c>
      <c r="I1074" s="70">
        <f t="shared" si="71"/>
        <v>1443</v>
      </c>
      <c r="J1074">
        <v>40</v>
      </c>
      <c r="K1074" s="3" t="str">
        <f ca="1">VLOOKUP(J1074,ConstDLCIds!$A$4:$B$1000,2,FALSE)</f>
        <v>DLC_SEASONS_OF_THE_WORMCULT2</v>
      </c>
      <c r="L1074" s="3" t="str">
        <f ca="1">VLOOKUP(J1074,ConstDLCIds!$A$4:$C$1000,3,FALSE)</f>
        <v>Seasons of the Wormcult Part 2</v>
      </c>
    </row>
    <row r="1075" spans="1:12" x14ac:dyDescent="0.25">
      <c r="A1075">
        <v>1548</v>
      </c>
      <c r="B1075">
        <v>1070</v>
      </c>
      <c r="C1075">
        <v>1502</v>
      </c>
      <c r="D1075" t="s">
        <v>2064</v>
      </c>
      <c r="E1075" t="str">
        <f>IF(NOT(ISERROR(VLOOKUP(D1075,'ESO DungeonFinder'!$A$2:$A$999,1,FALSE))),"X","")</f>
        <v/>
      </c>
      <c r="F1075" s="70" t="str">
        <f t="shared" si="68"/>
        <v/>
      </c>
      <c r="G1075" s="70" t="str">
        <f t="shared" si="69"/>
        <v>Solstice</v>
      </c>
      <c r="H1075" s="70">
        <f t="shared" si="70"/>
        <v>1548</v>
      </c>
      <c r="I1075" s="70">
        <f t="shared" si="71"/>
        <v>1502</v>
      </c>
      <c r="J1075">
        <v>40</v>
      </c>
      <c r="K1075" s="3" t="str">
        <f ca="1">VLOOKUP(J1075,ConstDLCIds!$A$4:$B$1000,2,FALSE)</f>
        <v>DLC_SEASONS_OF_THE_WORMCULT2</v>
      </c>
      <c r="L1075" s="3" t="str">
        <f ca="1">VLOOKUP(J1075,ConstDLCIds!$A$4:$C$1000,3,FALSE)</f>
        <v>Seasons of the Wormcult Part 2</v>
      </c>
    </row>
    <row r="1076" spans="1:12" x14ac:dyDescent="0.25">
      <c r="A1076">
        <v>1551</v>
      </c>
      <c r="B1076">
        <v>1071</v>
      </c>
      <c r="C1076">
        <v>1502</v>
      </c>
      <c r="D1076" t="s">
        <v>2077</v>
      </c>
      <c r="E1076" t="str">
        <f>IF(NOT(ISERROR(VLOOKUP(D1076,'ESO DungeonFinder'!$A$2:$A$999,1,FALSE))),"X","")</f>
        <v>X</v>
      </c>
      <c r="F1076" s="70" t="str">
        <f t="shared" si="68"/>
        <v/>
      </c>
      <c r="G1076" s="70" t="str">
        <f t="shared" si="69"/>
        <v>Solstice</v>
      </c>
      <c r="H1076" s="70">
        <f t="shared" si="70"/>
        <v>1551</v>
      </c>
      <c r="I1076" s="70">
        <f t="shared" si="71"/>
        <v>1502</v>
      </c>
      <c r="J1076">
        <v>40</v>
      </c>
      <c r="K1076" s="3" t="str">
        <f ca="1">VLOOKUP(J1076,ConstDLCIds!$A$4:$B$1000,2,FALSE)</f>
        <v>DLC_SEASONS_OF_THE_WORMCULT2</v>
      </c>
      <c r="L1076" s="3" t="str">
        <f ca="1">VLOOKUP(J1076,ConstDLCIds!$A$4:$C$1000,3,FALSE)</f>
        <v>Seasons of the Wormcult Part 2</v>
      </c>
    </row>
    <row r="1077" spans="1:12" x14ac:dyDescent="0.25">
      <c r="A1077">
        <v>1552</v>
      </c>
      <c r="B1077">
        <v>1072</v>
      </c>
      <c r="C1077">
        <v>1502</v>
      </c>
      <c r="D1077" t="s">
        <v>2073</v>
      </c>
      <c r="E1077" t="str">
        <f>IF(NOT(ISERROR(VLOOKUP(D1077,'ESO DungeonFinder'!$A$2:$A$999,1,FALSE))),"X","")</f>
        <v>X</v>
      </c>
      <c r="F1077" s="70" t="str">
        <f t="shared" si="68"/>
        <v/>
      </c>
      <c r="G1077" s="70" t="str">
        <f t="shared" si="69"/>
        <v>Solstice</v>
      </c>
      <c r="H1077" s="70">
        <f t="shared" si="70"/>
        <v>1552</v>
      </c>
      <c r="I1077" s="70">
        <f t="shared" si="71"/>
        <v>1502</v>
      </c>
      <c r="J1077">
        <v>40</v>
      </c>
      <c r="K1077" s="3" t="str">
        <f ca="1">VLOOKUP(J1077,ConstDLCIds!$A$4:$B$1000,2,FALSE)</f>
        <v>DLC_SEASONS_OF_THE_WORMCULT2</v>
      </c>
      <c r="L1077" s="3" t="str">
        <f ca="1">VLOOKUP(J1077,ConstDLCIds!$A$4:$C$1000,3,FALSE)</f>
        <v>Seasons of the Wormcult Part 2</v>
      </c>
    </row>
    <row r="1078" spans="1:12" x14ac:dyDescent="0.25">
      <c r="A1078">
        <v>1553</v>
      </c>
      <c r="B1078">
        <v>1073</v>
      </c>
      <c r="C1078">
        <v>1502</v>
      </c>
      <c r="D1078" t="s">
        <v>3073</v>
      </c>
      <c r="E1078" t="str">
        <f>IF(NOT(ISERROR(VLOOKUP(D1078,'ESO DungeonFinder'!$A$2:$A$999,1,FALSE))),"X","")</f>
        <v/>
      </c>
      <c r="F1078" s="70" t="str">
        <f t="shared" si="68"/>
        <v/>
      </c>
      <c r="G1078" s="70" t="str">
        <f t="shared" si="69"/>
        <v>Solstice</v>
      </c>
      <c r="H1078" s="70">
        <f t="shared" si="70"/>
        <v>1553</v>
      </c>
      <c r="I1078" s="70">
        <f t="shared" si="71"/>
        <v>1502</v>
      </c>
      <c r="J1078">
        <v>40</v>
      </c>
      <c r="K1078" s="3" t="str">
        <f ca="1">VLOOKUP(J1078,ConstDLCIds!$A$4:$B$1000,2,FALSE)</f>
        <v>DLC_SEASONS_OF_THE_WORMCULT2</v>
      </c>
      <c r="L1078" s="3" t="str">
        <f ca="1">VLOOKUP(J1078,ConstDLCIds!$A$4:$C$1000,3,FALSE)</f>
        <v>Seasons of the Wormcult Part 2</v>
      </c>
    </row>
    <row r="1079" spans="1:12" x14ac:dyDescent="0.25">
      <c r="A1079">
        <v>1554</v>
      </c>
      <c r="B1079">
        <v>1074</v>
      </c>
      <c r="C1079">
        <v>1261</v>
      </c>
      <c r="D1079" t="s">
        <v>3074</v>
      </c>
      <c r="E1079" t="str">
        <f>IF(NOT(ISERROR(VLOOKUP(D1079,'ESO DungeonFinder'!$A$2:$A$999,1,FALSE))),"X","")</f>
        <v/>
      </c>
      <c r="F1079" s="70" t="str">
        <f t="shared" si="68"/>
        <v/>
      </c>
      <c r="G1079" s="70" t="str">
        <f t="shared" si="69"/>
        <v>Blackwood</v>
      </c>
      <c r="H1079" s="70">
        <f t="shared" si="70"/>
        <v>1554</v>
      </c>
      <c r="I1079" s="70">
        <f t="shared" si="71"/>
        <v>1261</v>
      </c>
      <c r="J1079">
        <v>40</v>
      </c>
      <c r="K1079" s="3" t="str">
        <f ca="1">VLOOKUP(J1079,ConstDLCIds!$A$4:$B$1000,2,FALSE)</f>
        <v>DLC_SEASONS_OF_THE_WORMCULT2</v>
      </c>
      <c r="L1079" s="3" t="str">
        <f ca="1">VLOOKUP(J1079,ConstDLCIds!$A$4:$C$1000,3,FALSE)</f>
        <v>Seasons of the Wormcult Part 2</v>
      </c>
    </row>
    <row r="1080" spans="1:12" x14ac:dyDescent="0.25">
      <c r="A1080">
        <v>1555</v>
      </c>
      <c r="B1080">
        <v>1075</v>
      </c>
      <c r="C1080">
        <v>1502</v>
      </c>
      <c r="D1080" t="s">
        <v>3075</v>
      </c>
      <c r="E1080" t="str">
        <f>IF(NOT(ISERROR(VLOOKUP(D1080,'ESO DungeonFinder'!$A$2:$A$999,1,FALSE))),"X","")</f>
        <v/>
      </c>
      <c r="F1080" s="70" t="str">
        <f t="shared" si="68"/>
        <v/>
      </c>
      <c r="G1080" s="70" t="str">
        <f t="shared" si="69"/>
        <v>Solstice</v>
      </c>
      <c r="H1080" s="70">
        <f t="shared" si="70"/>
        <v>1555</v>
      </c>
      <c r="I1080" s="70">
        <f t="shared" si="71"/>
        <v>1502</v>
      </c>
      <c r="J1080">
        <v>40</v>
      </c>
      <c r="K1080" s="3" t="str">
        <f ca="1">VLOOKUP(J1080,ConstDLCIds!$A$4:$B$1000,2,FALSE)</f>
        <v>DLC_SEASONS_OF_THE_WORMCULT2</v>
      </c>
      <c r="L1080" s="3" t="str">
        <f ca="1">VLOOKUP(J1080,ConstDLCIds!$A$4:$C$1000,3,FALSE)</f>
        <v>Seasons of the Wormcult Part 2</v>
      </c>
    </row>
    <row r="1081" spans="1:12" x14ac:dyDescent="0.25">
      <c r="A1081">
        <v>1556</v>
      </c>
      <c r="B1081">
        <v>1076</v>
      </c>
      <c r="C1081">
        <v>1502</v>
      </c>
      <c r="D1081" t="s">
        <v>3076</v>
      </c>
      <c r="E1081" t="str">
        <f>IF(NOT(ISERROR(VLOOKUP(D1081,'ESO DungeonFinder'!$A$2:$A$999,1,FALSE))),"X","")</f>
        <v/>
      </c>
      <c r="F1081" s="70" t="str">
        <f t="shared" si="68"/>
        <v/>
      </c>
      <c r="G1081" s="70" t="str">
        <f t="shared" si="69"/>
        <v>Solstice</v>
      </c>
      <c r="H1081" s="70">
        <f t="shared" si="70"/>
        <v>1556</v>
      </c>
      <c r="I1081" s="70">
        <f t="shared" si="71"/>
        <v>1502</v>
      </c>
      <c r="J1081">
        <v>40</v>
      </c>
      <c r="K1081" s="3" t="str">
        <f ca="1">VLOOKUP(J1081,ConstDLCIds!$A$4:$B$1000,2,FALSE)</f>
        <v>DLC_SEASONS_OF_THE_WORMCULT2</v>
      </c>
      <c r="L1081" s="3" t="str">
        <f ca="1">VLOOKUP(J1081,ConstDLCIds!$A$4:$C$1000,3,FALSE)</f>
        <v>Seasons of the Wormcult Part 2</v>
      </c>
    </row>
    <row r="1082" spans="1:12" x14ac:dyDescent="0.25">
      <c r="A1082">
        <v>1557</v>
      </c>
      <c r="B1082">
        <v>1077</v>
      </c>
      <c r="C1082">
        <v>1557</v>
      </c>
      <c r="D1082" t="s">
        <v>3077</v>
      </c>
      <c r="E1082" t="str">
        <f>IF(NOT(ISERROR(VLOOKUP(D1082,'ESO DungeonFinder'!$A$2:$A$999,1,FALSE))),"X","")</f>
        <v/>
      </c>
      <c r="F1082" s="70" t="str">
        <f t="shared" si="68"/>
        <v>X</v>
      </c>
      <c r="G1082" s="70" t="str">
        <f t="shared" si="69"/>
        <v/>
      </c>
      <c r="H1082" s="70">
        <f t="shared" si="70"/>
        <v>1557</v>
      </c>
      <c r="I1082" s="70">
        <f t="shared" si="71"/>
        <v>1557</v>
      </c>
      <c r="J1082">
        <v>40</v>
      </c>
      <c r="K1082" s="3" t="str">
        <f ca="1">VLOOKUP(J1082,ConstDLCIds!$A$4:$B$1000,2,FALSE)</f>
        <v>DLC_SEASONS_OF_THE_WORMCULT2</v>
      </c>
      <c r="L1082" s="3" t="str">
        <f ca="1">VLOOKUP(J1082,ConstDLCIds!$A$4:$C$1000,3,FALSE)</f>
        <v>Seasons of the Wormcult Part 2</v>
      </c>
    </row>
    <row r="1083" spans="1:12" x14ac:dyDescent="0.25">
      <c r="A1083">
        <v>1559</v>
      </c>
      <c r="B1083">
        <v>1078</v>
      </c>
      <c r="C1083">
        <v>1283</v>
      </c>
      <c r="D1083" t="s">
        <v>311</v>
      </c>
      <c r="E1083" t="str">
        <f>IF(NOT(ISERROR(VLOOKUP(D1083,'ESO DungeonFinder'!$A$2:$A$999,1,FALSE))),"X","")</f>
        <v>X</v>
      </c>
      <c r="F1083" s="70" t="str">
        <f t="shared" si="68"/>
        <v/>
      </c>
      <c r="G1083" s="70" t="str">
        <f t="shared" si="69"/>
        <v>The Shambles</v>
      </c>
      <c r="H1083" s="70">
        <f t="shared" si="70"/>
        <v>1559</v>
      </c>
      <c r="I1083" s="70">
        <f t="shared" si="71"/>
        <v>1283</v>
      </c>
      <c r="J1083">
        <v>40</v>
      </c>
      <c r="K1083" s="3" t="str">
        <f ca="1">VLOOKUP(J1083,ConstDLCIds!$A$4:$B$1000,2,FALSE)</f>
        <v>DLC_SEASONS_OF_THE_WORMCULT2</v>
      </c>
      <c r="L1083" s="3" t="str">
        <f ca="1">VLOOKUP(J1083,ConstDLCIds!$A$4:$C$1000,3,FALSE)</f>
        <v>Seasons of the Wormcult Part 2</v>
      </c>
    </row>
    <row r="1084" spans="1:12" x14ac:dyDescent="0.25">
      <c r="A1084">
        <v>1560</v>
      </c>
      <c r="B1084">
        <v>1079</v>
      </c>
      <c r="C1084">
        <v>823</v>
      </c>
      <c r="D1084" t="s">
        <v>3078</v>
      </c>
      <c r="E1084" t="str">
        <f>IF(NOT(ISERROR(VLOOKUP(D1084,'ESO DungeonFinder'!$A$2:$A$999,1,FALSE))),"X","")</f>
        <v/>
      </c>
      <c r="F1084" s="70" t="str">
        <f t="shared" si="68"/>
        <v/>
      </c>
      <c r="G1084" s="70" t="str">
        <f t="shared" si="69"/>
        <v>Gold Coast</v>
      </c>
      <c r="H1084" s="70">
        <f t="shared" si="70"/>
        <v>1560</v>
      </c>
      <c r="I1084" s="70">
        <f t="shared" si="71"/>
        <v>823</v>
      </c>
      <c r="J1084">
        <v>40</v>
      </c>
      <c r="K1084" s="3" t="str">
        <f ca="1">VLOOKUP(J1084,ConstDLCIds!$A$4:$B$1000,2,FALSE)</f>
        <v>DLC_SEASONS_OF_THE_WORMCULT2</v>
      </c>
      <c r="L1084" s="3" t="str">
        <f ca="1">VLOOKUP(J1084,ConstDLCIds!$A$4:$C$1000,3,FALSE)</f>
        <v>Seasons of the Wormcult Part 2</v>
      </c>
    </row>
    <row r="1085" spans="1:12" x14ac:dyDescent="0.25">
      <c r="A1085">
        <v>1561</v>
      </c>
      <c r="B1085">
        <v>1080</v>
      </c>
      <c r="C1085">
        <v>1443</v>
      </c>
      <c r="D1085" t="s">
        <v>3079</v>
      </c>
      <c r="E1085" t="str">
        <f>IF(NOT(ISERROR(VLOOKUP(D1085,'ESO DungeonFinder'!$A$2:$A$999,1,FALSE))),"X","")</f>
        <v/>
      </c>
      <c r="F1085" s="70" t="str">
        <f t="shared" si="68"/>
        <v/>
      </c>
      <c r="G1085" s="70" t="str">
        <f t="shared" si="69"/>
        <v>West Weald</v>
      </c>
      <c r="H1085" s="70">
        <f t="shared" si="70"/>
        <v>1561</v>
      </c>
      <c r="I1085" s="70">
        <f t="shared" si="71"/>
        <v>1443</v>
      </c>
      <c r="J1085">
        <v>41</v>
      </c>
      <c r="K1085" s="3" t="str">
        <f ca="1">VLOOKUP(J1085,ConstDLCIds!$A$4:$B$1000,2,FALSE)</f>
        <v>DLC_SEASON0</v>
      </c>
      <c r="L1085" s="3" t="str">
        <f ca="1">VLOOKUP(J1085,ConstDLCIds!$A$4:$C$1000,3,FALSE)</f>
        <v>Season 0</v>
      </c>
    </row>
    <row r="1086" spans="1:12" x14ac:dyDescent="0.25">
      <c r="A1086">
        <v>1562</v>
      </c>
      <c r="B1086">
        <v>1081</v>
      </c>
      <c r="C1086">
        <v>1559</v>
      </c>
      <c r="D1086" t="s">
        <v>3080</v>
      </c>
      <c r="E1086" t="str">
        <f>IF(NOT(ISERROR(VLOOKUP(D1086,'ESO DungeonFinder'!$A$2:$A$999,1,FALSE))),"X","")</f>
        <v/>
      </c>
      <c r="F1086" s="70" t="str">
        <f t="shared" si="68"/>
        <v/>
      </c>
      <c r="G1086" s="70" t="str">
        <f t="shared" si="69"/>
        <v>Night Market</v>
      </c>
      <c r="H1086" s="70">
        <f t="shared" si="70"/>
        <v>1562</v>
      </c>
      <c r="I1086" s="70">
        <f t="shared" si="71"/>
        <v>1559</v>
      </c>
      <c r="J1086">
        <v>41</v>
      </c>
      <c r="K1086" s="3" t="str">
        <f ca="1">VLOOKUP(J1086,ConstDLCIds!$A$4:$B$1000,2,FALSE)</f>
        <v>DLC_SEASON0</v>
      </c>
      <c r="L1086" s="3" t="str">
        <f ca="1">VLOOKUP(J1086,ConstDLCIds!$A$4:$C$1000,3,FALSE)</f>
        <v>Season 0</v>
      </c>
    </row>
    <row r="1087" spans="1:12" x14ac:dyDescent="0.25">
      <c r="A1087">
        <v>1563</v>
      </c>
      <c r="B1087">
        <v>1082</v>
      </c>
      <c r="C1087">
        <v>1559</v>
      </c>
      <c r="D1087" t="s">
        <v>3081</v>
      </c>
      <c r="E1087" t="str">
        <f>IF(NOT(ISERROR(VLOOKUP(D1087,'ESO DungeonFinder'!$A$2:$A$999,1,FALSE))),"X","")</f>
        <v/>
      </c>
      <c r="F1087" s="70" t="str">
        <f t="shared" si="68"/>
        <v/>
      </c>
      <c r="G1087" s="70" t="str">
        <f t="shared" si="69"/>
        <v>Night Market</v>
      </c>
      <c r="H1087" s="70">
        <f t="shared" si="70"/>
        <v>1563</v>
      </c>
      <c r="I1087" s="70">
        <f t="shared" si="71"/>
        <v>1559</v>
      </c>
      <c r="J1087">
        <v>41</v>
      </c>
      <c r="K1087" s="3" t="str">
        <f ca="1">VLOOKUP(J1087,ConstDLCIds!$A$4:$B$1000,2,FALSE)</f>
        <v>DLC_SEASON0</v>
      </c>
      <c r="L1087" s="3" t="str">
        <f ca="1">VLOOKUP(J1087,ConstDLCIds!$A$4:$C$1000,3,FALSE)</f>
        <v>Season 0</v>
      </c>
    </row>
    <row r="1088" spans="1:12" x14ac:dyDescent="0.25">
      <c r="A1088">
        <v>1564</v>
      </c>
      <c r="B1088">
        <v>1083</v>
      </c>
      <c r="C1088">
        <v>1559</v>
      </c>
      <c r="D1088" t="s">
        <v>3082</v>
      </c>
      <c r="E1088" t="str">
        <f>IF(NOT(ISERROR(VLOOKUP(D1088,'ESO DungeonFinder'!$A$2:$A$999,1,FALSE))),"X","")</f>
        <v/>
      </c>
      <c r="F1088" s="70" t="str">
        <f t="shared" si="68"/>
        <v/>
      </c>
      <c r="G1088" s="70" t="str">
        <f t="shared" si="69"/>
        <v>Night Market</v>
      </c>
      <c r="H1088" s="70">
        <f t="shared" si="70"/>
        <v>1564</v>
      </c>
      <c r="I1088" s="70">
        <f t="shared" si="71"/>
        <v>1559</v>
      </c>
      <c r="J1088">
        <v>41</v>
      </c>
      <c r="K1088" s="3" t="str">
        <f ca="1">VLOOKUP(J1088,ConstDLCIds!$A$4:$B$1000,2,FALSE)</f>
        <v>DLC_SEASON0</v>
      </c>
      <c r="L1088" s="3" t="str">
        <f ca="1">VLOOKUP(J1088,ConstDLCIds!$A$4:$C$1000,3,FALSE)</f>
        <v>Season 0</v>
      </c>
    </row>
    <row r="1089" spans="1:12" x14ac:dyDescent="0.25">
      <c r="A1089">
        <v>1565</v>
      </c>
      <c r="B1089">
        <v>1084</v>
      </c>
      <c r="C1089">
        <v>1559</v>
      </c>
      <c r="D1089" t="s">
        <v>3083</v>
      </c>
      <c r="E1089" t="str">
        <f>IF(NOT(ISERROR(VLOOKUP(D1089,'ESO DungeonFinder'!$A$2:$A$999,1,FALSE))),"X","")</f>
        <v/>
      </c>
      <c r="F1089" s="70" t="str">
        <f t="shared" si="68"/>
        <v/>
      </c>
      <c r="G1089" s="70" t="str">
        <f t="shared" si="69"/>
        <v>Night Market</v>
      </c>
      <c r="H1089" s="70">
        <f t="shared" si="70"/>
        <v>1565</v>
      </c>
      <c r="I1089" s="70">
        <f t="shared" si="71"/>
        <v>1559</v>
      </c>
      <c r="J1089">
        <v>41</v>
      </c>
      <c r="K1089" s="3" t="str">
        <f ca="1">VLOOKUP(J1089,ConstDLCIds!$A$4:$B$1000,2,FALSE)</f>
        <v>DLC_SEASON0</v>
      </c>
      <c r="L1089" s="3" t="str">
        <f ca="1">VLOOKUP(J1089,ConstDLCIds!$A$4:$C$1000,3,FALSE)</f>
        <v>Season 0</v>
      </c>
    </row>
    <row r="1090" spans="1:12" x14ac:dyDescent="0.25">
      <c r="A1090">
        <v>1566</v>
      </c>
      <c r="B1090">
        <v>1085</v>
      </c>
      <c r="C1090">
        <v>1502</v>
      </c>
      <c r="D1090" t="s">
        <v>3084</v>
      </c>
      <c r="E1090" t="str">
        <f>IF(NOT(ISERROR(VLOOKUP(D1090,'ESO DungeonFinder'!$A$2:$A$999,1,FALSE))),"X","")</f>
        <v/>
      </c>
      <c r="F1090" s="70" t="str">
        <f t="shared" si="68"/>
        <v/>
      </c>
      <c r="G1090" s="70" t="str">
        <f t="shared" si="69"/>
        <v>Solstice</v>
      </c>
      <c r="H1090" s="70">
        <f t="shared" si="70"/>
        <v>1566</v>
      </c>
      <c r="I1090" s="70">
        <f t="shared" si="71"/>
        <v>1502</v>
      </c>
      <c r="J1090">
        <v>42</v>
      </c>
      <c r="K1090" s="3" t="str">
        <f ca="1">VLOOKUP(J1090,ConstDLCIds!$A$4:$B$1000,2,FALSE)</f>
        <v>DLC_SEASON0_PART2</v>
      </c>
      <c r="L1090" s="3" t="str">
        <f ca="1">VLOOKUP(J1090,ConstDLCIds!$A$4:$C$1000,3,FALSE)</f>
        <v>Season 0 - Part 2</v>
      </c>
    </row>
    <row r="1091" spans="1:12" x14ac:dyDescent="0.25">
      <c r="A1091">
        <v>1567</v>
      </c>
      <c r="B1091">
        <v>1086</v>
      </c>
      <c r="C1091">
        <v>1318</v>
      </c>
      <c r="D1091" t="s">
        <v>3085</v>
      </c>
      <c r="E1091" t="str">
        <f>IF(NOT(ISERROR(VLOOKUP(D1091,'ESO DungeonFinder'!$A$2:$A$999,1,FALSE))),"X","")</f>
        <v/>
      </c>
      <c r="F1091" s="70" t="str">
        <f t="shared" si="68"/>
        <v/>
      </c>
      <c r="G1091" s="70" t="str">
        <f t="shared" si="69"/>
        <v>High Isle</v>
      </c>
      <c r="H1091" s="70">
        <f t="shared" si="70"/>
        <v>1567</v>
      </c>
      <c r="I1091" s="70">
        <f t="shared" si="71"/>
        <v>1318</v>
      </c>
      <c r="J1091">
        <v>42</v>
      </c>
      <c r="K1091" s="3" t="str">
        <f ca="1">VLOOKUP(J1091,ConstDLCIds!$A$4:$B$1000,2,FALSE)</f>
        <v>DLC_SEASON0_PART2</v>
      </c>
      <c r="L1091" s="3" t="str">
        <f ca="1">VLOOKUP(J1091,ConstDLCIds!$A$4:$C$1000,3,FALSE)</f>
        <v>Season 0 - Part 2</v>
      </c>
    </row>
    <row r="1092" spans="1:12" x14ac:dyDescent="0.25">
      <c r="A1092">
        <v>1568</v>
      </c>
      <c r="B1092">
        <v>1087</v>
      </c>
      <c r="C1092">
        <v>1559</v>
      </c>
      <c r="D1092" t="s">
        <v>3086</v>
      </c>
      <c r="E1092" t="str">
        <f>IF(NOT(ISERROR(VLOOKUP(D1092,'ESO DungeonFinder'!$A$2:$A$999,1,FALSE))),"X","")</f>
        <v/>
      </c>
      <c r="F1092" s="70" t="str">
        <f t="shared" si="68"/>
        <v/>
      </c>
      <c r="G1092" s="70" t="str">
        <f t="shared" si="69"/>
        <v>Night Market</v>
      </c>
      <c r="H1092" s="70">
        <f t="shared" si="70"/>
        <v>1568</v>
      </c>
      <c r="I1092" s="70">
        <f t="shared" si="71"/>
        <v>1559</v>
      </c>
      <c r="J1092">
        <v>42</v>
      </c>
      <c r="K1092" s="3" t="str">
        <f ca="1">VLOOKUP(J1092,ConstDLCIds!$A$4:$B$1000,2,FALSE)</f>
        <v>DLC_SEASON0_PART2</v>
      </c>
      <c r="L1092" s="3" t="str">
        <f ca="1">VLOOKUP(J1092,ConstDLCIds!$A$4:$C$1000,3,FALSE)</f>
        <v>Season 0 - Part 2</v>
      </c>
    </row>
    <row r="1093" spans="1:12" x14ac:dyDescent="0.25">
      <c r="A1093">
        <v>1569</v>
      </c>
      <c r="B1093">
        <v>1088</v>
      </c>
      <c r="C1093">
        <v>534</v>
      </c>
      <c r="D1093" t="s">
        <v>3087</v>
      </c>
      <c r="E1093" t="str">
        <f>IF(NOT(ISERROR(VLOOKUP(D1093,'ESO DungeonFinder'!$A$2:$A$999,1,FALSE))),"X","")</f>
        <v/>
      </c>
      <c r="F1093" s="70" t="str">
        <f t="shared" si="68"/>
        <v/>
      </c>
      <c r="G1093" s="70" t="str">
        <f t="shared" si="69"/>
        <v>Stros M'Kai</v>
      </c>
      <c r="H1093" s="70">
        <f t="shared" si="70"/>
        <v>1569</v>
      </c>
      <c r="I1093" s="70">
        <f t="shared" si="71"/>
        <v>534</v>
      </c>
      <c r="J1093">
        <v>42</v>
      </c>
      <c r="K1093" s="3" t="str">
        <f ca="1">VLOOKUP(J1093,ConstDLCIds!$A$4:$B$1000,2,FALSE)</f>
        <v>DLC_SEASON0_PART2</v>
      </c>
      <c r="L1093" s="3" t="str">
        <f ca="1">VLOOKUP(J1093,ConstDLCIds!$A$4:$C$1000,3,FALSE)</f>
        <v>Season 0 - Part 2</v>
      </c>
    </row>
    <row r="1094" spans="1:12" x14ac:dyDescent="0.25">
      <c r="A1094">
        <v>1570</v>
      </c>
      <c r="B1094">
        <v>1089</v>
      </c>
      <c r="C1094">
        <v>823</v>
      </c>
      <c r="D1094" t="s">
        <v>4321</v>
      </c>
      <c r="E1094" t="str">
        <f>IF(NOT(ISERROR(VLOOKUP(D1094,'ESO DungeonFinder'!$A$2:$A$999,1,FALSE))),"X","")</f>
        <v/>
      </c>
      <c r="F1094" s="70" t="str">
        <f t="shared" si="68"/>
        <v/>
      </c>
      <c r="G1094" s="70" t="str">
        <f t="shared" si="69"/>
        <v>Gold Coast</v>
      </c>
      <c r="H1094" s="70">
        <f t="shared" si="70"/>
        <v>1570</v>
      </c>
      <c r="I1094" s="70">
        <f t="shared" si="71"/>
        <v>823</v>
      </c>
      <c r="J1094">
        <v>42</v>
      </c>
      <c r="K1094" s="3" t="str">
        <f ca="1">VLOOKUP(J1094,ConstDLCIds!$A$4:$B$1000,2,FALSE)</f>
        <v>DLC_SEASON0_PART2</v>
      </c>
      <c r="L1094" s="3" t="str">
        <f ca="1">VLOOKUP(J1094,ConstDLCIds!$A$4:$C$1000,3,FALSE)</f>
        <v>Season 0 - Part 2</v>
      </c>
    </row>
    <row r="1095" spans="1:12" x14ac:dyDescent="0.25">
      <c r="A1095">
        <v>1574</v>
      </c>
      <c r="B1095">
        <v>1090</v>
      </c>
      <c r="C1095">
        <v>3</v>
      </c>
      <c r="D1095" t="s">
        <v>4322</v>
      </c>
      <c r="E1095" t="str">
        <f>IF(NOT(ISERROR(VLOOKUP(D1095,'ESO DungeonFinder'!$A$2:$A$999,1,FALSE))),"X","")</f>
        <v/>
      </c>
      <c r="F1095" s="70" t="str">
        <f t="shared" ref="F1095:F1107" si="72">IF(EXACT(A1095,C1095),"X","")</f>
        <v/>
      </c>
      <c r="G1095" s="70" t="str">
        <f t="shared" ref="G1095:G1107" si="73">IF(A1095&lt;&gt;C1095,VLOOKUP(C1095,$A$5:$D$9956,4,FALSE),"")</f>
        <v>Glenumbra</v>
      </c>
      <c r="H1095" s="70">
        <f t="shared" ref="H1095:H1107" si="74">A1095</f>
        <v>1574</v>
      </c>
      <c r="I1095" s="70">
        <f t="shared" ref="I1095:I1107" si="75">C1095</f>
        <v>3</v>
      </c>
      <c r="J1095">
        <v>42</v>
      </c>
      <c r="K1095" s="3" t="str">
        <f ca="1">VLOOKUP(J1095,ConstDLCIds!$A$4:$B$1000,2,FALSE)</f>
        <v>DLC_SEASON0_PART2</v>
      </c>
      <c r="L1095" s="3" t="str">
        <f ca="1">VLOOKUP(J1095,ConstDLCIds!$A$4:$C$1000,3,FALSE)</f>
        <v>Season 0 - Part 2</v>
      </c>
    </row>
    <row r="1096" spans="1:12" x14ac:dyDescent="0.25">
      <c r="A1096">
        <v>1575</v>
      </c>
      <c r="B1096">
        <v>1091</v>
      </c>
      <c r="C1096">
        <v>3</v>
      </c>
      <c r="D1096" t="s">
        <v>4297</v>
      </c>
      <c r="E1096" t="str">
        <f>IF(NOT(ISERROR(VLOOKUP(D1096,'ESO DungeonFinder'!$A$2:$A$999,1,FALSE))),"X","")</f>
        <v/>
      </c>
      <c r="F1096" s="70" t="str">
        <f t="shared" si="72"/>
        <v/>
      </c>
      <c r="G1096" s="70" t="str">
        <f t="shared" si="73"/>
        <v>Glenumbra</v>
      </c>
      <c r="H1096" s="70">
        <f t="shared" si="74"/>
        <v>1575</v>
      </c>
      <c r="I1096" s="70">
        <f t="shared" si="75"/>
        <v>3</v>
      </c>
      <c r="J1096">
        <v>42</v>
      </c>
      <c r="K1096" s="3" t="str">
        <f ca="1">VLOOKUP(J1096,ConstDLCIds!$A$4:$B$1000,2,FALSE)</f>
        <v>DLC_SEASON0_PART2</v>
      </c>
      <c r="L1096" s="3" t="str">
        <f ca="1">VLOOKUP(J1096,ConstDLCIds!$A$4:$C$1000,3,FALSE)</f>
        <v>Season 0 - Part 2</v>
      </c>
    </row>
    <row r="1097" spans="1:12" x14ac:dyDescent="0.25">
      <c r="A1097">
        <v>1577</v>
      </c>
      <c r="B1097">
        <v>1092</v>
      </c>
      <c r="C1097">
        <v>3</v>
      </c>
      <c r="D1097" t="s">
        <v>4298</v>
      </c>
      <c r="E1097" t="str">
        <f>IF(NOT(ISERROR(VLOOKUP(D1097,'ESO DungeonFinder'!$A$2:$A$999,1,FALSE))),"X","")</f>
        <v/>
      </c>
      <c r="F1097" s="70" t="str">
        <f t="shared" si="72"/>
        <v/>
      </c>
      <c r="G1097" s="70" t="str">
        <f t="shared" si="73"/>
        <v>Glenumbra</v>
      </c>
      <c r="H1097" s="70">
        <f t="shared" si="74"/>
        <v>1577</v>
      </c>
      <c r="I1097" s="70">
        <f t="shared" si="75"/>
        <v>3</v>
      </c>
      <c r="J1097">
        <v>42</v>
      </c>
      <c r="K1097" s="3" t="str">
        <f ca="1">VLOOKUP(J1097,ConstDLCIds!$A$4:$B$1000,2,FALSE)</f>
        <v>DLC_SEASON0_PART2</v>
      </c>
      <c r="L1097" s="3" t="str">
        <f ca="1">VLOOKUP(J1097,ConstDLCIds!$A$4:$C$1000,3,FALSE)</f>
        <v>Season 0 - Part 2</v>
      </c>
    </row>
    <row r="1098" spans="1:12" x14ac:dyDescent="0.25">
      <c r="A1098">
        <v>1578</v>
      </c>
      <c r="B1098">
        <v>1093</v>
      </c>
      <c r="C1098">
        <v>3</v>
      </c>
      <c r="D1098" t="s">
        <v>4299</v>
      </c>
      <c r="E1098" t="str">
        <f>IF(NOT(ISERROR(VLOOKUP(D1098,'ESO DungeonFinder'!$A$2:$A$999,1,FALSE))),"X","")</f>
        <v/>
      </c>
      <c r="F1098" s="70" t="str">
        <f t="shared" si="72"/>
        <v/>
      </c>
      <c r="G1098" s="70" t="str">
        <f t="shared" si="73"/>
        <v>Glenumbra</v>
      </c>
      <c r="H1098" s="70">
        <f t="shared" si="74"/>
        <v>1578</v>
      </c>
      <c r="I1098" s="70">
        <f t="shared" si="75"/>
        <v>3</v>
      </c>
      <c r="J1098">
        <v>42</v>
      </c>
      <c r="K1098" s="3" t="str">
        <f ca="1">VLOOKUP(J1098,ConstDLCIds!$A$4:$B$1000,2,FALSE)</f>
        <v>DLC_SEASON0_PART2</v>
      </c>
      <c r="L1098" s="3" t="str">
        <f ca="1">VLOOKUP(J1098,ConstDLCIds!$A$4:$C$1000,3,FALSE)</f>
        <v>Season 0 - Part 2</v>
      </c>
    </row>
    <row r="1099" spans="1:12" x14ac:dyDescent="0.25">
      <c r="A1099">
        <v>1579</v>
      </c>
      <c r="B1099">
        <v>1094</v>
      </c>
      <c r="C1099">
        <v>3</v>
      </c>
      <c r="D1099" t="s">
        <v>4300</v>
      </c>
      <c r="E1099" t="str">
        <f>IF(NOT(ISERROR(VLOOKUP(D1099,'ESO DungeonFinder'!$A$2:$A$999,1,FALSE))),"X","")</f>
        <v/>
      </c>
      <c r="F1099" s="70" t="str">
        <f t="shared" si="72"/>
        <v/>
      </c>
      <c r="G1099" s="70" t="str">
        <f t="shared" si="73"/>
        <v>Glenumbra</v>
      </c>
      <c r="H1099" s="70">
        <f t="shared" si="74"/>
        <v>1579</v>
      </c>
      <c r="I1099" s="70">
        <f t="shared" si="75"/>
        <v>3</v>
      </c>
      <c r="J1099">
        <v>43</v>
      </c>
      <c r="K1099" s="3" t="str">
        <f ca="1">VLOOKUP(J1099,ConstDLCIds!$A$4:$B$1000,2,FALSE)</f>
        <v>DLC_SEASON2_PART0</v>
      </c>
      <c r="L1099" s="3" t="str">
        <f ca="1">VLOOKUP(J1099,ConstDLCIds!$A$4:$C$1000,3,FALSE)</f>
        <v>Season 2 - Part 0</v>
      </c>
    </row>
    <row r="1100" spans="1:12" x14ac:dyDescent="0.25">
      <c r="A1100">
        <v>1583</v>
      </c>
      <c r="B1100">
        <v>1095</v>
      </c>
      <c r="C1100">
        <v>3</v>
      </c>
      <c r="D1100" t="s">
        <v>4301</v>
      </c>
      <c r="E1100" t="str">
        <f>IF(NOT(ISERROR(VLOOKUP(D1100,'ESO DungeonFinder'!$A$2:$A$999,1,FALSE))),"X","")</f>
        <v/>
      </c>
      <c r="F1100" s="70" t="str">
        <f t="shared" si="72"/>
        <v/>
      </c>
      <c r="G1100" s="70" t="str">
        <f t="shared" si="73"/>
        <v>Glenumbra</v>
      </c>
      <c r="H1100" s="70">
        <f t="shared" si="74"/>
        <v>1583</v>
      </c>
      <c r="I1100" s="70">
        <f t="shared" si="75"/>
        <v>3</v>
      </c>
      <c r="J1100">
        <v>43</v>
      </c>
      <c r="K1100" s="3" t="str">
        <f ca="1">VLOOKUP(J1100,ConstDLCIds!$A$4:$B$1000,2,FALSE)</f>
        <v>DLC_SEASON2_PART0</v>
      </c>
      <c r="L1100" s="3" t="str">
        <f ca="1">VLOOKUP(J1100,ConstDLCIds!$A$4:$C$1000,3,FALSE)</f>
        <v>Season 2 - Part 0</v>
      </c>
    </row>
    <row r="1101" spans="1:12" x14ac:dyDescent="0.25">
      <c r="A1101">
        <v>1592</v>
      </c>
      <c r="B1101">
        <v>1096</v>
      </c>
      <c r="C1101">
        <v>108</v>
      </c>
      <c r="D1101" t="s">
        <v>1195</v>
      </c>
      <c r="E1101" t="str">
        <f>IF(NOT(ISERROR(VLOOKUP(D1101,'ESO DungeonFinder'!$A$2:$A$999,1,FALSE))),"X","")</f>
        <v>X</v>
      </c>
      <c r="F1101" s="70" t="str">
        <f t="shared" si="72"/>
        <v/>
      </c>
      <c r="G1101" s="70" t="str">
        <f t="shared" si="73"/>
        <v>Greenshade</v>
      </c>
      <c r="H1101" s="70">
        <f t="shared" si="74"/>
        <v>1592</v>
      </c>
      <c r="I1101" s="70">
        <f t="shared" si="75"/>
        <v>108</v>
      </c>
      <c r="J1101">
        <v>43</v>
      </c>
      <c r="K1101" s="3" t="str">
        <f ca="1">VLOOKUP(J1101,ConstDLCIds!$A$4:$B$1000,2,FALSE)</f>
        <v>DLC_SEASON2_PART0</v>
      </c>
      <c r="L1101" s="3" t="str">
        <f ca="1">VLOOKUP(J1101,ConstDLCIds!$A$4:$C$1000,3,FALSE)</f>
        <v>Season 2 - Part 0</v>
      </c>
    </row>
    <row r="1102" spans="1:12" x14ac:dyDescent="0.25">
      <c r="A1102">
        <v>1593</v>
      </c>
      <c r="B1102">
        <v>1097</v>
      </c>
      <c r="C1102">
        <v>382</v>
      </c>
      <c r="D1102" t="s">
        <v>1197</v>
      </c>
      <c r="E1102" t="str">
        <f>IF(NOT(ISERROR(VLOOKUP(D1102,'ESO DungeonFinder'!$A$2:$A$999,1,FALSE))),"X","")</f>
        <v>X</v>
      </c>
      <c r="F1102" s="70" t="str">
        <f t="shared" si="72"/>
        <v/>
      </c>
      <c r="G1102" s="70" t="str">
        <f t="shared" si="73"/>
        <v>Reaper's March</v>
      </c>
      <c r="H1102" s="70">
        <f t="shared" si="74"/>
        <v>1593</v>
      </c>
      <c r="I1102" s="70">
        <f t="shared" si="75"/>
        <v>382</v>
      </c>
      <c r="J1102">
        <v>43</v>
      </c>
      <c r="K1102" s="3" t="str">
        <f ca="1">VLOOKUP(J1102,ConstDLCIds!$A$4:$B$1000,2,FALSE)</f>
        <v>DLC_SEASON2_PART0</v>
      </c>
      <c r="L1102" s="3" t="str">
        <f ca="1">VLOOKUP(J1102,ConstDLCIds!$A$4:$C$1000,3,FALSE)</f>
        <v>Season 2 - Part 0</v>
      </c>
    </row>
    <row r="1103" spans="1:12" x14ac:dyDescent="0.25">
      <c r="A1103">
        <v>1594</v>
      </c>
      <c r="B1103">
        <v>1098</v>
      </c>
      <c r="C1103">
        <v>3</v>
      </c>
      <c r="D1103" t="s">
        <v>4302</v>
      </c>
      <c r="E1103" t="str">
        <f>IF(NOT(ISERROR(VLOOKUP(D1103,'ESO DungeonFinder'!$A$2:$A$999,1,FALSE))),"X","")</f>
        <v/>
      </c>
      <c r="F1103" s="70" t="str">
        <f t="shared" si="72"/>
        <v/>
      </c>
      <c r="G1103" s="70" t="str">
        <f t="shared" si="73"/>
        <v>Glenumbra</v>
      </c>
      <c r="H1103" s="70">
        <f t="shared" si="74"/>
        <v>1594</v>
      </c>
      <c r="I1103" s="70">
        <f t="shared" si="75"/>
        <v>3</v>
      </c>
      <c r="J1103">
        <v>43</v>
      </c>
      <c r="K1103" s="3" t="str">
        <f ca="1">VLOOKUP(J1103,ConstDLCIds!$A$4:$B$1000,2,FALSE)</f>
        <v>DLC_SEASON2_PART0</v>
      </c>
      <c r="L1103" s="3" t="str">
        <f ca="1">VLOOKUP(J1103,ConstDLCIds!$A$4:$C$1000,3,FALSE)</f>
        <v>Season 2 - Part 0</v>
      </c>
    </row>
    <row r="1104" spans="1:12" x14ac:dyDescent="0.25">
      <c r="A1104">
        <v>1595</v>
      </c>
      <c r="B1104">
        <v>1099</v>
      </c>
      <c r="C1104">
        <v>1011</v>
      </c>
      <c r="D1104" t="s">
        <v>4303</v>
      </c>
      <c r="E1104" t="str">
        <f>IF(NOT(ISERROR(VLOOKUP(D1104,'ESO DungeonFinder'!$A$2:$A$999,1,FALSE))),"X","")</f>
        <v/>
      </c>
      <c r="F1104" s="70" t="str">
        <f t="shared" si="72"/>
        <v/>
      </c>
      <c r="G1104" s="70" t="str">
        <f t="shared" si="73"/>
        <v>Summerset</v>
      </c>
      <c r="H1104" s="70">
        <f t="shared" si="74"/>
        <v>1595</v>
      </c>
      <c r="I1104" s="70">
        <f t="shared" si="75"/>
        <v>1011</v>
      </c>
      <c r="J1104">
        <v>43</v>
      </c>
      <c r="K1104" s="3" t="str">
        <f ca="1">VLOOKUP(J1104,ConstDLCIds!$A$4:$B$1000,2,FALSE)</f>
        <v>DLC_SEASON2_PART0</v>
      </c>
      <c r="L1104" s="3" t="str">
        <f ca="1">VLOOKUP(J1104,ConstDLCIds!$A$4:$C$1000,3,FALSE)</f>
        <v>Season 2 - Part 0</v>
      </c>
    </row>
    <row r="1105" spans="1:12" x14ac:dyDescent="0.25">
      <c r="A1105">
        <v>1597</v>
      </c>
      <c r="B1105">
        <v>1100</v>
      </c>
      <c r="C1105">
        <v>1207</v>
      </c>
      <c r="D1105" t="s">
        <v>4304</v>
      </c>
      <c r="E1105" t="str">
        <f>IF(NOT(ISERROR(VLOOKUP(D1105,'ESO DungeonFinder'!$A$2:$A$999,1,FALSE))),"X","")</f>
        <v/>
      </c>
      <c r="F1105" s="70" t="str">
        <f t="shared" si="72"/>
        <v/>
      </c>
      <c r="G1105" s="70" t="str">
        <f t="shared" si="73"/>
        <v>The Reach</v>
      </c>
      <c r="H1105" s="70">
        <f t="shared" si="74"/>
        <v>1597</v>
      </c>
      <c r="I1105" s="70">
        <f t="shared" si="75"/>
        <v>1207</v>
      </c>
      <c r="J1105">
        <v>43</v>
      </c>
      <c r="K1105" s="3" t="str">
        <f ca="1">VLOOKUP(J1105,ConstDLCIds!$A$4:$B$1000,2,FALSE)</f>
        <v>DLC_SEASON2_PART0</v>
      </c>
      <c r="L1105" s="3" t="str">
        <f ca="1">VLOOKUP(J1105,ConstDLCIds!$A$4:$C$1000,3,FALSE)</f>
        <v>Season 2 - Part 0</v>
      </c>
    </row>
    <row r="1106" spans="1:12" x14ac:dyDescent="0.25">
      <c r="A1106">
        <v>1609</v>
      </c>
      <c r="B1106">
        <v>1101</v>
      </c>
      <c r="C1106">
        <v>849</v>
      </c>
      <c r="D1106" t="s">
        <v>4323</v>
      </c>
      <c r="E1106" t="str">
        <f>IF(NOT(ISERROR(VLOOKUP(D1106,'ESO DungeonFinder'!$A$2:$A$999,1,FALSE))),"X","")</f>
        <v/>
      </c>
      <c r="F1106" s="70" t="str">
        <f t="shared" si="72"/>
        <v/>
      </c>
      <c r="G1106" s="70" t="str">
        <f t="shared" si="73"/>
        <v>Vvardenfell</v>
      </c>
      <c r="H1106" s="70">
        <f t="shared" si="74"/>
        <v>1609</v>
      </c>
      <c r="I1106" s="70">
        <f t="shared" si="75"/>
        <v>849</v>
      </c>
      <c r="J1106">
        <v>43</v>
      </c>
      <c r="K1106" s="3" t="str">
        <f ca="1">VLOOKUP(J1106,ConstDLCIds!$A$4:$B$1000,2,FALSE)</f>
        <v>DLC_SEASON2_PART0</v>
      </c>
      <c r="L1106" s="3" t="str">
        <f ca="1">VLOOKUP(J1106,ConstDLCIds!$A$4:$C$1000,3,FALSE)</f>
        <v>Season 2 - Part 0</v>
      </c>
    </row>
    <row r="1107" spans="1:12" x14ac:dyDescent="0.25">
      <c r="A1107">
        <v>1610</v>
      </c>
      <c r="B1107">
        <v>1102</v>
      </c>
      <c r="C1107">
        <v>1261</v>
      </c>
      <c r="D1107" t="s">
        <v>4324</v>
      </c>
      <c r="E1107" t="str">
        <f>IF(NOT(ISERROR(VLOOKUP(D1107,'ESO DungeonFinder'!$A$2:$A$999,1,FALSE))),"X","")</f>
        <v/>
      </c>
      <c r="F1107" s="70" t="str">
        <f t="shared" si="72"/>
        <v/>
      </c>
      <c r="G1107" s="70" t="str">
        <f t="shared" si="73"/>
        <v>Blackwood</v>
      </c>
      <c r="H1107" s="70">
        <f t="shared" si="74"/>
        <v>1610</v>
      </c>
      <c r="I1107" s="70">
        <f t="shared" si="75"/>
        <v>1261</v>
      </c>
      <c r="J1107">
        <v>43</v>
      </c>
      <c r="K1107" s="3" t="str">
        <f ca="1">VLOOKUP(J1107,ConstDLCIds!$A$4:$B$1000,2,FALSE)</f>
        <v>DLC_SEASON2_PART0</v>
      </c>
      <c r="L1107" s="3" t="str">
        <f ca="1">VLOOKUP(J1107,ConstDLCIds!$A$4:$C$1000,3,FALSE)</f>
        <v>Season 2 - Part 0</v>
      </c>
    </row>
  </sheetData>
  <autoFilter ref="A2:L1098" xr:uid="{00000000-0009-0000-0000-00000C000000}">
    <sortState xmlns:xlrd2="http://schemas.microsoft.com/office/spreadsheetml/2017/richdata2" ref="A3:L1098">
      <sortCondition ref="A2:A1098"/>
    </sortState>
  </autoFilter>
  <mergeCells count="1">
    <mergeCell ref="A1:L1"/>
  </mergeCells>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6">
    <tabColor rgb="FFFFC000"/>
  </sheetPr>
  <dimension ref="A1:Q128"/>
  <sheetViews>
    <sheetView tabSelected="1" workbookViewId="0">
      <pane ySplit="2" topLeftCell="A3" activePane="bottomLeft" state="frozen"/>
      <selection pane="bottomLeft" activeCell="B3" sqref="B3"/>
    </sheetView>
  </sheetViews>
  <sheetFormatPr defaultColWidth="11.5703125" defaultRowHeight="15" x14ac:dyDescent="0.25"/>
  <cols>
    <col min="1" max="1" width="23.7109375" customWidth="1"/>
    <col min="2" max="2" width="20.28515625" customWidth="1"/>
    <col min="3" max="3" width="26.85546875" customWidth="1"/>
    <col min="4" max="4" width="20.7109375" customWidth="1"/>
    <col min="5" max="5" width="28.140625" style="1" customWidth="1"/>
    <col min="6" max="6" width="21.85546875" customWidth="1"/>
    <col min="7" max="7" width="11.42578125" customWidth="1"/>
  </cols>
  <sheetData>
    <row r="1" spans="1:17" x14ac:dyDescent="0.25">
      <c r="C1" s="78" t="s">
        <v>4330</v>
      </c>
      <c r="E1" s="46"/>
      <c r="F1" s="46"/>
      <c r="G1" s="46"/>
      <c r="H1" s="46"/>
      <c r="I1" s="46"/>
      <c r="J1" s="39"/>
      <c r="K1" s="39"/>
      <c r="L1" s="39"/>
      <c r="M1" s="39"/>
      <c r="N1" s="39"/>
      <c r="O1" s="39"/>
      <c r="P1" s="39"/>
      <c r="Q1" s="39"/>
    </row>
    <row r="2" spans="1:17" s="6" customFormat="1" x14ac:dyDescent="0.25">
      <c r="A2" t="s">
        <v>3088</v>
      </c>
      <c r="B2" t="s">
        <v>3089</v>
      </c>
      <c r="C2" t="s">
        <v>3090</v>
      </c>
      <c r="D2" t="s">
        <v>2164</v>
      </c>
      <c r="E2" s="3" t="s">
        <v>3091</v>
      </c>
      <c r="F2" s="3" t="s">
        <v>2165</v>
      </c>
      <c r="G2"/>
      <c r="H2"/>
    </row>
    <row r="3" spans="1:17" x14ac:dyDescent="0.25">
      <c r="A3">
        <v>1</v>
      </c>
      <c r="B3">
        <v>2</v>
      </c>
      <c r="C3" t="s">
        <v>496</v>
      </c>
      <c r="D3">
        <v>3</v>
      </c>
      <c r="E3" t="s">
        <v>496</v>
      </c>
      <c r="F3" s="3">
        <f>VLOOKUP(D3,'ESO zones'!$A$5:$B$10003,2,FALSE)</f>
        <v>2</v>
      </c>
    </row>
    <row r="4" spans="1:17" x14ac:dyDescent="0.25">
      <c r="A4">
        <v>10</v>
      </c>
      <c r="B4">
        <v>3</v>
      </c>
      <c r="C4" t="s">
        <v>501</v>
      </c>
      <c r="D4">
        <v>20</v>
      </c>
      <c r="E4" t="s">
        <v>501</v>
      </c>
      <c r="F4" s="3">
        <f>VLOOKUP(D4,'ESO zones'!$A$5:$B$10003,2,FALSE)</f>
        <v>5</v>
      </c>
    </row>
    <row r="5" spans="1:17" x14ac:dyDescent="0.25">
      <c r="A5">
        <v>12</v>
      </c>
      <c r="B5">
        <v>4</v>
      </c>
      <c r="C5" t="s">
        <v>413</v>
      </c>
      <c r="D5">
        <v>19</v>
      </c>
      <c r="E5" t="s">
        <v>413</v>
      </c>
      <c r="F5" s="3">
        <f>VLOOKUP(D5,'ESO zones'!$A$5:$B$10003,2,FALSE)</f>
        <v>4</v>
      </c>
    </row>
    <row r="6" spans="1:17" x14ac:dyDescent="0.25">
      <c r="A6">
        <v>30</v>
      </c>
      <c r="B6">
        <v>5</v>
      </c>
      <c r="C6" t="s">
        <v>442</v>
      </c>
      <c r="D6">
        <v>104</v>
      </c>
      <c r="E6" t="s">
        <v>442</v>
      </c>
      <c r="F6" s="3">
        <f>VLOOKUP(D6,'ESO zones'!$A$5:$B$10003,2,FALSE)</f>
        <v>17</v>
      </c>
    </row>
    <row r="7" spans="1:17" x14ac:dyDescent="0.25">
      <c r="A7">
        <v>20</v>
      </c>
      <c r="B7">
        <v>6</v>
      </c>
      <c r="C7" t="s">
        <v>524</v>
      </c>
      <c r="D7">
        <v>92</v>
      </c>
      <c r="E7" t="s">
        <v>524</v>
      </c>
      <c r="F7" s="3">
        <f>VLOOKUP(D7,'ESO zones'!$A$5:$B$10003,2,FALSE)</f>
        <v>14</v>
      </c>
    </row>
    <row r="8" spans="1:17" x14ac:dyDescent="0.25">
      <c r="A8">
        <v>9</v>
      </c>
      <c r="B8">
        <v>7</v>
      </c>
      <c r="C8" t="s">
        <v>451</v>
      </c>
      <c r="D8">
        <v>383</v>
      </c>
      <c r="E8" t="s">
        <v>451</v>
      </c>
      <c r="F8" s="3">
        <f>VLOOKUP(D8,'ESO zones'!$A$5:$B$10003,2,FALSE)</f>
        <v>180</v>
      </c>
    </row>
    <row r="9" spans="1:17" x14ac:dyDescent="0.25">
      <c r="A9">
        <v>22</v>
      </c>
      <c r="B9">
        <v>8</v>
      </c>
      <c r="C9" t="s">
        <v>429</v>
      </c>
      <c r="D9">
        <v>58</v>
      </c>
      <c r="E9" t="s">
        <v>429</v>
      </c>
      <c r="F9" s="3">
        <f>VLOOKUP(D9,'ESO zones'!$A$5:$B$10003,2,FALSE)</f>
        <v>11</v>
      </c>
    </row>
    <row r="10" spans="1:17" x14ac:dyDescent="0.25">
      <c r="A10">
        <v>26</v>
      </c>
      <c r="B10">
        <v>9</v>
      </c>
      <c r="C10" t="s">
        <v>506</v>
      </c>
      <c r="D10">
        <v>117</v>
      </c>
      <c r="E10" t="s">
        <v>506</v>
      </c>
      <c r="F10" s="3">
        <f>VLOOKUP(D10,'ESO zones'!$A$5:$B$10003,2,FALSE)</f>
        <v>19</v>
      </c>
    </row>
    <row r="11" spans="1:17" x14ac:dyDescent="0.25">
      <c r="A11">
        <v>13</v>
      </c>
      <c r="B11">
        <v>10</v>
      </c>
      <c r="C11" t="s">
        <v>436</v>
      </c>
      <c r="D11">
        <v>57</v>
      </c>
      <c r="E11" t="s">
        <v>436</v>
      </c>
      <c r="F11" s="3">
        <f>VLOOKUP(D11,'ESO zones'!$A$5:$B$10003,2,FALSE)</f>
        <v>10</v>
      </c>
    </row>
    <row r="12" spans="1:17" x14ac:dyDescent="0.25">
      <c r="A12">
        <v>7</v>
      </c>
      <c r="B12">
        <v>11</v>
      </c>
      <c r="C12" t="s">
        <v>433</v>
      </c>
      <c r="D12">
        <v>41</v>
      </c>
      <c r="E12" t="s">
        <v>433</v>
      </c>
      <c r="F12" s="3">
        <f>VLOOKUP(D12,'ESO zones'!$A$5:$B$10003,2,FALSE)</f>
        <v>9</v>
      </c>
    </row>
    <row r="13" spans="1:17" x14ac:dyDescent="0.25">
      <c r="A13">
        <v>125</v>
      </c>
      <c r="B13">
        <v>12</v>
      </c>
      <c r="C13" t="s">
        <v>406</v>
      </c>
      <c r="D13">
        <v>103</v>
      </c>
      <c r="E13" t="s">
        <v>406</v>
      </c>
      <c r="F13" s="3">
        <f>VLOOKUP(D13,'ESO zones'!$A$5:$B$10003,2,FALSE)</f>
        <v>16</v>
      </c>
    </row>
    <row r="14" spans="1:17" x14ac:dyDescent="0.25">
      <c r="A14">
        <v>61</v>
      </c>
      <c r="B14">
        <v>13</v>
      </c>
      <c r="C14" t="s">
        <v>409</v>
      </c>
      <c r="D14">
        <v>101</v>
      </c>
      <c r="E14" t="s">
        <v>409</v>
      </c>
      <c r="F14" s="3">
        <f>VLOOKUP(D14,'ESO zones'!$A$5:$B$10003,2,FALSE)</f>
        <v>15</v>
      </c>
    </row>
    <row r="15" spans="1:17" x14ac:dyDescent="0.25">
      <c r="A15">
        <v>16</v>
      </c>
      <c r="B15">
        <v>14</v>
      </c>
      <c r="C15" t="s">
        <v>166</v>
      </c>
      <c r="D15">
        <v>181</v>
      </c>
      <c r="E15" t="s">
        <v>166</v>
      </c>
      <c r="F15" s="3">
        <f>VLOOKUP(D15,'ESO zones'!$A$5:$B$10003,2,FALSE)</f>
        <v>38</v>
      </c>
    </row>
    <row r="16" spans="1:17" x14ac:dyDescent="0.25">
      <c r="A16">
        <v>143</v>
      </c>
      <c r="B16">
        <v>15</v>
      </c>
      <c r="C16" t="s">
        <v>439</v>
      </c>
      <c r="D16">
        <v>381</v>
      </c>
      <c r="E16" t="s">
        <v>439</v>
      </c>
      <c r="F16" s="3">
        <f>VLOOKUP(D16,'ESO zones'!$A$5:$B$10003,2,FALSE)</f>
        <v>178</v>
      </c>
    </row>
    <row r="17" spans="1:6" x14ac:dyDescent="0.25">
      <c r="A17">
        <v>300</v>
      </c>
      <c r="B17">
        <v>16</v>
      </c>
      <c r="C17" t="s">
        <v>511</v>
      </c>
      <c r="D17">
        <v>108</v>
      </c>
      <c r="E17" t="s">
        <v>511</v>
      </c>
      <c r="F17" s="3">
        <f>VLOOKUP(D17,'ESO zones'!$A$5:$B$10003,2,FALSE)</f>
        <v>18</v>
      </c>
    </row>
    <row r="18" spans="1:6" x14ac:dyDescent="0.25">
      <c r="A18">
        <v>256</v>
      </c>
      <c r="B18">
        <v>17</v>
      </c>
      <c r="C18" t="s">
        <v>568</v>
      </c>
      <c r="D18">
        <v>382</v>
      </c>
      <c r="E18" t="s">
        <v>568</v>
      </c>
      <c r="F18" s="3">
        <f>VLOOKUP(D18,'ESO zones'!$A$5:$B$10003,2,FALSE)</f>
        <v>179</v>
      </c>
    </row>
    <row r="19" spans="1:6" x14ac:dyDescent="0.25">
      <c r="A19">
        <v>75</v>
      </c>
      <c r="B19">
        <v>18</v>
      </c>
      <c r="C19" t="s">
        <v>965</v>
      </c>
      <c r="D19">
        <v>281</v>
      </c>
      <c r="E19" t="s">
        <v>965</v>
      </c>
      <c r="F19" s="3">
        <f>VLOOKUP(D19,'ESO zones'!$A$5:$B$10003,2,FALSE)</f>
        <v>110</v>
      </c>
    </row>
    <row r="20" spans="1:6" x14ac:dyDescent="0.25">
      <c r="A20">
        <v>201</v>
      </c>
      <c r="B20">
        <v>19</v>
      </c>
      <c r="C20" t="s">
        <v>2452</v>
      </c>
      <c r="D20">
        <v>534</v>
      </c>
      <c r="E20" t="s">
        <v>2452</v>
      </c>
      <c r="F20" s="3">
        <f>VLOOKUP(D20,'ESO zones'!$A$5:$B$10003,2,FALSE)</f>
        <v>305</v>
      </c>
    </row>
    <row r="21" spans="1:6" x14ac:dyDescent="0.25">
      <c r="A21">
        <v>227</v>
      </c>
      <c r="B21">
        <v>20</v>
      </c>
      <c r="C21" t="s">
        <v>1450</v>
      </c>
      <c r="D21">
        <v>535</v>
      </c>
      <c r="E21" t="s">
        <v>1450</v>
      </c>
      <c r="F21" s="3">
        <f>VLOOKUP(D21,'ESO zones'!$A$5:$B$10003,2,FALSE)</f>
        <v>306</v>
      </c>
    </row>
    <row r="22" spans="1:6" x14ac:dyDescent="0.25">
      <c r="A22">
        <v>258</v>
      </c>
      <c r="B22">
        <v>21</v>
      </c>
      <c r="C22" t="s">
        <v>2453</v>
      </c>
      <c r="D22">
        <v>537</v>
      </c>
      <c r="E22" t="s">
        <v>2453</v>
      </c>
      <c r="F22" s="3">
        <f>VLOOKUP(D22,'ESO zones'!$A$5:$B$10003,2,FALSE)</f>
        <v>307</v>
      </c>
    </row>
    <row r="23" spans="1:6" x14ac:dyDescent="0.25">
      <c r="A23">
        <v>74</v>
      </c>
      <c r="B23">
        <v>22</v>
      </c>
      <c r="C23" t="s">
        <v>964</v>
      </c>
      <c r="D23">
        <v>280</v>
      </c>
      <c r="E23" t="s">
        <v>964</v>
      </c>
      <c r="F23" s="3">
        <f>VLOOKUP(D23,'ESO zones'!$A$5:$B$10003,2,FALSE)</f>
        <v>109</v>
      </c>
    </row>
    <row r="24" spans="1:6" x14ac:dyDescent="0.25">
      <c r="A24">
        <v>255</v>
      </c>
      <c r="B24">
        <v>23</v>
      </c>
      <c r="C24" t="s">
        <v>423</v>
      </c>
      <c r="D24">
        <v>347</v>
      </c>
      <c r="E24" t="s">
        <v>423</v>
      </c>
      <c r="F24" s="3">
        <f>VLOOKUP(D24,'ESO zones'!$A$5:$B$10003,2,FALSE)</f>
        <v>154</v>
      </c>
    </row>
    <row r="25" spans="1:6" x14ac:dyDescent="0.25">
      <c r="A25">
        <v>1126</v>
      </c>
      <c r="B25">
        <v>25</v>
      </c>
      <c r="C25" t="s">
        <v>686</v>
      </c>
      <c r="D25">
        <v>888</v>
      </c>
      <c r="E25" t="s">
        <v>686</v>
      </c>
      <c r="F25" s="3">
        <f>VLOOKUP(D25,'ESO zones'!$A$5:$B$10003,2,FALSE)</f>
        <v>501</v>
      </c>
    </row>
    <row r="26" spans="1:6" x14ac:dyDescent="0.25">
      <c r="A26">
        <v>660</v>
      </c>
      <c r="B26">
        <v>26</v>
      </c>
      <c r="C26" t="s">
        <v>11</v>
      </c>
      <c r="D26">
        <v>584</v>
      </c>
      <c r="E26" t="s">
        <v>11</v>
      </c>
      <c r="F26" s="3">
        <f>VLOOKUP(D26,'ESO zones'!$A$5:$B$10003,2,FALSE)</f>
        <v>347</v>
      </c>
    </row>
    <row r="27" spans="1:6" x14ac:dyDescent="0.25">
      <c r="A27">
        <v>667</v>
      </c>
      <c r="B27">
        <v>27</v>
      </c>
      <c r="C27" t="s">
        <v>816</v>
      </c>
      <c r="D27">
        <v>684</v>
      </c>
      <c r="E27" t="s">
        <v>816</v>
      </c>
      <c r="F27" s="3">
        <f>VLOOKUP(D27,'ESO zones'!$A$5:$B$10003,2,FALSE)</f>
        <v>380</v>
      </c>
    </row>
    <row r="28" spans="1:6" x14ac:dyDescent="0.25">
      <c r="A28">
        <v>994</v>
      </c>
      <c r="B28">
        <v>28</v>
      </c>
      <c r="C28" t="s">
        <v>841</v>
      </c>
      <c r="D28">
        <v>816</v>
      </c>
      <c r="E28" t="s">
        <v>841</v>
      </c>
      <c r="F28" s="3">
        <f>VLOOKUP(D28,'ESO zones'!$A$5:$B$10003,2,FALSE)</f>
        <v>443</v>
      </c>
    </row>
    <row r="29" spans="1:6" x14ac:dyDescent="0.25">
      <c r="A29">
        <v>1006</v>
      </c>
      <c r="B29">
        <v>29</v>
      </c>
      <c r="C29" t="s">
        <v>873</v>
      </c>
      <c r="D29">
        <v>823</v>
      </c>
      <c r="E29" t="s">
        <v>873</v>
      </c>
      <c r="F29" s="3">
        <f>VLOOKUP(D29,'ESO zones'!$A$5:$B$10003,2,FALSE)</f>
        <v>449</v>
      </c>
    </row>
    <row r="30" spans="1:6" x14ac:dyDescent="0.25">
      <c r="A30">
        <v>1060</v>
      </c>
      <c r="B30">
        <v>30</v>
      </c>
      <c r="C30" t="s">
        <v>1037</v>
      </c>
      <c r="D30">
        <v>849</v>
      </c>
      <c r="E30" t="s">
        <v>1037</v>
      </c>
      <c r="F30" s="3">
        <f>VLOOKUP(D30,'ESO zones'!$A$5:$B$10003,2,FALSE)</f>
        <v>468</v>
      </c>
    </row>
    <row r="31" spans="1:6" x14ac:dyDescent="0.25">
      <c r="A31">
        <v>1313</v>
      </c>
      <c r="B31">
        <v>31</v>
      </c>
      <c r="C31" t="s">
        <v>32</v>
      </c>
      <c r="D31">
        <v>980</v>
      </c>
      <c r="E31" t="s">
        <v>32</v>
      </c>
      <c r="F31" s="3">
        <f>VLOOKUP(D31,'ESO zones'!$A$5:$B$10003,2,FALSE)</f>
        <v>590</v>
      </c>
    </row>
    <row r="32" spans="1:6" x14ac:dyDescent="0.25">
      <c r="A32">
        <v>1349</v>
      </c>
      <c r="B32">
        <v>32</v>
      </c>
      <c r="C32" t="s">
        <v>38</v>
      </c>
      <c r="D32">
        <v>1011</v>
      </c>
      <c r="E32" t="s">
        <v>38</v>
      </c>
      <c r="F32" s="3">
        <f>VLOOKUP(D32,'ESO zones'!$A$5:$B$10003,2,FALSE)</f>
        <v>617</v>
      </c>
    </row>
    <row r="33" spans="1:6" x14ac:dyDescent="0.25">
      <c r="A33">
        <v>1429</v>
      </c>
      <c r="B33">
        <v>33</v>
      </c>
      <c r="C33" t="s">
        <v>1166</v>
      </c>
      <c r="D33">
        <v>1027</v>
      </c>
      <c r="E33" t="s">
        <v>1166</v>
      </c>
      <c r="F33" s="3">
        <f>VLOOKUP(D33,'ESO zones'!$A$5:$B$10003,2,FALSE)</f>
        <v>633</v>
      </c>
    </row>
    <row r="34" spans="1:6" x14ac:dyDescent="0.25">
      <c r="A34">
        <v>1484</v>
      </c>
      <c r="B34">
        <v>34</v>
      </c>
      <c r="C34" t="s">
        <v>44</v>
      </c>
      <c r="D34">
        <v>726</v>
      </c>
      <c r="E34" t="s">
        <v>44</v>
      </c>
      <c r="F34" s="3">
        <f>VLOOKUP(D34,'ESO zones'!$A$5:$B$10003,2,FALSE)</f>
        <v>408</v>
      </c>
    </row>
    <row r="35" spans="1:6" x14ac:dyDescent="0.25">
      <c r="A35">
        <v>1555</v>
      </c>
      <c r="B35">
        <v>35</v>
      </c>
      <c r="C35" t="s">
        <v>1288</v>
      </c>
      <c r="D35">
        <v>1086</v>
      </c>
      <c r="E35" t="s">
        <v>1288</v>
      </c>
      <c r="F35" s="3">
        <f>VLOOKUP(D35,'ESO zones'!$A$5:$B$10003,2,FALSE)</f>
        <v>682</v>
      </c>
    </row>
    <row r="36" spans="1:6" x14ac:dyDescent="0.25">
      <c r="A36">
        <v>1654</v>
      </c>
      <c r="B36">
        <v>36</v>
      </c>
      <c r="C36" t="s">
        <v>1329</v>
      </c>
      <c r="D36">
        <v>1133</v>
      </c>
      <c r="E36" t="s">
        <v>1329</v>
      </c>
      <c r="F36" s="3">
        <f>VLOOKUP(D36,'ESO zones'!$A$5:$B$10003,2,FALSE)</f>
        <v>721</v>
      </c>
    </row>
    <row r="37" spans="1:6" x14ac:dyDescent="0.25">
      <c r="A37">
        <v>1719</v>
      </c>
      <c r="B37">
        <v>37</v>
      </c>
      <c r="C37" t="s">
        <v>1372</v>
      </c>
      <c r="D37">
        <v>1160</v>
      </c>
      <c r="E37" t="s">
        <v>1372</v>
      </c>
      <c r="F37" s="3">
        <f>VLOOKUP(D37,'ESO zones'!$A$5:$B$10003,2,FALSE)</f>
        <v>744</v>
      </c>
    </row>
    <row r="38" spans="1:6" x14ac:dyDescent="0.25">
      <c r="A38">
        <v>1747</v>
      </c>
      <c r="B38">
        <v>38</v>
      </c>
      <c r="C38" t="s">
        <v>2192</v>
      </c>
      <c r="D38">
        <v>1161</v>
      </c>
      <c r="E38" t="s">
        <v>2192</v>
      </c>
      <c r="F38" s="3">
        <f>VLOOKUP(D38,'ESO zones'!$A$5:$B$10003,2,FALSE)</f>
        <v>745</v>
      </c>
    </row>
    <row r="39" spans="1:6" x14ac:dyDescent="0.25">
      <c r="A39">
        <v>1850</v>
      </c>
      <c r="B39">
        <v>40</v>
      </c>
      <c r="C39" t="s">
        <v>2850</v>
      </c>
      <c r="D39">
        <v>1208</v>
      </c>
      <c r="E39" t="s">
        <v>2850</v>
      </c>
      <c r="F39" s="3">
        <f>VLOOKUP(D39,'ESO zones'!$A$5:$B$10003,2,FALSE)</f>
        <v>785</v>
      </c>
    </row>
    <row r="40" spans="1:6" x14ac:dyDescent="0.25">
      <c r="A40">
        <v>1814</v>
      </c>
      <c r="B40">
        <v>41</v>
      </c>
      <c r="C40" t="s">
        <v>1492</v>
      </c>
      <c r="D40">
        <v>1207</v>
      </c>
      <c r="E40" t="s">
        <v>1492</v>
      </c>
      <c r="F40" s="3">
        <f>VLOOKUP(D40,'ESO zones'!$A$5:$B$10003,2,FALSE)</f>
        <v>784</v>
      </c>
    </row>
    <row r="41" spans="1:6" x14ac:dyDescent="0.25">
      <c r="A41">
        <v>1887</v>
      </c>
      <c r="B41">
        <v>42</v>
      </c>
      <c r="C41" t="s">
        <v>74</v>
      </c>
      <c r="D41">
        <v>1261</v>
      </c>
      <c r="E41" t="s">
        <v>74</v>
      </c>
      <c r="F41" s="3">
        <f>VLOOKUP(D41,'ESO zones'!$A$5:$B$10003,2,FALSE)</f>
        <v>835</v>
      </c>
    </row>
    <row r="42" spans="1:6" x14ac:dyDescent="0.25">
      <c r="A42">
        <v>2119</v>
      </c>
      <c r="B42">
        <v>43</v>
      </c>
      <c r="C42" t="s">
        <v>1674</v>
      </c>
      <c r="D42">
        <v>1283</v>
      </c>
      <c r="E42" t="s">
        <v>1643</v>
      </c>
      <c r="F42" s="3">
        <f>VLOOKUP(D42,'ESO zones'!$A$5:$B$10003,2,FALSE)</f>
        <v>855</v>
      </c>
    </row>
    <row r="43" spans="1:6" x14ac:dyDescent="0.25">
      <c r="A43">
        <v>2021</v>
      </c>
      <c r="B43">
        <v>44</v>
      </c>
      <c r="C43" t="s">
        <v>80</v>
      </c>
      <c r="D43">
        <v>1286</v>
      </c>
      <c r="E43" t="s">
        <v>80</v>
      </c>
      <c r="F43" s="3">
        <f>VLOOKUP(D43,'ESO zones'!$A$5:$B$10003,2,FALSE)</f>
        <v>858</v>
      </c>
    </row>
    <row r="44" spans="1:6" x14ac:dyDescent="0.25">
      <c r="A44">
        <v>2114</v>
      </c>
      <c r="B44">
        <v>45</v>
      </c>
      <c r="C44" t="s">
        <v>3093</v>
      </c>
      <c r="D44">
        <v>1318</v>
      </c>
      <c r="E44" t="s">
        <v>86</v>
      </c>
      <c r="F44" s="3">
        <f>VLOOKUP(D44,'ESO zones'!$A$5:$B$10003,2,FALSE)</f>
        <v>884</v>
      </c>
    </row>
    <row r="45" spans="1:6" x14ac:dyDescent="0.25">
      <c r="A45">
        <v>2035</v>
      </c>
      <c r="B45">
        <v>46</v>
      </c>
      <c r="C45" t="s">
        <v>3092</v>
      </c>
      <c r="D45">
        <v>1282</v>
      </c>
      <c r="E45" t="s">
        <v>1674</v>
      </c>
      <c r="F45" s="3">
        <f>VLOOKUP(D45,'ESO zones'!$A$5:$B$10003,2,FALSE)</f>
        <v>854</v>
      </c>
    </row>
    <row r="46" spans="1:6" x14ac:dyDescent="0.25">
      <c r="A46">
        <v>2212</v>
      </c>
      <c r="B46">
        <v>47</v>
      </c>
      <c r="C46" t="s">
        <v>3094</v>
      </c>
      <c r="D46">
        <v>1383</v>
      </c>
      <c r="E46" t="s">
        <v>1813</v>
      </c>
      <c r="F46" s="3">
        <f>VLOOKUP(D46,'ESO zones'!$A$5:$B$10003,2,FALSE)</f>
        <v>931</v>
      </c>
    </row>
    <row r="47" spans="1:6" x14ac:dyDescent="0.25">
      <c r="A47">
        <v>2274</v>
      </c>
      <c r="B47">
        <v>48</v>
      </c>
      <c r="C47" t="s">
        <v>1881</v>
      </c>
      <c r="D47">
        <v>1414</v>
      </c>
      <c r="E47" t="s">
        <v>1881</v>
      </c>
      <c r="F47" s="3">
        <f>VLOOKUP(D47,'ESO zones'!$A$5:$B$10003,2,FALSE)</f>
        <v>960</v>
      </c>
    </row>
    <row r="48" spans="1:6" x14ac:dyDescent="0.25">
      <c r="A48">
        <v>2275</v>
      </c>
      <c r="B48">
        <v>49</v>
      </c>
      <c r="C48" t="s">
        <v>1897</v>
      </c>
      <c r="D48">
        <v>1413</v>
      </c>
      <c r="E48" t="s">
        <v>1897</v>
      </c>
      <c r="F48" s="3">
        <f>VLOOKUP(D48,'ESO zones'!$A$5:$B$10003,2,FALSE)</f>
        <v>959</v>
      </c>
    </row>
    <row r="49" spans="1:6" x14ac:dyDescent="0.25">
      <c r="A49">
        <v>2427</v>
      </c>
      <c r="B49">
        <v>50</v>
      </c>
      <c r="C49" t="s">
        <v>1971</v>
      </c>
      <c r="D49">
        <v>1443</v>
      </c>
      <c r="E49" t="s">
        <v>1971</v>
      </c>
      <c r="F49" s="3">
        <f>VLOOKUP(D49,'ESO zones'!$A$5:$B$10003,2,FALSE)</f>
        <v>983</v>
      </c>
    </row>
    <row r="50" spans="1:6" x14ac:dyDescent="0.25">
      <c r="A50">
        <v>108</v>
      </c>
      <c r="B50">
        <v>51</v>
      </c>
      <c r="C50" t="s">
        <v>561</v>
      </c>
      <c r="D50">
        <v>267</v>
      </c>
      <c r="E50" t="s">
        <v>561</v>
      </c>
      <c r="F50" s="3">
        <f>VLOOKUP(D50,'ESO zones'!$A$5:$B$10003,2,FALSE)</f>
        <v>99</v>
      </c>
    </row>
    <row r="51" spans="1:6" x14ac:dyDescent="0.25">
      <c r="A51">
        <v>2603</v>
      </c>
      <c r="B51">
        <v>52</v>
      </c>
      <c r="C51" t="s">
        <v>2036</v>
      </c>
      <c r="D51">
        <v>1502</v>
      </c>
      <c r="E51" t="s">
        <v>2036</v>
      </c>
      <c r="F51" s="3">
        <f>VLOOKUP(D51,'ESO zones'!$A$5:$B$10003,2,FALSE)</f>
        <v>1034</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sheetData>
  <autoFilter ref="A2:F48" xr:uid="{00000000-0009-0000-0000-00000D000000}">
    <sortState xmlns:xlrd2="http://schemas.microsoft.com/office/spreadsheetml/2017/richdata2" ref="A3:F51">
      <sortCondition ref="B2:B48"/>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7">
    <tabColor rgb="FFFFC000"/>
  </sheetPr>
  <dimension ref="A1:N587"/>
  <sheetViews>
    <sheetView zoomScale="85" workbookViewId="0">
      <pane ySplit="2" topLeftCell="A554" activePane="bottomLeft" state="frozen"/>
      <selection pane="bottomLeft" activeCell="A2" sqref="A2"/>
    </sheetView>
  </sheetViews>
  <sheetFormatPr defaultColWidth="11.5703125" defaultRowHeight="15" x14ac:dyDescent="0.25"/>
  <cols>
    <col min="1" max="1" width="10.42578125" customWidth="1"/>
    <col min="2" max="2" width="18.85546875" customWidth="1"/>
    <col min="3" max="3" width="15.42578125" customWidth="1"/>
    <col min="4" max="4" width="28.140625" customWidth="1"/>
    <col min="5" max="5" width="16.5703125" customWidth="1"/>
    <col min="6" max="6" width="13.28515625" customWidth="1"/>
    <col min="7" max="7" width="28.140625" customWidth="1"/>
    <col min="8" max="8" width="8.5703125" customWidth="1"/>
    <col min="9" max="9" width="50.7109375" customWidth="1"/>
    <col min="10" max="10" width="23.7109375" style="2" customWidth="1"/>
    <col min="11" max="11" width="9.42578125" style="3" customWidth="1"/>
    <col min="12" max="12" width="9.7109375" style="3" customWidth="1"/>
    <col min="13" max="13" width="30.7109375" style="3" customWidth="1"/>
    <col min="14" max="14" width="28.85546875" style="3" customWidth="1"/>
  </cols>
  <sheetData>
    <row r="1" spans="1:14" s="39" customFormat="1" ht="15.75" x14ac:dyDescent="0.25">
      <c r="A1" s="64" t="s">
        <v>4331</v>
      </c>
      <c r="J1" s="2"/>
      <c r="K1" s="3"/>
      <c r="L1" s="3"/>
      <c r="M1" s="3"/>
      <c r="N1" s="3"/>
    </row>
    <row r="2" spans="1:14" x14ac:dyDescent="0.25">
      <c r="A2" s="6" t="s">
        <v>3095</v>
      </c>
      <c r="B2" s="6" t="s">
        <v>3096</v>
      </c>
      <c r="C2" s="6" t="s">
        <v>3097</v>
      </c>
      <c r="D2" s="6" t="s">
        <v>3098</v>
      </c>
      <c r="E2" s="6" t="s">
        <v>3099</v>
      </c>
      <c r="F2" s="6" t="s">
        <v>3100</v>
      </c>
      <c r="G2" s="6" t="s">
        <v>3101</v>
      </c>
      <c r="H2" s="6" t="s">
        <v>3102</v>
      </c>
      <c r="I2" s="6" t="s">
        <v>3103</v>
      </c>
      <c r="J2" s="2" t="s">
        <v>3104</v>
      </c>
      <c r="K2" s="3" t="s">
        <v>3095</v>
      </c>
      <c r="L2" s="3" t="s">
        <v>3105</v>
      </c>
      <c r="M2" s="3" t="s">
        <v>3106</v>
      </c>
      <c r="N2" s="3" t="s">
        <v>2167</v>
      </c>
    </row>
    <row r="3" spans="1:14" x14ac:dyDescent="0.25">
      <c r="A3" s="58">
        <v>1</v>
      </c>
      <c r="B3">
        <v>2</v>
      </c>
      <c r="C3">
        <v>1</v>
      </c>
      <c r="D3" t="s">
        <v>496</v>
      </c>
      <c r="E3">
        <v>2</v>
      </c>
      <c r="F3">
        <v>3</v>
      </c>
      <c r="G3" t="s">
        <v>496</v>
      </c>
      <c r="H3">
        <v>1</v>
      </c>
      <c r="I3" t="s">
        <v>3107</v>
      </c>
      <c r="J3" s="2" t="str">
        <f t="shared" ref="J3:J66" si="0">IF(A3&lt;&gt;"",IF(F3&lt;&gt;"",IF(OR(ISNA(A3),ISNA(F3)),"","["&amp;A3&amp;"]="&amp;F3&amp;","),""),"")</f>
        <v>[1]=3,</v>
      </c>
      <c r="K3" s="3">
        <f t="shared" ref="K3:K66" si="1">A3</f>
        <v>1</v>
      </c>
      <c r="L3" s="3">
        <f t="shared" ref="L3:L66" si="2">F3</f>
        <v>3</v>
      </c>
      <c r="M3" s="9" t="str">
        <f>VLOOKUP(A3,WayshrineNames!$A$3:$B$967,2,)</f>
        <v>Wyrd Tree Wayshrine</v>
      </c>
      <c r="N3" s="3" t="str">
        <f>VLOOKUP(F3,'ESO zones'!$A$5:$D$10003,4,FALSE)</f>
        <v>Glenumbra</v>
      </c>
    </row>
    <row r="4" spans="1:14" x14ac:dyDescent="0.25">
      <c r="A4" s="58">
        <v>2</v>
      </c>
      <c r="B4">
        <v>2</v>
      </c>
      <c r="C4">
        <v>1</v>
      </c>
      <c r="D4" t="s">
        <v>496</v>
      </c>
      <c r="E4">
        <v>2</v>
      </c>
      <c r="F4">
        <v>3</v>
      </c>
      <c r="G4" t="s">
        <v>496</v>
      </c>
      <c r="H4">
        <v>1</v>
      </c>
      <c r="I4" t="s">
        <v>3108</v>
      </c>
      <c r="J4" s="2" t="str">
        <f t="shared" si="0"/>
        <v>[2]=3,</v>
      </c>
      <c r="K4" s="3">
        <f t="shared" si="1"/>
        <v>2</v>
      </c>
      <c r="L4" s="3">
        <f t="shared" si="2"/>
        <v>3</v>
      </c>
      <c r="M4" s="9" t="str">
        <f>VLOOKUP(A4,WayshrineNames!$A$3:$B$967,2,)</f>
        <v>Aldcroft Wayshrine</v>
      </c>
      <c r="N4" s="3" t="str">
        <f>VLOOKUP(F4,'ESO zones'!$A$5:$D$10003,4,FALSE)</f>
        <v>Glenumbra</v>
      </c>
    </row>
    <row r="5" spans="1:14" x14ac:dyDescent="0.25">
      <c r="A5" s="58">
        <v>3</v>
      </c>
      <c r="B5">
        <v>2</v>
      </c>
      <c r="C5">
        <v>1</v>
      </c>
      <c r="D5" t="s">
        <v>496</v>
      </c>
      <c r="E5">
        <v>2</v>
      </c>
      <c r="F5">
        <v>3</v>
      </c>
      <c r="G5" t="s">
        <v>496</v>
      </c>
      <c r="H5">
        <v>1</v>
      </c>
      <c r="I5" t="s">
        <v>3109</v>
      </c>
      <c r="J5" s="2" t="str">
        <f t="shared" si="0"/>
        <v>[3]=3,</v>
      </c>
      <c r="K5" s="3">
        <f t="shared" si="1"/>
        <v>3</v>
      </c>
      <c r="L5" s="3">
        <f t="shared" si="2"/>
        <v>3</v>
      </c>
      <c r="M5" s="9" t="str">
        <f>VLOOKUP(A5,WayshrineNames!$A$3:$B$967,2,)</f>
        <v>Deleyn's Mill Wayshrine</v>
      </c>
      <c r="N5" s="3" t="str">
        <f>VLOOKUP(F5,'ESO zones'!$A$5:$D$10003,4,FALSE)</f>
        <v>Glenumbra</v>
      </c>
    </row>
    <row r="6" spans="1:14" x14ac:dyDescent="0.25">
      <c r="A6" s="58">
        <v>4</v>
      </c>
      <c r="B6">
        <v>2</v>
      </c>
      <c r="C6">
        <v>1</v>
      </c>
      <c r="D6" t="s">
        <v>496</v>
      </c>
      <c r="E6">
        <v>2</v>
      </c>
      <c r="F6">
        <v>3</v>
      </c>
      <c r="G6" t="s">
        <v>496</v>
      </c>
      <c r="H6">
        <v>1</v>
      </c>
      <c r="I6" t="s">
        <v>3110</v>
      </c>
      <c r="J6" s="2" t="str">
        <f t="shared" si="0"/>
        <v>[4]=3,</v>
      </c>
      <c r="K6" s="3">
        <f t="shared" si="1"/>
        <v>4</v>
      </c>
      <c r="L6" s="3">
        <f t="shared" si="2"/>
        <v>3</v>
      </c>
      <c r="M6" s="9" t="str">
        <f>VLOOKUP(A6,WayshrineNames!$A$3:$B$967,2,)</f>
        <v>Eagle's Brook Wayshrine</v>
      </c>
      <c r="N6" s="3" t="str">
        <f>VLOOKUP(F6,'ESO zones'!$A$5:$D$10003,4,FALSE)</f>
        <v>Glenumbra</v>
      </c>
    </row>
    <row r="7" spans="1:14" x14ac:dyDescent="0.25">
      <c r="A7" s="58">
        <v>5</v>
      </c>
      <c r="B7">
        <v>2</v>
      </c>
      <c r="C7">
        <v>1</v>
      </c>
      <c r="D7" t="s">
        <v>496</v>
      </c>
      <c r="E7">
        <v>2</v>
      </c>
      <c r="F7">
        <v>3</v>
      </c>
      <c r="G7" t="s">
        <v>496</v>
      </c>
      <c r="H7">
        <v>1</v>
      </c>
      <c r="I7" t="s">
        <v>3111</v>
      </c>
      <c r="J7" s="2" t="str">
        <f t="shared" si="0"/>
        <v>[5]=3,</v>
      </c>
      <c r="K7" s="3">
        <f t="shared" si="1"/>
        <v>5</v>
      </c>
      <c r="L7" s="3">
        <f t="shared" si="2"/>
        <v>3</v>
      </c>
      <c r="M7" s="9" t="str">
        <f>VLOOKUP(A7,WayshrineNames!$A$3:$B$967,2,)</f>
        <v>North Hag Fen Wayshrine</v>
      </c>
      <c r="N7" s="3" t="str">
        <f>VLOOKUP(F7,'ESO zones'!$A$5:$D$10003,4,FALSE)</f>
        <v>Glenumbra</v>
      </c>
    </row>
    <row r="8" spans="1:14" x14ac:dyDescent="0.25">
      <c r="A8" s="58">
        <v>6</v>
      </c>
      <c r="B8">
        <v>2</v>
      </c>
      <c r="C8">
        <v>1</v>
      </c>
      <c r="D8" t="s">
        <v>496</v>
      </c>
      <c r="E8">
        <v>2</v>
      </c>
      <c r="F8">
        <v>3</v>
      </c>
      <c r="G8" t="s">
        <v>496</v>
      </c>
      <c r="H8">
        <v>1</v>
      </c>
      <c r="I8" t="s">
        <v>3112</v>
      </c>
      <c r="J8" s="2" t="str">
        <f t="shared" si="0"/>
        <v>[6]=3,</v>
      </c>
      <c r="K8" s="3">
        <f t="shared" si="1"/>
        <v>6</v>
      </c>
      <c r="L8" s="3">
        <f t="shared" si="2"/>
        <v>3</v>
      </c>
      <c r="M8" s="9" t="str">
        <f>VLOOKUP(A8,WayshrineNames!$A$3:$B$967,2,)</f>
        <v>Lion Guard Redoubt Wayshrine</v>
      </c>
      <c r="N8" s="3" t="str">
        <f>VLOOKUP(F8,'ESO zones'!$A$5:$D$10003,4,FALSE)</f>
        <v>Glenumbra</v>
      </c>
    </row>
    <row r="9" spans="1:14" x14ac:dyDescent="0.25">
      <c r="A9" s="58">
        <v>7</v>
      </c>
      <c r="B9">
        <v>2</v>
      </c>
      <c r="C9">
        <v>1</v>
      </c>
      <c r="D9" t="s">
        <v>496</v>
      </c>
      <c r="E9">
        <v>2</v>
      </c>
      <c r="F9">
        <v>3</v>
      </c>
      <c r="G9" t="s">
        <v>496</v>
      </c>
      <c r="H9">
        <v>1</v>
      </c>
      <c r="I9" t="s">
        <v>3113</v>
      </c>
      <c r="J9" s="2" t="str">
        <f t="shared" si="0"/>
        <v>[7]=3,</v>
      </c>
      <c r="K9" s="3">
        <f t="shared" si="1"/>
        <v>7</v>
      </c>
      <c r="L9" s="3">
        <f t="shared" si="2"/>
        <v>3</v>
      </c>
      <c r="M9" s="9" t="str">
        <f>VLOOKUP(A9,WayshrineNames!$A$3:$B$967,2,)</f>
        <v>Crosswych Wayshrine</v>
      </c>
      <c r="N9" s="3" t="str">
        <f>VLOOKUP(F9,'ESO zones'!$A$5:$D$10003,4,FALSE)</f>
        <v>Glenumbra</v>
      </c>
    </row>
    <row r="10" spans="1:14" x14ac:dyDescent="0.25">
      <c r="A10" s="58">
        <v>8</v>
      </c>
      <c r="B10">
        <v>2</v>
      </c>
      <c r="C10">
        <v>1</v>
      </c>
      <c r="D10" t="s">
        <v>496</v>
      </c>
      <c r="E10">
        <v>2</v>
      </c>
      <c r="F10">
        <v>3</v>
      </c>
      <c r="G10" t="s">
        <v>496</v>
      </c>
      <c r="H10">
        <v>1</v>
      </c>
      <c r="I10" t="s">
        <v>3114</v>
      </c>
      <c r="J10" s="2" t="str">
        <f t="shared" si="0"/>
        <v>[8]=3,</v>
      </c>
      <c r="K10" s="3">
        <f t="shared" si="1"/>
        <v>8</v>
      </c>
      <c r="L10" s="3">
        <f t="shared" si="2"/>
        <v>3</v>
      </c>
      <c r="M10" s="9" t="str">
        <f>VLOOKUP(A10,WayshrineNames!$A$3:$B$967,2,)</f>
        <v>Farwatch Wayshrine</v>
      </c>
      <c r="N10" s="3" t="str">
        <f>VLOOKUP(F10,'ESO zones'!$A$5:$D$10003,4,FALSE)</f>
        <v>Glenumbra</v>
      </c>
    </row>
    <row r="11" spans="1:14" x14ac:dyDescent="0.25">
      <c r="A11" s="58">
        <v>9</v>
      </c>
      <c r="B11">
        <v>3</v>
      </c>
      <c r="C11">
        <v>10</v>
      </c>
      <c r="D11" t="s">
        <v>3115</v>
      </c>
      <c r="E11">
        <v>5</v>
      </c>
      <c r="F11">
        <v>20</v>
      </c>
      <c r="G11" t="s">
        <v>3115</v>
      </c>
      <c r="H11">
        <v>1</v>
      </c>
      <c r="I11" t="s">
        <v>3116</v>
      </c>
      <c r="J11" s="2" t="str">
        <f t="shared" si="0"/>
        <v>[9]=20,</v>
      </c>
      <c r="K11" s="3">
        <f t="shared" si="1"/>
        <v>9</v>
      </c>
      <c r="L11" s="3">
        <f t="shared" si="2"/>
        <v>20</v>
      </c>
      <c r="M11" s="9" t="str">
        <f>VLOOKUP(A11,WayshrineNames!$A$3:$B$967,2,)</f>
        <v>Oldgate Wayshrine</v>
      </c>
      <c r="N11" s="3" t="str">
        <f>VLOOKUP(F11,'ESO zones'!$A$5:$D$10003,4,FALSE)</f>
        <v>Rivenspire</v>
      </c>
    </row>
    <row r="12" spans="1:14" x14ac:dyDescent="0.25">
      <c r="A12" s="58">
        <v>10</v>
      </c>
      <c r="B12">
        <v>3</v>
      </c>
      <c r="C12">
        <v>10</v>
      </c>
      <c r="D12" t="s">
        <v>3115</v>
      </c>
      <c r="E12">
        <v>5</v>
      </c>
      <c r="F12">
        <v>20</v>
      </c>
      <c r="G12" t="s">
        <v>3115</v>
      </c>
      <c r="H12">
        <v>1</v>
      </c>
      <c r="I12" t="s">
        <v>3117</v>
      </c>
      <c r="J12" s="2" t="str">
        <f t="shared" si="0"/>
        <v>[10]=20,</v>
      </c>
      <c r="K12" s="3">
        <f t="shared" si="1"/>
        <v>10</v>
      </c>
      <c r="L12" s="3">
        <f t="shared" si="2"/>
        <v>20</v>
      </c>
      <c r="M12" s="9" t="str">
        <f>VLOOKUP(A12,WayshrineNames!$A$3:$B$967,2,)</f>
        <v>Crestshade Wayshrine</v>
      </c>
      <c r="N12" s="3" t="str">
        <f>VLOOKUP(F12,'ESO zones'!$A$5:$D$10003,4,FALSE)</f>
        <v>Rivenspire</v>
      </c>
    </row>
    <row r="13" spans="1:14" x14ac:dyDescent="0.25">
      <c r="A13" s="58">
        <v>11</v>
      </c>
      <c r="B13">
        <v>3</v>
      </c>
      <c r="C13">
        <v>10</v>
      </c>
      <c r="D13" t="s">
        <v>3115</v>
      </c>
      <c r="E13">
        <v>5</v>
      </c>
      <c r="F13">
        <v>20</v>
      </c>
      <c r="G13" t="s">
        <v>3115</v>
      </c>
      <c r="H13">
        <v>1</v>
      </c>
      <c r="I13" t="s">
        <v>3118</v>
      </c>
      <c r="J13" s="2" t="str">
        <f t="shared" si="0"/>
        <v>[11]=20,</v>
      </c>
      <c r="K13" s="3">
        <f t="shared" si="1"/>
        <v>11</v>
      </c>
      <c r="L13" s="3">
        <f t="shared" si="2"/>
        <v>20</v>
      </c>
      <c r="M13" s="9" t="str">
        <f>VLOOKUP(A13,WayshrineNames!$A$3:$B$967,2,)</f>
        <v>Tamrith Camp Wayshrine</v>
      </c>
      <c r="N13" s="3" t="str">
        <f>VLOOKUP(F13,'ESO zones'!$A$5:$D$10003,4,FALSE)</f>
        <v>Rivenspire</v>
      </c>
    </row>
    <row r="14" spans="1:14" x14ac:dyDescent="0.25">
      <c r="A14" s="58">
        <v>12</v>
      </c>
      <c r="B14">
        <v>3</v>
      </c>
      <c r="C14">
        <v>10</v>
      </c>
      <c r="D14" t="s">
        <v>3115</v>
      </c>
      <c r="E14">
        <v>5</v>
      </c>
      <c r="F14">
        <v>20</v>
      </c>
      <c r="G14" t="s">
        <v>3115</v>
      </c>
      <c r="H14">
        <v>1</v>
      </c>
      <c r="I14" t="s">
        <v>3119</v>
      </c>
      <c r="J14" s="2" t="str">
        <f t="shared" si="0"/>
        <v>[12]=20,</v>
      </c>
      <c r="K14" s="3">
        <f t="shared" si="1"/>
        <v>12</v>
      </c>
      <c r="L14" s="3">
        <f t="shared" si="2"/>
        <v>20</v>
      </c>
      <c r="M14" s="9" t="str">
        <f>VLOOKUP(A14,WayshrineNames!$A$3:$B$967,2,)</f>
        <v>Boralis Wayshrine</v>
      </c>
      <c r="N14" s="3" t="str">
        <f>VLOOKUP(F14,'ESO zones'!$A$5:$D$10003,4,FALSE)</f>
        <v>Rivenspire</v>
      </c>
    </row>
    <row r="15" spans="1:14" x14ac:dyDescent="0.25">
      <c r="A15" s="58">
        <v>13</v>
      </c>
      <c r="B15">
        <v>3</v>
      </c>
      <c r="C15">
        <v>10</v>
      </c>
      <c r="D15" t="s">
        <v>3115</v>
      </c>
      <c r="E15">
        <v>5</v>
      </c>
      <c r="F15">
        <v>20</v>
      </c>
      <c r="G15" t="s">
        <v>3115</v>
      </c>
      <c r="H15">
        <v>1</v>
      </c>
      <c r="I15" t="s">
        <v>3120</v>
      </c>
      <c r="J15" s="2" t="str">
        <f t="shared" si="0"/>
        <v>[13]=20,</v>
      </c>
      <c r="K15" s="3">
        <f t="shared" si="1"/>
        <v>13</v>
      </c>
      <c r="L15" s="3">
        <f t="shared" si="2"/>
        <v>20</v>
      </c>
      <c r="M15" s="9" t="str">
        <f>VLOOKUP(A15,WayshrineNames!$A$3:$B$967,2,)</f>
        <v>Staging Grounds Wayshrine</v>
      </c>
      <c r="N15" s="3" t="str">
        <f>VLOOKUP(F15,'ESO zones'!$A$5:$D$10003,4,FALSE)</f>
        <v>Rivenspire</v>
      </c>
    </row>
    <row r="16" spans="1:14" x14ac:dyDescent="0.25">
      <c r="A16" s="58">
        <v>14</v>
      </c>
      <c r="B16">
        <v>4</v>
      </c>
      <c r="C16">
        <v>12</v>
      </c>
      <c r="D16" t="s">
        <v>3121</v>
      </c>
      <c r="E16">
        <v>4</v>
      </c>
      <c r="F16">
        <v>19</v>
      </c>
      <c r="G16" t="s">
        <v>3121</v>
      </c>
      <c r="H16">
        <v>1</v>
      </c>
      <c r="I16" t="s">
        <v>3122</v>
      </c>
      <c r="J16" s="2" t="str">
        <f t="shared" si="0"/>
        <v>[14]=19,</v>
      </c>
      <c r="K16" s="3">
        <f t="shared" si="1"/>
        <v>14</v>
      </c>
      <c r="L16" s="3">
        <f t="shared" si="2"/>
        <v>19</v>
      </c>
      <c r="M16" s="9" t="str">
        <f>VLOOKUP(A16,WayshrineNames!$A$3:$B$967,2,)</f>
        <v>Koeglin Village Wayshrine</v>
      </c>
      <c r="N16" s="3" t="str">
        <f>VLOOKUP(F16,'ESO zones'!$A$5:$D$10003,4,FALSE)</f>
        <v>Stormhaven</v>
      </c>
    </row>
    <row r="17" spans="1:14" x14ac:dyDescent="0.25">
      <c r="A17" s="58">
        <v>15</v>
      </c>
      <c r="B17">
        <v>4</v>
      </c>
      <c r="C17">
        <v>12</v>
      </c>
      <c r="D17" t="s">
        <v>3121</v>
      </c>
      <c r="E17">
        <v>4</v>
      </c>
      <c r="F17">
        <v>19</v>
      </c>
      <c r="G17" t="s">
        <v>3121</v>
      </c>
      <c r="H17">
        <v>1</v>
      </c>
      <c r="I17" t="s">
        <v>3123</v>
      </c>
      <c r="J17" s="2" t="str">
        <f t="shared" si="0"/>
        <v>[15]=19,</v>
      </c>
      <c r="K17" s="3">
        <f t="shared" si="1"/>
        <v>15</v>
      </c>
      <c r="L17" s="3">
        <f t="shared" si="2"/>
        <v>19</v>
      </c>
      <c r="M17" s="9" t="str">
        <f>VLOOKUP(A17,WayshrineNames!$A$3:$B$967,2,)</f>
        <v>Alcaire Castle Wayshrine</v>
      </c>
      <c r="N17" s="3" t="str">
        <f>VLOOKUP(F17,'ESO zones'!$A$5:$D$10003,4,FALSE)</f>
        <v>Stormhaven</v>
      </c>
    </row>
    <row r="18" spans="1:14" x14ac:dyDescent="0.25">
      <c r="A18" s="58">
        <v>16</v>
      </c>
      <c r="B18">
        <v>4</v>
      </c>
      <c r="C18">
        <v>12</v>
      </c>
      <c r="D18" t="s">
        <v>3121</v>
      </c>
      <c r="E18">
        <v>4</v>
      </c>
      <c r="F18">
        <v>19</v>
      </c>
      <c r="G18" t="s">
        <v>3121</v>
      </c>
      <c r="H18">
        <v>1</v>
      </c>
      <c r="I18" t="s">
        <v>3124</v>
      </c>
      <c r="J18" s="2" t="str">
        <f t="shared" si="0"/>
        <v>[16]=19,</v>
      </c>
      <c r="K18" s="3">
        <f t="shared" si="1"/>
        <v>16</v>
      </c>
      <c r="L18" s="3">
        <f t="shared" si="2"/>
        <v>19</v>
      </c>
      <c r="M18" s="9" t="str">
        <f>VLOOKUP(A18,WayshrineNames!$A$3:$B$967,2,)</f>
        <v>Firebrand Keep Wayshrine</v>
      </c>
      <c r="N18" s="3" t="str">
        <f>VLOOKUP(F18,'ESO zones'!$A$5:$D$10003,4,FALSE)</f>
        <v>Stormhaven</v>
      </c>
    </row>
    <row r="19" spans="1:14" x14ac:dyDescent="0.25">
      <c r="A19" s="58">
        <v>17</v>
      </c>
      <c r="B19">
        <v>4</v>
      </c>
      <c r="C19">
        <v>12</v>
      </c>
      <c r="D19" t="s">
        <v>3121</v>
      </c>
      <c r="E19">
        <v>4</v>
      </c>
      <c r="F19">
        <v>19</v>
      </c>
      <c r="G19" t="s">
        <v>3121</v>
      </c>
      <c r="H19">
        <v>1</v>
      </c>
      <c r="I19" t="s">
        <v>3125</v>
      </c>
      <c r="J19" s="2" t="str">
        <f t="shared" si="0"/>
        <v>[17]=19,</v>
      </c>
      <c r="K19" s="3">
        <f t="shared" si="1"/>
        <v>17</v>
      </c>
      <c r="L19" s="3">
        <f t="shared" si="2"/>
        <v>19</v>
      </c>
      <c r="M19" s="9" t="str">
        <f>VLOOKUP(A19,WayshrineNames!$A$3:$B$967,2,)</f>
        <v>Bonesnap Ruins Wayshrine</v>
      </c>
      <c r="N19" s="3" t="str">
        <f>VLOOKUP(F19,'ESO zones'!$A$5:$D$10003,4,FALSE)</f>
        <v>Stormhaven</v>
      </c>
    </row>
    <row r="20" spans="1:14" x14ac:dyDescent="0.25">
      <c r="A20" s="58">
        <v>18</v>
      </c>
      <c r="B20">
        <v>4</v>
      </c>
      <c r="C20">
        <v>12</v>
      </c>
      <c r="D20" t="s">
        <v>3121</v>
      </c>
      <c r="E20">
        <v>4</v>
      </c>
      <c r="F20">
        <v>19</v>
      </c>
      <c r="G20" t="s">
        <v>3121</v>
      </c>
      <c r="H20">
        <v>1</v>
      </c>
      <c r="I20" t="s">
        <v>3126</v>
      </c>
      <c r="J20" s="2" t="str">
        <f t="shared" si="0"/>
        <v>[18]=19,</v>
      </c>
      <c r="K20" s="3">
        <f t="shared" si="1"/>
        <v>18</v>
      </c>
      <c r="L20" s="3">
        <f t="shared" si="2"/>
        <v>19</v>
      </c>
      <c r="M20" s="9" t="str">
        <f>VLOOKUP(A20,WayshrineNames!$A$3:$B$967,2,)</f>
        <v>Soulshriven Wayshrine</v>
      </c>
      <c r="N20" s="3" t="str">
        <f>VLOOKUP(F20,'ESO zones'!$A$5:$D$10003,4,FALSE)</f>
        <v>Stormhaven</v>
      </c>
    </row>
    <row r="21" spans="1:14" x14ac:dyDescent="0.25">
      <c r="A21" s="58">
        <v>19</v>
      </c>
      <c r="B21">
        <v>4</v>
      </c>
      <c r="C21">
        <v>12</v>
      </c>
      <c r="D21" t="s">
        <v>3121</v>
      </c>
      <c r="E21">
        <v>4</v>
      </c>
      <c r="F21">
        <v>19</v>
      </c>
      <c r="G21" t="s">
        <v>3121</v>
      </c>
      <c r="H21">
        <v>1</v>
      </c>
      <c r="I21" t="s">
        <v>3127</v>
      </c>
      <c r="J21" s="2" t="str">
        <f t="shared" si="0"/>
        <v>[19]=19,</v>
      </c>
      <c r="K21" s="3">
        <f t="shared" si="1"/>
        <v>19</v>
      </c>
      <c r="L21" s="3">
        <f t="shared" si="2"/>
        <v>19</v>
      </c>
      <c r="M21" s="9" t="str">
        <f>VLOOKUP(A21,WayshrineNames!$A$3:$B$967,2,)</f>
        <v>Pariah Abbey Wayshrine</v>
      </c>
      <c r="N21" s="3" t="str">
        <f>VLOOKUP(F21,'ESO zones'!$A$5:$D$10003,4,FALSE)</f>
        <v>Stormhaven</v>
      </c>
    </row>
    <row r="22" spans="1:14" x14ac:dyDescent="0.25">
      <c r="A22" s="58">
        <v>20</v>
      </c>
      <c r="B22">
        <v>2</v>
      </c>
      <c r="C22">
        <v>1</v>
      </c>
      <c r="D22" t="s">
        <v>496</v>
      </c>
      <c r="E22">
        <v>2</v>
      </c>
      <c r="F22">
        <v>3</v>
      </c>
      <c r="G22" t="s">
        <v>496</v>
      </c>
      <c r="H22">
        <v>1</v>
      </c>
      <c r="I22" t="s">
        <v>3128</v>
      </c>
      <c r="J22" s="2" t="str">
        <f t="shared" si="0"/>
        <v>[20]=3,</v>
      </c>
      <c r="K22" s="3">
        <f t="shared" si="1"/>
        <v>20</v>
      </c>
      <c r="L22" s="3">
        <f t="shared" si="2"/>
        <v>3</v>
      </c>
      <c r="M22" s="9" t="str">
        <f>VLOOKUP(A22,WayshrineNames!$A$3:$B$967,2,)</f>
        <v>Baelborne Rock Wayshrine</v>
      </c>
      <c r="N22" s="3" t="str">
        <f>VLOOKUP(F22,'ESO zones'!$A$5:$D$10003,4,FALSE)</f>
        <v>Glenumbra</v>
      </c>
    </row>
    <row r="23" spans="1:14" x14ac:dyDescent="0.25">
      <c r="A23" s="58">
        <v>21</v>
      </c>
      <c r="B23">
        <v>7</v>
      </c>
      <c r="C23">
        <v>9</v>
      </c>
      <c r="D23" t="s">
        <v>3129</v>
      </c>
      <c r="E23">
        <v>181</v>
      </c>
      <c r="F23">
        <v>383</v>
      </c>
      <c r="G23" t="s">
        <v>3129</v>
      </c>
      <c r="H23">
        <v>1</v>
      </c>
      <c r="I23" t="s">
        <v>3130</v>
      </c>
      <c r="J23" s="2" t="str">
        <f t="shared" si="0"/>
        <v>[21]=383,</v>
      </c>
      <c r="K23" s="3">
        <f t="shared" si="1"/>
        <v>21</v>
      </c>
      <c r="L23" s="3">
        <f t="shared" si="2"/>
        <v>383</v>
      </c>
      <c r="M23" s="9" t="str">
        <f>VLOOKUP(A23,WayshrineNames!$A$3:$B$967,2,)</f>
        <v>Elden Root Temple Wayshrine</v>
      </c>
      <c r="N23" s="3" t="str">
        <f>VLOOKUP(F23,'ESO zones'!$A$5:$D$10003,4,FALSE)</f>
        <v>Grahtwood</v>
      </c>
    </row>
    <row r="24" spans="1:14" x14ac:dyDescent="0.25">
      <c r="A24" s="58">
        <v>22</v>
      </c>
      <c r="B24">
        <v>4</v>
      </c>
      <c r="C24">
        <v>12</v>
      </c>
      <c r="D24" t="s">
        <v>3121</v>
      </c>
      <c r="E24">
        <v>4</v>
      </c>
      <c r="F24">
        <v>19</v>
      </c>
      <c r="G24" t="s">
        <v>3121</v>
      </c>
      <c r="H24">
        <v>1</v>
      </c>
      <c r="I24" t="s">
        <v>3131</v>
      </c>
      <c r="J24" s="2" t="str">
        <f t="shared" si="0"/>
        <v>[22]=19,</v>
      </c>
      <c r="K24" s="3">
        <f t="shared" si="1"/>
        <v>22</v>
      </c>
      <c r="L24" s="3">
        <f t="shared" si="2"/>
        <v>19</v>
      </c>
      <c r="M24" s="9" t="str">
        <f>VLOOKUP(A24,WayshrineNames!$A$3:$B$967,2,)</f>
        <v>Wind Keep Wayshrine</v>
      </c>
      <c r="N24" s="3" t="str">
        <f>VLOOKUP(F24,'ESO zones'!$A$5:$D$10003,4,FALSE)</f>
        <v>Stormhaven</v>
      </c>
    </row>
    <row r="25" spans="1:14" x14ac:dyDescent="0.25">
      <c r="A25" s="58">
        <v>23</v>
      </c>
      <c r="B25">
        <v>4</v>
      </c>
      <c r="C25">
        <v>12</v>
      </c>
      <c r="D25" t="s">
        <v>3121</v>
      </c>
      <c r="E25">
        <v>4</v>
      </c>
      <c r="F25">
        <v>19</v>
      </c>
      <c r="G25" t="s">
        <v>3121</v>
      </c>
      <c r="H25">
        <v>1</v>
      </c>
      <c r="I25" t="s">
        <v>3132</v>
      </c>
      <c r="J25" s="2" t="str">
        <f t="shared" si="0"/>
        <v>[23]=19,</v>
      </c>
      <c r="K25" s="3">
        <f t="shared" si="1"/>
        <v>23</v>
      </c>
      <c r="L25" s="3">
        <f t="shared" si="2"/>
        <v>19</v>
      </c>
      <c r="M25" s="9" t="str">
        <f>VLOOKUP(A25,WayshrineNames!$A$3:$B$967,2,)</f>
        <v>Dro-Dara Plantation Wayshrine</v>
      </c>
      <c r="N25" s="3" t="str">
        <f>VLOOKUP(F25,'ESO zones'!$A$5:$D$10003,4,FALSE)</f>
        <v>Stormhaven</v>
      </c>
    </row>
    <row r="26" spans="1:14" x14ac:dyDescent="0.25">
      <c r="A26" s="58">
        <v>24</v>
      </c>
      <c r="B26">
        <v>10</v>
      </c>
      <c r="C26">
        <v>13</v>
      </c>
      <c r="D26" t="s">
        <v>436</v>
      </c>
      <c r="E26">
        <v>10</v>
      </c>
      <c r="F26">
        <v>57</v>
      </c>
      <c r="G26" t="s">
        <v>436</v>
      </c>
      <c r="H26">
        <v>1</v>
      </c>
      <c r="I26" t="s">
        <v>3133</v>
      </c>
      <c r="J26" s="2" t="str">
        <f t="shared" si="0"/>
        <v>[24]=57,</v>
      </c>
      <c r="K26" s="3">
        <f t="shared" si="1"/>
        <v>24</v>
      </c>
      <c r="L26" s="3">
        <f t="shared" si="2"/>
        <v>57</v>
      </c>
      <c r="M26" s="9" t="str">
        <f>VLOOKUP(A26,WayshrineNames!$A$3:$B$967,2,)</f>
        <v>West Narsis Wayshrine</v>
      </c>
      <c r="N26" s="3" t="str">
        <f>VLOOKUP(F26,'ESO zones'!$A$5:$D$10003,4,FALSE)</f>
        <v>Deshaan</v>
      </c>
    </row>
    <row r="27" spans="1:14" x14ac:dyDescent="0.25">
      <c r="A27" s="58">
        <v>25</v>
      </c>
      <c r="B27">
        <v>10</v>
      </c>
      <c r="C27">
        <v>13</v>
      </c>
      <c r="D27" t="s">
        <v>436</v>
      </c>
      <c r="E27">
        <v>10</v>
      </c>
      <c r="F27">
        <v>57</v>
      </c>
      <c r="G27" t="s">
        <v>436</v>
      </c>
      <c r="H27">
        <v>1</v>
      </c>
      <c r="I27" t="s">
        <v>3134</v>
      </c>
      <c r="J27" s="2" t="str">
        <f t="shared" si="0"/>
        <v>[25]=57,</v>
      </c>
      <c r="K27" s="3">
        <f t="shared" si="1"/>
        <v>25</v>
      </c>
      <c r="L27" s="3">
        <f t="shared" si="2"/>
        <v>57</v>
      </c>
      <c r="M27" s="9" t="str">
        <f>VLOOKUP(A27,WayshrineNames!$A$3:$B$967,2,)</f>
        <v>Muth Gnaar Hills Wayshrine</v>
      </c>
      <c r="N27" s="3" t="str">
        <f>VLOOKUP(F27,'ESO zones'!$A$5:$D$10003,4,FALSE)</f>
        <v>Deshaan</v>
      </c>
    </row>
    <row r="28" spans="1:14" x14ac:dyDescent="0.25">
      <c r="A28" s="58">
        <v>26</v>
      </c>
      <c r="B28">
        <v>10</v>
      </c>
      <c r="C28">
        <v>13</v>
      </c>
      <c r="D28" t="s">
        <v>436</v>
      </c>
      <c r="E28">
        <v>10</v>
      </c>
      <c r="F28">
        <v>57</v>
      </c>
      <c r="G28" t="s">
        <v>436</v>
      </c>
      <c r="H28">
        <v>1</v>
      </c>
      <c r="I28" t="s">
        <v>3135</v>
      </c>
      <c r="J28" s="2" t="str">
        <f t="shared" si="0"/>
        <v>[26]=57,</v>
      </c>
      <c r="K28" s="3">
        <f t="shared" si="1"/>
        <v>26</v>
      </c>
      <c r="L28" s="3">
        <f t="shared" si="2"/>
        <v>57</v>
      </c>
      <c r="M28" s="9" t="str">
        <f>VLOOKUP(A28,WayshrineNames!$A$3:$B$967,2,)</f>
        <v>Quarantine Serk Wayshrine</v>
      </c>
      <c r="N28" s="3" t="str">
        <f>VLOOKUP(F28,'ESO zones'!$A$5:$D$10003,4,FALSE)</f>
        <v>Deshaan</v>
      </c>
    </row>
    <row r="29" spans="1:14" x14ac:dyDescent="0.25">
      <c r="A29" s="58">
        <v>27</v>
      </c>
      <c r="B29">
        <v>10</v>
      </c>
      <c r="C29">
        <v>13</v>
      </c>
      <c r="D29" t="s">
        <v>436</v>
      </c>
      <c r="E29">
        <v>10</v>
      </c>
      <c r="F29">
        <v>57</v>
      </c>
      <c r="G29" t="s">
        <v>436</v>
      </c>
      <c r="H29">
        <v>1</v>
      </c>
      <c r="I29" t="s">
        <v>3136</v>
      </c>
      <c r="J29" s="2" t="str">
        <f t="shared" si="0"/>
        <v>[27]=57,</v>
      </c>
      <c r="K29" s="3">
        <f t="shared" si="1"/>
        <v>27</v>
      </c>
      <c r="L29" s="3">
        <f t="shared" si="2"/>
        <v>57</v>
      </c>
      <c r="M29" s="9" t="str">
        <f>VLOOKUP(A29,WayshrineNames!$A$3:$B$967,2,)</f>
        <v>Ghost Snake Vale Wayshrine</v>
      </c>
      <c r="N29" s="3" t="str">
        <f>VLOOKUP(F29,'ESO zones'!$A$5:$D$10003,4,FALSE)</f>
        <v>Deshaan</v>
      </c>
    </row>
    <row r="30" spans="1:14" x14ac:dyDescent="0.25">
      <c r="A30" s="58">
        <v>28</v>
      </c>
      <c r="B30">
        <v>10</v>
      </c>
      <c r="C30">
        <v>13</v>
      </c>
      <c r="D30" t="s">
        <v>436</v>
      </c>
      <c r="E30">
        <v>10</v>
      </c>
      <c r="F30">
        <v>57</v>
      </c>
      <c r="G30" t="s">
        <v>436</v>
      </c>
      <c r="H30">
        <v>1</v>
      </c>
      <c r="I30" t="s">
        <v>3137</v>
      </c>
      <c r="J30" s="2" t="str">
        <f t="shared" si="0"/>
        <v>[28]=57,</v>
      </c>
      <c r="K30" s="3">
        <f t="shared" si="1"/>
        <v>28</v>
      </c>
      <c r="L30" s="3">
        <f t="shared" si="2"/>
        <v>57</v>
      </c>
      <c r="M30" s="9" t="str">
        <f>VLOOKUP(A30,WayshrineNames!$A$3:$B$967,2,)</f>
        <v>Mournhold Wayshrine</v>
      </c>
      <c r="N30" s="3" t="str">
        <f>VLOOKUP(F30,'ESO zones'!$A$5:$D$10003,4,FALSE)</f>
        <v>Deshaan</v>
      </c>
    </row>
    <row r="31" spans="1:14" x14ac:dyDescent="0.25">
      <c r="A31" s="58">
        <v>29</v>
      </c>
      <c r="B31">
        <v>10</v>
      </c>
      <c r="C31">
        <v>13</v>
      </c>
      <c r="D31" t="s">
        <v>436</v>
      </c>
      <c r="E31">
        <v>10</v>
      </c>
      <c r="F31">
        <v>57</v>
      </c>
      <c r="G31" t="s">
        <v>436</v>
      </c>
      <c r="H31">
        <v>1</v>
      </c>
      <c r="I31" t="s">
        <v>3138</v>
      </c>
      <c r="J31" s="2" t="str">
        <f t="shared" si="0"/>
        <v>[29]=57,</v>
      </c>
      <c r="K31" s="3">
        <f t="shared" si="1"/>
        <v>29</v>
      </c>
      <c r="L31" s="3">
        <f t="shared" si="2"/>
        <v>57</v>
      </c>
      <c r="M31" s="9" t="str">
        <f>VLOOKUP(A31,WayshrineNames!$A$3:$B$967,2,)</f>
        <v>Tal'Deic Grounds Wayshrine</v>
      </c>
      <c r="N31" s="3" t="str">
        <f>VLOOKUP(F31,'ESO zones'!$A$5:$D$10003,4,FALSE)</f>
        <v>Deshaan</v>
      </c>
    </row>
    <row r="32" spans="1:14" x14ac:dyDescent="0.25">
      <c r="A32" s="58">
        <v>30</v>
      </c>
      <c r="B32">
        <v>10</v>
      </c>
      <c r="C32">
        <v>13</v>
      </c>
      <c r="D32" t="s">
        <v>436</v>
      </c>
      <c r="E32">
        <v>10</v>
      </c>
      <c r="F32">
        <v>57</v>
      </c>
      <c r="G32" t="s">
        <v>436</v>
      </c>
      <c r="H32">
        <v>1</v>
      </c>
      <c r="I32" t="s">
        <v>3139</v>
      </c>
      <c r="J32" s="2" t="str">
        <f t="shared" si="0"/>
        <v>[30]=57,</v>
      </c>
      <c r="K32" s="3">
        <f t="shared" si="1"/>
        <v>30</v>
      </c>
      <c r="L32" s="3">
        <f t="shared" si="2"/>
        <v>57</v>
      </c>
      <c r="M32" s="9" t="str">
        <f>VLOOKUP(A32,WayshrineNames!$A$3:$B$967,2,)</f>
        <v>Obsidian Gorge Wayshrine</v>
      </c>
      <c r="N32" s="3" t="str">
        <f>VLOOKUP(F32,'ESO zones'!$A$5:$D$10003,4,FALSE)</f>
        <v>Deshaan</v>
      </c>
    </row>
    <row r="33" spans="1:14" x14ac:dyDescent="0.25">
      <c r="A33" s="58">
        <v>31</v>
      </c>
      <c r="B33">
        <v>4</v>
      </c>
      <c r="C33">
        <v>12</v>
      </c>
      <c r="D33" t="s">
        <v>3121</v>
      </c>
      <c r="E33">
        <v>4</v>
      </c>
      <c r="F33">
        <v>19</v>
      </c>
      <c r="G33" t="s">
        <v>3121</v>
      </c>
      <c r="H33">
        <v>1</v>
      </c>
      <c r="I33" t="s">
        <v>3140</v>
      </c>
      <c r="J33" s="2" t="str">
        <f t="shared" si="0"/>
        <v>[31]=19,</v>
      </c>
      <c r="K33" s="3">
        <f t="shared" si="1"/>
        <v>31</v>
      </c>
      <c r="L33" s="3">
        <f t="shared" si="2"/>
        <v>19</v>
      </c>
      <c r="M33" s="9" t="str">
        <f>VLOOKUP(A33,WayshrineNames!$A$3:$B$967,2,)</f>
        <v>Weeping Giant Wayshrine</v>
      </c>
      <c r="N33" s="3" t="str">
        <f>VLOOKUP(F33,'ESO zones'!$A$5:$D$10003,4,FALSE)</f>
        <v>Stormhaven</v>
      </c>
    </row>
    <row r="34" spans="1:14" x14ac:dyDescent="0.25">
      <c r="A34" s="58">
        <v>32</v>
      </c>
      <c r="B34">
        <v>10</v>
      </c>
      <c r="C34">
        <v>13</v>
      </c>
      <c r="D34" t="s">
        <v>436</v>
      </c>
      <c r="E34">
        <v>10</v>
      </c>
      <c r="F34">
        <v>57</v>
      </c>
      <c r="G34" t="s">
        <v>436</v>
      </c>
      <c r="H34">
        <v>1</v>
      </c>
      <c r="I34" t="s">
        <v>3141</v>
      </c>
      <c r="J34" s="2" t="str">
        <f t="shared" si="0"/>
        <v>[32]=57,</v>
      </c>
      <c r="K34" s="3">
        <f t="shared" si="1"/>
        <v>32</v>
      </c>
      <c r="L34" s="3">
        <f t="shared" si="2"/>
        <v>57</v>
      </c>
      <c r="M34" s="9" t="str">
        <f>VLOOKUP(A34,WayshrineNames!$A$3:$B$967,2,)</f>
        <v>Mzithumz Wayshrine</v>
      </c>
      <c r="N34" s="3" t="str">
        <f>VLOOKUP(F34,'ESO zones'!$A$5:$D$10003,4,FALSE)</f>
        <v>Deshaan</v>
      </c>
    </row>
    <row r="35" spans="1:14" x14ac:dyDescent="0.25">
      <c r="A35" s="58">
        <v>33</v>
      </c>
      <c r="B35">
        <v>6</v>
      </c>
      <c r="C35">
        <v>20</v>
      </c>
      <c r="D35" t="s">
        <v>524</v>
      </c>
      <c r="E35">
        <v>14</v>
      </c>
      <c r="F35">
        <v>92</v>
      </c>
      <c r="G35" t="s">
        <v>524</v>
      </c>
      <c r="H35">
        <v>1</v>
      </c>
      <c r="I35" t="s">
        <v>3142</v>
      </c>
      <c r="J35" s="2" t="str">
        <f t="shared" si="0"/>
        <v>[33]=92,</v>
      </c>
      <c r="K35" s="3">
        <f t="shared" si="1"/>
        <v>33</v>
      </c>
      <c r="L35" s="3">
        <f t="shared" si="2"/>
        <v>92</v>
      </c>
      <c r="M35" s="9" t="str">
        <f>VLOOKUP(A35,WayshrineNames!$A$3:$B$967,2,)</f>
        <v>Evermore Wayshrine</v>
      </c>
      <c r="N35" s="3" t="str">
        <f>VLOOKUP(F35,'ESO zones'!$A$5:$D$10003,4,FALSE)</f>
        <v>Bangkorai</v>
      </c>
    </row>
    <row r="36" spans="1:14" x14ac:dyDescent="0.25">
      <c r="A36" s="58">
        <v>34</v>
      </c>
      <c r="B36">
        <v>6</v>
      </c>
      <c r="C36">
        <v>20</v>
      </c>
      <c r="D36" t="s">
        <v>524</v>
      </c>
      <c r="E36">
        <v>14</v>
      </c>
      <c r="F36">
        <v>92</v>
      </c>
      <c r="G36" t="s">
        <v>524</v>
      </c>
      <c r="H36">
        <v>1</v>
      </c>
      <c r="I36" t="s">
        <v>3143</v>
      </c>
      <c r="J36" s="2" t="str">
        <f t="shared" si="0"/>
        <v>[34]=92,</v>
      </c>
      <c r="K36" s="3">
        <f t="shared" si="1"/>
        <v>34</v>
      </c>
      <c r="L36" s="3">
        <f t="shared" si="2"/>
        <v>92</v>
      </c>
      <c r="M36" s="9" t="str">
        <f>VLOOKUP(A36,WayshrineNames!$A$3:$B$967,2,)</f>
        <v>Troll's Toothpick Wayshrine</v>
      </c>
      <c r="N36" s="3" t="str">
        <f>VLOOKUP(F36,'ESO zones'!$A$5:$D$10003,4,FALSE)</f>
        <v>Bangkorai</v>
      </c>
    </row>
    <row r="37" spans="1:14" x14ac:dyDescent="0.25">
      <c r="A37" s="58">
        <v>35</v>
      </c>
      <c r="B37">
        <v>6</v>
      </c>
      <c r="C37">
        <v>20</v>
      </c>
      <c r="D37" t="s">
        <v>524</v>
      </c>
      <c r="E37">
        <v>14</v>
      </c>
      <c r="F37">
        <v>92</v>
      </c>
      <c r="G37" t="s">
        <v>524</v>
      </c>
      <c r="H37">
        <v>1</v>
      </c>
      <c r="I37" t="s">
        <v>3144</v>
      </c>
      <c r="J37" s="2" t="str">
        <f t="shared" si="0"/>
        <v>[35]=92,</v>
      </c>
      <c r="K37" s="3">
        <f t="shared" si="1"/>
        <v>35</v>
      </c>
      <c r="L37" s="3">
        <f t="shared" si="2"/>
        <v>92</v>
      </c>
      <c r="M37" s="9" t="str">
        <f>VLOOKUP(A37,WayshrineNames!$A$3:$B$967,2,)</f>
        <v>Viridian Woods Wayshrine</v>
      </c>
      <c r="N37" s="3" t="str">
        <f>VLOOKUP(F37,'ESO zones'!$A$5:$D$10003,4,FALSE)</f>
        <v>Bangkorai</v>
      </c>
    </row>
    <row r="38" spans="1:14" x14ac:dyDescent="0.25">
      <c r="A38" s="58">
        <v>36</v>
      </c>
      <c r="B38">
        <v>6</v>
      </c>
      <c r="C38">
        <v>20</v>
      </c>
      <c r="D38" t="s">
        <v>524</v>
      </c>
      <c r="E38">
        <v>14</v>
      </c>
      <c r="F38">
        <v>92</v>
      </c>
      <c r="G38" t="s">
        <v>524</v>
      </c>
      <c r="H38">
        <v>1</v>
      </c>
      <c r="I38" t="s">
        <v>3145</v>
      </c>
      <c r="J38" s="2" t="str">
        <f t="shared" si="0"/>
        <v>[36]=92,</v>
      </c>
      <c r="K38" s="3">
        <f t="shared" si="1"/>
        <v>36</v>
      </c>
      <c r="L38" s="3">
        <f t="shared" si="2"/>
        <v>92</v>
      </c>
      <c r="M38" s="9" t="str">
        <f>VLOOKUP(A38,WayshrineNames!$A$3:$B$967,2,)</f>
        <v>Bangkorai Pass Wayshrine</v>
      </c>
      <c r="N38" s="3" t="str">
        <f>VLOOKUP(F38,'ESO zones'!$A$5:$D$10003,4,FALSE)</f>
        <v>Bangkorai</v>
      </c>
    </row>
    <row r="39" spans="1:14" x14ac:dyDescent="0.25">
      <c r="A39" s="58">
        <v>37</v>
      </c>
      <c r="B39">
        <v>6</v>
      </c>
      <c r="C39">
        <v>20</v>
      </c>
      <c r="D39" t="s">
        <v>524</v>
      </c>
      <c r="E39">
        <v>14</v>
      </c>
      <c r="F39">
        <v>92</v>
      </c>
      <c r="G39" t="s">
        <v>524</v>
      </c>
      <c r="H39">
        <v>1</v>
      </c>
      <c r="I39" t="s">
        <v>3146</v>
      </c>
      <c r="J39" s="2" t="str">
        <f t="shared" si="0"/>
        <v>[37]=92,</v>
      </c>
      <c r="K39" s="3">
        <f t="shared" si="1"/>
        <v>37</v>
      </c>
      <c r="L39" s="3">
        <f t="shared" si="2"/>
        <v>92</v>
      </c>
      <c r="M39" s="9" t="str">
        <f>VLOOKUP(A39,WayshrineNames!$A$3:$B$967,2,)</f>
        <v>Nilata Ruins Wayshrine</v>
      </c>
      <c r="N39" s="3" t="str">
        <f>VLOOKUP(F39,'ESO zones'!$A$5:$D$10003,4,FALSE)</f>
        <v>Bangkorai</v>
      </c>
    </row>
    <row r="40" spans="1:14" x14ac:dyDescent="0.25">
      <c r="A40" s="58">
        <v>38</v>
      </c>
      <c r="B40">
        <v>6</v>
      </c>
      <c r="C40">
        <v>20</v>
      </c>
      <c r="D40" t="s">
        <v>524</v>
      </c>
      <c r="E40">
        <v>14</v>
      </c>
      <c r="F40">
        <v>92</v>
      </c>
      <c r="G40" t="s">
        <v>524</v>
      </c>
      <c r="H40">
        <v>1</v>
      </c>
      <c r="I40" t="s">
        <v>3147</v>
      </c>
      <c r="J40" s="2" t="str">
        <f t="shared" si="0"/>
        <v>[38]=92,</v>
      </c>
      <c r="K40" s="3">
        <f t="shared" si="1"/>
        <v>38</v>
      </c>
      <c r="L40" s="3">
        <f t="shared" si="2"/>
        <v>92</v>
      </c>
      <c r="M40" s="9" t="str">
        <f>VLOOKUP(A40,WayshrineNames!$A$3:$B$967,2,)</f>
        <v>Hallin's Stand Wayshrine</v>
      </c>
      <c r="N40" s="3" t="str">
        <f>VLOOKUP(F40,'ESO zones'!$A$5:$D$10003,4,FALSE)</f>
        <v>Bangkorai</v>
      </c>
    </row>
    <row r="41" spans="1:14" x14ac:dyDescent="0.25">
      <c r="A41" s="58">
        <v>39</v>
      </c>
      <c r="B41">
        <v>6</v>
      </c>
      <c r="C41">
        <v>20</v>
      </c>
      <c r="D41" t="s">
        <v>524</v>
      </c>
      <c r="E41">
        <v>14</v>
      </c>
      <c r="F41">
        <v>92</v>
      </c>
      <c r="G41" t="s">
        <v>524</v>
      </c>
      <c r="H41">
        <v>1</v>
      </c>
      <c r="I41" t="s">
        <v>3148</v>
      </c>
      <c r="J41" s="2" t="str">
        <f t="shared" si="0"/>
        <v>[39]=92,</v>
      </c>
      <c r="K41" s="3">
        <f t="shared" si="1"/>
        <v>39</v>
      </c>
      <c r="L41" s="3">
        <f t="shared" si="2"/>
        <v>92</v>
      </c>
      <c r="M41" s="9" t="str">
        <f>VLOOKUP(A41,WayshrineNames!$A$3:$B$967,2,)</f>
        <v>Old Tower Wayshrine</v>
      </c>
      <c r="N41" s="3" t="str">
        <f>VLOOKUP(F41,'ESO zones'!$A$5:$D$10003,4,FALSE)</f>
        <v>Bangkorai</v>
      </c>
    </row>
    <row r="42" spans="1:14" x14ac:dyDescent="0.25">
      <c r="A42" s="58">
        <v>40</v>
      </c>
      <c r="B42">
        <v>6</v>
      </c>
      <c r="C42">
        <v>20</v>
      </c>
      <c r="D42" t="s">
        <v>524</v>
      </c>
      <c r="E42">
        <v>14</v>
      </c>
      <c r="F42">
        <v>92</v>
      </c>
      <c r="G42" t="s">
        <v>524</v>
      </c>
      <c r="H42">
        <v>1</v>
      </c>
      <c r="I42" t="s">
        <v>3149</v>
      </c>
      <c r="J42" s="2" t="str">
        <f t="shared" si="0"/>
        <v>[40]=92,</v>
      </c>
      <c r="K42" s="3">
        <f t="shared" si="1"/>
        <v>40</v>
      </c>
      <c r="L42" s="3">
        <f t="shared" si="2"/>
        <v>92</v>
      </c>
      <c r="M42" s="9" t="str">
        <f>VLOOKUP(A42,WayshrineNames!$A$3:$B$967,2,)</f>
        <v>Onsi's Breath Wayshrine</v>
      </c>
      <c r="N42" s="3" t="str">
        <f>VLOOKUP(F42,'ESO zones'!$A$5:$D$10003,4,FALSE)</f>
        <v>Bangkorai</v>
      </c>
    </row>
    <row r="43" spans="1:14" x14ac:dyDescent="0.25">
      <c r="A43" s="58">
        <v>41</v>
      </c>
      <c r="B43">
        <v>11</v>
      </c>
      <c r="C43">
        <v>7</v>
      </c>
      <c r="D43" t="s">
        <v>3150</v>
      </c>
      <c r="E43">
        <v>9</v>
      </c>
      <c r="F43">
        <v>41</v>
      </c>
      <c r="G43" t="s">
        <v>3150</v>
      </c>
      <c r="H43">
        <v>1</v>
      </c>
      <c r="I43" t="s">
        <v>3151</v>
      </c>
      <c r="J43" s="2" t="str">
        <f t="shared" si="0"/>
        <v>[41]=41,</v>
      </c>
      <c r="K43" s="3">
        <f t="shared" si="1"/>
        <v>41</v>
      </c>
      <c r="L43" s="3">
        <f t="shared" si="2"/>
        <v>41</v>
      </c>
      <c r="M43" s="9" t="str">
        <f>VLOOKUP(A43,WayshrineNames!$A$3:$B$967,2,)</f>
        <v>Fort Arand Wayshrine</v>
      </c>
      <c r="N43" s="3" t="str">
        <f>VLOOKUP(F43,'ESO zones'!$A$5:$D$10003,4,FALSE)</f>
        <v>Stonefalls</v>
      </c>
    </row>
    <row r="44" spans="1:14" x14ac:dyDescent="0.25">
      <c r="A44" s="58">
        <v>42</v>
      </c>
      <c r="B44">
        <v>5</v>
      </c>
      <c r="C44">
        <v>30</v>
      </c>
      <c r="D44" t="s">
        <v>3152</v>
      </c>
      <c r="E44">
        <v>17</v>
      </c>
      <c r="F44">
        <v>104</v>
      </c>
      <c r="G44" t="s">
        <v>3153</v>
      </c>
      <c r="H44">
        <v>1</v>
      </c>
      <c r="I44" t="s">
        <v>3154</v>
      </c>
      <c r="J44" s="2" t="str">
        <f t="shared" si="0"/>
        <v>[42]=104,</v>
      </c>
      <c r="K44" s="3">
        <f t="shared" si="1"/>
        <v>42</v>
      </c>
      <c r="L44" s="3">
        <f t="shared" si="2"/>
        <v>104</v>
      </c>
      <c r="M44" s="9" t="str">
        <f>VLOOKUP(A44,WayshrineNames!$A$3:$B$967,2,)</f>
        <v>Morwha's Bounty Wayshrine</v>
      </c>
      <c r="N44" s="3" t="str">
        <f>VLOOKUP(F44,'ESO zones'!$A$5:$D$10003,4,FALSE)</f>
        <v>Alik'r Desert</v>
      </c>
    </row>
    <row r="45" spans="1:14" x14ac:dyDescent="0.25">
      <c r="A45" s="58">
        <v>43</v>
      </c>
      <c r="B45">
        <v>5</v>
      </c>
      <c r="C45">
        <v>30</v>
      </c>
      <c r="D45" t="s">
        <v>3152</v>
      </c>
      <c r="E45">
        <v>17</v>
      </c>
      <c r="F45">
        <v>104</v>
      </c>
      <c r="G45" t="s">
        <v>3153</v>
      </c>
      <c r="H45">
        <v>1</v>
      </c>
      <c r="I45" t="s">
        <v>3155</v>
      </c>
      <c r="J45" s="2" t="str">
        <f t="shared" si="0"/>
        <v>[43]=104,</v>
      </c>
      <c r="K45" s="3">
        <f t="shared" si="1"/>
        <v>43</v>
      </c>
      <c r="L45" s="3">
        <f t="shared" si="2"/>
        <v>104</v>
      </c>
      <c r="M45" s="9" t="str">
        <f>VLOOKUP(A45,WayshrineNames!$A$3:$B$967,2,)</f>
        <v>Sentinel Wayshrine</v>
      </c>
      <c r="N45" s="3" t="str">
        <f>VLOOKUP(F45,'ESO zones'!$A$5:$D$10003,4,FALSE)</f>
        <v>Alik'r Desert</v>
      </c>
    </row>
    <row r="46" spans="1:14" x14ac:dyDescent="0.25">
      <c r="A46" s="58">
        <v>44</v>
      </c>
      <c r="B46">
        <v>5</v>
      </c>
      <c r="C46">
        <v>30</v>
      </c>
      <c r="D46" t="s">
        <v>3152</v>
      </c>
      <c r="E46">
        <v>17</v>
      </c>
      <c r="F46">
        <v>104</v>
      </c>
      <c r="G46" t="s">
        <v>3153</v>
      </c>
      <c r="H46">
        <v>1</v>
      </c>
      <c r="I46" t="s">
        <v>3156</v>
      </c>
      <c r="J46" s="2" t="str">
        <f t="shared" si="0"/>
        <v>[44]=104,</v>
      </c>
      <c r="K46" s="3">
        <f t="shared" si="1"/>
        <v>44</v>
      </c>
      <c r="L46" s="3">
        <f t="shared" si="2"/>
        <v>104</v>
      </c>
      <c r="M46" s="9" t="str">
        <f>VLOOKUP(A46,WayshrineNames!$A$3:$B$967,2,)</f>
        <v>Bergama Wayshrine</v>
      </c>
      <c r="N46" s="3" t="str">
        <f>VLOOKUP(F46,'ESO zones'!$A$5:$D$10003,4,FALSE)</f>
        <v>Alik'r Desert</v>
      </c>
    </row>
    <row r="47" spans="1:14" x14ac:dyDescent="0.25">
      <c r="A47" s="58">
        <v>45</v>
      </c>
      <c r="B47">
        <v>5</v>
      </c>
      <c r="C47">
        <v>30</v>
      </c>
      <c r="D47" t="s">
        <v>3152</v>
      </c>
      <c r="E47">
        <v>17</v>
      </c>
      <c r="F47">
        <v>104</v>
      </c>
      <c r="G47" t="s">
        <v>3153</v>
      </c>
      <c r="H47">
        <v>1</v>
      </c>
      <c r="I47" t="s">
        <v>3157</v>
      </c>
      <c r="J47" s="2" t="str">
        <f t="shared" si="0"/>
        <v>[45]=104,</v>
      </c>
      <c r="K47" s="3">
        <f t="shared" si="1"/>
        <v>45</v>
      </c>
      <c r="L47" s="3">
        <f t="shared" si="2"/>
        <v>104</v>
      </c>
      <c r="M47" s="9" t="str">
        <f>VLOOKUP(A47,WayshrineNames!$A$3:$B$967,2,)</f>
        <v>Leki's Blade Wayshrine</v>
      </c>
      <c r="N47" s="3" t="str">
        <f>VLOOKUP(F47,'ESO zones'!$A$5:$D$10003,4,FALSE)</f>
        <v>Alik'r Desert</v>
      </c>
    </row>
    <row r="48" spans="1:14" x14ac:dyDescent="0.25">
      <c r="A48" s="58">
        <v>46</v>
      </c>
      <c r="B48">
        <v>5</v>
      </c>
      <c r="C48">
        <v>30</v>
      </c>
      <c r="D48" t="s">
        <v>3152</v>
      </c>
      <c r="E48">
        <v>17</v>
      </c>
      <c r="F48">
        <v>104</v>
      </c>
      <c r="G48" t="s">
        <v>3153</v>
      </c>
      <c r="H48">
        <v>1</v>
      </c>
      <c r="I48" t="s">
        <v>3158</v>
      </c>
      <c r="J48" s="2" t="str">
        <f t="shared" si="0"/>
        <v>[46]=104,</v>
      </c>
      <c r="K48" s="3">
        <f t="shared" si="1"/>
        <v>46</v>
      </c>
      <c r="L48" s="3">
        <f t="shared" si="2"/>
        <v>104</v>
      </c>
      <c r="M48" s="9" t="str">
        <f>VLOOKUP(A48,WayshrineNames!$A$3:$B$967,2,)</f>
        <v>Satakalaam Wayshrine</v>
      </c>
      <c r="N48" s="3" t="str">
        <f>VLOOKUP(F48,'ESO zones'!$A$5:$D$10003,4,FALSE)</f>
        <v>Alik'r Desert</v>
      </c>
    </row>
    <row r="49" spans="1:14" x14ac:dyDescent="0.25">
      <c r="A49" s="58">
        <v>47</v>
      </c>
      <c r="B49">
        <v>9</v>
      </c>
      <c r="C49">
        <v>26</v>
      </c>
      <c r="D49" t="s">
        <v>3159</v>
      </c>
      <c r="E49">
        <v>19</v>
      </c>
      <c r="F49">
        <v>117</v>
      </c>
      <c r="G49" t="s">
        <v>3159</v>
      </c>
      <c r="H49">
        <v>1</v>
      </c>
      <c r="I49" t="s">
        <v>3160</v>
      </c>
      <c r="J49" s="2" t="str">
        <f t="shared" si="0"/>
        <v>[47]=117,</v>
      </c>
      <c r="K49" s="3">
        <f t="shared" si="1"/>
        <v>47</v>
      </c>
      <c r="L49" s="3">
        <f t="shared" si="2"/>
        <v>117</v>
      </c>
      <c r="M49" s="9" t="str">
        <f>VLOOKUP(A49,WayshrineNames!$A$3:$B$967,2,)</f>
        <v>Stillrise Wayshrine</v>
      </c>
      <c r="N49" s="3" t="str">
        <f>VLOOKUP(F49,'ESO zones'!$A$5:$D$10003,4,FALSE)</f>
        <v>Shadowfen</v>
      </c>
    </row>
    <row r="50" spans="1:14" x14ac:dyDescent="0.25">
      <c r="A50" s="58">
        <v>48</v>
      </c>
      <c r="B50">
        <v>9</v>
      </c>
      <c r="C50">
        <v>26</v>
      </c>
      <c r="D50" t="s">
        <v>3159</v>
      </c>
      <c r="E50">
        <v>19</v>
      </c>
      <c r="F50">
        <v>117</v>
      </c>
      <c r="G50" t="s">
        <v>3159</v>
      </c>
      <c r="H50">
        <v>1</v>
      </c>
      <c r="I50" t="s">
        <v>3161</v>
      </c>
      <c r="J50" s="2" t="str">
        <f t="shared" si="0"/>
        <v>[48]=117,</v>
      </c>
      <c r="K50" s="3">
        <f t="shared" si="1"/>
        <v>48</v>
      </c>
      <c r="L50" s="3">
        <f t="shared" si="2"/>
        <v>117</v>
      </c>
      <c r="M50" s="9" t="str">
        <f>VLOOKUP(A50,WayshrineNames!$A$3:$B$967,2,)</f>
        <v>Stormhold Wayshrine</v>
      </c>
      <c r="N50" s="3" t="str">
        <f>VLOOKUP(F50,'ESO zones'!$A$5:$D$10003,4,FALSE)</f>
        <v>Shadowfen</v>
      </c>
    </row>
    <row r="51" spans="1:14" x14ac:dyDescent="0.25">
      <c r="A51" s="58">
        <v>49</v>
      </c>
      <c r="B51">
        <v>9</v>
      </c>
      <c r="C51">
        <v>26</v>
      </c>
      <c r="D51" t="s">
        <v>3159</v>
      </c>
      <c r="E51">
        <v>19</v>
      </c>
      <c r="F51">
        <v>117</v>
      </c>
      <c r="G51" t="s">
        <v>3159</v>
      </c>
      <c r="H51">
        <v>1</v>
      </c>
      <c r="I51" t="s">
        <v>3162</v>
      </c>
      <c r="J51" s="2" t="str">
        <f t="shared" si="0"/>
        <v>[49]=117,</v>
      </c>
      <c r="K51" s="3">
        <f t="shared" si="1"/>
        <v>49</v>
      </c>
      <c r="L51" s="3">
        <f t="shared" si="2"/>
        <v>117</v>
      </c>
      <c r="M51" s="9" t="str">
        <f>VLOOKUP(A51,WayshrineNames!$A$3:$B$967,2,)</f>
        <v>Hatching Pools Wayshrine</v>
      </c>
      <c r="N51" s="3" t="str">
        <f>VLOOKUP(F51,'ESO zones'!$A$5:$D$10003,4,FALSE)</f>
        <v>Shadowfen</v>
      </c>
    </row>
    <row r="52" spans="1:14" x14ac:dyDescent="0.25">
      <c r="A52" s="58">
        <v>50</v>
      </c>
      <c r="B52">
        <v>9</v>
      </c>
      <c r="C52">
        <v>26</v>
      </c>
      <c r="D52" t="s">
        <v>3159</v>
      </c>
      <c r="E52">
        <v>19</v>
      </c>
      <c r="F52">
        <v>117</v>
      </c>
      <c r="G52" t="s">
        <v>3159</v>
      </c>
      <c r="H52">
        <v>1</v>
      </c>
      <c r="I52" t="s">
        <v>3163</v>
      </c>
      <c r="J52" s="2" t="str">
        <f t="shared" si="0"/>
        <v>[50]=117,</v>
      </c>
      <c r="K52" s="3">
        <f t="shared" si="1"/>
        <v>50</v>
      </c>
      <c r="L52" s="3">
        <f t="shared" si="2"/>
        <v>117</v>
      </c>
      <c r="M52" s="9" t="str">
        <f>VLOOKUP(A52,WayshrineNames!$A$3:$B$967,2,)</f>
        <v>Alten Corimont Wayshrine</v>
      </c>
      <c r="N52" s="3" t="str">
        <f>VLOOKUP(F52,'ESO zones'!$A$5:$D$10003,4,FALSE)</f>
        <v>Shadowfen</v>
      </c>
    </row>
    <row r="53" spans="1:14" x14ac:dyDescent="0.25">
      <c r="A53" s="58">
        <v>51</v>
      </c>
      <c r="B53">
        <v>9</v>
      </c>
      <c r="C53">
        <v>26</v>
      </c>
      <c r="D53" t="s">
        <v>3159</v>
      </c>
      <c r="E53">
        <v>19</v>
      </c>
      <c r="F53">
        <v>117</v>
      </c>
      <c r="G53" t="s">
        <v>3159</v>
      </c>
      <c r="H53">
        <v>1</v>
      </c>
      <c r="I53" t="s">
        <v>3164</v>
      </c>
      <c r="J53" s="2" t="str">
        <f t="shared" si="0"/>
        <v>[51]=117,</v>
      </c>
      <c r="K53" s="3">
        <f t="shared" si="1"/>
        <v>51</v>
      </c>
      <c r="L53" s="3">
        <f t="shared" si="2"/>
        <v>117</v>
      </c>
      <c r="M53" s="9" t="str">
        <f>VLOOKUP(A53,WayshrineNames!$A$3:$B$967,2,)</f>
        <v>Percolating Mire Wayshrine</v>
      </c>
      <c r="N53" s="3" t="str">
        <f>VLOOKUP(F53,'ESO zones'!$A$5:$D$10003,4,FALSE)</f>
        <v>Shadowfen</v>
      </c>
    </row>
    <row r="54" spans="1:14" x14ac:dyDescent="0.25">
      <c r="A54" s="58">
        <v>52</v>
      </c>
      <c r="B54">
        <v>9</v>
      </c>
      <c r="C54">
        <v>26</v>
      </c>
      <c r="D54" t="s">
        <v>3159</v>
      </c>
      <c r="E54">
        <v>19</v>
      </c>
      <c r="F54">
        <v>117</v>
      </c>
      <c r="G54" t="s">
        <v>3159</v>
      </c>
      <c r="H54">
        <v>1</v>
      </c>
      <c r="I54" t="s">
        <v>3165</v>
      </c>
      <c r="J54" s="2" t="str">
        <f t="shared" si="0"/>
        <v>[52]=117,</v>
      </c>
      <c r="K54" s="3">
        <f t="shared" si="1"/>
        <v>52</v>
      </c>
      <c r="L54" s="3">
        <f t="shared" si="2"/>
        <v>117</v>
      </c>
      <c r="M54" s="9" t="str">
        <f>VLOOKUP(A54,WayshrineNames!$A$3:$B$967,2,)</f>
        <v>Hissmir Wayshrine</v>
      </c>
      <c r="N54" s="3" t="str">
        <f>VLOOKUP(F54,'ESO zones'!$A$5:$D$10003,4,FALSE)</f>
        <v>Shadowfen</v>
      </c>
    </row>
    <row r="55" spans="1:14" x14ac:dyDescent="0.25">
      <c r="A55" s="58">
        <v>53</v>
      </c>
      <c r="B55">
        <v>9</v>
      </c>
      <c r="C55">
        <v>26</v>
      </c>
      <c r="D55" t="s">
        <v>3159</v>
      </c>
      <c r="E55">
        <v>19</v>
      </c>
      <c r="F55">
        <v>117</v>
      </c>
      <c r="G55" t="s">
        <v>3159</v>
      </c>
      <c r="H55">
        <v>1</v>
      </c>
      <c r="I55" t="s">
        <v>3166</v>
      </c>
      <c r="J55" s="2" t="str">
        <f t="shared" si="0"/>
        <v>[53]=117,</v>
      </c>
      <c r="K55" s="3">
        <f t="shared" si="1"/>
        <v>53</v>
      </c>
      <c r="L55" s="3">
        <f t="shared" si="2"/>
        <v>117</v>
      </c>
      <c r="M55" s="9" t="str">
        <f>VLOOKUP(A55,WayshrineNames!$A$3:$B$967,2,)</f>
        <v>Loriasel Wayshrine</v>
      </c>
      <c r="N55" s="3" t="str">
        <f>VLOOKUP(F55,'ESO zones'!$A$5:$D$10003,4,FALSE)</f>
        <v>Shadowfen</v>
      </c>
    </row>
    <row r="56" spans="1:14" x14ac:dyDescent="0.25">
      <c r="A56" s="58">
        <v>55</v>
      </c>
      <c r="B56">
        <v>3</v>
      </c>
      <c r="C56">
        <v>10</v>
      </c>
      <c r="D56" t="s">
        <v>3115</v>
      </c>
      <c r="E56">
        <v>5</v>
      </c>
      <c r="F56">
        <v>20</v>
      </c>
      <c r="G56" t="s">
        <v>3115</v>
      </c>
      <c r="H56">
        <v>1</v>
      </c>
      <c r="I56" t="s">
        <v>3167</v>
      </c>
      <c r="J56" s="2" t="str">
        <f t="shared" si="0"/>
        <v>[55]=20,</v>
      </c>
      <c r="K56" s="3">
        <f t="shared" si="1"/>
        <v>55</v>
      </c>
      <c r="L56" s="3">
        <f t="shared" si="2"/>
        <v>20</v>
      </c>
      <c r="M56" s="9" t="str">
        <f>VLOOKUP(A56,WayshrineNames!$A$3:$B$967,2,)</f>
        <v>Shornhelm Wayshrine</v>
      </c>
      <c r="N56" s="3" t="str">
        <f>VLOOKUP(F56,'ESO zones'!$A$5:$D$10003,4,FALSE)</f>
        <v>Rivenspire</v>
      </c>
    </row>
    <row r="57" spans="1:14" x14ac:dyDescent="0.25">
      <c r="A57" s="58">
        <v>56</v>
      </c>
      <c r="B57">
        <v>4</v>
      </c>
      <c r="C57">
        <v>12</v>
      </c>
      <c r="D57" t="s">
        <v>3121</v>
      </c>
      <c r="E57">
        <v>4</v>
      </c>
      <c r="F57">
        <v>19</v>
      </c>
      <c r="G57" t="s">
        <v>3121</v>
      </c>
      <c r="H57">
        <v>1</v>
      </c>
      <c r="I57" t="s">
        <v>3168</v>
      </c>
      <c r="J57" s="2" t="str">
        <f t="shared" si="0"/>
        <v>[56]=19,</v>
      </c>
      <c r="K57" s="3">
        <f t="shared" si="1"/>
        <v>56</v>
      </c>
      <c r="L57" s="3">
        <f t="shared" si="2"/>
        <v>19</v>
      </c>
      <c r="M57" s="9" t="str">
        <f>VLOOKUP(A57,WayshrineNames!$A$3:$B$967,2,)</f>
        <v>Wayrest Wayshrine</v>
      </c>
      <c r="N57" s="3" t="str">
        <f>VLOOKUP(F57,'ESO zones'!$A$5:$D$10003,4,FALSE)</f>
        <v>Stormhaven</v>
      </c>
    </row>
    <row r="58" spans="1:14" x14ac:dyDescent="0.25">
      <c r="A58" s="58">
        <v>57</v>
      </c>
      <c r="B58">
        <v>5</v>
      </c>
      <c r="C58">
        <v>30</v>
      </c>
      <c r="D58" t="s">
        <v>3152</v>
      </c>
      <c r="E58">
        <v>17</v>
      </c>
      <c r="F58">
        <v>104</v>
      </c>
      <c r="G58" t="s">
        <v>3153</v>
      </c>
      <c r="H58">
        <v>1</v>
      </c>
      <c r="I58" t="s">
        <v>3169</v>
      </c>
      <c r="J58" s="2" t="str">
        <f t="shared" si="0"/>
        <v>[57]=104,</v>
      </c>
      <c r="K58" s="3">
        <f t="shared" si="1"/>
        <v>57</v>
      </c>
      <c r="L58" s="3">
        <f t="shared" si="2"/>
        <v>104</v>
      </c>
      <c r="M58" s="9" t="str">
        <f>VLOOKUP(A58,WayshrineNames!$A$3:$B$967,2,)</f>
        <v>Divad's Chagrin Mine Wayshrine</v>
      </c>
      <c r="N58" s="3" t="str">
        <f>VLOOKUP(F58,'ESO zones'!$A$5:$D$10003,4,FALSE)</f>
        <v>Alik'r Desert</v>
      </c>
    </row>
    <row r="59" spans="1:14" x14ac:dyDescent="0.25">
      <c r="A59" s="58">
        <v>58</v>
      </c>
      <c r="B59">
        <v>5</v>
      </c>
      <c r="C59">
        <v>30</v>
      </c>
      <c r="D59" t="s">
        <v>3152</v>
      </c>
      <c r="E59">
        <v>17</v>
      </c>
      <c r="F59">
        <v>104</v>
      </c>
      <c r="G59" t="s">
        <v>3153</v>
      </c>
      <c r="H59">
        <v>1</v>
      </c>
      <c r="I59" t="s">
        <v>3170</v>
      </c>
      <c r="J59" s="2" t="str">
        <f t="shared" si="0"/>
        <v>[58]=104,</v>
      </c>
      <c r="K59" s="3">
        <f t="shared" si="1"/>
        <v>58</v>
      </c>
      <c r="L59" s="3">
        <f t="shared" si="2"/>
        <v>104</v>
      </c>
      <c r="M59" s="9" t="str">
        <f>VLOOKUP(A59,WayshrineNames!$A$3:$B$967,2,)</f>
        <v>Kulati Mines Wayshrine</v>
      </c>
      <c r="N59" s="3" t="str">
        <f>VLOOKUP(F59,'ESO zones'!$A$5:$D$10003,4,FALSE)</f>
        <v>Alik'r Desert</v>
      </c>
    </row>
    <row r="60" spans="1:14" x14ac:dyDescent="0.25">
      <c r="A60" s="58">
        <v>59</v>
      </c>
      <c r="B60">
        <v>5</v>
      </c>
      <c r="C60">
        <v>30</v>
      </c>
      <c r="D60" t="s">
        <v>3152</v>
      </c>
      <c r="E60">
        <v>17</v>
      </c>
      <c r="F60">
        <v>104</v>
      </c>
      <c r="G60" t="s">
        <v>3153</v>
      </c>
      <c r="H60">
        <v>1</v>
      </c>
      <c r="I60" t="s">
        <v>3171</v>
      </c>
      <c r="J60" s="2" t="str">
        <f t="shared" si="0"/>
        <v>[59]=104,</v>
      </c>
      <c r="K60" s="3">
        <f t="shared" si="1"/>
        <v>59</v>
      </c>
      <c r="L60" s="3">
        <f t="shared" si="2"/>
        <v>104</v>
      </c>
      <c r="M60" s="9" t="str">
        <f>VLOOKUP(A60,WayshrineNames!$A$3:$B$967,2,)</f>
        <v>Aswala Stables Wayshrine</v>
      </c>
      <c r="N60" s="3" t="str">
        <f>VLOOKUP(F60,'ESO zones'!$A$5:$D$10003,4,FALSE)</f>
        <v>Alik'r Desert</v>
      </c>
    </row>
    <row r="61" spans="1:14" x14ac:dyDescent="0.25">
      <c r="A61" s="58">
        <v>60</v>
      </c>
      <c r="B61">
        <v>5</v>
      </c>
      <c r="C61">
        <v>30</v>
      </c>
      <c r="D61" t="s">
        <v>3152</v>
      </c>
      <c r="E61">
        <v>17</v>
      </c>
      <c r="F61">
        <v>104</v>
      </c>
      <c r="G61" t="s">
        <v>3153</v>
      </c>
      <c r="H61">
        <v>1</v>
      </c>
      <c r="I61" t="s">
        <v>3172</v>
      </c>
      <c r="J61" s="2" t="str">
        <f t="shared" si="0"/>
        <v>[60]=104,</v>
      </c>
      <c r="K61" s="3">
        <f t="shared" si="1"/>
        <v>60</v>
      </c>
      <c r="L61" s="3">
        <f t="shared" si="2"/>
        <v>104</v>
      </c>
      <c r="M61" s="9" t="str">
        <f>VLOOKUP(A61,WayshrineNames!$A$3:$B$967,2,)</f>
        <v>Shrikes' Aerie Wayshrine</v>
      </c>
      <c r="N61" s="3" t="str">
        <f>VLOOKUP(F61,'ESO zones'!$A$5:$D$10003,4,FALSE)</f>
        <v>Alik'r Desert</v>
      </c>
    </row>
    <row r="62" spans="1:14" x14ac:dyDescent="0.25">
      <c r="A62" s="58">
        <v>61</v>
      </c>
      <c r="B62">
        <v>5</v>
      </c>
      <c r="C62">
        <v>30</v>
      </c>
      <c r="D62" t="s">
        <v>3152</v>
      </c>
      <c r="E62">
        <v>17</v>
      </c>
      <c r="F62">
        <v>104</v>
      </c>
      <c r="G62" t="s">
        <v>3153</v>
      </c>
      <c r="H62">
        <v>1</v>
      </c>
      <c r="I62" t="s">
        <v>3173</v>
      </c>
      <c r="J62" s="2" t="str">
        <f t="shared" si="0"/>
        <v>[61]=104,</v>
      </c>
      <c r="K62" s="3">
        <f t="shared" si="1"/>
        <v>61</v>
      </c>
      <c r="L62" s="3">
        <f t="shared" si="2"/>
        <v>104</v>
      </c>
      <c r="M62" s="9" t="str">
        <f>VLOOKUP(A62,WayshrineNames!$A$3:$B$967,2,)</f>
        <v>HoonDing's Watch Wayshrine</v>
      </c>
      <c r="N62" s="3" t="str">
        <f>VLOOKUP(F62,'ESO zones'!$A$5:$D$10003,4,FALSE)</f>
        <v>Alik'r Desert</v>
      </c>
    </row>
    <row r="63" spans="1:14" x14ac:dyDescent="0.25">
      <c r="A63" s="58">
        <v>62</v>
      </c>
      <c r="B63">
        <v>2</v>
      </c>
      <c r="C63">
        <v>1</v>
      </c>
      <c r="D63" t="s">
        <v>496</v>
      </c>
      <c r="E63">
        <v>2</v>
      </c>
      <c r="F63">
        <v>3</v>
      </c>
      <c r="G63" t="s">
        <v>496</v>
      </c>
      <c r="H63">
        <v>1</v>
      </c>
      <c r="I63" t="s">
        <v>3174</v>
      </c>
      <c r="J63" s="2" t="str">
        <f t="shared" si="0"/>
        <v>[62]=3,</v>
      </c>
      <c r="K63" s="3">
        <f t="shared" si="1"/>
        <v>62</v>
      </c>
      <c r="L63" s="3">
        <f t="shared" si="2"/>
        <v>3</v>
      </c>
      <c r="M63" s="9" t="str">
        <f>VLOOKUP(A63,WayshrineNames!$A$3:$B$967,2,)</f>
        <v>Daggerfall Wayshrine</v>
      </c>
      <c r="N63" s="3" t="str">
        <f>VLOOKUP(F63,'ESO zones'!$A$5:$D$10003,4,FALSE)</f>
        <v>Glenumbra</v>
      </c>
    </row>
    <row r="64" spans="1:14" x14ac:dyDescent="0.25">
      <c r="A64" s="58">
        <v>63</v>
      </c>
      <c r="B64">
        <v>6</v>
      </c>
      <c r="C64">
        <v>20</v>
      </c>
      <c r="D64" t="s">
        <v>524</v>
      </c>
      <c r="E64">
        <v>14</v>
      </c>
      <c r="F64">
        <v>92</v>
      </c>
      <c r="G64" t="s">
        <v>524</v>
      </c>
      <c r="H64">
        <v>1</v>
      </c>
      <c r="I64" t="s">
        <v>3175</v>
      </c>
      <c r="J64" s="2" t="str">
        <f t="shared" si="0"/>
        <v>[63]=92,</v>
      </c>
      <c r="K64" s="3">
        <f t="shared" si="1"/>
        <v>63</v>
      </c>
      <c r="L64" s="3">
        <f t="shared" si="2"/>
        <v>92</v>
      </c>
      <c r="M64" s="9" t="str">
        <f>VLOOKUP(A64,WayshrineNames!$A$3:$B$967,2,)</f>
        <v>Sunken Road Wayshrine</v>
      </c>
      <c r="N64" s="3" t="str">
        <f>VLOOKUP(F64,'ESO zones'!$A$5:$D$10003,4,FALSE)</f>
        <v>Bangkorai</v>
      </c>
    </row>
    <row r="65" spans="1:14" x14ac:dyDescent="0.25">
      <c r="A65" s="58">
        <v>64</v>
      </c>
      <c r="B65">
        <v>2</v>
      </c>
      <c r="C65">
        <v>1</v>
      </c>
      <c r="D65" t="s">
        <v>496</v>
      </c>
      <c r="E65">
        <v>2</v>
      </c>
      <c r="F65">
        <v>3</v>
      </c>
      <c r="G65" t="s">
        <v>496</v>
      </c>
      <c r="H65">
        <v>1</v>
      </c>
      <c r="I65" t="s">
        <v>3176</v>
      </c>
      <c r="J65" s="2" t="str">
        <f t="shared" si="0"/>
        <v>[64]=3,</v>
      </c>
      <c r="K65" s="3">
        <f t="shared" si="1"/>
        <v>64</v>
      </c>
      <c r="L65" s="3">
        <f t="shared" si="2"/>
        <v>3</v>
      </c>
      <c r="M65" s="9" t="str">
        <f>VLOOKUP(A65,WayshrineNames!$A$3:$B$967,2,)</f>
        <v>Burial Tombs Wayshrine</v>
      </c>
      <c r="N65" s="3" t="str">
        <f>VLOOKUP(F65,'ESO zones'!$A$5:$D$10003,4,FALSE)</f>
        <v>Glenumbra</v>
      </c>
    </row>
    <row r="66" spans="1:14" x14ac:dyDescent="0.25">
      <c r="A66" s="58">
        <v>65</v>
      </c>
      <c r="B66">
        <v>11</v>
      </c>
      <c r="C66">
        <v>7</v>
      </c>
      <c r="D66" t="s">
        <v>3150</v>
      </c>
      <c r="E66">
        <v>9</v>
      </c>
      <c r="F66">
        <v>41</v>
      </c>
      <c r="G66" t="s">
        <v>3150</v>
      </c>
      <c r="H66">
        <v>1</v>
      </c>
      <c r="I66" t="s">
        <v>3177</v>
      </c>
      <c r="J66" s="2" t="str">
        <f t="shared" si="0"/>
        <v>[65]=41,</v>
      </c>
      <c r="K66" s="3">
        <f t="shared" si="1"/>
        <v>65</v>
      </c>
      <c r="L66" s="3">
        <f t="shared" si="2"/>
        <v>41</v>
      </c>
      <c r="M66" s="9" t="str">
        <f>VLOOKUP(A66,WayshrineNames!$A$3:$B$967,2,)</f>
        <v>Davon's Watch Wayshrine</v>
      </c>
      <c r="N66" s="3" t="str">
        <f>VLOOKUP(F66,'ESO zones'!$A$5:$D$10003,4,FALSE)</f>
        <v>Stonefalls</v>
      </c>
    </row>
    <row r="67" spans="1:14" x14ac:dyDescent="0.25">
      <c r="A67" s="58">
        <v>66</v>
      </c>
      <c r="B67">
        <v>11</v>
      </c>
      <c r="C67">
        <v>7</v>
      </c>
      <c r="D67" t="s">
        <v>3150</v>
      </c>
      <c r="E67">
        <v>9</v>
      </c>
      <c r="F67">
        <v>41</v>
      </c>
      <c r="G67" t="s">
        <v>3150</v>
      </c>
      <c r="H67">
        <v>1</v>
      </c>
      <c r="I67" t="s">
        <v>3178</v>
      </c>
      <c r="J67" s="2" t="str">
        <f t="shared" ref="J67:J130" si="3">IF(A67&lt;&gt;"",IF(F67&lt;&gt;"",IF(OR(ISNA(A67),ISNA(F67)),"","["&amp;A67&amp;"]="&amp;F67&amp;","),""),"")</f>
        <v>[66]=41,</v>
      </c>
      <c r="K67" s="3">
        <f t="shared" ref="K67:K130" si="4">A67</f>
        <v>66</v>
      </c>
      <c r="L67" s="3">
        <f t="shared" ref="L67:L130" si="5">F67</f>
        <v>41</v>
      </c>
      <c r="M67" s="9" t="str">
        <f>VLOOKUP(A67,WayshrineNames!$A$3:$B$967,2,)</f>
        <v>Othrenis Wayshrine</v>
      </c>
      <c r="N67" s="3" t="str">
        <f>VLOOKUP(F67,'ESO zones'!$A$5:$D$10003,4,FALSE)</f>
        <v>Stonefalls</v>
      </c>
    </row>
    <row r="68" spans="1:14" x14ac:dyDescent="0.25">
      <c r="A68" s="58">
        <v>67</v>
      </c>
      <c r="B68">
        <v>11</v>
      </c>
      <c r="C68">
        <v>7</v>
      </c>
      <c r="D68" t="s">
        <v>3150</v>
      </c>
      <c r="E68">
        <v>9</v>
      </c>
      <c r="F68">
        <v>41</v>
      </c>
      <c r="G68" t="s">
        <v>3150</v>
      </c>
      <c r="H68">
        <v>1</v>
      </c>
      <c r="I68" t="s">
        <v>3179</v>
      </c>
      <c r="J68" s="2" t="str">
        <f t="shared" si="3"/>
        <v>[67]=41,</v>
      </c>
      <c r="K68" s="3">
        <f t="shared" si="4"/>
        <v>67</v>
      </c>
      <c r="L68" s="3">
        <f t="shared" si="5"/>
        <v>41</v>
      </c>
      <c r="M68" s="9" t="str">
        <f>VLOOKUP(A68,WayshrineNames!$A$3:$B$967,2,)</f>
        <v>Ebonheart Wayshrine</v>
      </c>
      <c r="N68" s="3" t="str">
        <f>VLOOKUP(F68,'ESO zones'!$A$5:$D$10003,4,FALSE)</f>
        <v>Stonefalls</v>
      </c>
    </row>
    <row r="69" spans="1:14" x14ac:dyDescent="0.25">
      <c r="A69" s="58">
        <v>68</v>
      </c>
      <c r="B69">
        <v>11</v>
      </c>
      <c r="C69">
        <v>7</v>
      </c>
      <c r="D69" t="s">
        <v>3150</v>
      </c>
      <c r="E69">
        <v>9</v>
      </c>
      <c r="F69">
        <v>41</v>
      </c>
      <c r="G69" t="s">
        <v>3150</v>
      </c>
      <c r="H69">
        <v>1</v>
      </c>
      <c r="I69" t="s">
        <v>3180</v>
      </c>
      <c r="J69" s="2" t="str">
        <f t="shared" si="3"/>
        <v>[68]=41,</v>
      </c>
      <c r="K69" s="3">
        <f t="shared" si="4"/>
        <v>68</v>
      </c>
      <c r="L69" s="3">
        <f t="shared" si="5"/>
        <v>41</v>
      </c>
      <c r="M69" s="9" t="str">
        <f>VLOOKUP(A69,WayshrineNames!$A$3:$B$967,2,)</f>
        <v>Vivec's Antlers Wayshrine</v>
      </c>
      <c r="N69" s="3" t="str">
        <f>VLOOKUP(F69,'ESO zones'!$A$5:$D$10003,4,FALSE)</f>
        <v>Stonefalls</v>
      </c>
    </row>
    <row r="70" spans="1:14" x14ac:dyDescent="0.25">
      <c r="A70" s="58">
        <v>69</v>
      </c>
      <c r="B70">
        <v>11</v>
      </c>
      <c r="C70">
        <v>7</v>
      </c>
      <c r="D70" t="s">
        <v>3150</v>
      </c>
      <c r="E70">
        <v>9</v>
      </c>
      <c r="F70">
        <v>41</v>
      </c>
      <c r="G70" t="s">
        <v>3150</v>
      </c>
      <c r="H70">
        <v>1</v>
      </c>
      <c r="I70" t="s">
        <v>3181</v>
      </c>
      <c r="J70" s="2" t="str">
        <f t="shared" si="3"/>
        <v>[69]=41,</v>
      </c>
      <c r="K70" s="3">
        <f t="shared" si="4"/>
        <v>69</v>
      </c>
      <c r="L70" s="3">
        <f t="shared" si="5"/>
        <v>41</v>
      </c>
      <c r="M70" s="9" t="str">
        <f>VLOOKUP(A70,WayshrineNames!$A$3:$B$967,2,)</f>
        <v>Sulfur Pools Wayshrine</v>
      </c>
      <c r="N70" s="3" t="str">
        <f>VLOOKUP(F70,'ESO zones'!$A$5:$D$10003,4,FALSE)</f>
        <v>Stonefalls</v>
      </c>
    </row>
    <row r="71" spans="1:14" x14ac:dyDescent="0.25">
      <c r="A71" s="58">
        <v>71</v>
      </c>
      <c r="B71">
        <v>11</v>
      </c>
      <c r="C71">
        <v>7</v>
      </c>
      <c r="D71" t="s">
        <v>3150</v>
      </c>
      <c r="E71">
        <v>9</v>
      </c>
      <c r="F71">
        <v>41</v>
      </c>
      <c r="G71" t="s">
        <v>3150</v>
      </c>
      <c r="H71">
        <v>1</v>
      </c>
      <c r="I71" t="s">
        <v>3182</v>
      </c>
      <c r="J71" s="2" t="str">
        <f t="shared" si="3"/>
        <v>[71]=41,</v>
      </c>
      <c r="K71" s="3">
        <f t="shared" si="4"/>
        <v>71</v>
      </c>
      <c r="L71" s="3">
        <f t="shared" si="5"/>
        <v>41</v>
      </c>
      <c r="M71" s="9" t="str">
        <f>VLOOKUP(A71,WayshrineNames!$A$3:$B$967,2,)</f>
        <v>Brothers of Strife Wayshrine</v>
      </c>
      <c r="N71" s="3" t="str">
        <f>VLOOKUP(F71,'ESO zones'!$A$5:$D$10003,4,FALSE)</f>
        <v>Stonefalls</v>
      </c>
    </row>
    <row r="72" spans="1:14" x14ac:dyDescent="0.25">
      <c r="A72" s="58">
        <v>72</v>
      </c>
      <c r="B72">
        <v>11</v>
      </c>
      <c r="C72">
        <v>7</v>
      </c>
      <c r="D72" t="s">
        <v>3150</v>
      </c>
      <c r="E72">
        <v>9</v>
      </c>
      <c r="F72">
        <v>41</v>
      </c>
      <c r="G72" t="s">
        <v>3150</v>
      </c>
      <c r="H72">
        <v>1</v>
      </c>
      <c r="I72" t="s">
        <v>3183</v>
      </c>
      <c r="J72" s="2" t="str">
        <f t="shared" si="3"/>
        <v>[72]=41,</v>
      </c>
      <c r="K72" s="3">
        <f t="shared" si="4"/>
        <v>72</v>
      </c>
      <c r="L72" s="3">
        <f t="shared" si="5"/>
        <v>41</v>
      </c>
      <c r="M72" s="9" t="str">
        <f>VLOOKUP(A72,WayshrineNames!$A$3:$B$967,2,)</f>
        <v>Hrogar's Hold Wayshrine</v>
      </c>
      <c r="N72" s="3" t="str">
        <f>VLOOKUP(F72,'ESO zones'!$A$5:$D$10003,4,FALSE)</f>
        <v>Stonefalls</v>
      </c>
    </row>
    <row r="73" spans="1:14" x14ac:dyDescent="0.25">
      <c r="A73" s="58">
        <v>73</v>
      </c>
      <c r="B73">
        <v>11</v>
      </c>
      <c r="C73">
        <v>7</v>
      </c>
      <c r="D73" t="s">
        <v>3150</v>
      </c>
      <c r="E73">
        <v>9</v>
      </c>
      <c r="F73">
        <v>41</v>
      </c>
      <c r="G73" t="s">
        <v>3150</v>
      </c>
      <c r="H73">
        <v>1</v>
      </c>
      <c r="I73" t="s">
        <v>3184</v>
      </c>
      <c r="J73" s="2" t="str">
        <f t="shared" si="3"/>
        <v>[73]=41,</v>
      </c>
      <c r="K73" s="3">
        <f t="shared" si="4"/>
        <v>73</v>
      </c>
      <c r="L73" s="3">
        <f t="shared" si="5"/>
        <v>41</v>
      </c>
      <c r="M73" s="9" t="str">
        <f>VLOOKUP(A73,WayshrineNames!$A$3:$B$967,2,)</f>
        <v>Fort Virak Wayshrine</v>
      </c>
      <c r="N73" s="3" t="str">
        <f>VLOOKUP(F73,'ESO zones'!$A$5:$D$10003,4,FALSE)</f>
        <v>Stonefalls</v>
      </c>
    </row>
    <row r="74" spans="1:14" x14ac:dyDescent="0.25">
      <c r="A74" s="58">
        <v>74</v>
      </c>
      <c r="B74">
        <v>11</v>
      </c>
      <c r="C74">
        <v>7</v>
      </c>
      <c r="D74" t="s">
        <v>3150</v>
      </c>
      <c r="E74">
        <v>9</v>
      </c>
      <c r="F74">
        <v>41</v>
      </c>
      <c r="G74" t="s">
        <v>3150</v>
      </c>
      <c r="H74">
        <v>1</v>
      </c>
      <c r="I74" t="s">
        <v>3185</v>
      </c>
      <c r="J74" s="2" t="str">
        <f t="shared" si="3"/>
        <v>[74]=41,</v>
      </c>
      <c r="K74" s="3">
        <f t="shared" si="4"/>
        <v>74</v>
      </c>
      <c r="L74" s="3">
        <f t="shared" si="5"/>
        <v>41</v>
      </c>
      <c r="M74" s="9" t="str">
        <f>VLOOKUP(A74,WayshrineNames!$A$3:$B$967,2,)</f>
        <v>Iliath Temple Wayshrine</v>
      </c>
      <c r="N74" s="3" t="str">
        <f>VLOOKUP(F74,'ESO zones'!$A$5:$D$10003,4,FALSE)</f>
        <v>Stonefalls</v>
      </c>
    </row>
    <row r="75" spans="1:14" x14ac:dyDescent="0.25">
      <c r="A75" s="58">
        <v>75</v>
      </c>
      <c r="B75">
        <v>11</v>
      </c>
      <c r="C75">
        <v>7</v>
      </c>
      <c r="D75" t="s">
        <v>3150</v>
      </c>
      <c r="E75">
        <v>9</v>
      </c>
      <c r="F75">
        <v>41</v>
      </c>
      <c r="G75" t="s">
        <v>3150</v>
      </c>
      <c r="H75">
        <v>1</v>
      </c>
      <c r="I75" t="s">
        <v>3186</v>
      </c>
      <c r="J75" s="2" t="str">
        <f t="shared" si="3"/>
        <v>[75]=41,</v>
      </c>
      <c r="K75" s="3">
        <f t="shared" si="4"/>
        <v>75</v>
      </c>
      <c r="L75" s="3">
        <f t="shared" si="5"/>
        <v>41</v>
      </c>
      <c r="M75" s="9" t="str">
        <f>VLOOKUP(A75,WayshrineNames!$A$3:$B$967,2,)</f>
        <v>Sathram Plantation Wayshrine</v>
      </c>
      <c r="N75" s="3" t="str">
        <f>VLOOKUP(F75,'ESO zones'!$A$5:$D$10003,4,FALSE)</f>
        <v>Stonefalls</v>
      </c>
    </row>
    <row r="76" spans="1:14" x14ac:dyDescent="0.25">
      <c r="A76" s="58">
        <v>76</v>
      </c>
      <c r="B76">
        <v>11</v>
      </c>
      <c r="C76">
        <v>7</v>
      </c>
      <c r="D76" t="s">
        <v>3150</v>
      </c>
      <c r="E76">
        <v>9</v>
      </c>
      <c r="F76">
        <v>41</v>
      </c>
      <c r="G76" t="s">
        <v>3150</v>
      </c>
      <c r="H76">
        <v>1</v>
      </c>
      <c r="I76" t="s">
        <v>3187</v>
      </c>
      <c r="J76" s="2" t="str">
        <f t="shared" si="3"/>
        <v>[76]=41,</v>
      </c>
      <c r="K76" s="3">
        <f t="shared" si="4"/>
        <v>76</v>
      </c>
      <c r="L76" s="3">
        <f t="shared" si="5"/>
        <v>41</v>
      </c>
      <c r="M76" s="9" t="str">
        <f>VLOOKUP(A76,WayshrineNames!$A$3:$B$967,2,)</f>
        <v>Kragenmoor Wayshrine</v>
      </c>
      <c r="N76" s="3" t="str">
        <f>VLOOKUP(F76,'ESO zones'!$A$5:$D$10003,4,FALSE)</f>
        <v>Stonefalls</v>
      </c>
    </row>
    <row r="77" spans="1:14" x14ac:dyDescent="0.25">
      <c r="A77" s="58">
        <v>77</v>
      </c>
      <c r="B77">
        <v>11</v>
      </c>
      <c r="C77">
        <v>7</v>
      </c>
      <c r="D77" t="s">
        <v>3150</v>
      </c>
      <c r="E77">
        <v>9</v>
      </c>
      <c r="F77">
        <v>41</v>
      </c>
      <c r="G77" t="s">
        <v>3150</v>
      </c>
      <c r="H77">
        <v>1</v>
      </c>
      <c r="I77" t="s">
        <v>3188</v>
      </c>
      <c r="J77" s="2" t="str">
        <f t="shared" si="3"/>
        <v>[77]=41,</v>
      </c>
      <c r="K77" s="3">
        <f t="shared" si="4"/>
        <v>77</v>
      </c>
      <c r="L77" s="3">
        <f t="shared" si="5"/>
        <v>41</v>
      </c>
      <c r="M77" s="9" t="str">
        <f>VLOOKUP(A77,WayshrineNames!$A$3:$B$967,2,)</f>
        <v>Ashen Road Wayshrine</v>
      </c>
      <c r="N77" s="3" t="str">
        <f>VLOOKUP(F77,'ESO zones'!$A$5:$D$10003,4,FALSE)</f>
        <v>Stonefalls</v>
      </c>
    </row>
    <row r="78" spans="1:14" x14ac:dyDescent="0.25">
      <c r="A78" s="58">
        <v>78</v>
      </c>
      <c r="B78">
        <v>9</v>
      </c>
      <c r="C78">
        <v>26</v>
      </c>
      <c r="D78" t="s">
        <v>3159</v>
      </c>
      <c r="E78">
        <v>19</v>
      </c>
      <c r="F78">
        <v>117</v>
      </c>
      <c r="G78" t="s">
        <v>3159</v>
      </c>
      <c r="H78">
        <v>1</v>
      </c>
      <c r="I78" t="s">
        <v>3189</v>
      </c>
      <c r="J78" s="2" t="str">
        <f t="shared" si="3"/>
        <v>[78]=117,</v>
      </c>
      <c r="K78" s="3">
        <f t="shared" si="4"/>
        <v>78</v>
      </c>
      <c r="L78" s="3">
        <f t="shared" si="5"/>
        <v>117</v>
      </c>
      <c r="M78" s="9" t="str">
        <f>VLOOKUP(A78,WayshrineNames!$A$3:$B$967,2,)</f>
        <v>Venomous Fens Wayshrine</v>
      </c>
      <c r="N78" s="3" t="str">
        <f>VLOOKUP(F78,'ESO zones'!$A$5:$D$10003,4,FALSE)</f>
        <v>Shadowfen</v>
      </c>
    </row>
    <row r="79" spans="1:14" x14ac:dyDescent="0.25">
      <c r="A79" s="58">
        <v>79</v>
      </c>
      <c r="B79">
        <v>10</v>
      </c>
      <c r="C79">
        <v>13</v>
      </c>
      <c r="D79" t="s">
        <v>436</v>
      </c>
      <c r="E79">
        <v>10</v>
      </c>
      <c r="F79">
        <v>57</v>
      </c>
      <c r="G79" t="s">
        <v>436</v>
      </c>
      <c r="H79">
        <v>1</v>
      </c>
      <c r="I79" t="s">
        <v>3190</v>
      </c>
      <c r="J79" s="2" t="str">
        <f t="shared" si="3"/>
        <v>[79]=57,</v>
      </c>
      <c r="K79" s="3">
        <f t="shared" si="4"/>
        <v>79</v>
      </c>
      <c r="L79" s="3">
        <f t="shared" si="5"/>
        <v>57</v>
      </c>
      <c r="M79" s="9" t="str">
        <f>VLOOKUP(A79,WayshrineNames!$A$3:$B$967,2,)</f>
        <v>Selfora Wayshrine</v>
      </c>
      <c r="N79" s="3" t="str">
        <f>VLOOKUP(F79,'ESO zones'!$A$5:$D$10003,4,FALSE)</f>
        <v>Deshaan</v>
      </c>
    </row>
    <row r="80" spans="1:14" x14ac:dyDescent="0.25">
      <c r="A80" s="58">
        <v>80</v>
      </c>
      <c r="B80">
        <v>10</v>
      </c>
      <c r="C80">
        <v>13</v>
      </c>
      <c r="D80" t="s">
        <v>436</v>
      </c>
      <c r="E80">
        <v>10</v>
      </c>
      <c r="F80">
        <v>57</v>
      </c>
      <c r="G80" t="s">
        <v>436</v>
      </c>
      <c r="H80">
        <v>1</v>
      </c>
      <c r="I80" t="s">
        <v>3191</v>
      </c>
      <c r="J80" s="2" t="str">
        <f t="shared" si="3"/>
        <v>[80]=57,</v>
      </c>
      <c r="K80" s="3">
        <f t="shared" si="4"/>
        <v>80</v>
      </c>
      <c r="L80" s="3">
        <f t="shared" si="5"/>
        <v>57</v>
      </c>
      <c r="M80" s="9" t="str">
        <f>VLOOKUP(A80,WayshrineNames!$A$3:$B$967,2,)</f>
        <v>Silent Mire Wayshrine</v>
      </c>
      <c r="N80" s="3" t="str">
        <f>VLOOKUP(F80,'ESO zones'!$A$5:$D$10003,4,FALSE)</f>
        <v>Deshaan</v>
      </c>
    </row>
    <row r="81" spans="1:14" x14ac:dyDescent="0.25">
      <c r="A81" s="58">
        <v>81</v>
      </c>
      <c r="B81">
        <v>10</v>
      </c>
      <c r="C81">
        <v>13</v>
      </c>
      <c r="D81" t="s">
        <v>436</v>
      </c>
      <c r="E81">
        <v>10</v>
      </c>
      <c r="F81">
        <v>57</v>
      </c>
      <c r="G81" t="s">
        <v>436</v>
      </c>
      <c r="H81">
        <v>1</v>
      </c>
      <c r="I81" t="s">
        <v>3192</v>
      </c>
      <c r="J81" s="2" t="str">
        <f t="shared" si="3"/>
        <v>[81]=57,</v>
      </c>
      <c r="K81" s="3">
        <f t="shared" si="4"/>
        <v>81</v>
      </c>
      <c r="L81" s="3">
        <f t="shared" si="5"/>
        <v>57</v>
      </c>
      <c r="M81" s="9" t="str">
        <f>VLOOKUP(A81,WayshrineNames!$A$3:$B$967,2,)</f>
        <v>Eidolon's Hollow Wayshrine</v>
      </c>
      <c r="N81" s="3" t="str">
        <f>VLOOKUP(F81,'ESO zones'!$A$5:$D$10003,4,FALSE)</f>
        <v>Deshaan</v>
      </c>
    </row>
    <row r="82" spans="1:14" x14ac:dyDescent="0.25">
      <c r="A82" s="58">
        <v>82</v>
      </c>
      <c r="B82">
        <v>3</v>
      </c>
      <c r="C82">
        <v>10</v>
      </c>
      <c r="D82" t="s">
        <v>3115</v>
      </c>
      <c r="E82">
        <v>5</v>
      </c>
      <c r="F82">
        <v>20</v>
      </c>
      <c r="G82" t="s">
        <v>3115</v>
      </c>
      <c r="H82">
        <v>1</v>
      </c>
      <c r="I82" t="s">
        <v>3193</v>
      </c>
      <c r="J82" s="2" t="str">
        <f t="shared" si="3"/>
        <v>[82]=20,</v>
      </c>
      <c r="K82" s="3">
        <f t="shared" si="4"/>
        <v>82</v>
      </c>
      <c r="L82" s="3">
        <f t="shared" si="5"/>
        <v>20</v>
      </c>
      <c r="M82" s="9" t="str">
        <f>VLOOKUP(A82,WayshrineNames!$A$3:$B$967,2,)</f>
        <v>Northpoint Wayshrine</v>
      </c>
      <c r="N82" s="3" t="str">
        <f>VLOOKUP(F82,'ESO zones'!$A$5:$D$10003,4,FALSE)</f>
        <v>Rivenspire</v>
      </c>
    </row>
    <row r="83" spans="1:14" x14ac:dyDescent="0.25">
      <c r="A83" s="58">
        <v>83</v>
      </c>
      <c r="B83">
        <v>3</v>
      </c>
      <c r="C83">
        <v>10</v>
      </c>
      <c r="D83" t="s">
        <v>3115</v>
      </c>
      <c r="E83">
        <v>5</v>
      </c>
      <c r="F83">
        <v>20</v>
      </c>
      <c r="G83" t="s">
        <v>3115</v>
      </c>
      <c r="H83">
        <v>1</v>
      </c>
      <c r="I83" t="s">
        <v>3194</v>
      </c>
      <c r="J83" s="2" t="str">
        <f t="shared" si="3"/>
        <v>[83]=20,</v>
      </c>
      <c r="K83" s="3">
        <f t="shared" si="4"/>
        <v>83</v>
      </c>
      <c r="L83" s="3">
        <f t="shared" si="5"/>
        <v>20</v>
      </c>
      <c r="M83" s="9" t="str">
        <f>VLOOKUP(A83,WayshrineNames!$A$3:$B$967,2,)</f>
        <v>Fell's Run Wayshrine</v>
      </c>
      <c r="N83" s="3" t="str">
        <f>VLOOKUP(F83,'ESO zones'!$A$5:$D$10003,4,FALSE)</f>
        <v>Rivenspire</v>
      </c>
    </row>
    <row r="84" spans="1:14" x14ac:dyDescent="0.25">
      <c r="A84" s="58">
        <v>84</v>
      </c>
      <c r="B84">
        <v>3</v>
      </c>
      <c r="C84">
        <v>10</v>
      </c>
      <c r="D84" t="s">
        <v>3115</v>
      </c>
      <c r="E84">
        <v>5</v>
      </c>
      <c r="F84">
        <v>20</v>
      </c>
      <c r="G84" t="s">
        <v>3115</v>
      </c>
      <c r="H84">
        <v>1</v>
      </c>
      <c r="I84" t="s">
        <v>3195</v>
      </c>
      <c r="J84" s="2" t="str">
        <f t="shared" si="3"/>
        <v>[84]=20,</v>
      </c>
      <c r="K84" s="3">
        <f t="shared" si="4"/>
        <v>84</v>
      </c>
      <c r="L84" s="3">
        <f t="shared" si="5"/>
        <v>20</v>
      </c>
      <c r="M84" s="9" t="str">
        <f>VLOOKUP(A84,WayshrineNames!$A$3:$B$967,2,)</f>
        <v>Hoarfrost Downs Wayshrine</v>
      </c>
      <c r="N84" s="3" t="str">
        <f>VLOOKUP(F84,'ESO zones'!$A$5:$D$10003,4,FALSE)</f>
        <v>Rivenspire</v>
      </c>
    </row>
    <row r="85" spans="1:14" x14ac:dyDescent="0.25">
      <c r="A85" s="58">
        <v>85</v>
      </c>
      <c r="B85">
        <v>9</v>
      </c>
      <c r="C85">
        <v>26</v>
      </c>
      <c r="D85" t="s">
        <v>3159</v>
      </c>
      <c r="E85">
        <v>19</v>
      </c>
      <c r="F85">
        <v>117</v>
      </c>
      <c r="G85" t="s">
        <v>3159</v>
      </c>
      <c r="H85">
        <v>1</v>
      </c>
      <c r="I85" t="s">
        <v>3196</v>
      </c>
      <c r="J85" s="2" t="str">
        <f t="shared" si="3"/>
        <v>[85]=117,</v>
      </c>
      <c r="K85" s="3">
        <f t="shared" si="4"/>
        <v>85</v>
      </c>
      <c r="L85" s="3">
        <f t="shared" si="5"/>
        <v>117</v>
      </c>
      <c r="M85" s="9" t="str">
        <f>VLOOKUP(A85,WayshrineNames!$A$3:$B$967,2,)</f>
        <v>Forsaken Hamlet Wayshrine</v>
      </c>
      <c r="N85" s="3" t="str">
        <f>VLOOKUP(F85,'ESO zones'!$A$5:$D$10003,4,FALSE)</f>
        <v>Shadowfen</v>
      </c>
    </row>
    <row r="86" spans="1:14" x14ac:dyDescent="0.25">
      <c r="A86" s="58">
        <v>86</v>
      </c>
      <c r="B86">
        <v>3</v>
      </c>
      <c r="C86">
        <v>10</v>
      </c>
      <c r="D86" t="s">
        <v>3115</v>
      </c>
      <c r="E86">
        <v>5</v>
      </c>
      <c r="F86">
        <v>20</v>
      </c>
      <c r="G86" t="s">
        <v>3115</v>
      </c>
      <c r="H86">
        <v>1</v>
      </c>
      <c r="I86" t="s">
        <v>3197</v>
      </c>
      <c r="J86" s="2" t="str">
        <f t="shared" si="3"/>
        <v>[86]=20,</v>
      </c>
      <c r="K86" s="3">
        <f t="shared" si="4"/>
        <v>86</v>
      </c>
      <c r="L86" s="3">
        <f t="shared" si="5"/>
        <v>20</v>
      </c>
      <c r="M86" s="9" t="str">
        <f>VLOOKUP(A86,WayshrineNames!$A$3:$B$967,2,)</f>
        <v>Sanguine Barrows Wayshrine</v>
      </c>
      <c r="N86" s="3" t="str">
        <f>VLOOKUP(F86,'ESO zones'!$A$5:$D$10003,4,FALSE)</f>
        <v>Rivenspire</v>
      </c>
    </row>
    <row r="87" spans="1:14" x14ac:dyDescent="0.25">
      <c r="A87" s="58">
        <v>87</v>
      </c>
      <c r="B87">
        <v>13</v>
      </c>
      <c r="C87">
        <v>61</v>
      </c>
      <c r="D87" t="s">
        <v>3198</v>
      </c>
      <c r="E87">
        <v>15</v>
      </c>
      <c r="F87">
        <v>101</v>
      </c>
      <c r="G87" t="s">
        <v>3198</v>
      </c>
      <c r="H87">
        <v>1</v>
      </c>
      <c r="I87" t="s">
        <v>3199</v>
      </c>
      <c r="J87" s="2" t="str">
        <f t="shared" si="3"/>
        <v>[87]=101,</v>
      </c>
      <c r="K87" s="3">
        <f t="shared" si="4"/>
        <v>87</v>
      </c>
      <c r="L87" s="3">
        <f t="shared" si="5"/>
        <v>101</v>
      </c>
      <c r="M87" s="9" t="str">
        <f>VLOOKUP(A87,WayshrineNames!$A$3:$B$967,2,)</f>
        <v>Windhelm Wayshrine</v>
      </c>
      <c r="N87" s="3" t="str">
        <f>VLOOKUP(F87,'ESO zones'!$A$5:$D$10003,4,FALSE)</f>
        <v>Eastmarch</v>
      </c>
    </row>
    <row r="88" spans="1:14" x14ac:dyDescent="0.25">
      <c r="A88" s="58">
        <v>88</v>
      </c>
      <c r="B88">
        <v>13</v>
      </c>
      <c r="C88">
        <v>61</v>
      </c>
      <c r="D88" t="s">
        <v>3198</v>
      </c>
      <c r="E88">
        <v>15</v>
      </c>
      <c r="F88">
        <v>101</v>
      </c>
      <c r="G88" t="s">
        <v>3198</v>
      </c>
      <c r="H88">
        <v>1</v>
      </c>
      <c r="I88" t="s">
        <v>3200</v>
      </c>
      <c r="J88" s="2" t="str">
        <f t="shared" si="3"/>
        <v>[88]=101,</v>
      </c>
      <c r="K88" s="3">
        <f t="shared" si="4"/>
        <v>88</v>
      </c>
      <c r="L88" s="3">
        <f t="shared" si="5"/>
        <v>101</v>
      </c>
      <c r="M88" s="9" t="str">
        <f>VLOOKUP(A88,WayshrineNames!$A$3:$B$967,2,)</f>
        <v>Fort Morvunskar Wayshrine</v>
      </c>
      <c r="N88" s="3" t="str">
        <f>VLOOKUP(F88,'ESO zones'!$A$5:$D$10003,4,FALSE)</f>
        <v>Eastmarch</v>
      </c>
    </row>
    <row r="89" spans="1:14" x14ac:dyDescent="0.25">
      <c r="A89" s="58">
        <v>89</v>
      </c>
      <c r="B89">
        <v>13</v>
      </c>
      <c r="C89">
        <v>61</v>
      </c>
      <c r="D89" t="s">
        <v>3198</v>
      </c>
      <c r="E89">
        <v>15</v>
      </c>
      <c r="F89">
        <v>101</v>
      </c>
      <c r="G89" t="s">
        <v>3198</v>
      </c>
      <c r="H89">
        <v>1</v>
      </c>
      <c r="I89" t="s">
        <v>3201</v>
      </c>
      <c r="J89" s="2" t="str">
        <f t="shared" si="3"/>
        <v>[89]=101,</v>
      </c>
      <c r="K89" s="3">
        <f t="shared" si="4"/>
        <v>89</v>
      </c>
      <c r="L89" s="3">
        <f t="shared" si="5"/>
        <v>101</v>
      </c>
      <c r="M89" s="9" t="str">
        <f>VLOOKUP(A89,WayshrineNames!$A$3:$B$967,2,)</f>
        <v>Kynesgrove Wayshrine</v>
      </c>
      <c r="N89" s="3" t="str">
        <f>VLOOKUP(F89,'ESO zones'!$A$5:$D$10003,4,FALSE)</f>
        <v>Eastmarch</v>
      </c>
    </row>
    <row r="90" spans="1:14" x14ac:dyDescent="0.25">
      <c r="A90" s="58">
        <v>90</v>
      </c>
      <c r="B90">
        <v>13</v>
      </c>
      <c r="C90">
        <v>61</v>
      </c>
      <c r="D90" t="s">
        <v>3198</v>
      </c>
      <c r="E90">
        <v>15</v>
      </c>
      <c r="F90">
        <v>101</v>
      </c>
      <c r="G90" t="s">
        <v>3198</v>
      </c>
      <c r="H90">
        <v>1</v>
      </c>
      <c r="I90" t="s">
        <v>3202</v>
      </c>
      <c r="J90" s="2" t="str">
        <f t="shared" si="3"/>
        <v>[90]=101,</v>
      </c>
      <c r="K90" s="3">
        <f t="shared" si="4"/>
        <v>90</v>
      </c>
      <c r="L90" s="3">
        <f t="shared" si="5"/>
        <v>101</v>
      </c>
      <c r="M90" s="9" t="str">
        <f>VLOOKUP(A90,WayshrineNames!$A$3:$B$967,2,)</f>
        <v>Voljar Meadery Wayshrine</v>
      </c>
      <c r="N90" s="3" t="str">
        <f>VLOOKUP(F90,'ESO zones'!$A$5:$D$10003,4,FALSE)</f>
        <v>Eastmarch</v>
      </c>
    </row>
    <row r="91" spans="1:14" x14ac:dyDescent="0.25">
      <c r="A91" s="58">
        <v>91</v>
      </c>
      <c r="B91">
        <v>13</v>
      </c>
      <c r="C91">
        <v>61</v>
      </c>
      <c r="D91" t="s">
        <v>3198</v>
      </c>
      <c r="E91">
        <v>15</v>
      </c>
      <c r="F91">
        <v>101</v>
      </c>
      <c r="G91" t="s">
        <v>3198</v>
      </c>
      <c r="H91">
        <v>1</v>
      </c>
      <c r="I91" t="s">
        <v>3203</v>
      </c>
      <c r="J91" s="2" t="str">
        <f t="shared" si="3"/>
        <v>[91]=101,</v>
      </c>
      <c r="K91" s="3">
        <f t="shared" si="4"/>
        <v>91</v>
      </c>
      <c r="L91" s="3">
        <f t="shared" si="5"/>
        <v>101</v>
      </c>
      <c r="M91" s="9" t="str">
        <f>VLOOKUP(A91,WayshrineNames!$A$3:$B$967,2,)</f>
        <v>Cradlecrush Wayshrine</v>
      </c>
      <c r="N91" s="3" t="str">
        <f>VLOOKUP(F91,'ESO zones'!$A$5:$D$10003,4,FALSE)</f>
        <v>Eastmarch</v>
      </c>
    </row>
    <row r="92" spans="1:14" x14ac:dyDescent="0.25">
      <c r="A92" s="58">
        <v>92</v>
      </c>
      <c r="B92">
        <v>13</v>
      </c>
      <c r="C92">
        <v>61</v>
      </c>
      <c r="D92" t="s">
        <v>3198</v>
      </c>
      <c r="E92">
        <v>15</v>
      </c>
      <c r="F92">
        <v>101</v>
      </c>
      <c r="G92" t="s">
        <v>3198</v>
      </c>
      <c r="H92">
        <v>1</v>
      </c>
      <c r="I92" t="s">
        <v>3204</v>
      </c>
      <c r="J92" s="2" t="str">
        <f t="shared" si="3"/>
        <v>[92]=101,</v>
      </c>
      <c r="K92" s="3">
        <f t="shared" si="4"/>
        <v>92</v>
      </c>
      <c r="L92" s="3">
        <f t="shared" si="5"/>
        <v>101</v>
      </c>
      <c r="M92" s="9" t="str">
        <f>VLOOKUP(A92,WayshrineNames!$A$3:$B$967,2,)</f>
        <v>Fort Amol Wayshrine</v>
      </c>
      <c r="N92" s="3" t="str">
        <f>VLOOKUP(F92,'ESO zones'!$A$5:$D$10003,4,FALSE)</f>
        <v>Eastmarch</v>
      </c>
    </row>
    <row r="93" spans="1:14" x14ac:dyDescent="0.25">
      <c r="A93" s="58">
        <v>93</v>
      </c>
      <c r="B93">
        <v>13</v>
      </c>
      <c r="C93">
        <v>61</v>
      </c>
      <c r="D93" t="s">
        <v>3198</v>
      </c>
      <c r="E93">
        <v>15</v>
      </c>
      <c r="F93">
        <v>101</v>
      </c>
      <c r="G93" t="s">
        <v>3198</v>
      </c>
      <c r="H93">
        <v>1</v>
      </c>
      <c r="I93" t="s">
        <v>3205</v>
      </c>
      <c r="J93" s="2" t="str">
        <f t="shared" si="3"/>
        <v>[93]=101,</v>
      </c>
      <c r="K93" s="3">
        <f t="shared" si="4"/>
        <v>93</v>
      </c>
      <c r="L93" s="3">
        <f t="shared" si="5"/>
        <v>101</v>
      </c>
      <c r="M93" s="9" t="str">
        <f>VLOOKUP(A93,WayshrineNames!$A$3:$B$967,2,)</f>
        <v>Wittestadr Wayshrine</v>
      </c>
      <c r="N93" s="3" t="str">
        <f>VLOOKUP(F93,'ESO zones'!$A$5:$D$10003,4,FALSE)</f>
        <v>Eastmarch</v>
      </c>
    </row>
    <row r="94" spans="1:14" x14ac:dyDescent="0.25">
      <c r="A94" s="58">
        <v>94</v>
      </c>
      <c r="B94">
        <v>13</v>
      </c>
      <c r="C94">
        <v>61</v>
      </c>
      <c r="D94" t="s">
        <v>3198</v>
      </c>
      <c r="E94">
        <v>15</v>
      </c>
      <c r="F94">
        <v>101</v>
      </c>
      <c r="G94" t="s">
        <v>3198</v>
      </c>
      <c r="H94">
        <v>1</v>
      </c>
      <c r="I94" t="s">
        <v>3206</v>
      </c>
      <c r="J94" s="2" t="str">
        <f t="shared" si="3"/>
        <v>[94]=101,</v>
      </c>
      <c r="K94" s="3">
        <f t="shared" si="4"/>
        <v>94</v>
      </c>
      <c r="L94" s="3">
        <f t="shared" si="5"/>
        <v>101</v>
      </c>
      <c r="M94" s="9" t="str">
        <f>VLOOKUP(A94,WayshrineNames!$A$3:$B$967,2,)</f>
        <v>Mistwatch Wayshrine</v>
      </c>
      <c r="N94" s="3" t="str">
        <f>VLOOKUP(F94,'ESO zones'!$A$5:$D$10003,4,FALSE)</f>
        <v>Eastmarch</v>
      </c>
    </row>
    <row r="95" spans="1:14" x14ac:dyDescent="0.25">
      <c r="A95" s="58">
        <v>95</v>
      </c>
      <c r="B95">
        <v>13</v>
      </c>
      <c r="C95">
        <v>61</v>
      </c>
      <c r="D95" t="s">
        <v>3198</v>
      </c>
      <c r="E95">
        <v>15</v>
      </c>
      <c r="F95">
        <v>101</v>
      </c>
      <c r="G95" t="s">
        <v>3198</v>
      </c>
      <c r="H95">
        <v>1</v>
      </c>
      <c r="I95" t="s">
        <v>3207</v>
      </c>
      <c r="J95" s="2" t="str">
        <f t="shared" si="3"/>
        <v>[95]=101,</v>
      </c>
      <c r="K95" s="3">
        <f t="shared" si="4"/>
        <v>95</v>
      </c>
      <c r="L95" s="3">
        <f t="shared" si="5"/>
        <v>101</v>
      </c>
      <c r="M95" s="9" t="str">
        <f>VLOOKUP(A95,WayshrineNames!$A$3:$B$967,2,)</f>
        <v>Jorunn's Stand Wayshrine</v>
      </c>
      <c r="N95" s="3" t="str">
        <f>VLOOKUP(F95,'ESO zones'!$A$5:$D$10003,4,FALSE)</f>
        <v>Eastmarch</v>
      </c>
    </row>
    <row r="96" spans="1:14" x14ac:dyDescent="0.25">
      <c r="A96" s="58">
        <v>96</v>
      </c>
      <c r="B96">
        <v>13</v>
      </c>
      <c r="C96">
        <v>61</v>
      </c>
      <c r="D96" t="s">
        <v>3198</v>
      </c>
      <c r="E96">
        <v>15</v>
      </c>
      <c r="F96">
        <v>101</v>
      </c>
      <c r="G96" t="s">
        <v>3198</v>
      </c>
      <c r="H96">
        <v>1</v>
      </c>
      <c r="I96" t="s">
        <v>3208</v>
      </c>
      <c r="J96" s="2" t="str">
        <f t="shared" si="3"/>
        <v>[96]=101,</v>
      </c>
      <c r="K96" s="3">
        <f t="shared" si="4"/>
        <v>96</v>
      </c>
      <c r="L96" s="3">
        <f t="shared" si="5"/>
        <v>101</v>
      </c>
      <c r="M96" s="9" t="str">
        <f>VLOOKUP(A96,WayshrineNames!$A$3:$B$967,2,)</f>
        <v>Logging Camp Wayshrine</v>
      </c>
      <c r="N96" s="3" t="str">
        <f>VLOOKUP(F96,'ESO zones'!$A$5:$D$10003,4,FALSE)</f>
        <v>Eastmarch</v>
      </c>
    </row>
    <row r="97" spans="1:14" x14ac:dyDescent="0.25">
      <c r="A97" s="58">
        <v>97</v>
      </c>
      <c r="B97">
        <v>13</v>
      </c>
      <c r="C97">
        <v>61</v>
      </c>
      <c r="D97" t="s">
        <v>3198</v>
      </c>
      <c r="E97">
        <v>15</v>
      </c>
      <c r="F97">
        <v>101</v>
      </c>
      <c r="G97" t="s">
        <v>3198</v>
      </c>
      <c r="H97">
        <v>1</v>
      </c>
      <c r="I97" t="s">
        <v>3209</v>
      </c>
      <c r="J97" s="2" t="str">
        <f t="shared" si="3"/>
        <v>[97]=101,</v>
      </c>
      <c r="K97" s="3">
        <f t="shared" si="4"/>
        <v>97</v>
      </c>
      <c r="L97" s="3">
        <f t="shared" si="5"/>
        <v>101</v>
      </c>
      <c r="M97" s="9" t="str">
        <f>VLOOKUP(A97,WayshrineNames!$A$3:$B$967,2,)</f>
        <v>Skuldafn Wayshrine</v>
      </c>
      <c r="N97" s="3" t="str">
        <f>VLOOKUP(F97,'ESO zones'!$A$5:$D$10003,4,FALSE)</f>
        <v>Eastmarch</v>
      </c>
    </row>
    <row r="98" spans="1:14" x14ac:dyDescent="0.25">
      <c r="A98" s="58">
        <v>98</v>
      </c>
      <c r="B98">
        <v>11</v>
      </c>
      <c r="C98">
        <v>7</v>
      </c>
      <c r="D98" t="s">
        <v>3150</v>
      </c>
      <c r="E98">
        <v>9</v>
      </c>
      <c r="F98">
        <v>41</v>
      </c>
      <c r="G98" t="s">
        <v>3150</v>
      </c>
      <c r="H98">
        <v>6</v>
      </c>
      <c r="I98" t="s">
        <v>3210</v>
      </c>
      <c r="J98" s="2" t="str">
        <f t="shared" si="3"/>
        <v>[98]=41,</v>
      </c>
      <c r="K98" s="3">
        <f t="shared" si="4"/>
        <v>98</v>
      </c>
      <c r="L98" s="3">
        <f t="shared" si="5"/>
        <v>41</v>
      </c>
      <c r="M98" s="9" t="str">
        <f>VLOOKUP(A98,WayshrineNames!$A$3:$B$967,2,)</f>
        <v>Dungeon: Fungal Grotto I</v>
      </c>
      <c r="N98" s="3" t="str">
        <f>VLOOKUP(F98,'ESO zones'!$A$5:$D$10003,4,FALSE)</f>
        <v>Stonefalls</v>
      </c>
    </row>
    <row r="99" spans="1:14" x14ac:dyDescent="0.25">
      <c r="A99" s="58">
        <v>99</v>
      </c>
      <c r="B99">
        <v>8</v>
      </c>
      <c r="C99">
        <v>22</v>
      </c>
      <c r="D99" t="s">
        <v>429</v>
      </c>
      <c r="E99">
        <v>11</v>
      </c>
      <c r="F99">
        <v>58</v>
      </c>
      <c r="G99" t="s">
        <v>429</v>
      </c>
      <c r="H99">
        <v>1</v>
      </c>
      <c r="I99" t="s">
        <v>3211</v>
      </c>
      <c r="J99" s="2" t="str">
        <f t="shared" si="3"/>
        <v>[99]=58,</v>
      </c>
      <c r="K99" s="3">
        <f t="shared" si="4"/>
        <v>99</v>
      </c>
      <c r="L99" s="3">
        <f t="shared" si="5"/>
        <v>58</v>
      </c>
      <c r="M99" s="9" t="str">
        <f>VLOOKUP(A99,WayshrineNames!$A$3:$B$967,2,)</f>
        <v>Ilayas Ruins Wayshrine</v>
      </c>
      <c r="N99" s="3" t="str">
        <f>VLOOKUP(F99,'ESO zones'!$A$5:$D$10003,4,FALSE)</f>
        <v>Malabal Tor</v>
      </c>
    </row>
    <row r="100" spans="1:14" x14ac:dyDescent="0.25">
      <c r="A100" s="58">
        <v>100</v>
      </c>
      <c r="B100">
        <v>8</v>
      </c>
      <c r="C100">
        <v>22</v>
      </c>
      <c r="D100" t="s">
        <v>429</v>
      </c>
      <c r="E100">
        <v>11</v>
      </c>
      <c r="F100">
        <v>58</v>
      </c>
      <c r="G100" t="s">
        <v>429</v>
      </c>
      <c r="H100">
        <v>1</v>
      </c>
      <c r="I100" t="s">
        <v>3212</v>
      </c>
      <c r="J100" s="2" t="str">
        <f t="shared" si="3"/>
        <v>[100]=58,</v>
      </c>
      <c r="K100" s="3">
        <f t="shared" si="4"/>
        <v>100</v>
      </c>
      <c r="L100" s="3">
        <f t="shared" si="5"/>
        <v>58</v>
      </c>
      <c r="M100" s="9" t="str">
        <f>VLOOKUP(A100,WayshrineNames!$A$3:$B$967,2,)</f>
        <v>Vulkwasten Wayshrine</v>
      </c>
      <c r="N100" s="3" t="str">
        <f>VLOOKUP(F100,'ESO zones'!$A$5:$D$10003,4,FALSE)</f>
        <v>Malabal Tor</v>
      </c>
    </row>
    <row r="101" spans="1:14" x14ac:dyDescent="0.25">
      <c r="A101" s="58">
        <v>101</v>
      </c>
      <c r="B101">
        <v>8</v>
      </c>
      <c r="C101">
        <v>22</v>
      </c>
      <c r="D101" t="s">
        <v>429</v>
      </c>
      <c r="E101">
        <v>11</v>
      </c>
      <c r="F101">
        <v>58</v>
      </c>
      <c r="G101" t="s">
        <v>429</v>
      </c>
      <c r="H101">
        <v>1</v>
      </c>
      <c r="I101" t="s">
        <v>3213</v>
      </c>
      <c r="J101" s="2" t="str">
        <f t="shared" si="3"/>
        <v>[101]=58,</v>
      </c>
      <c r="K101" s="3">
        <f t="shared" si="4"/>
        <v>101</v>
      </c>
      <c r="L101" s="3">
        <f t="shared" si="5"/>
        <v>58</v>
      </c>
      <c r="M101" s="9" t="str">
        <f>VLOOKUP(A101,WayshrineNames!$A$3:$B$967,2,)</f>
        <v>Dra'bul Wayshrine</v>
      </c>
      <c r="N101" s="3" t="str">
        <f>VLOOKUP(F101,'ESO zones'!$A$5:$D$10003,4,FALSE)</f>
        <v>Malabal Tor</v>
      </c>
    </row>
    <row r="102" spans="1:14" x14ac:dyDescent="0.25">
      <c r="A102" s="58">
        <v>102</v>
      </c>
      <c r="B102">
        <v>8</v>
      </c>
      <c r="C102">
        <v>22</v>
      </c>
      <c r="D102" t="s">
        <v>429</v>
      </c>
      <c r="E102">
        <v>11</v>
      </c>
      <c r="F102">
        <v>58</v>
      </c>
      <c r="G102" t="s">
        <v>429</v>
      </c>
      <c r="H102">
        <v>1</v>
      </c>
      <c r="I102" t="s">
        <v>3214</v>
      </c>
      <c r="J102" s="2" t="str">
        <f t="shared" si="3"/>
        <v>[102]=58,</v>
      </c>
      <c r="K102" s="3">
        <f t="shared" si="4"/>
        <v>102</v>
      </c>
      <c r="L102" s="3">
        <f t="shared" si="5"/>
        <v>58</v>
      </c>
      <c r="M102" s="9" t="str">
        <f>VLOOKUP(A102,WayshrineNames!$A$3:$B$967,2,)</f>
        <v>Velyn Harbor Wayshrine</v>
      </c>
      <c r="N102" s="3" t="str">
        <f>VLOOKUP(F102,'ESO zones'!$A$5:$D$10003,4,FALSE)</f>
        <v>Malabal Tor</v>
      </c>
    </row>
    <row r="103" spans="1:14" x14ac:dyDescent="0.25">
      <c r="A103" s="58">
        <v>103</v>
      </c>
      <c r="B103">
        <v>8</v>
      </c>
      <c r="C103">
        <v>22</v>
      </c>
      <c r="D103" t="s">
        <v>429</v>
      </c>
      <c r="E103">
        <v>11</v>
      </c>
      <c r="F103">
        <v>58</v>
      </c>
      <c r="G103" t="s">
        <v>429</v>
      </c>
      <c r="H103">
        <v>1</v>
      </c>
      <c r="I103" t="s">
        <v>3215</v>
      </c>
      <c r="J103" s="2" t="str">
        <f t="shared" si="3"/>
        <v>[103]=58,</v>
      </c>
      <c r="K103" s="3">
        <f t="shared" si="4"/>
        <v>103</v>
      </c>
      <c r="L103" s="3">
        <f t="shared" si="5"/>
        <v>58</v>
      </c>
      <c r="M103" s="9" t="str">
        <f>VLOOKUP(A103,WayshrineNames!$A$3:$B$967,2,)</f>
        <v>Bloodtoil Wayshrine</v>
      </c>
      <c r="N103" s="3" t="str">
        <f>VLOOKUP(F103,'ESO zones'!$A$5:$D$10003,4,FALSE)</f>
        <v>Malabal Tor</v>
      </c>
    </row>
    <row r="104" spans="1:14" x14ac:dyDescent="0.25">
      <c r="A104" s="58">
        <v>104</v>
      </c>
      <c r="B104">
        <v>8</v>
      </c>
      <c r="C104">
        <v>22</v>
      </c>
      <c r="D104" t="s">
        <v>429</v>
      </c>
      <c r="E104">
        <v>11</v>
      </c>
      <c r="F104">
        <v>58</v>
      </c>
      <c r="G104" t="s">
        <v>429</v>
      </c>
      <c r="H104">
        <v>1</v>
      </c>
      <c r="I104" t="s">
        <v>3216</v>
      </c>
      <c r="J104" s="2" t="str">
        <f t="shared" si="3"/>
        <v>[104]=58,</v>
      </c>
      <c r="K104" s="3">
        <f t="shared" si="4"/>
        <v>104</v>
      </c>
      <c r="L104" s="3">
        <f t="shared" si="5"/>
        <v>58</v>
      </c>
      <c r="M104" s="9" t="str">
        <f>VLOOKUP(A104,WayshrineNames!$A$3:$B$967,2,)</f>
        <v>Abamath Wayshrine</v>
      </c>
      <c r="N104" s="3" t="str">
        <f>VLOOKUP(F104,'ESO zones'!$A$5:$D$10003,4,FALSE)</f>
        <v>Malabal Tor</v>
      </c>
    </row>
    <row r="105" spans="1:14" x14ac:dyDescent="0.25">
      <c r="A105" s="58">
        <v>105</v>
      </c>
      <c r="B105">
        <v>8</v>
      </c>
      <c r="C105">
        <v>22</v>
      </c>
      <c r="D105" t="s">
        <v>429</v>
      </c>
      <c r="E105">
        <v>11</v>
      </c>
      <c r="F105">
        <v>58</v>
      </c>
      <c r="G105" t="s">
        <v>429</v>
      </c>
      <c r="H105">
        <v>1</v>
      </c>
      <c r="I105" t="s">
        <v>3217</v>
      </c>
      <c r="J105" s="2" t="str">
        <f t="shared" si="3"/>
        <v>[105]=58,</v>
      </c>
      <c r="K105" s="3">
        <f t="shared" si="4"/>
        <v>105</v>
      </c>
      <c r="L105" s="3">
        <f t="shared" si="5"/>
        <v>58</v>
      </c>
      <c r="M105" s="9" t="str">
        <f>VLOOKUP(A105,WayshrineNames!$A$3:$B$967,2,)</f>
        <v>Wilding Run Wayshrine</v>
      </c>
      <c r="N105" s="3" t="str">
        <f>VLOOKUP(F105,'ESO zones'!$A$5:$D$10003,4,FALSE)</f>
        <v>Malabal Tor</v>
      </c>
    </row>
    <row r="106" spans="1:14" x14ac:dyDescent="0.25">
      <c r="A106" s="58">
        <v>106</v>
      </c>
      <c r="B106">
        <v>8</v>
      </c>
      <c r="C106">
        <v>22</v>
      </c>
      <c r="D106" t="s">
        <v>429</v>
      </c>
      <c r="E106">
        <v>11</v>
      </c>
      <c r="F106">
        <v>58</v>
      </c>
      <c r="G106" t="s">
        <v>429</v>
      </c>
      <c r="H106">
        <v>1</v>
      </c>
      <c r="I106" t="s">
        <v>3218</v>
      </c>
      <c r="J106" s="2" t="str">
        <f t="shared" si="3"/>
        <v>[106]=58,</v>
      </c>
      <c r="K106" s="3">
        <f t="shared" si="4"/>
        <v>106</v>
      </c>
      <c r="L106" s="3">
        <f t="shared" si="5"/>
        <v>58</v>
      </c>
      <c r="M106" s="9" t="str">
        <f>VLOOKUP(A106,WayshrineNames!$A$3:$B$967,2,)</f>
        <v>Baandari Market Wayshrine</v>
      </c>
      <c r="N106" s="3" t="str">
        <f>VLOOKUP(F106,'ESO zones'!$A$5:$D$10003,4,FALSE)</f>
        <v>Malabal Tor</v>
      </c>
    </row>
    <row r="107" spans="1:14" x14ac:dyDescent="0.25">
      <c r="A107" s="58">
        <v>107</v>
      </c>
      <c r="B107">
        <v>8</v>
      </c>
      <c r="C107">
        <v>22</v>
      </c>
      <c r="D107" t="s">
        <v>429</v>
      </c>
      <c r="E107">
        <v>11</v>
      </c>
      <c r="F107">
        <v>58</v>
      </c>
      <c r="G107" t="s">
        <v>429</v>
      </c>
      <c r="H107">
        <v>1</v>
      </c>
      <c r="I107" t="s">
        <v>3219</v>
      </c>
      <c r="J107" s="2" t="str">
        <f t="shared" si="3"/>
        <v>[107]=58,</v>
      </c>
      <c r="K107" s="3">
        <f t="shared" si="4"/>
        <v>107</v>
      </c>
      <c r="L107" s="3">
        <f t="shared" si="5"/>
        <v>58</v>
      </c>
      <c r="M107" s="9" t="str">
        <f>VLOOKUP(A107,WayshrineNames!$A$3:$B$967,2,)</f>
        <v>Valeguard Wayshrine</v>
      </c>
      <c r="N107" s="3" t="str">
        <f>VLOOKUP(F107,'ESO zones'!$A$5:$D$10003,4,FALSE)</f>
        <v>Malabal Tor</v>
      </c>
    </row>
    <row r="108" spans="1:14" x14ac:dyDescent="0.25">
      <c r="A108" s="58">
        <v>108</v>
      </c>
      <c r="B108">
        <v>11</v>
      </c>
      <c r="C108">
        <v>7</v>
      </c>
      <c r="D108" t="s">
        <v>3150</v>
      </c>
      <c r="E108">
        <v>9</v>
      </c>
      <c r="F108">
        <v>41</v>
      </c>
      <c r="G108" t="s">
        <v>3150</v>
      </c>
      <c r="H108">
        <v>1</v>
      </c>
      <c r="I108" t="s">
        <v>3220</v>
      </c>
      <c r="J108" s="2" t="str">
        <f t="shared" si="3"/>
        <v>[108]=41,</v>
      </c>
      <c r="K108" s="3">
        <f t="shared" si="4"/>
        <v>108</v>
      </c>
      <c r="L108" s="3">
        <f t="shared" si="5"/>
        <v>41</v>
      </c>
      <c r="M108" s="9" t="str">
        <f>VLOOKUP(A108,WayshrineNames!$A$3:$B$967,2,)</f>
        <v>Senie Wayshrine</v>
      </c>
      <c r="N108" s="3" t="str">
        <f>VLOOKUP(F108,'ESO zones'!$A$5:$D$10003,4,FALSE)</f>
        <v>Stonefalls</v>
      </c>
    </row>
    <row r="109" spans="1:14" x14ac:dyDescent="0.25">
      <c r="A109" s="58">
        <v>109</v>
      </c>
      <c r="B109">
        <v>12</v>
      </c>
      <c r="C109">
        <v>125</v>
      </c>
      <c r="D109" t="s">
        <v>3221</v>
      </c>
      <c r="E109">
        <v>16</v>
      </c>
      <c r="F109">
        <v>103</v>
      </c>
      <c r="G109" t="s">
        <v>3221</v>
      </c>
      <c r="H109">
        <v>1</v>
      </c>
      <c r="I109" t="s">
        <v>3222</v>
      </c>
      <c r="J109" s="2" t="str">
        <f t="shared" si="3"/>
        <v>[109]=103,</v>
      </c>
      <c r="K109" s="3">
        <f t="shared" si="4"/>
        <v>109</v>
      </c>
      <c r="L109" s="3">
        <f t="shared" si="5"/>
        <v>103</v>
      </c>
      <c r="M109" s="9" t="str">
        <f>VLOOKUP(A109,WayshrineNames!$A$3:$B$967,2,)</f>
        <v>Riften Wayshrine</v>
      </c>
      <c r="N109" s="3" t="str">
        <f>VLOOKUP(F109,'ESO zones'!$A$5:$D$10003,4,FALSE)</f>
        <v>The Rift</v>
      </c>
    </row>
    <row r="110" spans="1:14" x14ac:dyDescent="0.25">
      <c r="A110" s="58">
        <v>110</v>
      </c>
      <c r="B110">
        <v>12</v>
      </c>
      <c r="C110">
        <v>125</v>
      </c>
      <c r="D110" t="s">
        <v>3221</v>
      </c>
      <c r="E110">
        <v>16</v>
      </c>
      <c r="F110">
        <v>103</v>
      </c>
      <c r="G110" t="s">
        <v>3221</v>
      </c>
      <c r="H110">
        <v>1</v>
      </c>
      <c r="I110" t="s">
        <v>3223</v>
      </c>
      <c r="J110" s="2" t="str">
        <f t="shared" si="3"/>
        <v>[110]=103,</v>
      </c>
      <c r="K110" s="3">
        <f t="shared" si="4"/>
        <v>110</v>
      </c>
      <c r="L110" s="3">
        <f t="shared" si="5"/>
        <v>103</v>
      </c>
      <c r="M110" s="9" t="str">
        <f>VLOOKUP(A110,WayshrineNames!$A$3:$B$967,2,)</f>
        <v>Skald's Retreat Wayshrine</v>
      </c>
      <c r="N110" s="3" t="str">
        <f>VLOOKUP(F110,'ESO zones'!$A$5:$D$10003,4,FALSE)</f>
        <v>The Rift</v>
      </c>
    </row>
    <row r="111" spans="1:14" x14ac:dyDescent="0.25">
      <c r="A111" s="58">
        <v>111</v>
      </c>
      <c r="B111">
        <v>12</v>
      </c>
      <c r="C111">
        <v>125</v>
      </c>
      <c r="D111" t="s">
        <v>3221</v>
      </c>
      <c r="E111">
        <v>16</v>
      </c>
      <c r="F111">
        <v>103</v>
      </c>
      <c r="G111" t="s">
        <v>3221</v>
      </c>
      <c r="H111">
        <v>1</v>
      </c>
      <c r="I111" t="s">
        <v>3224</v>
      </c>
      <c r="J111" s="2" t="str">
        <f t="shared" si="3"/>
        <v>[111]=103,</v>
      </c>
      <c r="K111" s="3">
        <f t="shared" si="4"/>
        <v>111</v>
      </c>
      <c r="L111" s="3">
        <f t="shared" si="5"/>
        <v>103</v>
      </c>
      <c r="M111" s="9" t="str">
        <f>VLOOKUP(A111,WayshrineNames!$A$3:$B$967,2,)</f>
        <v>Trolhetta Wayshrine</v>
      </c>
      <c r="N111" s="3" t="str">
        <f>VLOOKUP(F111,'ESO zones'!$A$5:$D$10003,4,FALSE)</f>
        <v>The Rift</v>
      </c>
    </row>
    <row r="112" spans="1:14" x14ac:dyDescent="0.25">
      <c r="A112" s="58">
        <v>112</v>
      </c>
      <c r="B112">
        <v>12</v>
      </c>
      <c r="C112">
        <v>125</v>
      </c>
      <c r="D112" t="s">
        <v>3221</v>
      </c>
      <c r="E112">
        <v>16</v>
      </c>
      <c r="F112">
        <v>103</v>
      </c>
      <c r="G112" t="s">
        <v>3221</v>
      </c>
      <c r="H112">
        <v>1</v>
      </c>
      <c r="I112" t="s">
        <v>3225</v>
      </c>
      <c r="J112" s="2" t="str">
        <f t="shared" si="3"/>
        <v>[112]=103,</v>
      </c>
      <c r="K112" s="3">
        <f t="shared" si="4"/>
        <v>112</v>
      </c>
      <c r="L112" s="3">
        <f t="shared" si="5"/>
        <v>103</v>
      </c>
      <c r="M112" s="9" t="str">
        <f>VLOOKUP(A112,WayshrineNames!$A$3:$B$967,2,)</f>
        <v>Trolhetta Summit Wayshrine</v>
      </c>
      <c r="N112" s="3" t="str">
        <f>VLOOKUP(F112,'ESO zones'!$A$5:$D$10003,4,FALSE)</f>
        <v>The Rift</v>
      </c>
    </row>
    <row r="113" spans="1:14" x14ac:dyDescent="0.25">
      <c r="A113" s="58">
        <v>113</v>
      </c>
      <c r="B113">
        <v>12</v>
      </c>
      <c r="C113">
        <v>125</v>
      </c>
      <c r="D113" t="s">
        <v>3221</v>
      </c>
      <c r="E113">
        <v>16</v>
      </c>
      <c r="F113">
        <v>103</v>
      </c>
      <c r="G113" t="s">
        <v>3221</v>
      </c>
      <c r="H113">
        <v>1</v>
      </c>
      <c r="I113" t="s">
        <v>3226</v>
      </c>
      <c r="J113" s="2" t="str">
        <f t="shared" si="3"/>
        <v>[113]=103,</v>
      </c>
      <c r="K113" s="3">
        <f t="shared" si="4"/>
        <v>113</v>
      </c>
      <c r="L113" s="3">
        <f t="shared" si="5"/>
        <v>103</v>
      </c>
      <c r="M113" s="9" t="str">
        <f>VLOOKUP(A113,WayshrineNames!$A$3:$B$967,2,)</f>
        <v>Honrich Tower Wayshrine</v>
      </c>
      <c r="N113" s="3" t="str">
        <f>VLOOKUP(F113,'ESO zones'!$A$5:$D$10003,4,FALSE)</f>
        <v>The Rift</v>
      </c>
    </row>
    <row r="114" spans="1:14" x14ac:dyDescent="0.25">
      <c r="A114" s="58">
        <v>114</v>
      </c>
      <c r="B114">
        <v>12</v>
      </c>
      <c r="C114">
        <v>125</v>
      </c>
      <c r="D114" t="s">
        <v>3221</v>
      </c>
      <c r="E114">
        <v>16</v>
      </c>
      <c r="F114">
        <v>103</v>
      </c>
      <c r="G114" t="s">
        <v>3221</v>
      </c>
      <c r="H114">
        <v>1</v>
      </c>
      <c r="I114" t="s">
        <v>3227</v>
      </c>
      <c r="J114" s="2" t="str">
        <f t="shared" si="3"/>
        <v>[114]=103,</v>
      </c>
      <c r="K114" s="3">
        <f t="shared" si="4"/>
        <v>114</v>
      </c>
      <c r="L114" s="3">
        <f t="shared" si="5"/>
        <v>103</v>
      </c>
      <c r="M114" s="9" t="str">
        <f>VLOOKUP(A114,WayshrineNames!$A$3:$B$967,2,)</f>
        <v>Fallowstone Hall Wayshrine</v>
      </c>
      <c r="N114" s="3" t="str">
        <f>VLOOKUP(F114,'ESO zones'!$A$5:$D$10003,4,FALSE)</f>
        <v>The Rift</v>
      </c>
    </row>
    <row r="115" spans="1:14" x14ac:dyDescent="0.25">
      <c r="A115" s="58">
        <v>115</v>
      </c>
      <c r="B115">
        <v>12</v>
      </c>
      <c r="C115">
        <v>125</v>
      </c>
      <c r="D115" t="s">
        <v>3221</v>
      </c>
      <c r="E115">
        <v>16</v>
      </c>
      <c r="F115">
        <v>103</v>
      </c>
      <c r="G115" t="s">
        <v>3221</v>
      </c>
      <c r="H115">
        <v>1</v>
      </c>
      <c r="I115" t="s">
        <v>3228</v>
      </c>
      <c r="J115" s="2" t="str">
        <f t="shared" si="3"/>
        <v>[115]=103,</v>
      </c>
      <c r="K115" s="3">
        <f t="shared" si="4"/>
        <v>115</v>
      </c>
      <c r="L115" s="3">
        <f t="shared" si="5"/>
        <v>103</v>
      </c>
      <c r="M115" s="9" t="str">
        <f>VLOOKUP(A115,WayshrineNames!$A$3:$B$967,2,)</f>
        <v>Northwind Mine Wayshrine</v>
      </c>
      <c r="N115" s="3" t="str">
        <f>VLOOKUP(F115,'ESO zones'!$A$5:$D$10003,4,FALSE)</f>
        <v>The Rift</v>
      </c>
    </row>
    <row r="116" spans="1:14" x14ac:dyDescent="0.25">
      <c r="A116" s="58">
        <v>116</v>
      </c>
      <c r="B116">
        <v>12</v>
      </c>
      <c r="C116">
        <v>125</v>
      </c>
      <c r="D116" t="s">
        <v>3221</v>
      </c>
      <c r="E116">
        <v>16</v>
      </c>
      <c r="F116">
        <v>103</v>
      </c>
      <c r="G116" t="s">
        <v>3221</v>
      </c>
      <c r="H116">
        <v>1</v>
      </c>
      <c r="I116" t="s">
        <v>3229</v>
      </c>
      <c r="J116" s="2" t="str">
        <f t="shared" si="3"/>
        <v>[116]=103,</v>
      </c>
      <c r="K116" s="3">
        <f t="shared" si="4"/>
        <v>116</v>
      </c>
      <c r="L116" s="3">
        <f t="shared" si="5"/>
        <v>103</v>
      </c>
      <c r="M116" s="9" t="str">
        <f>VLOOKUP(A116,WayshrineNames!$A$3:$B$967,2,)</f>
        <v>Geirmund's Hall Wayshrine</v>
      </c>
      <c r="N116" s="3" t="str">
        <f>VLOOKUP(F116,'ESO zones'!$A$5:$D$10003,4,FALSE)</f>
        <v>The Rift</v>
      </c>
    </row>
    <row r="117" spans="1:14" x14ac:dyDescent="0.25">
      <c r="A117" s="58">
        <v>117</v>
      </c>
      <c r="B117">
        <v>12</v>
      </c>
      <c r="C117">
        <v>125</v>
      </c>
      <c r="D117" t="s">
        <v>3221</v>
      </c>
      <c r="E117">
        <v>16</v>
      </c>
      <c r="F117">
        <v>103</v>
      </c>
      <c r="G117" t="s">
        <v>3221</v>
      </c>
      <c r="H117">
        <v>1</v>
      </c>
      <c r="I117" t="s">
        <v>3230</v>
      </c>
      <c r="J117" s="2" t="str">
        <f t="shared" si="3"/>
        <v>[117]=103,</v>
      </c>
      <c r="K117" s="3">
        <f t="shared" si="4"/>
        <v>117</v>
      </c>
      <c r="L117" s="3">
        <f t="shared" si="5"/>
        <v>103</v>
      </c>
      <c r="M117" s="9" t="str">
        <f>VLOOKUP(A117,WayshrineNames!$A$3:$B$967,2,)</f>
        <v>Taarengrav Wayshrine</v>
      </c>
      <c r="N117" s="3" t="str">
        <f>VLOOKUP(F117,'ESO zones'!$A$5:$D$10003,4,FALSE)</f>
        <v>The Rift</v>
      </c>
    </row>
    <row r="118" spans="1:14" x14ac:dyDescent="0.25">
      <c r="A118" s="58">
        <v>118</v>
      </c>
      <c r="B118">
        <v>12</v>
      </c>
      <c r="C118">
        <v>125</v>
      </c>
      <c r="D118" t="s">
        <v>3221</v>
      </c>
      <c r="E118">
        <v>16</v>
      </c>
      <c r="F118">
        <v>103</v>
      </c>
      <c r="G118" t="s">
        <v>3221</v>
      </c>
      <c r="H118">
        <v>1</v>
      </c>
      <c r="I118" t="s">
        <v>3231</v>
      </c>
      <c r="J118" s="2" t="str">
        <f t="shared" si="3"/>
        <v>[118]=103,</v>
      </c>
      <c r="K118" s="3">
        <f t="shared" si="4"/>
        <v>118</v>
      </c>
      <c r="L118" s="3">
        <f t="shared" si="5"/>
        <v>103</v>
      </c>
      <c r="M118" s="9" t="str">
        <f>VLOOKUP(A118,WayshrineNames!$A$3:$B$967,2,)</f>
        <v>Nimalten Wayshrine</v>
      </c>
      <c r="N118" s="3" t="str">
        <f>VLOOKUP(F118,'ESO zones'!$A$5:$D$10003,4,FALSE)</f>
        <v>The Rift</v>
      </c>
    </row>
    <row r="119" spans="1:14" x14ac:dyDescent="0.25">
      <c r="A119" s="58">
        <v>119</v>
      </c>
      <c r="B119">
        <v>12</v>
      </c>
      <c r="C119">
        <v>125</v>
      </c>
      <c r="D119" t="s">
        <v>3221</v>
      </c>
      <c r="E119">
        <v>16</v>
      </c>
      <c r="F119">
        <v>103</v>
      </c>
      <c r="G119" t="s">
        <v>3221</v>
      </c>
      <c r="H119">
        <v>1</v>
      </c>
      <c r="I119" t="s">
        <v>3232</v>
      </c>
      <c r="J119" s="2" t="str">
        <f t="shared" si="3"/>
        <v>[119]=103,</v>
      </c>
      <c r="K119" s="3">
        <f t="shared" si="4"/>
        <v>119</v>
      </c>
      <c r="L119" s="3">
        <f t="shared" si="5"/>
        <v>103</v>
      </c>
      <c r="M119" s="9" t="str">
        <f>VLOOKUP(A119,WayshrineNames!$A$3:$B$967,2,)</f>
        <v>Ragged Hills Wayshrine</v>
      </c>
      <c r="N119" s="3" t="str">
        <f>VLOOKUP(F119,'ESO zones'!$A$5:$D$10003,4,FALSE)</f>
        <v>The Rift</v>
      </c>
    </row>
    <row r="120" spans="1:14" x14ac:dyDescent="0.25">
      <c r="A120" s="58">
        <v>120</v>
      </c>
      <c r="B120">
        <v>12</v>
      </c>
      <c r="C120">
        <v>125</v>
      </c>
      <c r="D120" t="s">
        <v>3221</v>
      </c>
      <c r="E120">
        <v>16</v>
      </c>
      <c r="F120">
        <v>103</v>
      </c>
      <c r="G120" t="s">
        <v>3221</v>
      </c>
      <c r="H120">
        <v>1</v>
      </c>
      <c r="I120" t="s">
        <v>3233</v>
      </c>
      <c r="J120" s="2" t="str">
        <f t="shared" si="3"/>
        <v>[120]=103,</v>
      </c>
      <c r="K120" s="3">
        <f t="shared" si="4"/>
        <v>120</v>
      </c>
      <c r="L120" s="3">
        <f t="shared" si="5"/>
        <v>103</v>
      </c>
      <c r="M120" s="9" t="str">
        <f>VLOOKUP(A120,WayshrineNames!$A$3:$B$967,2,)</f>
        <v>Fullhelm Fort Wayshrine</v>
      </c>
      <c r="N120" s="3" t="str">
        <f>VLOOKUP(F120,'ESO zones'!$A$5:$D$10003,4,FALSE)</f>
        <v>The Rift</v>
      </c>
    </row>
    <row r="121" spans="1:14" x14ac:dyDescent="0.25">
      <c r="A121" s="58">
        <v>121</v>
      </c>
      <c r="B121">
        <v>15</v>
      </c>
      <c r="C121">
        <v>143</v>
      </c>
      <c r="D121" t="s">
        <v>439</v>
      </c>
      <c r="E121">
        <v>179</v>
      </c>
      <c r="F121">
        <v>381</v>
      </c>
      <c r="G121" t="s">
        <v>439</v>
      </c>
      <c r="H121">
        <v>1</v>
      </c>
      <c r="I121" t="s">
        <v>3234</v>
      </c>
      <c r="J121" s="2" t="str">
        <f t="shared" si="3"/>
        <v>[121]=381,</v>
      </c>
      <c r="K121" s="3">
        <f t="shared" si="4"/>
        <v>121</v>
      </c>
      <c r="L121" s="3">
        <f t="shared" si="5"/>
        <v>381</v>
      </c>
      <c r="M121" s="9" t="str">
        <f>VLOOKUP(A121,WayshrineNames!$A$3:$B$967,2,)</f>
        <v>Skywatch Wayshrine</v>
      </c>
      <c r="N121" s="3" t="str">
        <f>VLOOKUP(F121,'ESO zones'!$A$5:$D$10003,4,FALSE)</f>
        <v>Auridon</v>
      </c>
    </row>
    <row r="122" spans="1:14" x14ac:dyDescent="0.25">
      <c r="A122" s="58">
        <v>122</v>
      </c>
      <c r="B122">
        <v>15</v>
      </c>
      <c r="C122">
        <v>143</v>
      </c>
      <c r="D122" t="s">
        <v>439</v>
      </c>
      <c r="E122">
        <v>179</v>
      </c>
      <c r="F122">
        <v>381</v>
      </c>
      <c r="G122" t="s">
        <v>439</v>
      </c>
      <c r="H122">
        <v>1</v>
      </c>
      <c r="I122" t="s">
        <v>3235</v>
      </c>
      <c r="J122" s="2" t="str">
        <f t="shared" si="3"/>
        <v>[122]=381,</v>
      </c>
      <c r="K122" s="3">
        <f t="shared" si="4"/>
        <v>122</v>
      </c>
      <c r="L122" s="3">
        <f t="shared" si="5"/>
        <v>381</v>
      </c>
      <c r="M122" s="9" t="str">
        <f>VLOOKUP(A122,WayshrineNames!$A$3:$B$967,2,)</f>
        <v>Quendeluun Wayshrine</v>
      </c>
      <c r="N122" s="3" t="str">
        <f>VLOOKUP(F122,'ESO zones'!$A$5:$D$10003,4,FALSE)</f>
        <v>Auridon</v>
      </c>
    </row>
    <row r="123" spans="1:14" x14ac:dyDescent="0.25">
      <c r="A123" s="58">
        <v>123</v>
      </c>
      <c r="B123">
        <v>15</v>
      </c>
      <c r="C123">
        <v>143</v>
      </c>
      <c r="D123" t="s">
        <v>439</v>
      </c>
      <c r="E123">
        <v>179</v>
      </c>
      <c r="F123">
        <v>381</v>
      </c>
      <c r="G123" t="s">
        <v>439</v>
      </c>
      <c r="H123">
        <v>1</v>
      </c>
      <c r="I123" t="s">
        <v>3236</v>
      </c>
      <c r="J123" s="2" t="str">
        <f t="shared" si="3"/>
        <v>[123]=381,</v>
      </c>
      <c r="K123" s="3">
        <f t="shared" si="4"/>
        <v>123</v>
      </c>
      <c r="L123" s="3">
        <f t="shared" si="5"/>
        <v>381</v>
      </c>
      <c r="M123" s="9" t="str">
        <f>VLOOKUP(A123,WayshrineNames!$A$3:$B$967,2,)</f>
        <v>College Wayshrine</v>
      </c>
      <c r="N123" s="3" t="str">
        <f>VLOOKUP(F123,'ESO zones'!$A$5:$D$10003,4,FALSE)</f>
        <v>Auridon</v>
      </c>
    </row>
    <row r="124" spans="1:14" x14ac:dyDescent="0.25">
      <c r="A124" s="58">
        <v>124</v>
      </c>
      <c r="B124">
        <v>15</v>
      </c>
      <c r="C124">
        <v>143</v>
      </c>
      <c r="D124" t="s">
        <v>439</v>
      </c>
      <c r="E124">
        <v>179</v>
      </c>
      <c r="F124">
        <v>381</v>
      </c>
      <c r="G124" t="s">
        <v>439</v>
      </c>
      <c r="H124">
        <v>1</v>
      </c>
      <c r="I124" t="s">
        <v>3237</v>
      </c>
      <c r="J124" s="2" t="str">
        <f t="shared" si="3"/>
        <v>[124]=381,</v>
      </c>
      <c r="K124" s="3">
        <f t="shared" si="4"/>
        <v>124</v>
      </c>
      <c r="L124" s="3">
        <f t="shared" si="5"/>
        <v>381</v>
      </c>
      <c r="M124" s="9" t="str">
        <f>VLOOKUP(A124,WayshrineNames!$A$3:$B$967,2,)</f>
        <v>Greenwater Wayshrine</v>
      </c>
      <c r="N124" s="3" t="str">
        <f>VLOOKUP(F124,'ESO zones'!$A$5:$D$10003,4,FALSE)</f>
        <v>Auridon</v>
      </c>
    </row>
    <row r="125" spans="1:14" x14ac:dyDescent="0.25">
      <c r="A125" s="58">
        <v>125</v>
      </c>
      <c r="B125">
        <v>18</v>
      </c>
      <c r="C125">
        <v>75</v>
      </c>
      <c r="D125" t="s">
        <v>965</v>
      </c>
      <c r="E125">
        <v>111</v>
      </c>
      <c r="F125">
        <v>281</v>
      </c>
      <c r="G125" t="s">
        <v>965</v>
      </c>
      <c r="H125">
        <v>1</v>
      </c>
      <c r="I125" t="s">
        <v>3238</v>
      </c>
      <c r="J125" s="2" t="str">
        <f t="shared" si="3"/>
        <v>[125]=281,</v>
      </c>
      <c r="K125" s="3">
        <f t="shared" si="4"/>
        <v>125</v>
      </c>
      <c r="L125" s="3">
        <f t="shared" si="5"/>
        <v>281</v>
      </c>
      <c r="M125" s="9" t="str">
        <f>VLOOKUP(A125,WayshrineNames!$A$3:$B$967,2,)</f>
        <v>Fort Zeren Wayshrine</v>
      </c>
      <c r="N125" s="3" t="str">
        <f>VLOOKUP(F125,'ESO zones'!$A$5:$D$10003,4,FALSE)</f>
        <v>Bal Foyen</v>
      </c>
    </row>
    <row r="126" spans="1:14" x14ac:dyDescent="0.25">
      <c r="A126" s="58">
        <v>126</v>
      </c>
      <c r="B126">
        <v>18</v>
      </c>
      <c r="C126">
        <v>75</v>
      </c>
      <c r="D126" t="s">
        <v>965</v>
      </c>
      <c r="E126">
        <v>111</v>
      </c>
      <c r="F126">
        <v>281</v>
      </c>
      <c r="G126" t="s">
        <v>965</v>
      </c>
      <c r="H126">
        <v>1</v>
      </c>
      <c r="I126" t="s">
        <v>3239</v>
      </c>
      <c r="J126" s="2" t="str">
        <f t="shared" si="3"/>
        <v>[126]=281,</v>
      </c>
      <c r="K126" s="3">
        <f t="shared" si="4"/>
        <v>126</v>
      </c>
      <c r="L126" s="3">
        <f t="shared" si="5"/>
        <v>281</v>
      </c>
      <c r="M126" s="9" t="str">
        <f>VLOOKUP(A126,WayshrineNames!$A$3:$B$967,2,)</f>
        <v>Foyen Docks Wayshrine</v>
      </c>
      <c r="N126" s="3" t="str">
        <f>VLOOKUP(F126,'ESO zones'!$A$5:$D$10003,4,FALSE)</f>
        <v>Bal Foyen</v>
      </c>
    </row>
    <row r="127" spans="1:14" x14ac:dyDescent="0.25">
      <c r="A127" s="58">
        <v>127</v>
      </c>
      <c r="B127">
        <v>15</v>
      </c>
      <c r="C127">
        <v>143</v>
      </c>
      <c r="D127" t="s">
        <v>439</v>
      </c>
      <c r="E127">
        <v>179</v>
      </c>
      <c r="F127">
        <v>381</v>
      </c>
      <c r="G127" t="s">
        <v>439</v>
      </c>
      <c r="H127">
        <v>1</v>
      </c>
      <c r="I127" t="s">
        <v>3240</v>
      </c>
      <c r="J127" s="2" t="str">
        <f t="shared" si="3"/>
        <v>[127]=381,</v>
      </c>
      <c r="K127" s="3">
        <f t="shared" si="4"/>
        <v>127</v>
      </c>
      <c r="L127" s="3">
        <f t="shared" si="5"/>
        <v>381</v>
      </c>
      <c r="M127" s="9" t="str">
        <f>VLOOKUP(A127,WayshrineNames!$A$3:$B$967,2,)</f>
        <v>Windy Glade Wayshrine</v>
      </c>
      <c r="N127" s="3" t="str">
        <f>VLOOKUP(F127,'ESO zones'!$A$5:$D$10003,4,FALSE)</f>
        <v>Auridon</v>
      </c>
    </row>
    <row r="128" spans="1:14" x14ac:dyDescent="0.25">
      <c r="A128" s="58">
        <v>128</v>
      </c>
      <c r="B128">
        <v>23</v>
      </c>
      <c r="C128">
        <v>255</v>
      </c>
      <c r="D128" t="s">
        <v>3241</v>
      </c>
      <c r="E128">
        <v>155</v>
      </c>
      <c r="F128">
        <v>347</v>
      </c>
      <c r="G128" t="s">
        <v>3241</v>
      </c>
      <c r="H128">
        <v>1</v>
      </c>
      <c r="I128" t="s">
        <v>3242</v>
      </c>
      <c r="J128" s="2" t="str">
        <f t="shared" si="3"/>
        <v>[128]=347,</v>
      </c>
      <c r="K128" s="3">
        <f t="shared" si="4"/>
        <v>128</v>
      </c>
      <c r="L128" s="3">
        <f t="shared" si="5"/>
        <v>347</v>
      </c>
      <c r="M128" s="9" t="str">
        <f>VLOOKUP(A128,WayshrineNames!$A$3:$B$967,2,)</f>
        <v>Library of Dusk Wayshrine</v>
      </c>
      <c r="N128" s="3" t="str">
        <f>VLOOKUP(F128,'ESO zones'!$A$5:$D$10003,4,FALSE)</f>
        <v>Coldharbour</v>
      </c>
    </row>
    <row r="129" spans="1:14" x14ac:dyDescent="0.25">
      <c r="A129" s="58">
        <v>129</v>
      </c>
      <c r="B129">
        <v>23</v>
      </c>
      <c r="C129">
        <v>255</v>
      </c>
      <c r="D129" t="s">
        <v>3241</v>
      </c>
      <c r="E129">
        <v>155</v>
      </c>
      <c r="F129">
        <v>347</v>
      </c>
      <c r="G129" t="s">
        <v>3241</v>
      </c>
      <c r="H129">
        <v>1</v>
      </c>
      <c r="I129" t="s">
        <v>3243</v>
      </c>
      <c r="J129" s="2" t="str">
        <f t="shared" si="3"/>
        <v>[129]=347,</v>
      </c>
      <c r="K129" s="3">
        <f t="shared" si="4"/>
        <v>129</v>
      </c>
      <c r="L129" s="3">
        <f t="shared" si="5"/>
        <v>347</v>
      </c>
      <c r="M129" s="9" t="str">
        <f>VLOOKUP(A129,WayshrineNames!$A$3:$B$967,2,)</f>
        <v>Great Shackle Wayshrine</v>
      </c>
      <c r="N129" s="3" t="str">
        <f>VLOOKUP(F129,'ESO zones'!$A$5:$D$10003,4,FALSE)</f>
        <v>Coldharbour</v>
      </c>
    </row>
    <row r="130" spans="1:14" x14ac:dyDescent="0.25">
      <c r="A130" s="58">
        <v>130</v>
      </c>
      <c r="B130">
        <v>23</v>
      </c>
      <c r="C130">
        <v>255</v>
      </c>
      <c r="D130" t="s">
        <v>3241</v>
      </c>
      <c r="E130">
        <v>155</v>
      </c>
      <c r="F130">
        <v>347</v>
      </c>
      <c r="G130" t="s">
        <v>3241</v>
      </c>
      <c r="H130">
        <v>1</v>
      </c>
      <c r="I130" t="s">
        <v>3244</v>
      </c>
      <c r="J130" s="2" t="str">
        <f t="shared" si="3"/>
        <v>[130]=347,</v>
      </c>
      <c r="K130" s="3">
        <f t="shared" si="4"/>
        <v>130</v>
      </c>
      <c r="L130" s="3">
        <f t="shared" si="5"/>
        <v>347</v>
      </c>
      <c r="M130" s="9" t="str">
        <f>VLOOKUP(A130,WayshrineNames!$A$3:$B$967,2,)</f>
        <v>The Chasm Wayshrine</v>
      </c>
      <c r="N130" s="3" t="str">
        <f>VLOOKUP(F130,'ESO zones'!$A$5:$D$10003,4,FALSE)</f>
        <v>Coldharbour</v>
      </c>
    </row>
    <row r="131" spans="1:14" x14ac:dyDescent="0.25">
      <c r="A131" s="58">
        <v>131</v>
      </c>
      <c r="B131">
        <v>23</v>
      </c>
      <c r="C131">
        <v>255</v>
      </c>
      <c r="D131" t="s">
        <v>3241</v>
      </c>
      <c r="E131">
        <v>155</v>
      </c>
      <c r="F131">
        <v>347</v>
      </c>
      <c r="G131" t="s">
        <v>3241</v>
      </c>
      <c r="H131">
        <v>1</v>
      </c>
      <c r="I131" t="s">
        <v>3245</v>
      </c>
      <c r="J131" s="2" t="str">
        <f t="shared" ref="J131:J194" si="6">IF(A131&lt;&gt;"",IF(F131&lt;&gt;"",IF(OR(ISNA(A131),ISNA(F131)),"","["&amp;A131&amp;"]="&amp;F131&amp;","),""),"")</f>
        <v>[131]=347,</v>
      </c>
      <c r="K131" s="3">
        <f t="shared" ref="K131:K194" si="7">A131</f>
        <v>131</v>
      </c>
      <c r="L131" s="3">
        <f t="shared" ref="L131:L194" si="8">F131</f>
        <v>347</v>
      </c>
      <c r="M131" s="9" t="str">
        <f>VLOOKUP(A131,WayshrineNames!$A$3:$B$967,2,)</f>
        <v>Hollow City Wayshrine</v>
      </c>
      <c r="N131" s="3" t="str">
        <f>VLOOKUP(F131,'ESO zones'!$A$5:$D$10003,4,FALSE)</f>
        <v>Coldharbour</v>
      </c>
    </row>
    <row r="132" spans="1:14" x14ac:dyDescent="0.25">
      <c r="A132" s="58">
        <v>132</v>
      </c>
      <c r="B132">
        <v>23</v>
      </c>
      <c r="C132">
        <v>255</v>
      </c>
      <c r="D132" t="s">
        <v>3241</v>
      </c>
      <c r="E132">
        <v>155</v>
      </c>
      <c r="F132">
        <v>347</v>
      </c>
      <c r="G132" t="s">
        <v>3241</v>
      </c>
      <c r="H132">
        <v>1</v>
      </c>
      <c r="I132" t="s">
        <v>3246</v>
      </c>
      <c r="J132" s="2" t="str">
        <f t="shared" si="6"/>
        <v>[132]=347,</v>
      </c>
      <c r="K132" s="3">
        <f t="shared" si="7"/>
        <v>132</v>
      </c>
      <c r="L132" s="3">
        <f t="shared" si="8"/>
        <v>347</v>
      </c>
      <c r="M132" s="9" t="str">
        <f>VLOOKUP(A132,WayshrineNames!$A$3:$B$967,2,)</f>
        <v>Endless Stair Wayshrine</v>
      </c>
      <c r="N132" s="3" t="str">
        <f>VLOOKUP(F132,'ESO zones'!$A$5:$D$10003,4,FALSE)</f>
        <v>Coldharbour</v>
      </c>
    </row>
    <row r="133" spans="1:14" x14ac:dyDescent="0.25">
      <c r="A133" s="58">
        <v>133</v>
      </c>
      <c r="B133">
        <v>23</v>
      </c>
      <c r="C133">
        <v>255</v>
      </c>
      <c r="D133" t="s">
        <v>3241</v>
      </c>
      <c r="E133">
        <v>155</v>
      </c>
      <c r="F133">
        <v>347</v>
      </c>
      <c r="G133" t="s">
        <v>3241</v>
      </c>
      <c r="H133">
        <v>1</v>
      </c>
      <c r="I133" t="s">
        <v>3247</v>
      </c>
      <c r="J133" s="2" t="str">
        <f t="shared" si="6"/>
        <v>[133]=347,</v>
      </c>
      <c r="K133" s="3">
        <f t="shared" si="7"/>
        <v>133</v>
      </c>
      <c r="L133" s="3">
        <f t="shared" si="8"/>
        <v>347</v>
      </c>
      <c r="M133" s="9" t="str">
        <f>VLOOKUP(A133,WayshrineNames!$A$3:$B$967,2,)</f>
        <v>Everfull Flagon Wayshrine</v>
      </c>
      <c r="N133" s="3" t="str">
        <f>VLOOKUP(F133,'ESO zones'!$A$5:$D$10003,4,FALSE)</f>
        <v>Coldharbour</v>
      </c>
    </row>
    <row r="134" spans="1:14" x14ac:dyDescent="0.25">
      <c r="A134" s="58">
        <v>134</v>
      </c>
      <c r="B134">
        <v>23</v>
      </c>
      <c r="C134">
        <v>255</v>
      </c>
      <c r="D134" t="s">
        <v>3241</v>
      </c>
      <c r="E134">
        <v>155</v>
      </c>
      <c r="F134">
        <v>347</v>
      </c>
      <c r="G134" t="s">
        <v>3241</v>
      </c>
      <c r="H134">
        <v>1</v>
      </c>
      <c r="I134" t="s">
        <v>3248</v>
      </c>
      <c r="J134" s="2" t="str">
        <f t="shared" si="6"/>
        <v>[134]=347,</v>
      </c>
      <c r="K134" s="3">
        <f t="shared" si="7"/>
        <v>134</v>
      </c>
      <c r="L134" s="3">
        <f t="shared" si="8"/>
        <v>347</v>
      </c>
      <c r="M134" s="9" t="str">
        <f>VLOOKUP(A134,WayshrineNames!$A$3:$B$967,2,)</f>
        <v>Moonless Walk Wayshrine</v>
      </c>
      <c r="N134" s="3" t="str">
        <f>VLOOKUP(F134,'ESO zones'!$A$5:$D$10003,4,FALSE)</f>
        <v>Coldharbour</v>
      </c>
    </row>
    <row r="135" spans="1:14" x14ac:dyDescent="0.25">
      <c r="A135" s="58">
        <v>135</v>
      </c>
      <c r="B135">
        <v>23</v>
      </c>
      <c r="C135">
        <v>255</v>
      </c>
      <c r="D135" t="s">
        <v>3241</v>
      </c>
      <c r="E135">
        <v>155</v>
      </c>
      <c r="F135">
        <v>347</v>
      </c>
      <c r="G135" t="s">
        <v>3241</v>
      </c>
      <c r="H135">
        <v>1</v>
      </c>
      <c r="I135" t="s">
        <v>3249</v>
      </c>
      <c r="J135" s="2" t="str">
        <f t="shared" si="6"/>
        <v>[135]=347,</v>
      </c>
      <c r="K135" s="3">
        <f t="shared" si="7"/>
        <v>135</v>
      </c>
      <c r="L135" s="3">
        <f t="shared" si="8"/>
        <v>347</v>
      </c>
      <c r="M135" s="9" t="str">
        <f>VLOOKUP(A135,WayshrineNames!$A$3:$B$967,2,)</f>
        <v>Haj Uxith Wayshrine</v>
      </c>
      <c r="N135" s="3" t="str">
        <f>VLOOKUP(F135,'ESO zones'!$A$5:$D$10003,4,FALSE)</f>
        <v>Coldharbour</v>
      </c>
    </row>
    <row r="136" spans="1:14" x14ac:dyDescent="0.25">
      <c r="A136" s="58">
        <v>136</v>
      </c>
      <c r="B136">
        <v>23</v>
      </c>
      <c r="C136">
        <v>255</v>
      </c>
      <c r="D136" t="s">
        <v>3241</v>
      </c>
      <c r="E136">
        <v>155</v>
      </c>
      <c r="F136">
        <v>347</v>
      </c>
      <c r="G136" t="s">
        <v>3241</v>
      </c>
      <c r="H136">
        <v>1</v>
      </c>
      <c r="I136" t="s">
        <v>3250</v>
      </c>
      <c r="J136" s="2" t="str">
        <f t="shared" si="6"/>
        <v>[136]=347,</v>
      </c>
      <c r="K136" s="3">
        <f t="shared" si="7"/>
        <v>136</v>
      </c>
      <c r="L136" s="3">
        <f t="shared" si="8"/>
        <v>347</v>
      </c>
      <c r="M136" s="9" t="str">
        <f>VLOOKUP(A136,WayshrineNames!$A$3:$B$967,2,)</f>
        <v>Manor of Revelry Wayshrine</v>
      </c>
      <c r="N136" s="3" t="str">
        <f>VLOOKUP(F136,'ESO zones'!$A$5:$D$10003,4,FALSE)</f>
        <v>Coldharbour</v>
      </c>
    </row>
    <row r="137" spans="1:14" x14ac:dyDescent="0.25">
      <c r="A137" s="58">
        <v>137</v>
      </c>
      <c r="B137">
        <v>5</v>
      </c>
      <c r="C137">
        <v>30</v>
      </c>
      <c r="D137" t="s">
        <v>3152</v>
      </c>
      <c r="E137">
        <v>17</v>
      </c>
      <c r="F137">
        <v>104</v>
      </c>
      <c r="G137" t="s">
        <v>3153</v>
      </c>
      <c r="H137">
        <v>1</v>
      </c>
      <c r="I137" t="s">
        <v>3251</v>
      </c>
      <c r="J137" s="2" t="str">
        <f t="shared" si="6"/>
        <v>[137]=104,</v>
      </c>
      <c r="K137" s="3">
        <f t="shared" si="7"/>
        <v>137</v>
      </c>
      <c r="L137" s="3">
        <f t="shared" si="8"/>
        <v>104</v>
      </c>
      <c r="M137" s="9" t="str">
        <f>VLOOKUP(A137,WayshrineNames!$A$3:$B$967,2,)</f>
        <v>Sep's Spine Wayshrine</v>
      </c>
      <c r="N137" s="3" t="str">
        <f>VLOOKUP(F137,'ESO zones'!$A$5:$D$10003,4,FALSE)</f>
        <v>Alik'r Desert</v>
      </c>
    </row>
    <row r="138" spans="1:14" x14ac:dyDescent="0.25">
      <c r="A138" s="58">
        <v>138</v>
      </c>
      <c r="B138">
        <v>19</v>
      </c>
      <c r="C138">
        <v>201</v>
      </c>
      <c r="D138" t="s">
        <v>2452</v>
      </c>
      <c r="E138">
        <v>305</v>
      </c>
      <c r="F138">
        <v>534</v>
      </c>
      <c r="G138" t="s">
        <v>2452</v>
      </c>
      <c r="H138">
        <v>1</v>
      </c>
      <c r="I138" t="s">
        <v>3252</v>
      </c>
      <c r="J138" s="2" t="str">
        <f t="shared" si="6"/>
        <v>[138]=534,</v>
      </c>
      <c r="K138" s="3">
        <f t="shared" si="7"/>
        <v>138</v>
      </c>
      <c r="L138" s="3">
        <f t="shared" si="8"/>
        <v>534</v>
      </c>
      <c r="M138" s="9" t="str">
        <f>VLOOKUP(A138,WayshrineNames!$A$3:$B$967,2,)</f>
        <v>Port Hunding Wayshrine</v>
      </c>
      <c r="N138" s="3" t="str">
        <f>VLOOKUP(F138,'ESO zones'!$A$5:$D$10003,4,FALSE)</f>
        <v>Stros M'Kai</v>
      </c>
    </row>
    <row r="139" spans="1:14" x14ac:dyDescent="0.25">
      <c r="A139" s="58">
        <v>139</v>
      </c>
      <c r="B139">
        <v>23</v>
      </c>
      <c r="C139">
        <v>255</v>
      </c>
      <c r="D139" t="s">
        <v>3241</v>
      </c>
      <c r="E139">
        <v>155</v>
      </c>
      <c r="F139">
        <v>347</v>
      </c>
      <c r="G139" t="s">
        <v>3241</v>
      </c>
      <c r="H139">
        <v>1</v>
      </c>
      <c r="I139" t="s">
        <v>3253</v>
      </c>
      <c r="J139" s="2" t="str">
        <f t="shared" si="6"/>
        <v>[139]=347,</v>
      </c>
      <c r="K139" s="3">
        <f t="shared" si="7"/>
        <v>139</v>
      </c>
      <c r="L139" s="3">
        <f t="shared" si="8"/>
        <v>347</v>
      </c>
      <c r="M139" s="9" t="str">
        <f>VLOOKUP(A139,WayshrineNames!$A$3:$B$967,2,)</f>
        <v>Reaver Citadel Wayshrine</v>
      </c>
      <c r="N139" s="3" t="str">
        <f>VLOOKUP(F139,'ESO zones'!$A$5:$D$10003,4,FALSE)</f>
        <v>Coldharbour</v>
      </c>
    </row>
    <row r="140" spans="1:14" x14ac:dyDescent="0.25">
      <c r="A140" s="58">
        <v>140</v>
      </c>
      <c r="B140">
        <v>23</v>
      </c>
      <c r="C140">
        <v>255</v>
      </c>
      <c r="D140" t="s">
        <v>3241</v>
      </c>
      <c r="E140">
        <v>155</v>
      </c>
      <c r="F140">
        <v>347</v>
      </c>
      <c r="G140" t="s">
        <v>3241</v>
      </c>
      <c r="H140">
        <v>1</v>
      </c>
      <c r="I140" t="s">
        <v>3254</v>
      </c>
      <c r="J140" s="2" t="str">
        <f t="shared" si="6"/>
        <v>[140]=347,</v>
      </c>
      <c r="K140" s="3">
        <f t="shared" si="7"/>
        <v>140</v>
      </c>
      <c r="L140" s="3">
        <f t="shared" si="8"/>
        <v>347</v>
      </c>
      <c r="M140" s="9" t="str">
        <f>VLOOKUP(A140,WayshrineNames!$A$3:$B$967,2,)</f>
        <v>The Orchard Wayshrine</v>
      </c>
      <c r="N140" s="3" t="str">
        <f>VLOOKUP(F140,'ESO zones'!$A$5:$D$10003,4,FALSE)</f>
        <v>Coldharbour</v>
      </c>
    </row>
    <row r="141" spans="1:14" x14ac:dyDescent="0.25">
      <c r="A141" s="58">
        <v>141</v>
      </c>
      <c r="B141">
        <v>21</v>
      </c>
      <c r="C141">
        <v>258</v>
      </c>
      <c r="D141" t="s">
        <v>3255</v>
      </c>
      <c r="E141">
        <v>307</v>
      </c>
      <c r="F141">
        <v>537</v>
      </c>
      <c r="G141" t="s">
        <v>3255</v>
      </c>
      <c r="H141">
        <v>1</v>
      </c>
      <c r="I141" t="s">
        <v>3256</v>
      </c>
      <c r="J141" s="2" t="str">
        <f t="shared" si="6"/>
        <v>[141]=537,</v>
      </c>
      <c r="K141" s="3">
        <f t="shared" si="7"/>
        <v>141</v>
      </c>
      <c r="L141" s="3">
        <f t="shared" si="8"/>
        <v>537</v>
      </c>
      <c r="M141" s="9" t="str">
        <f>VLOOKUP(A141,WayshrineNames!$A$3:$B$967,2,)</f>
        <v>Khenarthi's Roost Wayshrine</v>
      </c>
      <c r="N141" s="3" t="str">
        <f>VLOOKUP(F141,'ESO zones'!$A$5:$D$10003,4,FALSE)</f>
        <v>Khenarthi's Roost</v>
      </c>
    </row>
    <row r="142" spans="1:14" x14ac:dyDescent="0.25">
      <c r="A142" s="58">
        <v>142</v>
      </c>
      <c r="B142">
        <v>21</v>
      </c>
      <c r="C142">
        <v>258</v>
      </c>
      <c r="D142" t="s">
        <v>3255</v>
      </c>
      <c r="E142">
        <v>307</v>
      </c>
      <c r="F142">
        <v>537</v>
      </c>
      <c r="G142" t="s">
        <v>3255</v>
      </c>
      <c r="H142">
        <v>1</v>
      </c>
      <c r="I142" t="s">
        <v>3257</v>
      </c>
      <c r="J142" s="2" t="str">
        <f t="shared" si="6"/>
        <v>[142]=537,</v>
      </c>
      <c r="K142" s="3">
        <f t="shared" si="7"/>
        <v>142</v>
      </c>
      <c r="L142" s="3">
        <f t="shared" si="8"/>
        <v>537</v>
      </c>
      <c r="M142" s="9" t="str">
        <f>VLOOKUP(A142,WayshrineNames!$A$3:$B$967,2,)</f>
        <v>Mistral Wayshrine</v>
      </c>
      <c r="N142" s="3" t="str">
        <f>VLOOKUP(F142,'ESO zones'!$A$5:$D$10003,4,FALSE)</f>
        <v>Khenarthi's Roost</v>
      </c>
    </row>
    <row r="143" spans="1:14" x14ac:dyDescent="0.25">
      <c r="A143" s="58">
        <v>143</v>
      </c>
      <c r="B143">
        <v>16</v>
      </c>
      <c r="C143">
        <v>300</v>
      </c>
      <c r="D143" t="s">
        <v>3258</v>
      </c>
      <c r="E143">
        <v>18</v>
      </c>
      <c r="F143">
        <v>108</v>
      </c>
      <c r="G143" t="s">
        <v>3258</v>
      </c>
      <c r="H143">
        <v>1</v>
      </c>
      <c r="I143" t="s">
        <v>3259</v>
      </c>
      <c r="J143" s="2" t="str">
        <f t="shared" si="6"/>
        <v>[143]=108,</v>
      </c>
      <c r="K143" s="3">
        <f t="shared" si="7"/>
        <v>143</v>
      </c>
      <c r="L143" s="3">
        <f t="shared" si="8"/>
        <v>108</v>
      </c>
      <c r="M143" s="9" t="str">
        <f>VLOOKUP(A143,WayshrineNames!$A$3:$B$967,2,)</f>
        <v>Marbruk Wayshrine</v>
      </c>
      <c r="N143" s="3" t="str">
        <f>VLOOKUP(F143,'ESO zones'!$A$5:$D$10003,4,FALSE)</f>
        <v>Greenshade</v>
      </c>
    </row>
    <row r="144" spans="1:14" x14ac:dyDescent="0.25">
      <c r="A144" s="58">
        <v>144</v>
      </c>
      <c r="B144">
        <v>17</v>
      </c>
      <c r="C144">
        <v>256</v>
      </c>
      <c r="D144" t="s">
        <v>3260</v>
      </c>
      <c r="E144">
        <v>180</v>
      </c>
      <c r="F144">
        <v>382</v>
      </c>
      <c r="G144" t="s">
        <v>3260</v>
      </c>
      <c r="H144">
        <v>1</v>
      </c>
      <c r="I144" t="s">
        <v>3261</v>
      </c>
      <c r="J144" s="2" t="str">
        <f t="shared" si="6"/>
        <v>[144]=382,</v>
      </c>
      <c r="K144" s="3">
        <f t="shared" si="7"/>
        <v>144</v>
      </c>
      <c r="L144" s="3">
        <f t="shared" si="8"/>
        <v>382</v>
      </c>
      <c r="M144" s="9" t="str">
        <f>VLOOKUP(A144,WayshrineNames!$A$3:$B$967,2,)</f>
        <v>Vinedusk Wayshrine</v>
      </c>
      <c r="N144" s="3" t="str">
        <f>VLOOKUP(F144,'ESO zones'!$A$5:$D$10003,4,FALSE)</f>
        <v>Reaper's March</v>
      </c>
    </row>
    <row r="145" spans="1:14" x14ac:dyDescent="0.25">
      <c r="A145" s="58">
        <v>145</v>
      </c>
      <c r="B145">
        <v>23</v>
      </c>
      <c r="C145">
        <v>255</v>
      </c>
      <c r="D145" t="s">
        <v>3241</v>
      </c>
      <c r="E145">
        <v>155</v>
      </c>
      <c r="F145">
        <v>347</v>
      </c>
      <c r="G145" t="s">
        <v>3241</v>
      </c>
      <c r="H145">
        <v>1</v>
      </c>
      <c r="I145" t="s">
        <v>3262</v>
      </c>
      <c r="J145" s="2" t="str">
        <f t="shared" si="6"/>
        <v>[145]=347,</v>
      </c>
      <c r="K145" s="3">
        <f t="shared" si="7"/>
        <v>145</v>
      </c>
      <c r="L145" s="3">
        <f t="shared" si="8"/>
        <v>347</v>
      </c>
      <c r="M145" s="9" t="str">
        <f>VLOOKUP(A145,WayshrineNames!$A$3:$B$967,2,)</f>
        <v>Shrouded Plains Wayshrine</v>
      </c>
      <c r="N145" s="3" t="str">
        <f>VLOOKUP(F145,'ESO zones'!$A$5:$D$10003,4,FALSE)</f>
        <v>Coldharbour</v>
      </c>
    </row>
    <row r="146" spans="1:14" x14ac:dyDescent="0.25">
      <c r="A146" s="58">
        <v>146</v>
      </c>
      <c r="B146">
        <v>23</v>
      </c>
      <c r="C146">
        <v>255</v>
      </c>
      <c r="D146" t="s">
        <v>3241</v>
      </c>
      <c r="E146">
        <v>155</v>
      </c>
      <c r="F146">
        <v>347</v>
      </c>
      <c r="G146" t="s">
        <v>3241</v>
      </c>
      <c r="H146">
        <v>1</v>
      </c>
      <c r="I146" t="s">
        <v>3263</v>
      </c>
      <c r="J146" s="2" t="str">
        <f t="shared" si="6"/>
        <v>[146]=347,</v>
      </c>
      <c r="K146" s="3">
        <f t="shared" si="7"/>
        <v>146</v>
      </c>
      <c r="L146" s="3">
        <f t="shared" si="8"/>
        <v>347</v>
      </c>
      <c r="M146" s="9" t="str">
        <f>VLOOKUP(A146,WayshrineNames!$A$3:$B$967,2,)</f>
        <v>Court of Contempt Wayshrine</v>
      </c>
      <c r="N146" s="3" t="str">
        <f>VLOOKUP(F146,'ESO zones'!$A$5:$D$10003,4,FALSE)</f>
        <v>Coldharbour</v>
      </c>
    </row>
    <row r="147" spans="1:14" x14ac:dyDescent="0.25">
      <c r="A147" s="58">
        <v>147</v>
      </c>
      <c r="B147">
        <v>16</v>
      </c>
      <c r="C147">
        <v>300</v>
      </c>
      <c r="D147" t="s">
        <v>3258</v>
      </c>
      <c r="E147">
        <v>18</v>
      </c>
      <c r="F147">
        <v>108</v>
      </c>
      <c r="G147" t="s">
        <v>3258</v>
      </c>
      <c r="H147">
        <v>1</v>
      </c>
      <c r="I147" t="s">
        <v>3264</v>
      </c>
      <c r="J147" s="2" t="str">
        <f t="shared" si="6"/>
        <v>[147]=108,</v>
      </c>
      <c r="K147" s="3">
        <f t="shared" si="7"/>
        <v>147</v>
      </c>
      <c r="L147" s="3">
        <f t="shared" si="8"/>
        <v>108</v>
      </c>
      <c r="M147" s="9" t="str">
        <f>VLOOKUP(A147,WayshrineNames!$A$3:$B$967,2,)</f>
        <v>Greenheart Wayshrine</v>
      </c>
      <c r="N147" s="3" t="str">
        <f>VLOOKUP(F147,'ESO zones'!$A$5:$D$10003,4,FALSE)</f>
        <v>Greenshade</v>
      </c>
    </row>
    <row r="148" spans="1:14" x14ac:dyDescent="0.25">
      <c r="A148" s="58">
        <v>148</v>
      </c>
      <c r="B148">
        <v>16</v>
      </c>
      <c r="C148">
        <v>300</v>
      </c>
      <c r="D148" t="s">
        <v>3258</v>
      </c>
      <c r="E148">
        <v>18</v>
      </c>
      <c r="F148">
        <v>108</v>
      </c>
      <c r="G148" t="s">
        <v>3258</v>
      </c>
      <c r="H148">
        <v>1</v>
      </c>
      <c r="I148" t="s">
        <v>3265</v>
      </c>
      <c r="J148" s="2" t="str">
        <f t="shared" si="6"/>
        <v>[148]=108,</v>
      </c>
      <c r="K148" s="3">
        <f t="shared" si="7"/>
        <v>148</v>
      </c>
      <c r="L148" s="3">
        <f t="shared" si="8"/>
        <v>108</v>
      </c>
      <c r="M148" s="9" t="str">
        <f>VLOOKUP(A148,WayshrineNames!$A$3:$B$967,2,)</f>
        <v>Labyrinth Wayshrine</v>
      </c>
      <c r="N148" s="3" t="str">
        <f>VLOOKUP(F148,'ESO zones'!$A$5:$D$10003,4,FALSE)</f>
        <v>Greenshade</v>
      </c>
    </row>
    <row r="149" spans="1:14" x14ac:dyDescent="0.25">
      <c r="A149" s="58">
        <v>149</v>
      </c>
      <c r="B149">
        <v>16</v>
      </c>
      <c r="C149">
        <v>300</v>
      </c>
      <c r="D149" t="s">
        <v>3258</v>
      </c>
      <c r="E149">
        <v>18</v>
      </c>
      <c r="F149">
        <v>108</v>
      </c>
      <c r="G149" t="s">
        <v>3258</v>
      </c>
      <c r="H149">
        <v>1</v>
      </c>
      <c r="I149" t="s">
        <v>3266</v>
      </c>
      <c r="J149" s="2" t="str">
        <f t="shared" si="6"/>
        <v>[149]=108,</v>
      </c>
      <c r="K149" s="3">
        <f t="shared" si="7"/>
        <v>149</v>
      </c>
      <c r="L149" s="3">
        <f t="shared" si="8"/>
        <v>108</v>
      </c>
      <c r="M149" s="9" t="str">
        <f>VLOOKUP(A149,WayshrineNames!$A$3:$B$967,2,)</f>
        <v>Falinesti Wayshrine</v>
      </c>
      <c r="N149" s="3" t="str">
        <f>VLOOKUP(F149,'ESO zones'!$A$5:$D$10003,4,FALSE)</f>
        <v>Greenshade</v>
      </c>
    </row>
    <row r="150" spans="1:14" x14ac:dyDescent="0.25">
      <c r="A150" s="58">
        <v>150</v>
      </c>
      <c r="B150">
        <v>16</v>
      </c>
      <c r="C150">
        <v>300</v>
      </c>
      <c r="D150" t="s">
        <v>3258</v>
      </c>
      <c r="E150">
        <v>18</v>
      </c>
      <c r="F150">
        <v>108</v>
      </c>
      <c r="G150" t="s">
        <v>3258</v>
      </c>
      <c r="H150">
        <v>1</v>
      </c>
      <c r="I150" t="s">
        <v>3267</v>
      </c>
      <c r="J150" s="2" t="str">
        <f t="shared" si="6"/>
        <v>[150]=108,</v>
      </c>
      <c r="K150" s="3">
        <f t="shared" si="7"/>
        <v>150</v>
      </c>
      <c r="L150" s="3">
        <f t="shared" si="8"/>
        <v>108</v>
      </c>
      <c r="M150" s="9" t="str">
        <f>VLOOKUP(A150,WayshrineNames!$A$3:$B$967,2,)</f>
        <v>Seaside Sanctuary</v>
      </c>
      <c r="N150" s="3" t="str">
        <f>VLOOKUP(F150,'ESO zones'!$A$5:$D$10003,4,FALSE)</f>
        <v>Greenshade</v>
      </c>
    </row>
    <row r="151" spans="1:14" x14ac:dyDescent="0.25">
      <c r="A151" s="58">
        <v>151</v>
      </c>
      <c r="B151">
        <v>16</v>
      </c>
      <c r="C151">
        <v>300</v>
      </c>
      <c r="D151" t="s">
        <v>3258</v>
      </c>
      <c r="E151">
        <v>18</v>
      </c>
      <c r="F151">
        <v>108</v>
      </c>
      <c r="G151" t="s">
        <v>3258</v>
      </c>
      <c r="H151">
        <v>1</v>
      </c>
      <c r="I151" t="s">
        <v>3268</v>
      </c>
      <c r="J151" s="2" t="str">
        <f t="shared" si="6"/>
        <v>[151]=108,</v>
      </c>
      <c r="K151" s="3">
        <f t="shared" si="7"/>
        <v>151</v>
      </c>
      <c r="L151" s="3">
        <f t="shared" si="8"/>
        <v>108</v>
      </c>
      <c r="M151" s="9" t="str">
        <f>VLOOKUP(A151,WayshrineNames!$A$3:$B$967,2,)</f>
        <v>Verrant Morass Wayshrine</v>
      </c>
      <c r="N151" s="3" t="str">
        <f>VLOOKUP(F151,'ESO zones'!$A$5:$D$10003,4,FALSE)</f>
        <v>Greenshade</v>
      </c>
    </row>
    <row r="152" spans="1:14" x14ac:dyDescent="0.25">
      <c r="A152" s="58">
        <v>152</v>
      </c>
      <c r="B152">
        <v>16</v>
      </c>
      <c r="C152">
        <v>300</v>
      </c>
      <c r="D152" t="s">
        <v>3258</v>
      </c>
      <c r="E152">
        <v>18</v>
      </c>
      <c r="F152">
        <v>108</v>
      </c>
      <c r="G152" t="s">
        <v>3258</v>
      </c>
      <c r="H152">
        <v>1</v>
      </c>
      <c r="I152" t="s">
        <v>3269</v>
      </c>
      <c r="J152" s="2" t="str">
        <f t="shared" si="6"/>
        <v>[152]=108,</v>
      </c>
      <c r="K152" s="3">
        <f t="shared" si="7"/>
        <v>152</v>
      </c>
      <c r="L152" s="3">
        <f t="shared" si="8"/>
        <v>108</v>
      </c>
      <c r="M152" s="9" t="str">
        <f>VLOOKUP(A152,WayshrineNames!$A$3:$B$967,2,)</f>
        <v>Woodhearth Wayshrine</v>
      </c>
      <c r="N152" s="3" t="str">
        <f>VLOOKUP(F152,'ESO zones'!$A$5:$D$10003,4,FALSE)</f>
        <v>Greenshade</v>
      </c>
    </row>
    <row r="153" spans="1:14" x14ac:dyDescent="0.25">
      <c r="A153" s="58">
        <v>153</v>
      </c>
      <c r="B153">
        <v>16</v>
      </c>
      <c r="C153">
        <v>300</v>
      </c>
      <c r="D153" t="s">
        <v>3258</v>
      </c>
      <c r="E153">
        <v>18</v>
      </c>
      <c r="F153">
        <v>108</v>
      </c>
      <c r="G153" t="s">
        <v>3258</v>
      </c>
      <c r="H153">
        <v>1</v>
      </c>
      <c r="I153" t="s">
        <v>3270</v>
      </c>
      <c r="J153" s="2" t="str">
        <f t="shared" si="6"/>
        <v>[153]=108,</v>
      </c>
      <c r="K153" s="3">
        <f t="shared" si="7"/>
        <v>153</v>
      </c>
      <c r="L153" s="3">
        <f t="shared" si="8"/>
        <v>108</v>
      </c>
      <c r="M153" s="9" t="str">
        <f>VLOOKUP(A153,WayshrineNames!$A$3:$B$967,2,)</f>
        <v>Moonhenge Wayshrine</v>
      </c>
      <c r="N153" s="3" t="str">
        <f>VLOOKUP(F153,'ESO zones'!$A$5:$D$10003,4,FALSE)</f>
        <v>Greenshade</v>
      </c>
    </row>
    <row r="154" spans="1:14" x14ac:dyDescent="0.25">
      <c r="A154" s="58">
        <v>154</v>
      </c>
      <c r="B154">
        <v>16</v>
      </c>
      <c r="C154">
        <v>300</v>
      </c>
      <c r="D154" t="s">
        <v>3258</v>
      </c>
      <c r="E154">
        <v>18</v>
      </c>
      <c r="F154">
        <v>108</v>
      </c>
      <c r="G154" t="s">
        <v>3258</v>
      </c>
      <c r="H154">
        <v>1</v>
      </c>
      <c r="I154" t="s">
        <v>3271</v>
      </c>
      <c r="J154" s="2" t="str">
        <f t="shared" si="6"/>
        <v>[154]=108,</v>
      </c>
      <c r="K154" s="3">
        <f t="shared" si="7"/>
        <v>154</v>
      </c>
      <c r="L154" s="3">
        <f t="shared" si="8"/>
        <v>108</v>
      </c>
      <c r="M154" s="9" t="str">
        <f>VLOOKUP(A154,WayshrineNames!$A$3:$B$967,2,)</f>
        <v>Serpent's Grotto Wayshrine</v>
      </c>
      <c r="N154" s="3" t="str">
        <f>VLOOKUP(F154,'ESO zones'!$A$5:$D$10003,4,FALSE)</f>
        <v>Greenshade</v>
      </c>
    </row>
    <row r="155" spans="1:14" x14ac:dyDescent="0.25">
      <c r="A155" s="58">
        <v>155</v>
      </c>
      <c r="B155">
        <v>5</v>
      </c>
      <c r="C155">
        <v>30</v>
      </c>
      <c r="D155" t="s">
        <v>3152</v>
      </c>
      <c r="E155">
        <v>17</v>
      </c>
      <c r="F155">
        <v>104</v>
      </c>
      <c r="G155" t="s">
        <v>3153</v>
      </c>
      <c r="H155">
        <v>1</v>
      </c>
      <c r="I155" t="s">
        <v>3272</v>
      </c>
      <c r="J155" s="2" t="str">
        <f t="shared" si="6"/>
        <v>[155]=104,</v>
      </c>
      <c r="K155" s="3">
        <f t="shared" si="7"/>
        <v>155</v>
      </c>
      <c r="L155" s="3">
        <f t="shared" si="8"/>
        <v>104</v>
      </c>
      <c r="M155" s="9" t="str">
        <f>VLOOKUP(A155,WayshrineNames!$A$3:$B$967,2,)</f>
        <v>Goat's Head Oasis Wayshrine</v>
      </c>
      <c r="N155" s="3" t="str">
        <f>VLOOKUP(F155,'ESO zones'!$A$5:$D$10003,4,FALSE)</f>
        <v>Alik'r Desert</v>
      </c>
    </row>
    <row r="156" spans="1:14" x14ac:dyDescent="0.25">
      <c r="A156" s="58">
        <v>156</v>
      </c>
      <c r="B156">
        <v>17</v>
      </c>
      <c r="C156">
        <v>256</v>
      </c>
      <c r="D156" t="s">
        <v>3260</v>
      </c>
      <c r="E156">
        <v>180</v>
      </c>
      <c r="F156">
        <v>382</v>
      </c>
      <c r="G156" t="s">
        <v>3260</v>
      </c>
      <c r="H156">
        <v>1</v>
      </c>
      <c r="I156" t="s">
        <v>3273</v>
      </c>
      <c r="J156" s="2" t="str">
        <f t="shared" si="6"/>
        <v>[156]=382,</v>
      </c>
      <c r="K156" s="3">
        <f t="shared" si="7"/>
        <v>156</v>
      </c>
      <c r="L156" s="3">
        <f t="shared" si="8"/>
        <v>382</v>
      </c>
      <c r="M156" s="9" t="str">
        <f>VLOOKUP(A156,WayshrineNames!$A$3:$B$967,2,)</f>
        <v>Fort Grimwatch Wayshrine</v>
      </c>
      <c r="N156" s="3" t="str">
        <f>VLOOKUP(F156,'ESO zones'!$A$5:$D$10003,4,FALSE)</f>
        <v>Reaper's March</v>
      </c>
    </row>
    <row r="157" spans="1:14" x14ac:dyDescent="0.25">
      <c r="A157" s="58">
        <v>157</v>
      </c>
      <c r="B157">
        <v>17</v>
      </c>
      <c r="C157">
        <v>256</v>
      </c>
      <c r="D157" t="s">
        <v>3260</v>
      </c>
      <c r="E157">
        <v>180</v>
      </c>
      <c r="F157">
        <v>382</v>
      </c>
      <c r="G157" t="s">
        <v>3260</v>
      </c>
      <c r="H157">
        <v>1</v>
      </c>
      <c r="I157" t="s">
        <v>3274</v>
      </c>
      <c r="J157" s="2" t="str">
        <f t="shared" si="6"/>
        <v>[157]=382,</v>
      </c>
      <c r="K157" s="3">
        <f t="shared" si="7"/>
        <v>157</v>
      </c>
      <c r="L157" s="3">
        <f t="shared" si="8"/>
        <v>382</v>
      </c>
      <c r="M157" s="9" t="str">
        <f>VLOOKUP(A157,WayshrineNames!$A$3:$B$967,2,)</f>
        <v>Fort Sphinxmoth Wayshrine</v>
      </c>
      <c r="N157" s="3" t="str">
        <f>VLOOKUP(F157,'ESO zones'!$A$5:$D$10003,4,FALSE)</f>
        <v>Reaper's March</v>
      </c>
    </row>
    <row r="158" spans="1:14" x14ac:dyDescent="0.25">
      <c r="A158" s="58">
        <v>158</v>
      </c>
      <c r="B158">
        <v>17</v>
      </c>
      <c r="C158">
        <v>256</v>
      </c>
      <c r="D158" t="s">
        <v>3260</v>
      </c>
      <c r="E158">
        <v>180</v>
      </c>
      <c r="F158">
        <v>382</v>
      </c>
      <c r="G158" t="s">
        <v>3260</v>
      </c>
      <c r="H158">
        <v>1</v>
      </c>
      <c r="I158" t="s">
        <v>3275</v>
      </c>
      <c r="J158" s="2" t="str">
        <f t="shared" si="6"/>
        <v>[158]=382,</v>
      </c>
      <c r="K158" s="3">
        <f t="shared" si="7"/>
        <v>158</v>
      </c>
      <c r="L158" s="3">
        <f t="shared" si="8"/>
        <v>382</v>
      </c>
      <c r="M158" s="9" t="str">
        <f>VLOOKUP(A158,WayshrineNames!$A$3:$B$967,2,)</f>
        <v>Arenthia Wayshrine</v>
      </c>
      <c r="N158" s="3" t="str">
        <f>VLOOKUP(F158,'ESO zones'!$A$5:$D$10003,4,FALSE)</f>
        <v>Reaper's March</v>
      </c>
    </row>
    <row r="159" spans="1:14" x14ac:dyDescent="0.25">
      <c r="A159" s="58">
        <v>159</v>
      </c>
      <c r="B159">
        <v>17</v>
      </c>
      <c r="C159">
        <v>256</v>
      </c>
      <c r="D159" t="s">
        <v>3260</v>
      </c>
      <c r="E159">
        <v>180</v>
      </c>
      <c r="F159">
        <v>382</v>
      </c>
      <c r="G159" t="s">
        <v>3260</v>
      </c>
      <c r="H159">
        <v>1</v>
      </c>
      <c r="I159" t="s">
        <v>3276</v>
      </c>
      <c r="J159" s="2" t="str">
        <f t="shared" si="6"/>
        <v>[159]=382,</v>
      </c>
      <c r="K159" s="3">
        <f t="shared" si="7"/>
        <v>159</v>
      </c>
      <c r="L159" s="3">
        <f t="shared" si="8"/>
        <v>382</v>
      </c>
      <c r="M159" s="9" t="str">
        <f>VLOOKUP(A159,WayshrineNames!$A$3:$B$967,2,)</f>
        <v>Dune Wayshrine</v>
      </c>
      <c r="N159" s="3" t="str">
        <f>VLOOKUP(F159,'ESO zones'!$A$5:$D$10003,4,FALSE)</f>
        <v>Reaper's March</v>
      </c>
    </row>
    <row r="160" spans="1:14" x14ac:dyDescent="0.25">
      <c r="A160" s="58">
        <v>160</v>
      </c>
      <c r="B160">
        <v>17</v>
      </c>
      <c r="C160">
        <v>256</v>
      </c>
      <c r="D160" t="s">
        <v>3260</v>
      </c>
      <c r="E160">
        <v>180</v>
      </c>
      <c r="F160">
        <v>382</v>
      </c>
      <c r="G160" t="s">
        <v>3260</v>
      </c>
      <c r="H160">
        <v>1</v>
      </c>
      <c r="I160" t="s">
        <v>3277</v>
      </c>
      <c r="J160" s="2" t="str">
        <f t="shared" si="6"/>
        <v>[160]=382,</v>
      </c>
      <c r="K160" s="3">
        <f t="shared" si="7"/>
        <v>160</v>
      </c>
      <c r="L160" s="3">
        <f t="shared" si="8"/>
        <v>382</v>
      </c>
      <c r="M160" s="9" t="str">
        <f>VLOOKUP(A160,WayshrineNames!$A$3:$B$967,2,)</f>
        <v>Willowgrove Wayshrine</v>
      </c>
      <c r="N160" s="3" t="str">
        <f>VLOOKUP(F160,'ESO zones'!$A$5:$D$10003,4,FALSE)</f>
        <v>Reaper's March</v>
      </c>
    </row>
    <row r="161" spans="1:14" x14ac:dyDescent="0.25">
      <c r="A161" s="58">
        <v>161</v>
      </c>
      <c r="B161">
        <v>17</v>
      </c>
      <c r="C161">
        <v>256</v>
      </c>
      <c r="D161" t="s">
        <v>3260</v>
      </c>
      <c r="E161">
        <v>180</v>
      </c>
      <c r="F161">
        <v>382</v>
      </c>
      <c r="G161" t="s">
        <v>3260</v>
      </c>
      <c r="H161">
        <v>1</v>
      </c>
      <c r="I161" t="s">
        <v>3278</v>
      </c>
      <c r="J161" s="2" t="str">
        <f t="shared" si="6"/>
        <v>[161]=382,</v>
      </c>
      <c r="K161" s="3">
        <f t="shared" si="7"/>
        <v>161</v>
      </c>
      <c r="L161" s="3">
        <f t="shared" si="8"/>
        <v>382</v>
      </c>
      <c r="M161" s="9" t="str">
        <f>VLOOKUP(A161,WayshrineNames!$A$3:$B$967,2,)</f>
        <v>Moonmont Wayshrine</v>
      </c>
      <c r="N161" s="3" t="str">
        <f>VLOOKUP(F161,'ESO zones'!$A$5:$D$10003,4,FALSE)</f>
        <v>Reaper's March</v>
      </c>
    </row>
    <row r="162" spans="1:14" x14ac:dyDescent="0.25">
      <c r="A162" s="58">
        <v>162</v>
      </c>
      <c r="B162">
        <v>17</v>
      </c>
      <c r="C162">
        <v>256</v>
      </c>
      <c r="D162" t="s">
        <v>3260</v>
      </c>
      <c r="E162">
        <v>180</v>
      </c>
      <c r="F162">
        <v>382</v>
      </c>
      <c r="G162" t="s">
        <v>3260</v>
      </c>
      <c r="H162">
        <v>1</v>
      </c>
      <c r="I162" t="s">
        <v>3279</v>
      </c>
      <c r="J162" s="2" t="str">
        <f t="shared" si="6"/>
        <v>[162]=382,</v>
      </c>
      <c r="K162" s="3">
        <f t="shared" si="7"/>
        <v>162</v>
      </c>
      <c r="L162" s="3">
        <f t="shared" si="8"/>
        <v>382</v>
      </c>
      <c r="M162" s="9" t="str">
        <f>VLOOKUP(A162,WayshrineNames!$A$3:$B$967,2,)</f>
        <v>Rawl'kha Wayshrine</v>
      </c>
      <c r="N162" s="3" t="str">
        <f>VLOOKUP(F162,'ESO zones'!$A$5:$D$10003,4,FALSE)</f>
        <v>Reaper's March</v>
      </c>
    </row>
    <row r="163" spans="1:14" x14ac:dyDescent="0.25">
      <c r="A163" s="58">
        <v>163</v>
      </c>
      <c r="B163">
        <v>17</v>
      </c>
      <c r="C163">
        <v>256</v>
      </c>
      <c r="D163" t="s">
        <v>3260</v>
      </c>
      <c r="E163">
        <v>180</v>
      </c>
      <c r="F163">
        <v>382</v>
      </c>
      <c r="G163" t="s">
        <v>3260</v>
      </c>
      <c r="H163">
        <v>1</v>
      </c>
      <c r="I163" t="s">
        <v>3280</v>
      </c>
      <c r="J163" s="2" t="str">
        <f t="shared" si="6"/>
        <v>[163]=382,</v>
      </c>
      <c r="K163" s="3">
        <f t="shared" si="7"/>
        <v>163</v>
      </c>
      <c r="L163" s="3">
        <f t="shared" si="8"/>
        <v>382</v>
      </c>
      <c r="M163" s="9" t="str">
        <f>VLOOKUP(A163,WayshrineNames!$A$3:$B$967,2,)</f>
        <v>S'ren-ja Wayshrine</v>
      </c>
      <c r="N163" s="3" t="str">
        <f>VLOOKUP(F163,'ESO zones'!$A$5:$D$10003,4,FALSE)</f>
        <v>Reaper's March</v>
      </c>
    </row>
    <row r="164" spans="1:14" x14ac:dyDescent="0.25">
      <c r="A164" s="58">
        <v>164</v>
      </c>
      <c r="B164">
        <v>7</v>
      </c>
      <c r="C164">
        <v>9</v>
      </c>
      <c r="D164" t="s">
        <v>3129</v>
      </c>
      <c r="E164">
        <v>181</v>
      </c>
      <c r="F164">
        <v>383</v>
      </c>
      <c r="G164" t="s">
        <v>3129</v>
      </c>
      <c r="H164">
        <v>1</v>
      </c>
      <c r="I164" t="s">
        <v>3281</v>
      </c>
      <c r="J164" s="2" t="str">
        <f t="shared" si="6"/>
        <v>[164]=383,</v>
      </c>
      <c r="K164" s="3">
        <f t="shared" si="7"/>
        <v>164</v>
      </c>
      <c r="L164" s="3">
        <f t="shared" si="8"/>
        <v>383</v>
      </c>
      <c r="M164" s="9" t="str">
        <f>VLOOKUP(A164,WayshrineNames!$A$3:$B$967,2,)</f>
        <v>Gil-Var-Delle Wayshrine</v>
      </c>
      <c r="N164" s="3" t="str">
        <f>VLOOKUP(F164,'ESO zones'!$A$5:$D$10003,4,FALSE)</f>
        <v>Grahtwood</v>
      </c>
    </row>
    <row r="165" spans="1:14" x14ac:dyDescent="0.25">
      <c r="A165" s="58">
        <v>165</v>
      </c>
      <c r="B165">
        <v>7</v>
      </c>
      <c r="C165">
        <v>9</v>
      </c>
      <c r="D165" t="s">
        <v>3129</v>
      </c>
      <c r="E165">
        <v>181</v>
      </c>
      <c r="F165">
        <v>383</v>
      </c>
      <c r="G165" t="s">
        <v>3129</v>
      </c>
      <c r="H165">
        <v>1</v>
      </c>
      <c r="I165" t="s">
        <v>3282</v>
      </c>
      <c r="J165" s="2" t="str">
        <f t="shared" si="6"/>
        <v>[165]=383,</v>
      </c>
      <c r="K165" s="3">
        <f t="shared" si="7"/>
        <v>165</v>
      </c>
      <c r="L165" s="3">
        <f t="shared" si="8"/>
        <v>383</v>
      </c>
      <c r="M165" s="9" t="str">
        <f>VLOOKUP(A165,WayshrineNames!$A$3:$B$967,2,)</f>
        <v>Haven Wayshrine</v>
      </c>
      <c r="N165" s="3" t="str">
        <f>VLOOKUP(F165,'ESO zones'!$A$5:$D$10003,4,FALSE)</f>
        <v>Grahtwood</v>
      </c>
    </row>
    <row r="166" spans="1:14" x14ac:dyDescent="0.25">
      <c r="A166" s="58">
        <v>166</v>
      </c>
      <c r="B166">
        <v>7</v>
      </c>
      <c r="C166">
        <v>9</v>
      </c>
      <c r="D166" t="s">
        <v>3129</v>
      </c>
      <c r="E166">
        <v>181</v>
      </c>
      <c r="F166">
        <v>383</v>
      </c>
      <c r="G166" t="s">
        <v>3129</v>
      </c>
      <c r="H166">
        <v>1</v>
      </c>
      <c r="I166" t="s">
        <v>3283</v>
      </c>
      <c r="J166" s="2" t="str">
        <f t="shared" si="6"/>
        <v>[166]=383,</v>
      </c>
      <c r="K166" s="3">
        <f t="shared" si="7"/>
        <v>166</v>
      </c>
      <c r="L166" s="3">
        <f t="shared" si="8"/>
        <v>383</v>
      </c>
      <c r="M166" s="9" t="str">
        <f>VLOOKUP(A166,WayshrineNames!$A$3:$B$967,2,)</f>
        <v>Redfur Trading Post Wayshrine</v>
      </c>
      <c r="N166" s="3" t="str">
        <f>VLOOKUP(F166,'ESO zones'!$A$5:$D$10003,4,FALSE)</f>
        <v>Grahtwood</v>
      </c>
    </row>
    <row r="167" spans="1:14" x14ac:dyDescent="0.25">
      <c r="A167" s="58">
        <v>167</v>
      </c>
      <c r="B167">
        <v>7</v>
      </c>
      <c r="C167">
        <v>9</v>
      </c>
      <c r="D167" t="s">
        <v>3129</v>
      </c>
      <c r="E167">
        <v>181</v>
      </c>
      <c r="F167">
        <v>383</v>
      </c>
      <c r="G167" t="s">
        <v>3129</v>
      </c>
      <c r="H167">
        <v>1</v>
      </c>
      <c r="I167" t="s">
        <v>3284</v>
      </c>
      <c r="J167" s="2" t="str">
        <f t="shared" si="6"/>
        <v>[167]=383,</v>
      </c>
      <c r="K167" s="3">
        <f t="shared" si="7"/>
        <v>167</v>
      </c>
      <c r="L167" s="3">
        <f t="shared" si="8"/>
        <v>383</v>
      </c>
      <c r="M167" s="9" t="str">
        <f>VLOOKUP(A167,WayshrineNames!$A$3:$B$967,2,)</f>
        <v>Southpoint Wayshrine</v>
      </c>
      <c r="N167" s="3" t="str">
        <f>VLOOKUP(F167,'ESO zones'!$A$5:$D$10003,4,FALSE)</f>
        <v>Grahtwood</v>
      </c>
    </row>
    <row r="168" spans="1:14" x14ac:dyDescent="0.25">
      <c r="A168" s="58">
        <v>168</v>
      </c>
      <c r="B168">
        <v>7</v>
      </c>
      <c r="C168">
        <v>9</v>
      </c>
      <c r="D168" t="s">
        <v>3129</v>
      </c>
      <c r="E168">
        <v>181</v>
      </c>
      <c r="F168">
        <v>383</v>
      </c>
      <c r="G168" t="s">
        <v>3129</v>
      </c>
      <c r="H168">
        <v>1</v>
      </c>
      <c r="I168" t="s">
        <v>3285</v>
      </c>
      <c r="J168" s="2" t="str">
        <f t="shared" si="6"/>
        <v>[168]=383,</v>
      </c>
      <c r="K168" s="3">
        <f t="shared" si="7"/>
        <v>168</v>
      </c>
      <c r="L168" s="3">
        <f t="shared" si="8"/>
        <v>383</v>
      </c>
      <c r="M168" s="9" t="str">
        <f>VLOOKUP(A168,WayshrineNames!$A$3:$B$967,2,)</f>
        <v>Cormount Wayshrine</v>
      </c>
      <c r="N168" s="3" t="str">
        <f>VLOOKUP(F168,'ESO zones'!$A$5:$D$10003,4,FALSE)</f>
        <v>Grahtwood</v>
      </c>
    </row>
    <row r="169" spans="1:14" x14ac:dyDescent="0.25">
      <c r="A169" s="58">
        <v>169</v>
      </c>
      <c r="B169">
        <v>7</v>
      </c>
      <c r="C169">
        <v>9</v>
      </c>
      <c r="D169" t="s">
        <v>3129</v>
      </c>
      <c r="E169">
        <v>181</v>
      </c>
      <c r="F169">
        <v>383</v>
      </c>
      <c r="G169" t="s">
        <v>3129</v>
      </c>
      <c r="H169">
        <v>1</v>
      </c>
      <c r="I169" t="s">
        <v>3286</v>
      </c>
      <c r="J169" s="2" t="str">
        <f t="shared" si="6"/>
        <v>[169]=383,</v>
      </c>
      <c r="K169" s="3">
        <f t="shared" si="7"/>
        <v>169</v>
      </c>
      <c r="L169" s="3">
        <f t="shared" si="8"/>
        <v>383</v>
      </c>
      <c r="M169" s="9" t="str">
        <f>VLOOKUP(A169,WayshrineNames!$A$3:$B$967,2,)</f>
        <v>Ossuary Wayshrine</v>
      </c>
      <c r="N169" s="3" t="str">
        <f>VLOOKUP(F169,'ESO zones'!$A$5:$D$10003,4,FALSE)</f>
        <v>Grahtwood</v>
      </c>
    </row>
    <row r="170" spans="1:14" x14ac:dyDescent="0.25">
      <c r="A170" s="58">
        <v>170</v>
      </c>
      <c r="B170">
        <v>14</v>
      </c>
      <c r="C170">
        <v>16</v>
      </c>
      <c r="D170" t="s">
        <v>166</v>
      </c>
      <c r="E170">
        <v>38</v>
      </c>
      <c r="F170">
        <v>181</v>
      </c>
      <c r="G170" t="s">
        <v>166</v>
      </c>
      <c r="H170">
        <v>1</v>
      </c>
      <c r="I170" t="s">
        <v>3287</v>
      </c>
      <c r="J170" s="2" t="str">
        <f t="shared" si="6"/>
        <v>[170]=181,</v>
      </c>
      <c r="K170" s="3">
        <f t="shared" si="7"/>
        <v>170</v>
      </c>
      <c r="L170" s="3">
        <f t="shared" si="8"/>
        <v>181</v>
      </c>
      <c r="M170" s="9" t="str">
        <f>VLOOKUP(A170,WayshrineNames!$A$3:$B$967,2,)</f>
        <v>Northern High Rock Wayshrine</v>
      </c>
      <c r="N170" s="3" t="str">
        <f>VLOOKUP(F170,'ESO zones'!$A$5:$D$10003,4,FALSE)</f>
        <v>Cyrodiil</v>
      </c>
    </row>
    <row r="171" spans="1:14" x14ac:dyDescent="0.25">
      <c r="A171" s="58">
        <v>171</v>
      </c>
      <c r="B171">
        <v>9</v>
      </c>
      <c r="C171">
        <v>26</v>
      </c>
      <c r="D171" t="s">
        <v>3159</v>
      </c>
      <c r="E171">
        <v>19</v>
      </c>
      <c r="F171">
        <v>117</v>
      </c>
      <c r="G171" t="s">
        <v>3159</v>
      </c>
      <c r="H171">
        <v>1</v>
      </c>
      <c r="I171" t="s">
        <v>3288</v>
      </c>
      <c r="J171" s="2" t="str">
        <f t="shared" si="6"/>
        <v>[171]=117,</v>
      </c>
      <c r="K171" s="3">
        <f t="shared" si="7"/>
        <v>171</v>
      </c>
      <c r="L171" s="3">
        <f t="shared" si="8"/>
        <v>117</v>
      </c>
      <c r="M171" s="9" t="str">
        <f>VLOOKUP(A171,WayshrineNames!$A$3:$B$967,2,)</f>
        <v>Bogmother Wayshrine</v>
      </c>
      <c r="N171" s="3" t="str">
        <f>VLOOKUP(F171,'ESO zones'!$A$5:$D$10003,4,FALSE)</f>
        <v>Shadowfen</v>
      </c>
    </row>
    <row r="172" spans="1:14" x14ac:dyDescent="0.25">
      <c r="A172" s="58">
        <v>172</v>
      </c>
      <c r="B172">
        <v>22</v>
      </c>
      <c r="C172">
        <v>74</v>
      </c>
      <c r="D172" t="s">
        <v>3289</v>
      </c>
      <c r="E172">
        <v>110</v>
      </c>
      <c r="F172">
        <v>280</v>
      </c>
      <c r="G172" t="s">
        <v>3289</v>
      </c>
      <c r="H172">
        <v>1</v>
      </c>
      <c r="I172" t="s">
        <v>3290</v>
      </c>
      <c r="J172" s="2" t="str">
        <f t="shared" si="6"/>
        <v>[172]=280,</v>
      </c>
      <c r="K172" s="3">
        <f t="shared" si="7"/>
        <v>172</v>
      </c>
      <c r="L172" s="3">
        <f t="shared" si="8"/>
        <v>280</v>
      </c>
      <c r="M172" s="9" t="str">
        <f>VLOOKUP(A172,WayshrineNames!$A$3:$B$967,2,)</f>
        <v>Bleakrock Wayshrine</v>
      </c>
      <c r="N172" s="3" t="str">
        <f>VLOOKUP(F172,'ESO zones'!$A$5:$D$10003,4,FALSE)</f>
        <v>Bleakrock Isle</v>
      </c>
    </row>
    <row r="173" spans="1:14" x14ac:dyDescent="0.25">
      <c r="A173" s="58">
        <v>173</v>
      </c>
      <c r="B173">
        <v>18</v>
      </c>
      <c r="C173">
        <v>75</v>
      </c>
      <c r="D173" t="s">
        <v>965</v>
      </c>
      <c r="E173">
        <v>111</v>
      </c>
      <c r="F173">
        <v>281</v>
      </c>
      <c r="G173" t="s">
        <v>965</v>
      </c>
      <c r="H173">
        <v>1</v>
      </c>
      <c r="I173" t="s">
        <v>3291</v>
      </c>
      <c r="J173" s="2" t="str">
        <f t="shared" si="6"/>
        <v>[173]=281,</v>
      </c>
      <c r="K173" s="3">
        <f t="shared" si="7"/>
        <v>173</v>
      </c>
      <c r="L173" s="3">
        <f t="shared" si="8"/>
        <v>281</v>
      </c>
      <c r="M173" s="9" t="str">
        <f>VLOOKUP(A173,WayshrineNames!$A$3:$B$967,2,)</f>
        <v>Dhalmora Wayshrine</v>
      </c>
      <c r="N173" s="3" t="str">
        <f>VLOOKUP(F173,'ESO zones'!$A$5:$D$10003,4,FALSE)</f>
        <v>Bal Foyen</v>
      </c>
    </row>
    <row r="174" spans="1:14" x14ac:dyDescent="0.25">
      <c r="A174" s="58">
        <v>174</v>
      </c>
      <c r="B174">
        <v>15</v>
      </c>
      <c r="C174">
        <v>143</v>
      </c>
      <c r="D174" t="s">
        <v>439</v>
      </c>
      <c r="E174">
        <v>179</v>
      </c>
      <c r="F174">
        <v>381</v>
      </c>
      <c r="G174" t="s">
        <v>439</v>
      </c>
      <c r="H174">
        <v>1</v>
      </c>
      <c r="I174" t="s">
        <v>3292</v>
      </c>
      <c r="J174" s="2" t="str">
        <f t="shared" si="6"/>
        <v>[174]=381,</v>
      </c>
      <c r="K174" s="3">
        <f t="shared" si="7"/>
        <v>174</v>
      </c>
      <c r="L174" s="3">
        <f t="shared" si="8"/>
        <v>381</v>
      </c>
      <c r="M174" s="9" t="str">
        <f>VLOOKUP(A174,WayshrineNames!$A$3:$B$967,2,)</f>
        <v>Tanzelwil Wayshrine</v>
      </c>
      <c r="N174" s="3" t="str">
        <f>VLOOKUP(F174,'ESO zones'!$A$5:$D$10003,4,FALSE)</f>
        <v>Auridon</v>
      </c>
    </row>
    <row r="175" spans="1:14" x14ac:dyDescent="0.25">
      <c r="A175" s="58">
        <v>175</v>
      </c>
      <c r="B175">
        <v>15</v>
      </c>
      <c r="C175">
        <v>143</v>
      </c>
      <c r="D175" t="s">
        <v>439</v>
      </c>
      <c r="E175">
        <v>179</v>
      </c>
      <c r="F175">
        <v>381</v>
      </c>
      <c r="G175" t="s">
        <v>439</v>
      </c>
      <c r="H175">
        <v>1</v>
      </c>
      <c r="I175" t="s">
        <v>3293</v>
      </c>
      <c r="J175" s="2" t="str">
        <f t="shared" si="6"/>
        <v>[175]=381,</v>
      </c>
      <c r="K175" s="3">
        <f t="shared" si="7"/>
        <v>175</v>
      </c>
      <c r="L175" s="3">
        <f t="shared" si="8"/>
        <v>381</v>
      </c>
      <c r="M175" s="9" t="str">
        <f>VLOOKUP(A175,WayshrineNames!$A$3:$B$967,2,)</f>
        <v>Firsthold Wayshrine</v>
      </c>
      <c r="N175" s="3" t="str">
        <f>VLOOKUP(F175,'ESO zones'!$A$5:$D$10003,4,FALSE)</f>
        <v>Auridon</v>
      </c>
    </row>
    <row r="176" spans="1:14" x14ac:dyDescent="0.25">
      <c r="A176" s="58">
        <v>176</v>
      </c>
      <c r="B176">
        <v>15</v>
      </c>
      <c r="C176">
        <v>143</v>
      </c>
      <c r="D176" t="s">
        <v>439</v>
      </c>
      <c r="E176">
        <v>179</v>
      </c>
      <c r="F176">
        <v>381</v>
      </c>
      <c r="G176" t="s">
        <v>439</v>
      </c>
      <c r="H176">
        <v>1</v>
      </c>
      <c r="I176" t="s">
        <v>3294</v>
      </c>
      <c r="J176" s="2" t="str">
        <f t="shared" si="6"/>
        <v>[176]=381,</v>
      </c>
      <c r="K176" s="3">
        <f t="shared" si="7"/>
        <v>176</v>
      </c>
      <c r="L176" s="3">
        <f t="shared" si="8"/>
        <v>381</v>
      </c>
      <c r="M176" s="9" t="str">
        <f>VLOOKUP(A176,WayshrineNames!$A$3:$B$967,2,)</f>
        <v>Mathiisen Wayshrine</v>
      </c>
      <c r="N176" s="3" t="str">
        <f>VLOOKUP(F176,'ESO zones'!$A$5:$D$10003,4,FALSE)</f>
        <v>Auridon</v>
      </c>
    </row>
    <row r="177" spans="1:14" x14ac:dyDescent="0.25">
      <c r="A177" s="58">
        <v>177</v>
      </c>
      <c r="B177">
        <v>15</v>
      </c>
      <c r="C177">
        <v>143</v>
      </c>
      <c r="D177" t="s">
        <v>439</v>
      </c>
      <c r="E177">
        <v>179</v>
      </c>
      <c r="F177">
        <v>381</v>
      </c>
      <c r="G177" t="s">
        <v>439</v>
      </c>
      <c r="H177">
        <v>1</v>
      </c>
      <c r="I177" t="s">
        <v>3295</v>
      </c>
      <c r="J177" s="2" t="str">
        <f t="shared" si="6"/>
        <v>[177]=381,</v>
      </c>
      <c r="K177" s="3">
        <f t="shared" si="7"/>
        <v>177</v>
      </c>
      <c r="L177" s="3">
        <f t="shared" si="8"/>
        <v>381</v>
      </c>
      <c r="M177" s="9" t="str">
        <f>VLOOKUP(A177,WayshrineNames!$A$3:$B$967,2,)</f>
        <v>Vulkhel Guard Wayshrine</v>
      </c>
      <c r="N177" s="3" t="str">
        <f>VLOOKUP(F177,'ESO zones'!$A$5:$D$10003,4,FALSE)</f>
        <v>Auridon</v>
      </c>
    </row>
    <row r="178" spans="1:14" x14ac:dyDescent="0.25">
      <c r="A178" s="58">
        <v>178</v>
      </c>
      <c r="B178">
        <v>15</v>
      </c>
      <c r="C178">
        <v>143</v>
      </c>
      <c r="D178" t="s">
        <v>439</v>
      </c>
      <c r="E178">
        <v>179</v>
      </c>
      <c r="F178">
        <v>381</v>
      </c>
      <c r="G178" t="s">
        <v>439</v>
      </c>
      <c r="H178">
        <v>1</v>
      </c>
      <c r="I178" t="s">
        <v>3296</v>
      </c>
      <c r="J178" s="2" t="str">
        <f t="shared" si="6"/>
        <v>[178]=381,</v>
      </c>
      <c r="K178" s="3">
        <f t="shared" si="7"/>
        <v>178</v>
      </c>
      <c r="L178" s="3">
        <f t="shared" si="8"/>
        <v>381</v>
      </c>
      <c r="M178" s="9" t="str">
        <f>VLOOKUP(A178,WayshrineNames!$A$3:$B$967,2,)</f>
        <v>Phaer Wayshrine</v>
      </c>
      <c r="N178" s="3" t="str">
        <f>VLOOKUP(F178,'ESO zones'!$A$5:$D$10003,4,FALSE)</f>
        <v>Auridon</v>
      </c>
    </row>
    <row r="179" spans="1:14" x14ac:dyDescent="0.25">
      <c r="A179" s="58">
        <v>179</v>
      </c>
      <c r="B179">
        <v>19</v>
      </c>
      <c r="C179">
        <v>201</v>
      </c>
      <c r="D179" t="s">
        <v>2452</v>
      </c>
      <c r="E179">
        <v>305</v>
      </c>
      <c r="F179">
        <v>534</v>
      </c>
      <c r="G179" t="s">
        <v>2452</v>
      </c>
      <c r="H179">
        <v>1</v>
      </c>
      <c r="I179" t="s">
        <v>3297</v>
      </c>
      <c r="J179" s="2" t="str">
        <f t="shared" si="6"/>
        <v>[179]=534,</v>
      </c>
      <c r="K179" s="3">
        <f t="shared" si="7"/>
        <v>179</v>
      </c>
      <c r="L179" s="3">
        <f t="shared" si="8"/>
        <v>534</v>
      </c>
      <c r="M179" s="9" t="str">
        <f>VLOOKUP(A179,WayshrineNames!$A$3:$B$967,2,)</f>
        <v>Sandy Grotto Wayshrine</v>
      </c>
      <c r="N179" s="3" t="str">
        <f>VLOOKUP(F179,'ESO zones'!$A$5:$D$10003,4,FALSE)</f>
        <v>Stros M'Kai</v>
      </c>
    </row>
    <row r="180" spans="1:14" x14ac:dyDescent="0.25">
      <c r="A180" s="58">
        <v>180</v>
      </c>
      <c r="B180">
        <v>19</v>
      </c>
      <c r="C180">
        <v>201</v>
      </c>
      <c r="D180" t="s">
        <v>2452</v>
      </c>
      <c r="E180">
        <v>305</v>
      </c>
      <c r="F180">
        <v>534</v>
      </c>
      <c r="G180" t="s">
        <v>2452</v>
      </c>
      <c r="H180">
        <v>1</v>
      </c>
      <c r="I180" t="s">
        <v>3298</v>
      </c>
      <c r="J180" s="2" t="str">
        <f t="shared" si="6"/>
        <v>[180]=534,</v>
      </c>
      <c r="K180" s="3">
        <f t="shared" si="7"/>
        <v>180</v>
      </c>
      <c r="L180" s="3">
        <f t="shared" si="8"/>
        <v>534</v>
      </c>
      <c r="M180" s="9" t="str">
        <f>VLOOKUP(A180,WayshrineNames!$A$3:$B$967,2,)</f>
        <v>Saintsport Wayshrine</v>
      </c>
      <c r="N180" s="3" t="str">
        <f>VLOOKUP(F180,'ESO zones'!$A$5:$D$10003,4,FALSE)</f>
        <v>Stros M'Kai</v>
      </c>
    </row>
    <row r="181" spans="1:14" x14ac:dyDescent="0.25">
      <c r="A181" s="58">
        <v>181</v>
      </c>
      <c r="B181">
        <v>20</v>
      </c>
      <c r="C181">
        <v>227</v>
      </c>
      <c r="D181" t="s">
        <v>1450</v>
      </c>
      <c r="E181">
        <v>306</v>
      </c>
      <c r="F181">
        <v>535</v>
      </c>
      <c r="G181" t="s">
        <v>1450</v>
      </c>
      <c r="H181">
        <v>1</v>
      </c>
      <c r="I181" t="s">
        <v>3299</v>
      </c>
      <c r="J181" s="2" t="str">
        <f t="shared" si="6"/>
        <v>[181]=535,</v>
      </c>
      <c r="K181" s="3">
        <f t="shared" si="7"/>
        <v>181</v>
      </c>
      <c r="L181" s="3">
        <f t="shared" si="8"/>
        <v>535</v>
      </c>
      <c r="M181" s="9" t="str">
        <f>VLOOKUP(A181,WayshrineNames!$A$3:$B$967,2,)</f>
        <v>Stonetooth Wayshrine</v>
      </c>
      <c r="N181" s="3" t="str">
        <f>VLOOKUP(F181,'ESO zones'!$A$5:$D$10003,4,FALSE)</f>
        <v>Betnikh</v>
      </c>
    </row>
    <row r="182" spans="1:14" x14ac:dyDescent="0.25">
      <c r="A182" s="58">
        <v>182</v>
      </c>
      <c r="B182">
        <v>20</v>
      </c>
      <c r="C182">
        <v>227</v>
      </c>
      <c r="D182" t="s">
        <v>1450</v>
      </c>
      <c r="E182">
        <v>306</v>
      </c>
      <c r="F182">
        <v>535</v>
      </c>
      <c r="G182" t="s">
        <v>1450</v>
      </c>
      <c r="H182">
        <v>1</v>
      </c>
      <c r="I182" t="s">
        <v>3300</v>
      </c>
      <c r="J182" s="2" t="str">
        <f t="shared" si="6"/>
        <v>[182]=535,</v>
      </c>
      <c r="K182" s="3">
        <f t="shared" si="7"/>
        <v>182</v>
      </c>
      <c r="L182" s="3">
        <f t="shared" si="8"/>
        <v>535</v>
      </c>
      <c r="M182" s="9" t="str">
        <f>VLOOKUP(A182,WayshrineNames!$A$3:$B$967,2,)</f>
        <v>Grimfield Wayshrine</v>
      </c>
      <c r="N182" s="3" t="str">
        <f>VLOOKUP(F182,'ESO zones'!$A$5:$D$10003,4,FALSE)</f>
        <v>Betnikh</v>
      </c>
    </row>
    <row r="183" spans="1:14" x14ac:dyDescent="0.25">
      <c r="A183" s="58">
        <v>183</v>
      </c>
      <c r="B183">
        <v>20</v>
      </c>
      <c r="C183">
        <v>227</v>
      </c>
      <c r="D183" t="s">
        <v>1450</v>
      </c>
      <c r="E183">
        <v>306</v>
      </c>
      <c r="F183">
        <v>535</v>
      </c>
      <c r="G183" t="s">
        <v>1450</v>
      </c>
      <c r="H183">
        <v>1</v>
      </c>
      <c r="I183" t="s">
        <v>3301</v>
      </c>
      <c r="J183" s="2" t="str">
        <f t="shared" si="6"/>
        <v>[183]=535,</v>
      </c>
      <c r="K183" s="3">
        <f t="shared" si="7"/>
        <v>183</v>
      </c>
      <c r="L183" s="3">
        <f t="shared" si="8"/>
        <v>535</v>
      </c>
      <c r="M183" s="9" t="str">
        <f>VLOOKUP(A183,WayshrineNames!$A$3:$B$967,2,)</f>
        <v>Carved Hills Wayshrine</v>
      </c>
      <c r="N183" s="3" t="str">
        <f>VLOOKUP(F183,'ESO zones'!$A$5:$D$10003,4,FALSE)</f>
        <v>Betnikh</v>
      </c>
    </row>
    <row r="184" spans="1:14" x14ac:dyDescent="0.25">
      <c r="A184" s="58">
        <v>184</v>
      </c>
      <c r="B184">
        <v>23</v>
      </c>
      <c r="C184">
        <v>255</v>
      </c>
      <c r="D184" t="s">
        <v>3241</v>
      </c>
      <c r="E184">
        <v>155</v>
      </c>
      <c r="F184">
        <v>347</v>
      </c>
      <c r="G184" t="s">
        <v>3241</v>
      </c>
      <c r="H184">
        <v>6</v>
      </c>
      <c r="I184" t="s">
        <v>3302</v>
      </c>
      <c r="J184" s="2" t="str">
        <f t="shared" si="6"/>
        <v>[184]=347,</v>
      </c>
      <c r="K184" s="3">
        <f t="shared" si="7"/>
        <v>184</v>
      </c>
      <c r="L184" s="3">
        <f t="shared" si="8"/>
        <v>347</v>
      </c>
      <c r="M184" s="9" t="str">
        <f>VLOOKUP(A184,WayshrineNames!$A$3:$B$967,2,)</f>
        <v>Dungeon: Vaults of Madness</v>
      </c>
      <c r="N184" s="3" t="str">
        <f>VLOOKUP(F184,'ESO zones'!$A$5:$D$10003,4,FALSE)</f>
        <v>Coldharbour</v>
      </c>
    </row>
    <row r="185" spans="1:14" x14ac:dyDescent="0.25">
      <c r="A185" s="58">
        <v>185</v>
      </c>
      <c r="B185">
        <v>17</v>
      </c>
      <c r="C185">
        <v>256</v>
      </c>
      <c r="D185" t="s">
        <v>3260</v>
      </c>
      <c r="E185">
        <v>180</v>
      </c>
      <c r="F185">
        <v>382</v>
      </c>
      <c r="G185" t="s">
        <v>3260</v>
      </c>
      <c r="H185">
        <v>6</v>
      </c>
      <c r="I185" t="s">
        <v>3303</v>
      </c>
      <c r="J185" s="2" t="str">
        <f t="shared" si="6"/>
        <v>[185]=382,</v>
      </c>
      <c r="K185" s="3">
        <f t="shared" si="7"/>
        <v>185</v>
      </c>
      <c r="L185" s="3">
        <f t="shared" si="8"/>
        <v>382</v>
      </c>
      <c r="M185" s="9" t="str">
        <f>VLOOKUP(A185,WayshrineNames!$A$3:$B$967,2,)</f>
        <v>Dungeon: Selene's Web</v>
      </c>
      <c r="N185" s="3" t="str">
        <f>VLOOKUP(F185,'ESO zones'!$A$5:$D$10003,4,FALSE)</f>
        <v>Reaper's March</v>
      </c>
    </row>
    <row r="186" spans="1:14" x14ac:dyDescent="0.25">
      <c r="A186" s="58">
        <v>186</v>
      </c>
      <c r="B186">
        <v>6</v>
      </c>
      <c r="C186">
        <v>20</v>
      </c>
      <c r="D186" t="s">
        <v>524</v>
      </c>
      <c r="E186">
        <v>14</v>
      </c>
      <c r="F186">
        <v>92</v>
      </c>
      <c r="G186" t="s">
        <v>524</v>
      </c>
      <c r="H186">
        <v>6</v>
      </c>
      <c r="I186" t="s">
        <v>3304</v>
      </c>
      <c r="J186" s="2" t="str">
        <f t="shared" si="6"/>
        <v>[186]=92,</v>
      </c>
      <c r="K186" s="3">
        <f t="shared" si="7"/>
        <v>186</v>
      </c>
      <c r="L186" s="3">
        <f t="shared" si="8"/>
        <v>92</v>
      </c>
      <c r="M186" s="9" t="str">
        <f>VLOOKUP(A186,WayshrineNames!$A$3:$B$967,2,)</f>
        <v>Dungeon: Blackheart Haven</v>
      </c>
      <c r="N186" s="3" t="str">
        <f>VLOOKUP(F186,'ESO zones'!$A$5:$D$10003,4,FALSE)</f>
        <v>Bangkorai</v>
      </c>
    </row>
    <row r="187" spans="1:14" x14ac:dyDescent="0.25">
      <c r="A187" s="58">
        <v>187</v>
      </c>
      <c r="B187">
        <v>12</v>
      </c>
      <c r="C187">
        <v>125</v>
      </c>
      <c r="D187" t="s">
        <v>3221</v>
      </c>
      <c r="E187">
        <v>16</v>
      </c>
      <c r="F187">
        <v>103</v>
      </c>
      <c r="G187" t="s">
        <v>3221</v>
      </c>
      <c r="H187">
        <v>6</v>
      </c>
      <c r="I187" t="s">
        <v>3305</v>
      </c>
      <c r="J187" s="2" t="str">
        <f t="shared" si="6"/>
        <v>[187]=103,</v>
      </c>
      <c r="K187" s="3">
        <f t="shared" si="7"/>
        <v>187</v>
      </c>
      <c r="L187" s="3">
        <f t="shared" si="8"/>
        <v>103</v>
      </c>
      <c r="M187" s="9" t="str">
        <f>VLOOKUP(A187,WayshrineNames!$A$3:$B$967,2,)</f>
        <v>Dungeon: Blessed Crucible</v>
      </c>
      <c r="N187" s="3" t="str">
        <f>VLOOKUP(F187,'ESO zones'!$A$5:$D$10003,4,FALSE)</f>
        <v>The Rift</v>
      </c>
    </row>
    <row r="188" spans="1:14" x14ac:dyDescent="0.25">
      <c r="A188" s="58">
        <v>188</v>
      </c>
      <c r="B188">
        <v>8</v>
      </c>
      <c r="C188">
        <v>22</v>
      </c>
      <c r="D188" t="s">
        <v>429</v>
      </c>
      <c r="E188">
        <v>11</v>
      </c>
      <c r="F188">
        <v>58</v>
      </c>
      <c r="G188" t="s">
        <v>429</v>
      </c>
      <c r="H188">
        <v>6</v>
      </c>
      <c r="I188" t="s">
        <v>3306</v>
      </c>
      <c r="J188" s="2" t="str">
        <f t="shared" si="6"/>
        <v>[188]=58,</v>
      </c>
      <c r="K188" s="3">
        <f t="shared" si="7"/>
        <v>188</v>
      </c>
      <c r="L188" s="3">
        <f t="shared" si="8"/>
        <v>58</v>
      </c>
      <c r="M188" s="9" t="str">
        <f>VLOOKUP(A188,WayshrineNames!$A$3:$B$967,2,)</f>
        <v>Dungeon: Tempest Island</v>
      </c>
      <c r="N188" s="3" t="str">
        <f>VLOOKUP(F188,'ESO zones'!$A$5:$D$10003,4,FALSE)</f>
        <v>Malabal Tor</v>
      </c>
    </row>
    <row r="189" spans="1:14" x14ac:dyDescent="0.25">
      <c r="A189" s="58">
        <v>189</v>
      </c>
      <c r="B189">
        <v>4</v>
      </c>
      <c r="C189">
        <v>12</v>
      </c>
      <c r="D189" t="s">
        <v>3121</v>
      </c>
      <c r="E189">
        <v>4</v>
      </c>
      <c r="F189">
        <v>19</v>
      </c>
      <c r="G189" t="s">
        <v>3121</v>
      </c>
      <c r="H189">
        <v>6</v>
      </c>
      <c r="I189" t="s">
        <v>3307</v>
      </c>
      <c r="J189" s="2" t="str">
        <f t="shared" si="6"/>
        <v>[189]=19,</v>
      </c>
      <c r="K189" s="3">
        <f t="shared" si="7"/>
        <v>189</v>
      </c>
      <c r="L189" s="3">
        <f t="shared" si="8"/>
        <v>19</v>
      </c>
      <c r="M189" s="9" t="str">
        <f>VLOOKUP(A189,WayshrineNames!$A$3:$B$967,2,)</f>
        <v>Dungeon: Wayrest Sewers I</v>
      </c>
      <c r="N189" s="3" t="str">
        <f>VLOOKUP(F189,'ESO zones'!$A$5:$D$10003,4,FALSE)</f>
        <v>Stormhaven</v>
      </c>
    </row>
    <row r="190" spans="1:14" x14ac:dyDescent="0.25">
      <c r="A190" s="58">
        <v>190</v>
      </c>
      <c r="B190">
        <v>3</v>
      </c>
      <c r="C190">
        <v>10</v>
      </c>
      <c r="D190" t="s">
        <v>3115</v>
      </c>
      <c r="E190">
        <v>5</v>
      </c>
      <c r="F190">
        <v>20</v>
      </c>
      <c r="G190" t="s">
        <v>3115</v>
      </c>
      <c r="H190">
        <v>6</v>
      </c>
      <c r="I190" t="s">
        <v>3308</v>
      </c>
      <c r="J190" s="2" t="str">
        <f t="shared" si="6"/>
        <v>[190]=20,</v>
      </c>
      <c r="K190" s="3">
        <f t="shared" si="7"/>
        <v>190</v>
      </c>
      <c r="L190" s="3">
        <f t="shared" si="8"/>
        <v>20</v>
      </c>
      <c r="M190" s="9" t="str">
        <f>VLOOKUP(A190,WayshrineNames!$A$3:$B$967,2,)</f>
        <v>Dungeon: Crypt of Hearts I</v>
      </c>
      <c r="N190" s="3" t="str">
        <f>VLOOKUP(F190,'ESO zones'!$A$5:$D$10003,4,FALSE)</f>
        <v>Rivenspire</v>
      </c>
    </row>
    <row r="191" spans="1:14" x14ac:dyDescent="0.25">
      <c r="A191" s="58">
        <v>191</v>
      </c>
      <c r="B191">
        <v>7</v>
      </c>
      <c r="C191">
        <v>9</v>
      </c>
      <c r="D191" t="s">
        <v>3129</v>
      </c>
      <c r="E191">
        <v>181</v>
      </c>
      <c r="F191">
        <v>383</v>
      </c>
      <c r="G191" t="s">
        <v>3129</v>
      </c>
      <c r="H191">
        <v>6</v>
      </c>
      <c r="I191" t="s">
        <v>3309</v>
      </c>
      <c r="J191" s="2" t="str">
        <f t="shared" si="6"/>
        <v>[191]=383,</v>
      </c>
      <c r="K191" s="3">
        <f t="shared" si="7"/>
        <v>191</v>
      </c>
      <c r="L191" s="3">
        <f t="shared" si="8"/>
        <v>383</v>
      </c>
      <c r="M191" s="9" t="str">
        <f>VLOOKUP(A191,WayshrineNames!$A$3:$B$967,2,)</f>
        <v>Dungeon: Elden Hollow I</v>
      </c>
      <c r="N191" s="3" t="str">
        <f>VLOOKUP(F191,'ESO zones'!$A$5:$D$10003,4,FALSE)</f>
        <v>Grahtwood</v>
      </c>
    </row>
    <row r="192" spans="1:14" x14ac:dyDescent="0.25">
      <c r="A192" s="58">
        <v>192</v>
      </c>
      <c r="B192">
        <v>9</v>
      </c>
      <c r="C192">
        <v>26</v>
      </c>
      <c r="D192" t="s">
        <v>3159</v>
      </c>
      <c r="E192">
        <v>19</v>
      </c>
      <c r="F192">
        <v>117</v>
      </c>
      <c r="G192" t="s">
        <v>3159</v>
      </c>
      <c r="H192">
        <v>6</v>
      </c>
      <c r="I192" t="s">
        <v>3310</v>
      </c>
      <c r="J192" s="2" t="str">
        <f t="shared" si="6"/>
        <v>[192]=117,</v>
      </c>
      <c r="K192" s="3">
        <f t="shared" si="7"/>
        <v>192</v>
      </c>
      <c r="L192" s="3">
        <f t="shared" si="8"/>
        <v>117</v>
      </c>
      <c r="M192" s="9" t="str">
        <f>VLOOKUP(A192,WayshrineNames!$A$3:$B$967,2,)</f>
        <v>Dungeon: Arx Corinium</v>
      </c>
      <c r="N192" s="3" t="str">
        <f>VLOOKUP(F192,'ESO zones'!$A$5:$D$10003,4,FALSE)</f>
        <v>Shadowfen</v>
      </c>
    </row>
    <row r="193" spans="1:14" x14ac:dyDescent="0.25">
      <c r="A193" s="58">
        <v>193</v>
      </c>
      <c r="B193">
        <v>2</v>
      </c>
      <c r="C193">
        <v>1</v>
      </c>
      <c r="D193" t="s">
        <v>496</v>
      </c>
      <c r="E193">
        <v>2</v>
      </c>
      <c r="F193">
        <v>3</v>
      </c>
      <c r="G193" t="s">
        <v>496</v>
      </c>
      <c r="H193">
        <v>6</v>
      </c>
      <c r="I193" t="s">
        <v>3311</v>
      </c>
      <c r="J193" s="2" t="str">
        <f t="shared" si="6"/>
        <v>[193]=3,</v>
      </c>
      <c r="K193" s="3">
        <f t="shared" si="7"/>
        <v>193</v>
      </c>
      <c r="L193" s="3">
        <f t="shared" si="8"/>
        <v>3</v>
      </c>
      <c r="M193" s="9" t="str">
        <f>VLOOKUP(A193,WayshrineNames!$A$3:$B$967,2,)</f>
        <v>Dungeon: Spindleclutch I</v>
      </c>
      <c r="N193" s="3" t="str">
        <f>VLOOKUP(F193,'ESO zones'!$A$5:$D$10003,4,FALSE)</f>
        <v>Glenumbra</v>
      </c>
    </row>
    <row r="194" spans="1:14" x14ac:dyDescent="0.25">
      <c r="A194" s="58">
        <v>194</v>
      </c>
      <c r="B194">
        <v>15</v>
      </c>
      <c r="C194">
        <v>143</v>
      </c>
      <c r="D194" t="s">
        <v>439</v>
      </c>
      <c r="E194">
        <v>179</v>
      </c>
      <c r="F194">
        <v>381</v>
      </c>
      <c r="G194" t="s">
        <v>439</v>
      </c>
      <c r="H194">
        <v>6</v>
      </c>
      <c r="I194" t="s">
        <v>3312</v>
      </c>
      <c r="J194" s="2" t="str">
        <f t="shared" si="6"/>
        <v>[194]=381,</v>
      </c>
      <c r="K194" s="3">
        <f t="shared" si="7"/>
        <v>194</v>
      </c>
      <c r="L194" s="3">
        <f t="shared" si="8"/>
        <v>381</v>
      </c>
      <c r="M194" s="9" t="str">
        <f>VLOOKUP(A194,WayshrineNames!$A$3:$B$967,2,)</f>
        <v>Dungeon: The Banished Cells I</v>
      </c>
      <c r="N194" s="3" t="str">
        <f>VLOOKUP(F194,'ESO zones'!$A$5:$D$10003,4,FALSE)</f>
        <v>Auridon</v>
      </c>
    </row>
    <row r="195" spans="1:14" x14ac:dyDescent="0.25">
      <c r="A195" s="58">
        <v>195</v>
      </c>
      <c r="B195">
        <v>13</v>
      </c>
      <c r="C195">
        <v>61</v>
      </c>
      <c r="D195" t="s">
        <v>3198</v>
      </c>
      <c r="E195">
        <v>15</v>
      </c>
      <c r="F195">
        <v>101</v>
      </c>
      <c r="G195" t="s">
        <v>3198</v>
      </c>
      <c r="H195">
        <v>6</v>
      </c>
      <c r="I195" t="s">
        <v>3313</v>
      </c>
      <c r="J195" s="2" t="str">
        <f t="shared" ref="J195:J258" si="9">IF(A195&lt;&gt;"",IF(F195&lt;&gt;"",IF(OR(ISNA(A195),ISNA(F195)),"","["&amp;A195&amp;"]="&amp;F195&amp;","),""),"")</f>
        <v>[195]=101,</v>
      </c>
      <c r="K195" s="3">
        <f t="shared" ref="K195:K258" si="10">A195</f>
        <v>195</v>
      </c>
      <c r="L195" s="3">
        <f t="shared" ref="L195:L258" si="11">F195</f>
        <v>101</v>
      </c>
      <c r="M195" s="9" t="str">
        <f>VLOOKUP(A195,WayshrineNames!$A$3:$B$967,2,)</f>
        <v>Dungeon: Direfrost Keep</v>
      </c>
      <c r="N195" s="3" t="str">
        <f>VLOOKUP(F195,'ESO zones'!$A$5:$D$10003,4,FALSE)</f>
        <v>Eastmarch</v>
      </c>
    </row>
    <row r="196" spans="1:14" x14ac:dyDescent="0.25">
      <c r="A196" s="58">
        <v>196</v>
      </c>
      <c r="B196">
        <v>5</v>
      </c>
      <c r="C196">
        <v>30</v>
      </c>
      <c r="D196" t="s">
        <v>3152</v>
      </c>
      <c r="E196">
        <v>17</v>
      </c>
      <c r="F196">
        <v>104</v>
      </c>
      <c r="G196" t="s">
        <v>3153</v>
      </c>
      <c r="H196">
        <v>6</v>
      </c>
      <c r="I196" t="s">
        <v>3314</v>
      </c>
      <c r="J196" s="2" t="str">
        <f t="shared" si="9"/>
        <v>[196]=104,</v>
      </c>
      <c r="K196" s="3">
        <f t="shared" si="10"/>
        <v>196</v>
      </c>
      <c r="L196" s="3">
        <f t="shared" si="11"/>
        <v>104</v>
      </c>
      <c r="M196" s="9" t="str">
        <f>VLOOKUP(A196,WayshrineNames!$A$3:$B$967,2,)</f>
        <v>Dungeon: Volenfell</v>
      </c>
      <c r="N196" s="3" t="str">
        <f>VLOOKUP(F196,'ESO zones'!$A$5:$D$10003,4,FALSE)</f>
        <v>Alik'r Desert</v>
      </c>
    </row>
    <row r="197" spans="1:14" x14ac:dyDescent="0.25">
      <c r="A197" s="58">
        <v>197</v>
      </c>
      <c r="B197">
        <v>16</v>
      </c>
      <c r="C197">
        <v>300</v>
      </c>
      <c r="D197" t="s">
        <v>3258</v>
      </c>
      <c r="E197">
        <v>18</v>
      </c>
      <c r="F197">
        <v>108</v>
      </c>
      <c r="G197" t="s">
        <v>3258</v>
      </c>
      <c r="H197">
        <v>6</v>
      </c>
      <c r="I197" t="s">
        <v>3315</v>
      </c>
      <c r="J197" s="2" t="str">
        <f t="shared" si="9"/>
        <v>[197]=108,</v>
      </c>
      <c r="K197" s="3">
        <f t="shared" si="10"/>
        <v>197</v>
      </c>
      <c r="L197" s="3">
        <f t="shared" si="11"/>
        <v>108</v>
      </c>
      <c r="M197" s="9" t="str">
        <f>VLOOKUP(A197,WayshrineNames!$A$3:$B$967,2,)</f>
        <v>Dungeon: City of Ash I</v>
      </c>
      <c r="N197" s="3" t="str">
        <f>VLOOKUP(F197,'ESO zones'!$A$5:$D$10003,4,FALSE)</f>
        <v>Greenshade</v>
      </c>
    </row>
    <row r="198" spans="1:14" x14ac:dyDescent="0.25">
      <c r="A198" s="58">
        <v>198</v>
      </c>
      <c r="B198">
        <v>10</v>
      </c>
      <c r="C198">
        <v>13</v>
      </c>
      <c r="D198" t="s">
        <v>436</v>
      </c>
      <c r="E198">
        <v>10</v>
      </c>
      <c r="F198">
        <v>57</v>
      </c>
      <c r="G198" t="s">
        <v>436</v>
      </c>
      <c r="H198">
        <v>6</v>
      </c>
      <c r="I198" t="s">
        <v>3316</v>
      </c>
      <c r="J198" s="2" t="str">
        <f t="shared" si="9"/>
        <v>[198]=57,</v>
      </c>
      <c r="K198" s="3">
        <f t="shared" si="10"/>
        <v>198</v>
      </c>
      <c r="L198" s="3">
        <f t="shared" si="11"/>
        <v>57</v>
      </c>
      <c r="M198" s="9" t="str">
        <f>VLOOKUP(A198,WayshrineNames!$A$3:$B$967,2,)</f>
        <v>Dungeon: Darkshade Caverns I</v>
      </c>
      <c r="N198" s="3" t="str">
        <f>VLOOKUP(F198,'ESO zones'!$A$5:$D$10003,4,FALSE)</f>
        <v>Deshaan</v>
      </c>
    </row>
    <row r="199" spans="1:14" x14ac:dyDescent="0.25">
      <c r="A199" s="58">
        <v>199</v>
      </c>
      <c r="B199">
        <v>14</v>
      </c>
      <c r="C199">
        <v>16</v>
      </c>
      <c r="D199" t="s">
        <v>166</v>
      </c>
      <c r="E199">
        <v>38</v>
      </c>
      <c r="F199">
        <v>181</v>
      </c>
      <c r="G199" t="s">
        <v>166</v>
      </c>
      <c r="H199">
        <v>1</v>
      </c>
      <c r="I199" t="s">
        <v>3317</v>
      </c>
      <c r="J199" s="2" t="str">
        <f t="shared" si="9"/>
        <v>[199]=181,</v>
      </c>
      <c r="K199" s="3">
        <f t="shared" si="10"/>
        <v>199</v>
      </c>
      <c r="L199" s="3">
        <f t="shared" si="11"/>
        <v>181</v>
      </c>
      <c r="M199" s="9" t="str">
        <f>VLOOKUP(A199,WayshrineNames!$A$3:$B$967,2,)</f>
        <v>Southern High Rock Wayshrine</v>
      </c>
      <c r="N199" s="3" t="str">
        <f>VLOOKUP(F199,'ESO zones'!$A$5:$D$10003,4,FALSE)</f>
        <v>Cyrodiil</v>
      </c>
    </row>
    <row r="200" spans="1:14" x14ac:dyDescent="0.25">
      <c r="A200" s="58">
        <v>200</v>
      </c>
      <c r="B200">
        <v>14</v>
      </c>
      <c r="C200">
        <v>16</v>
      </c>
      <c r="D200" t="s">
        <v>166</v>
      </c>
      <c r="E200">
        <v>38</v>
      </c>
      <c r="F200">
        <v>181</v>
      </c>
      <c r="G200" t="s">
        <v>166</v>
      </c>
      <c r="H200">
        <v>1</v>
      </c>
      <c r="I200" t="s">
        <v>3318</v>
      </c>
      <c r="J200" s="2" t="str">
        <f t="shared" si="9"/>
        <v>[200]=181,</v>
      </c>
      <c r="K200" s="3">
        <f t="shared" si="10"/>
        <v>200</v>
      </c>
      <c r="L200" s="3">
        <f t="shared" si="11"/>
        <v>181</v>
      </c>
      <c r="M200" s="9" t="str">
        <f>VLOOKUP(A200,WayshrineNames!$A$3:$B$967,2,)</f>
        <v>Eastern Elsweyr Wayshrine</v>
      </c>
      <c r="N200" s="3" t="str">
        <f>VLOOKUP(F200,'ESO zones'!$A$5:$D$10003,4,FALSE)</f>
        <v>Cyrodiil</v>
      </c>
    </row>
    <row r="201" spans="1:14" x14ac:dyDescent="0.25">
      <c r="A201" s="58">
        <v>201</v>
      </c>
      <c r="B201">
        <v>14</v>
      </c>
      <c r="C201">
        <v>16</v>
      </c>
      <c r="D201" t="s">
        <v>166</v>
      </c>
      <c r="E201">
        <v>38</v>
      </c>
      <c r="F201">
        <v>181</v>
      </c>
      <c r="G201" t="s">
        <v>166</v>
      </c>
      <c r="H201">
        <v>1</v>
      </c>
      <c r="I201" t="s">
        <v>3319</v>
      </c>
      <c r="J201" s="2" t="str">
        <f t="shared" si="9"/>
        <v>[201]=181,</v>
      </c>
      <c r="K201" s="3">
        <f t="shared" si="10"/>
        <v>201</v>
      </c>
      <c r="L201" s="3">
        <f t="shared" si="11"/>
        <v>181</v>
      </c>
      <c r="M201" s="9" t="str">
        <f>VLOOKUP(A201,WayshrineNames!$A$3:$B$967,2,)</f>
        <v>Western Elsweyr Wayshrine</v>
      </c>
      <c r="N201" s="3" t="str">
        <f>VLOOKUP(F201,'ESO zones'!$A$5:$D$10003,4,FALSE)</f>
        <v>Cyrodiil</v>
      </c>
    </row>
    <row r="202" spans="1:14" x14ac:dyDescent="0.25">
      <c r="A202" s="58">
        <v>202</v>
      </c>
      <c r="B202">
        <v>14</v>
      </c>
      <c r="C202">
        <v>16</v>
      </c>
      <c r="D202" t="s">
        <v>166</v>
      </c>
      <c r="E202">
        <v>38</v>
      </c>
      <c r="F202">
        <v>181</v>
      </c>
      <c r="G202" t="s">
        <v>166</v>
      </c>
      <c r="H202">
        <v>1</v>
      </c>
      <c r="I202" t="s">
        <v>3320</v>
      </c>
      <c r="J202" s="2" t="str">
        <f t="shared" si="9"/>
        <v>[202]=181,</v>
      </c>
      <c r="K202" s="3">
        <f t="shared" si="10"/>
        <v>202</v>
      </c>
      <c r="L202" s="3">
        <f t="shared" si="11"/>
        <v>181</v>
      </c>
      <c r="M202" s="9" t="str">
        <f>VLOOKUP(A202,WayshrineNames!$A$3:$B$967,2,)</f>
        <v>North Morrowind Wayshrine</v>
      </c>
      <c r="N202" s="3" t="str">
        <f>VLOOKUP(F202,'ESO zones'!$A$5:$D$10003,4,FALSE)</f>
        <v>Cyrodiil</v>
      </c>
    </row>
    <row r="203" spans="1:14" x14ac:dyDescent="0.25">
      <c r="A203" s="58">
        <v>203</v>
      </c>
      <c r="B203">
        <v>14</v>
      </c>
      <c r="C203">
        <v>16</v>
      </c>
      <c r="D203" t="s">
        <v>166</v>
      </c>
      <c r="E203">
        <v>38</v>
      </c>
      <c r="F203">
        <v>181</v>
      </c>
      <c r="G203" t="s">
        <v>166</v>
      </c>
      <c r="H203">
        <v>1</v>
      </c>
      <c r="I203" t="s">
        <v>3321</v>
      </c>
      <c r="J203" s="2" t="str">
        <f t="shared" si="9"/>
        <v>[203]=181,</v>
      </c>
      <c r="K203" s="3">
        <f t="shared" si="10"/>
        <v>203</v>
      </c>
      <c r="L203" s="3">
        <f t="shared" si="11"/>
        <v>181</v>
      </c>
      <c r="M203" s="9" t="str">
        <f>VLOOKUP(A203,WayshrineNames!$A$3:$B$967,2,)</f>
        <v>South Morrowind Wayshrine</v>
      </c>
      <c r="N203" s="3" t="str">
        <f>VLOOKUP(F203,'ESO zones'!$A$5:$D$10003,4,FALSE)</f>
        <v>Cyrodiil</v>
      </c>
    </row>
    <row r="204" spans="1:14" x14ac:dyDescent="0.25">
      <c r="A204" s="58">
        <v>204</v>
      </c>
      <c r="B204">
        <v>6</v>
      </c>
      <c r="C204">
        <v>20</v>
      </c>
      <c r="D204" t="s">
        <v>524</v>
      </c>
      <c r="E204">
        <v>14</v>
      </c>
      <c r="F204">
        <v>92</v>
      </c>
      <c r="G204" t="s">
        <v>524</v>
      </c>
      <c r="H204">
        <v>1</v>
      </c>
      <c r="I204" t="s">
        <v>3322</v>
      </c>
      <c r="J204" s="2" t="str">
        <f t="shared" si="9"/>
        <v>[204]=92,</v>
      </c>
      <c r="K204" s="3">
        <f t="shared" si="10"/>
        <v>204</v>
      </c>
      <c r="L204" s="3">
        <f t="shared" si="11"/>
        <v>92</v>
      </c>
      <c r="M204" s="9" t="str">
        <f>VLOOKUP(A204,WayshrineNames!$A$3:$B$967,2,)</f>
        <v>Eastern Evermore Wayshrine</v>
      </c>
      <c r="N204" s="3" t="str">
        <f>VLOOKUP(F204,'ESO zones'!$A$5:$D$10003,4,FALSE)</f>
        <v>Bangkorai</v>
      </c>
    </row>
    <row r="205" spans="1:14" x14ac:dyDescent="0.25">
      <c r="A205" s="58">
        <v>205</v>
      </c>
      <c r="B205">
        <v>10</v>
      </c>
      <c r="C205">
        <v>13</v>
      </c>
      <c r="D205" t="s">
        <v>436</v>
      </c>
      <c r="E205">
        <v>10</v>
      </c>
      <c r="F205">
        <v>57</v>
      </c>
      <c r="G205" t="s">
        <v>436</v>
      </c>
      <c r="H205">
        <v>1</v>
      </c>
      <c r="I205" t="s">
        <v>3323</v>
      </c>
      <c r="J205" s="2" t="str">
        <f t="shared" si="9"/>
        <v>[205]=57,</v>
      </c>
      <c r="K205" s="3">
        <f t="shared" si="10"/>
        <v>205</v>
      </c>
      <c r="L205" s="3">
        <f t="shared" si="11"/>
        <v>57</v>
      </c>
      <c r="M205" s="9" t="str">
        <f>VLOOKUP(A205,WayshrineNames!$A$3:$B$967,2,)</f>
        <v>Shad Astula Wayshrine</v>
      </c>
      <c r="N205" s="3" t="str">
        <f>VLOOKUP(F205,'ESO zones'!$A$5:$D$10003,4,FALSE)</f>
        <v>Deshaan</v>
      </c>
    </row>
    <row r="206" spans="1:14" x14ac:dyDescent="0.25">
      <c r="A206" s="58">
        <v>206</v>
      </c>
      <c r="B206">
        <v>6</v>
      </c>
      <c r="C206">
        <v>20</v>
      </c>
      <c r="D206" t="s">
        <v>524</v>
      </c>
      <c r="E206">
        <v>14</v>
      </c>
      <c r="F206">
        <v>92</v>
      </c>
      <c r="G206" t="s">
        <v>524</v>
      </c>
      <c r="H206">
        <v>1</v>
      </c>
      <c r="I206" t="s">
        <v>3324</v>
      </c>
      <c r="J206" s="2" t="str">
        <f t="shared" si="9"/>
        <v>[206]=92,</v>
      </c>
      <c r="K206" s="3">
        <f t="shared" si="10"/>
        <v>206</v>
      </c>
      <c r="L206" s="3">
        <f t="shared" si="11"/>
        <v>92</v>
      </c>
      <c r="M206" s="9" t="str">
        <f>VLOOKUP(A206,WayshrineNames!$A$3:$B$967,2,)</f>
        <v>Halcyon Lake Wayshrine</v>
      </c>
      <c r="N206" s="3" t="str">
        <f>VLOOKUP(F206,'ESO zones'!$A$5:$D$10003,4,FALSE)</f>
        <v>Bangkorai</v>
      </c>
    </row>
    <row r="207" spans="1:14" x14ac:dyDescent="0.25">
      <c r="A207" s="58">
        <v>207</v>
      </c>
      <c r="B207">
        <v>7</v>
      </c>
      <c r="C207">
        <v>9</v>
      </c>
      <c r="D207" t="s">
        <v>3129</v>
      </c>
      <c r="E207">
        <v>181</v>
      </c>
      <c r="F207">
        <v>383</v>
      </c>
      <c r="G207" t="s">
        <v>3129</v>
      </c>
      <c r="H207">
        <v>1</v>
      </c>
      <c r="I207" t="s">
        <v>3325</v>
      </c>
      <c r="J207" s="2" t="str">
        <f t="shared" si="9"/>
        <v>[207]=383,</v>
      </c>
      <c r="K207" s="3">
        <f t="shared" si="10"/>
        <v>207</v>
      </c>
      <c r="L207" s="3">
        <f t="shared" si="11"/>
        <v>383</v>
      </c>
      <c r="M207" s="9" t="str">
        <f>VLOOKUP(A207,WayshrineNames!$A$3:$B$967,2,)</f>
        <v>Gray Mire Wayshrine</v>
      </c>
      <c r="N207" s="3" t="str">
        <f>VLOOKUP(F207,'ESO zones'!$A$5:$D$10003,4,FALSE)</f>
        <v>Grahtwood</v>
      </c>
    </row>
    <row r="208" spans="1:14" x14ac:dyDescent="0.25">
      <c r="A208" s="58">
        <v>208</v>
      </c>
      <c r="B208">
        <v>3</v>
      </c>
      <c r="C208">
        <v>10</v>
      </c>
      <c r="D208" t="s">
        <v>3115</v>
      </c>
      <c r="E208">
        <v>5</v>
      </c>
      <c r="F208">
        <v>20</v>
      </c>
      <c r="G208" t="s">
        <v>3115</v>
      </c>
      <c r="H208">
        <v>1</v>
      </c>
      <c r="I208" t="s">
        <v>3326</v>
      </c>
      <c r="J208" s="2" t="str">
        <f t="shared" si="9"/>
        <v>[208]=20,</v>
      </c>
      <c r="K208" s="3">
        <f t="shared" si="10"/>
        <v>208</v>
      </c>
      <c r="L208" s="3">
        <f t="shared" si="11"/>
        <v>20</v>
      </c>
      <c r="M208" s="9" t="str">
        <f>VLOOKUP(A208,WayshrineNames!$A$3:$B$967,2,)</f>
        <v>Shrouded Pass Wayshrine</v>
      </c>
      <c r="N208" s="3" t="str">
        <f>VLOOKUP(F208,'ESO zones'!$A$5:$D$10003,4,FALSE)</f>
        <v>Rivenspire</v>
      </c>
    </row>
    <row r="209" spans="1:14" x14ac:dyDescent="0.25">
      <c r="A209" s="58">
        <v>210</v>
      </c>
      <c r="B209">
        <v>2</v>
      </c>
      <c r="C209">
        <v>1</v>
      </c>
      <c r="D209" t="s">
        <v>496</v>
      </c>
      <c r="E209">
        <v>2</v>
      </c>
      <c r="F209">
        <v>3</v>
      </c>
      <c r="G209" t="s">
        <v>496</v>
      </c>
      <c r="H209">
        <v>1</v>
      </c>
      <c r="I209" t="s">
        <v>3327</v>
      </c>
      <c r="J209" s="2" t="str">
        <f t="shared" si="9"/>
        <v>[210]=3,</v>
      </c>
      <c r="K209" s="3">
        <f t="shared" si="10"/>
        <v>210</v>
      </c>
      <c r="L209" s="3">
        <f t="shared" si="11"/>
        <v>3</v>
      </c>
      <c r="M209" s="9" t="str">
        <f>VLOOKUP(A209,WayshrineNames!$A$3:$B$967,2,)</f>
        <v>The Harborage</v>
      </c>
      <c r="N209" s="3" t="str">
        <f>VLOOKUP(F209,'ESO zones'!$A$5:$D$10003,4,FALSE)</f>
        <v>Glenumbra</v>
      </c>
    </row>
    <row r="210" spans="1:14" x14ac:dyDescent="0.25">
      <c r="A210" s="58">
        <v>211</v>
      </c>
      <c r="B210">
        <v>15</v>
      </c>
      <c r="C210">
        <v>143</v>
      </c>
      <c r="D210" t="s">
        <v>439</v>
      </c>
      <c r="E210">
        <v>179</v>
      </c>
      <c r="F210">
        <v>381</v>
      </c>
      <c r="G210" t="s">
        <v>439</v>
      </c>
      <c r="H210">
        <v>1</v>
      </c>
      <c r="I210" t="s">
        <v>3327</v>
      </c>
      <c r="J210" s="2" t="str">
        <f t="shared" si="9"/>
        <v>[211]=381,</v>
      </c>
      <c r="K210" s="3">
        <f t="shared" si="10"/>
        <v>211</v>
      </c>
      <c r="L210" s="3">
        <f t="shared" si="11"/>
        <v>381</v>
      </c>
      <c r="M210" s="9" t="str">
        <f>VLOOKUP(A210,WayshrineNames!$A$3:$B$967,2,)</f>
        <v>The Harborage</v>
      </c>
      <c r="N210" s="3" t="str">
        <f>VLOOKUP(F210,'ESO zones'!$A$5:$D$10003,4,FALSE)</f>
        <v>Auridon</v>
      </c>
    </row>
    <row r="211" spans="1:14" x14ac:dyDescent="0.25">
      <c r="A211" s="58">
        <v>212</v>
      </c>
      <c r="B211">
        <v>11</v>
      </c>
      <c r="C211">
        <v>7</v>
      </c>
      <c r="D211" t="s">
        <v>3150</v>
      </c>
      <c r="E211">
        <v>9</v>
      </c>
      <c r="F211">
        <v>41</v>
      </c>
      <c r="G211" t="s">
        <v>3150</v>
      </c>
      <c r="H211">
        <v>1</v>
      </c>
      <c r="I211" t="s">
        <v>3327</v>
      </c>
      <c r="J211" s="2" t="str">
        <f t="shared" si="9"/>
        <v>[212]=41,</v>
      </c>
      <c r="K211" s="3">
        <f t="shared" si="10"/>
        <v>212</v>
      </c>
      <c r="L211" s="3">
        <f t="shared" si="11"/>
        <v>41</v>
      </c>
      <c r="M211" s="9" t="str">
        <f>VLOOKUP(A211,WayshrineNames!$A$3:$B$967,2,)</f>
        <v>The Harborage</v>
      </c>
      <c r="N211" s="3" t="str">
        <f>VLOOKUP(F211,'ESO zones'!$A$5:$D$10003,4,FALSE)</f>
        <v>Stonefalls</v>
      </c>
    </row>
    <row r="212" spans="1:14" x14ac:dyDescent="0.25">
      <c r="A212" s="58">
        <v>213</v>
      </c>
      <c r="B212">
        <v>7</v>
      </c>
      <c r="C212">
        <v>9</v>
      </c>
      <c r="D212" t="s">
        <v>3129</v>
      </c>
      <c r="E212">
        <v>181</v>
      </c>
      <c r="F212">
        <v>383</v>
      </c>
      <c r="G212" t="s">
        <v>3129</v>
      </c>
      <c r="H212">
        <v>1</v>
      </c>
      <c r="I212" t="s">
        <v>3328</v>
      </c>
      <c r="J212" s="2" t="str">
        <f t="shared" si="9"/>
        <v>[213]=383,</v>
      </c>
      <c r="K212" s="3">
        <f t="shared" si="10"/>
        <v>213</v>
      </c>
      <c r="L212" s="3">
        <f t="shared" si="11"/>
        <v>383</v>
      </c>
      <c r="M212" s="9" t="str">
        <f>VLOOKUP(A212,WayshrineNames!$A$3:$B$967,2,)</f>
        <v>Falinesti Winter Wayshrine</v>
      </c>
      <c r="N212" s="3" t="str">
        <f>VLOOKUP(F212,'ESO zones'!$A$5:$D$10003,4,FALSE)</f>
        <v>Grahtwood</v>
      </c>
    </row>
    <row r="213" spans="1:14" x14ac:dyDescent="0.25">
      <c r="A213" s="58">
        <v>214</v>
      </c>
      <c r="B213">
        <v>7</v>
      </c>
      <c r="C213">
        <v>9</v>
      </c>
      <c r="D213" t="s">
        <v>3129</v>
      </c>
      <c r="E213">
        <v>181</v>
      </c>
      <c r="F213">
        <v>383</v>
      </c>
      <c r="G213" t="s">
        <v>3129</v>
      </c>
      <c r="H213">
        <v>1</v>
      </c>
      <c r="I213" t="s">
        <v>3329</v>
      </c>
      <c r="J213" s="2" t="str">
        <f t="shared" si="9"/>
        <v>[214]=383,</v>
      </c>
      <c r="K213" s="3">
        <f t="shared" si="10"/>
        <v>214</v>
      </c>
      <c r="L213" s="3">
        <f t="shared" si="11"/>
        <v>383</v>
      </c>
      <c r="M213" s="9" t="str">
        <f>VLOOKUP(A213,WayshrineNames!$A$3:$B$967,2,)</f>
        <v>Elden Root Wayshrine</v>
      </c>
      <c r="N213" s="3" t="str">
        <f>VLOOKUP(F213,'ESO zones'!$A$5:$D$10003,4,FALSE)</f>
        <v>Grahtwood</v>
      </c>
    </row>
    <row r="214" spans="1:14" x14ac:dyDescent="0.25">
      <c r="A214" s="58">
        <v>216</v>
      </c>
      <c r="B214">
        <v>2</v>
      </c>
      <c r="C214">
        <v>1</v>
      </c>
      <c r="D214" t="s">
        <v>496</v>
      </c>
      <c r="E214">
        <v>2</v>
      </c>
      <c r="F214">
        <v>3</v>
      </c>
      <c r="G214" t="s">
        <v>496</v>
      </c>
      <c r="H214">
        <v>1</v>
      </c>
      <c r="I214" t="s">
        <v>3330</v>
      </c>
      <c r="J214" s="2" t="str">
        <f t="shared" si="9"/>
        <v>[216]=3,</v>
      </c>
      <c r="K214" s="3">
        <f t="shared" si="10"/>
        <v>216</v>
      </c>
      <c r="L214" s="3">
        <f t="shared" si="11"/>
        <v>3</v>
      </c>
      <c r="M214" s="9" t="str">
        <f>VLOOKUP(A214,WayshrineNames!$A$3:$B$967,2,)</f>
        <v>Hag Fen Wayshrine</v>
      </c>
      <c r="N214" s="3" t="str">
        <f>VLOOKUP(F214,'ESO zones'!$A$5:$D$10003,4,FALSE)</f>
        <v>Glenumbra</v>
      </c>
    </row>
    <row r="215" spans="1:14" x14ac:dyDescent="0.25">
      <c r="A215" s="58">
        <v>217</v>
      </c>
      <c r="B215">
        <v>25</v>
      </c>
      <c r="C215">
        <v>1126</v>
      </c>
      <c r="D215" t="s">
        <v>3331</v>
      </c>
      <c r="E215">
        <v>501</v>
      </c>
      <c r="F215">
        <v>888</v>
      </c>
      <c r="G215" t="s">
        <v>3331</v>
      </c>
      <c r="H215">
        <v>1</v>
      </c>
      <c r="I215" t="s">
        <v>3332</v>
      </c>
      <c r="J215" s="2" t="str">
        <f t="shared" si="9"/>
        <v>[217]=888,</v>
      </c>
      <c r="K215" s="3">
        <f t="shared" si="10"/>
        <v>217</v>
      </c>
      <c r="L215" s="3">
        <f t="shared" si="11"/>
        <v>888</v>
      </c>
      <c r="M215" s="9" t="str">
        <f>VLOOKUP(A215,WayshrineNames!$A$3:$B$967,2,)</f>
        <v>Seeker's Archive Wayshrine</v>
      </c>
      <c r="N215" s="3" t="str">
        <f>VLOOKUP(F215,'ESO zones'!$A$5:$D$10003,4,FALSE)</f>
        <v>Craglorn</v>
      </c>
    </row>
    <row r="216" spans="1:14" x14ac:dyDescent="0.25">
      <c r="A216" s="58">
        <v>218</v>
      </c>
      <c r="B216">
        <v>25</v>
      </c>
      <c r="C216">
        <v>1126</v>
      </c>
      <c r="D216" t="s">
        <v>3331</v>
      </c>
      <c r="E216">
        <v>501</v>
      </c>
      <c r="F216">
        <v>888</v>
      </c>
      <c r="G216" t="s">
        <v>3331</v>
      </c>
      <c r="H216">
        <v>1</v>
      </c>
      <c r="I216" t="s">
        <v>3333</v>
      </c>
      <c r="J216" s="2" t="str">
        <f t="shared" si="9"/>
        <v>[218]=888,</v>
      </c>
      <c r="K216" s="3">
        <f t="shared" si="10"/>
        <v>218</v>
      </c>
      <c r="L216" s="3">
        <f t="shared" si="11"/>
        <v>888</v>
      </c>
      <c r="M216" s="9" t="str">
        <f>VLOOKUP(A216,WayshrineNames!$A$3:$B$967,2,)</f>
        <v>Shada's Tear Wayshrine</v>
      </c>
      <c r="N216" s="3" t="str">
        <f>VLOOKUP(F216,'ESO zones'!$A$5:$D$10003,4,FALSE)</f>
        <v>Craglorn</v>
      </c>
    </row>
    <row r="217" spans="1:14" x14ac:dyDescent="0.25">
      <c r="A217" s="58">
        <v>219</v>
      </c>
      <c r="B217">
        <v>25</v>
      </c>
      <c r="C217">
        <v>1126</v>
      </c>
      <c r="D217" t="s">
        <v>3331</v>
      </c>
      <c r="E217">
        <v>501</v>
      </c>
      <c r="F217">
        <v>888</v>
      </c>
      <c r="G217" t="s">
        <v>3331</v>
      </c>
      <c r="H217">
        <v>1</v>
      </c>
      <c r="I217" t="s">
        <v>3334</v>
      </c>
      <c r="J217" s="2" t="str">
        <f t="shared" si="9"/>
        <v>[219]=888,</v>
      </c>
      <c r="K217" s="3">
        <f t="shared" si="10"/>
        <v>219</v>
      </c>
      <c r="L217" s="3">
        <f t="shared" si="11"/>
        <v>888</v>
      </c>
      <c r="M217" s="9" t="str">
        <f>VLOOKUP(A217,WayshrineNames!$A$3:$B$967,2,)</f>
        <v>Sandy Path Wayshrine</v>
      </c>
      <c r="N217" s="3" t="str">
        <f>VLOOKUP(F217,'ESO zones'!$A$5:$D$10003,4,FALSE)</f>
        <v>Craglorn</v>
      </c>
    </row>
    <row r="218" spans="1:14" x14ac:dyDescent="0.25">
      <c r="A218" s="58">
        <v>220</v>
      </c>
      <c r="B218">
        <v>25</v>
      </c>
      <c r="C218">
        <v>1126</v>
      </c>
      <c r="D218" t="s">
        <v>3331</v>
      </c>
      <c r="E218">
        <v>501</v>
      </c>
      <c r="F218">
        <v>888</v>
      </c>
      <c r="G218" t="s">
        <v>3331</v>
      </c>
      <c r="H218">
        <v>1</v>
      </c>
      <c r="I218" t="s">
        <v>3335</v>
      </c>
      <c r="J218" s="2" t="str">
        <f t="shared" si="9"/>
        <v>[220]=888,</v>
      </c>
      <c r="K218" s="3">
        <f t="shared" si="10"/>
        <v>220</v>
      </c>
      <c r="L218" s="3">
        <f t="shared" si="11"/>
        <v>888</v>
      </c>
      <c r="M218" s="9" t="str">
        <f>VLOOKUP(A218,WayshrineNames!$A$3:$B$967,2,)</f>
        <v>Belkarth Wayshrine</v>
      </c>
      <c r="N218" s="3" t="str">
        <f>VLOOKUP(F218,'ESO zones'!$A$5:$D$10003,4,FALSE)</f>
        <v>Craglorn</v>
      </c>
    </row>
    <row r="219" spans="1:14" x14ac:dyDescent="0.25">
      <c r="A219" s="58">
        <v>225</v>
      </c>
      <c r="B219">
        <v>25</v>
      </c>
      <c r="C219">
        <v>1126</v>
      </c>
      <c r="D219" t="s">
        <v>3331</v>
      </c>
      <c r="E219">
        <v>501</v>
      </c>
      <c r="F219">
        <v>888</v>
      </c>
      <c r="G219" t="s">
        <v>3331</v>
      </c>
      <c r="H219">
        <v>1</v>
      </c>
      <c r="I219" t="s">
        <v>3336</v>
      </c>
      <c r="J219" s="2" t="str">
        <f t="shared" si="9"/>
        <v>[225]=888,</v>
      </c>
      <c r="K219" s="3">
        <f t="shared" si="10"/>
        <v>225</v>
      </c>
      <c r="L219" s="3">
        <f t="shared" si="11"/>
        <v>888</v>
      </c>
      <c r="M219" s="9" t="str">
        <f>VLOOKUP(A219,WayshrineNames!$A$3:$B$967,2,)</f>
        <v>Spellscar Wayshrine</v>
      </c>
      <c r="N219" s="3" t="str">
        <f>VLOOKUP(F219,'ESO zones'!$A$5:$D$10003,4,FALSE)</f>
        <v>Craglorn</v>
      </c>
    </row>
    <row r="220" spans="1:14" x14ac:dyDescent="0.25">
      <c r="A220" s="58">
        <v>226</v>
      </c>
      <c r="B220">
        <v>25</v>
      </c>
      <c r="C220">
        <v>1126</v>
      </c>
      <c r="D220" t="s">
        <v>3331</v>
      </c>
      <c r="E220">
        <v>501</v>
      </c>
      <c r="F220">
        <v>888</v>
      </c>
      <c r="G220" t="s">
        <v>3331</v>
      </c>
      <c r="H220">
        <v>1</v>
      </c>
      <c r="I220" t="s">
        <v>3337</v>
      </c>
      <c r="J220" s="2" t="str">
        <f t="shared" si="9"/>
        <v>[226]=888,</v>
      </c>
      <c r="K220" s="3">
        <f t="shared" si="10"/>
        <v>226</v>
      </c>
      <c r="L220" s="3">
        <f t="shared" si="11"/>
        <v>888</v>
      </c>
      <c r="M220" s="9" t="str">
        <f>VLOOKUP(A220,WayshrineNames!$A$3:$B$967,2,)</f>
        <v>Mountain Overlook Wayshrine</v>
      </c>
      <c r="N220" s="3" t="str">
        <f>VLOOKUP(F220,'ESO zones'!$A$5:$D$10003,4,FALSE)</f>
        <v>Craglorn</v>
      </c>
    </row>
    <row r="221" spans="1:14" x14ac:dyDescent="0.25">
      <c r="A221" s="58">
        <v>227</v>
      </c>
      <c r="B221">
        <v>25</v>
      </c>
      <c r="C221">
        <v>1126</v>
      </c>
      <c r="D221" t="s">
        <v>3331</v>
      </c>
      <c r="E221">
        <v>501</v>
      </c>
      <c r="F221">
        <v>888</v>
      </c>
      <c r="G221" t="s">
        <v>3331</v>
      </c>
      <c r="H221">
        <v>1</v>
      </c>
      <c r="I221" t="s">
        <v>3338</v>
      </c>
      <c r="J221" s="2" t="str">
        <f t="shared" si="9"/>
        <v>[227]=888,</v>
      </c>
      <c r="K221" s="3">
        <f t="shared" si="10"/>
        <v>227</v>
      </c>
      <c r="L221" s="3">
        <f t="shared" si="11"/>
        <v>888</v>
      </c>
      <c r="M221" s="9" t="str">
        <f>VLOOKUP(A221,WayshrineNames!$A$3:$B$967,2,)</f>
        <v>Inazzur's Hold Wayshrine</v>
      </c>
      <c r="N221" s="3" t="str">
        <f>VLOOKUP(F221,'ESO zones'!$A$5:$D$10003,4,FALSE)</f>
        <v>Craglorn</v>
      </c>
    </row>
    <row r="222" spans="1:14" x14ac:dyDescent="0.25">
      <c r="A222" s="58">
        <v>229</v>
      </c>
      <c r="B222">
        <v>25</v>
      </c>
      <c r="C222">
        <v>1126</v>
      </c>
      <c r="D222" t="s">
        <v>3331</v>
      </c>
      <c r="E222">
        <v>501</v>
      </c>
      <c r="F222">
        <v>888</v>
      </c>
      <c r="G222" t="s">
        <v>3331</v>
      </c>
      <c r="H222">
        <v>1</v>
      </c>
      <c r="I222" t="s">
        <v>3339</v>
      </c>
      <c r="J222" s="2" t="str">
        <f t="shared" si="9"/>
        <v>[229]=888,</v>
      </c>
      <c r="K222" s="3">
        <f t="shared" si="10"/>
        <v>229</v>
      </c>
      <c r="L222" s="3">
        <f t="shared" si="11"/>
        <v>888</v>
      </c>
      <c r="M222" s="9" t="str">
        <f>VLOOKUP(A222,WayshrineNames!$A$3:$B$967,2,)</f>
        <v>Elinhir Wayshrine</v>
      </c>
      <c r="N222" s="3" t="str">
        <f>VLOOKUP(F222,'ESO zones'!$A$5:$D$10003,4,FALSE)</f>
        <v>Craglorn</v>
      </c>
    </row>
    <row r="223" spans="1:14" x14ac:dyDescent="0.25">
      <c r="A223" s="58">
        <v>230</v>
      </c>
      <c r="B223">
        <v>25</v>
      </c>
      <c r="C223">
        <v>1126</v>
      </c>
      <c r="D223" t="s">
        <v>3331</v>
      </c>
      <c r="E223">
        <v>501</v>
      </c>
      <c r="F223">
        <v>888</v>
      </c>
      <c r="G223" t="s">
        <v>3331</v>
      </c>
      <c r="H223">
        <v>3</v>
      </c>
      <c r="I223" t="s">
        <v>3340</v>
      </c>
      <c r="J223" s="2" t="str">
        <f t="shared" si="9"/>
        <v>[230]=888,</v>
      </c>
      <c r="K223" s="3">
        <f t="shared" si="10"/>
        <v>230</v>
      </c>
      <c r="L223" s="3">
        <f t="shared" si="11"/>
        <v>888</v>
      </c>
      <c r="M223" s="9" t="str">
        <f>VLOOKUP(A223,WayshrineNames!$A$3:$B$967,2,)</f>
        <v>Trial: Hel Ra Citadel</v>
      </c>
      <c r="N223" s="3" t="str">
        <f>VLOOKUP(F223,'ESO zones'!$A$5:$D$10003,4,FALSE)</f>
        <v>Craglorn</v>
      </c>
    </row>
    <row r="224" spans="1:14" x14ac:dyDescent="0.25">
      <c r="A224" s="58">
        <v>231</v>
      </c>
      <c r="B224">
        <v>25</v>
      </c>
      <c r="C224">
        <v>1126</v>
      </c>
      <c r="D224" t="s">
        <v>3331</v>
      </c>
      <c r="E224">
        <v>501</v>
      </c>
      <c r="F224">
        <v>888</v>
      </c>
      <c r="G224" t="s">
        <v>3331</v>
      </c>
      <c r="H224">
        <v>3</v>
      </c>
      <c r="I224" t="s">
        <v>3341</v>
      </c>
      <c r="J224" s="2" t="str">
        <f t="shared" si="9"/>
        <v>[231]=888,</v>
      </c>
      <c r="K224" s="3">
        <f t="shared" si="10"/>
        <v>231</v>
      </c>
      <c r="L224" s="3">
        <f t="shared" si="11"/>
        <v>888</v>
      </c>
      <c r="M224" s="9" t="str">
        <f>VLOOKUP(A224,WayshrineNames!$A$3:$B$967,2,)</f>
        <v>Trial: Aetherian Archive</v>
      </c>
      <c r="N224" s="3" t="str">
        <f>VLOOKUP(F224,'ESO zones'!$A$5:$D$10003,4,FALSE)</f>
        <v>Craglorn</v>
      </c>
    </row>
    <row r="225" spans="1:14" x14ac:dyDescent="0.25">
      <c r="A225" s="58">
        <v>232</v>
      </c>
      <c r="B225">
        <v>25</v>
      </c>
      <c r="C225">
        <v>1126</v>
      </c>
      <c r="D225" t="s">
        <v>3331</v>
      </c>
      <c r="E225">
        <v>501</v>
      </c>
      <c r="F225">
        <v>888</v>
      </c>
      <c r="G225" t="s">
        <v>3331</v>
      </c>
      <c r="H225">
        <v>3</v>
      </c>
      <c r="I225" t="s">
        <v>3342</v>
      </c>
      <c r="J225" s="2" t="str">
        <f t="shared" si="9"/>
        <v>[232]=888,</v>
      </c>
      <c r="K225" s="3">
        <f t="shared" si="10"/>
        <v>232</v>
      </c>
      <c r="L225" s="3">
        <f t="shared" si="11"/>
        <v>888</v>
      </c>
      <c r="M225" s="9" t="str">
        <f>VLOOKUP(A225,WayshrineNames!$A$3:$B$967,2,)</f>
        <v>Trial: Sanctum Ophidia</v>
      </c>
      <c r="N225" s="3" t="str">
        <f>VLOOKUP(F225,'ESO zones'!$A$5:$D$10003,4,FALSE)</f>
        <v>Craglorn</v>
      </c>
    </row>
    <row r="226" spans="1:14" x14ac:dyDescent="0.25">
      <c r="A226" s="58">
        <v>233</v>
      </c>
      <c r="B226">
        <v>25</v>
      </c>
      <c r="C226">
        <v>1126</v>
      </c>
      <c r="D226" t="s">
        <v>3331</v>
      </c>
      <c r="E226">
        <v>501</v>
      </c>
      <c r="F226">
        <v>888</v>
      </c>
      <c r="G226" t="s">
        <v>3331</v>
      </c>
      <c r="H226">
        <v>1</v>
      </c>
      <c r="I226" t="s">
        <v>3343</v>
      </c>
      <c r="J226" s="2" t="str">
        <f t="shared" si="9"/>
        <v>[233]=888,</v>
      </c>
      <c r="K226" s="3">
        <f t="shared" si="10"/>
        <v>233</v>
      </c>
      <c r="L226" s="3">
        <f t="shared" si="11"/>
        <v>888</v>
      </c>
      <c r="M226" s="9" t="str">
        <f>VLOOKUP(A226,WayshrineNames!$A$3:$B$967,2,)</f>
        <v>Dragonstar Wayshrine</v>
      </c>
      <c r="N226" s="3" t="str">
        <f>VLOOKUP(F226,'ESO zones'!$A$5:$D$10003,4,FALSE)</f>
        <v>Craglorn</v>
      </c>
    </row>
    <row r="227" spans="1:14" x14ac:dyDescent="0.25">
      <c r="A227" s="58">
        <v>234</v>
      </c>
      <c r="B227">
        <v>25</v>
      </c>
      <c r="C227">
        <v>1126</v>
      </c>
      <c r="D227" t="s">
        <v>3331</v>
      </c>
      <c r="E227">
        <v>501</v>
      </c>
      <c r="F227">
        <v>888</v>
      </c>
      <c r="G227" t="s">
        <v>3331</v>
      </c>
      <c r="H227">
        <v>1</v>
      </c>
      <c r="I227" t="s">
        <v>3344</v>
      </c>
      <c r="J227" s="2" t="str">
        <f t="shared" si="9"/>
        <v>[234]=888,</v>
      </c>
      <c r="K227" s="3">
        <f t="shared" si="10"/>
        <v>234</v>
      </c>
      <c r="L227" s="3">
        <f t="shared" si="11"/>
        <v>888</v>
      </c>
      <c r="M227" s="9" t="str">
        <f>VLOOKUP(A227,WayshrineNames!$A$3:$B$967,2,)</f>
        <v>Skyreach Wayshrine</v>
      </c>
      <c r="N227" s="3" t="str">
        <f>VLOOKUP(F227,'ESO zones'!$A$5:$D$10003,4,FALSE)</f>
        <v>Craglorn</v>
      </c>
    </row>
    <row r="228" spans="1:14" x14ac:dyDescent="0.25">
      <c r="A228" s="58">
        <v>235</v>
      </c>
      <c r="B228">
        <v>25</v>
      </c>
      <c r="C228">
        <v>1126</v>
      </c>
      <c r="D228" t="s">
        <v>3331</v>
      </c>
      <c r="E228">
        <v>501</v>
      </c>
      <c r="F228">
        <v>888</v>
      </c>
      <c r="G228" t="s">
        <v>3331</v>
      </c>
      <c r="H228">
        <v>1</v>
      </c>
      <c r="I228" t="s">
        <v>3345</v>
      </c>
      <c r="J228" s="2" t="str">
        <f t="shared" si="9"/>
        <v>[235]=888,</v>
      </c>
      <c r="K228" s="3">
        <f t="shared" si="10"/>
        <v>235</v>
      </c>
      <c r="L228" s="3">
        <f t="shared" si="11"/>
        <v>888</v>
      </c>
      <c r="M228" s="9" t="str">
        <f>VLOOKUP(A228,WayshrineNames!$A$3:$B$967,2,)</f>
        <v>Valley of Scars Wayshrine</v>
      </c>
      <c r="N228" s="3" t="str">
        <f>VLOOKUP(F228,'ESO zones'!$A$5:$D$10003,4,FALSE)</f>
        <v>Craglorn</v>
      </c>
    </row>
    <row r="229" spans="1:14" x14ac:dyDescent="0.25">
      <c r="A229" s="58">
        <v>236</v>
      </c>
      <c r="B229">
        <v>14</v>
      </c>
      <c r="C229">
        <v>16</v>
      </c>
      <c r="D229" t="s">
        <v>166</v>
      </c>
      <c r="E229">
        <v>38</v>
      </c>
      <c r="F229">
        <v>181</v>
      </c>
      <c r="G229" t="s">
        <v>166</v>
      </c>
      <c r="H229">
        <v>6</v>
      </c>
      <c r="I229" t="s">
        <v>3346</v>
      </c>
      <c r="J229" s="2" t="str">
        <f t="shared" si="9"/>
        <v>[236]=181,</v>
      </c>
      <c r="K229" s="3">
        <f t="shared" si="10"/>
        <v>236</v>
      </c>
      <c r="L229" s="3">
        <f t="shared" si="11"/>
        <v>181</v>
      </c>
      <c r="M229" s="9" t="str">
        <f>VLOOKUP(A229,WayshrineNames!$A$3:$B$967,2,)</f>
        <v>Dungeon: Imperial City Prison</v>
      </c>
      <c r="N229" s="3" t="str">
        <f>VLOOKUP(F229,'ESO zones'!$A$5:$D$10003,4,FALSE)</f>
        <v>Cyrodiil</v>
      </c>
    </row>
    <row r="230" spans="1:14" x14ac:dyDescent="0.25">
      <c r="A230">
        <v>237</v>
      </c>
      <c r="B230">
        <v>27</v>
      </c>
      <c r="C230">
        <v>667</v>
      </c>
      <c r="D230" t="s">
        <v>816</v>
      </c>
      <c r="E230">
        <v>380</v>
      </c>
      <c r="F230">
        <v>684</v>
      </c>
      <c r="G230" t="s">
        <v>816</v>
      </c>
      <c r="H230">
        <v>1</v>
      </c>
      <c r="I230" t="s">
        <v>3347</v>
      </c>
      <c r="J230" s="2" t="str">
        <f t="shared" si="9"/>
        <v>[237]=684,</v>
      </c>
      <c r="K230" s="3">
        <f t="shared" si="10"/>
        <v>237</v>
      </c>
      <c r="L230" s="3">
        <f t="shared" si="11"/>
        <v>684</v>
      </c>
      <c r="M230" s="9" t="str">
        <f>VLOOKUP(A230,WayshrineNames!$A$3:$B$967,2,)</f>
        <v>Shatul Wayshrine</v>
      </c>
      <c r="N230" s="3" t="str">
        <f>VLOOKUP(F230,'ESO zones'!$A$5:$D$10003,4,FALSE)</f>
        <v>Wrothgar</v>
      </c>
    </row>
    <row r="231" spans="1:14" x14ac:dyDescent="0.25">
      <c r="A231">
        <v>238</v>
      </c>
      <c r="B231">
        <v>27</v>
      </c>
      <c r="C231">
        <v>667</v>
      </c>
      <c r="D231" t="s">
        <v>816</v>
      </c>
      <c r="E231">
        <v>380</v>
      </c>
      <c r="F231">
        <v>684</v>
      </c>
      <c r="G231" t="s">
        <v>816</v>
      </c>
      <c r="H231">
        <v>1</v>
      </c>
      <c r="I231" t="s">
        <v>3348</v>
      </c>
      <c r="J231" s="2" t="str">
        <f t="shared" si="9"/>
        <v>[238]=684,</v>
      </c>
      <c r="K231" s="3">
        <f t="shared" si="10"/>
        <v>238</v>
      </c>
      <c r="L231" s="3">
        <f t="shared" si="11"/>
        <v>684</v>
      </c>
      <c r="M231" s="9" t="str">
        <f>VLOOKUP(A231,WayshrineNames!$A$3:$B$967,2,)</f>
        <v>Icy Shore Wayshrine</v>
      </c>
      <c r="N231" s="3" t="str">
        <f>VLOOKUP(F231,'ESO zones'!$A$5:$D$10003,4,FALSE)</f>
        <v>Wrothgar</v>
      </c>
    </row>
    <row r="232" spans="1:14" x14ac:dyDescent="0.25">
      <c r="A232">
        <v>239</v>
      </c>
      <c r="B232">
        <v>27</v>
      </c>
      <c r="C232">
        <v>667</v>
      </c>
      <c r="D232" t="s">
        <v>816</v>
      </c>
      <c r="E232">
        <v>380</v>
      </c>
      <c r="F232">
        <v>684</v>
      </c>
      <c r="G232" t="s">
        <v>816</v>
      </c>
      <c r="H232">
        <v>1</v>
      </c>
      <c r="I232" t="s">
        <v>3349</v>
      </c>
      <c r="J232" s="2" t="str">
        <f t="shared" si="9"/>
        <v>[239]=684,</v>
      </c>
      <c r="K232" s="3">
        <f t="shared" si="10"/>
        <v>239</v>
      </c>
      <c r="L232" s="3">
        <f t="shared" si="11"/>
        <v>684</v>
      </c>
      <c r="M232" s="9" t="str">
        <f>VLOOKUP(A232,WayshrineNames!$A$3:$B$967,2,)</f>
        <v>Two Rivers Wayshrine</v>
      </c>
      <c r="N232" s="3" t="str">
        <f>VLOOKUP(F232,'ESO zones'!$A$5:$D$10003,4,FALSE)</f>
        <v>Wrothgar</v>
      </c>
    </row>
    <row r="233" spans="1:14" x14ac:dyDescent="0.25">
      <c r="A233">
        <v>240</v>
      </c>
      <c r="B233">
        <v>27</v>
      </c>
      <c r="C233">
        <v>667</v>
      </c>
      <c r="D233" t="s">
        <v>816</v>
      </c>
      <c r="E233">
        <v>380</v>
      </c>
      <c r="F233">
        <v>684</v>
      </c>
      <c r="G233" t="s">
        <v>816</v>
      </c>
      <c r="H233">
        <v>1</v>
      </c>
      <c r="I233" t="s">
        <v>3350</v>
      </c>
      <c r="J233" s="2" t="str">
        <f t="shared" si="9"/>
        <v>[240]=684,</v>
      </c>
      <c r="K233" s="3">
        <f t="shared" si="10"/>
        <v>240</v>
      </c>
      <c r="L233" s="3">
        <f t="shared" si="11"/>
        <v>684</v>
      </c>
      <c r="M233" s="9" t="str">
        <f>VLOOKUP(A233,WayshrineNames!$A$3:$B$967,2,)</f>
        <v>Morkul Plain Wayshrine</v>
      </c>
      <c r="N233" s="3" t="str">
        <f>VLOOKUP(F233,'ESO zones'!$A$5:$D$10003,4,FALSE)</f>
        <v>Wrothgar</v>
      </c>
    </row>
    <row r="234" spans="1:14" x14ac:dyDescent="0.25">
      <c r="A234">
        <v>241</v>
      </c>
      <c r="B234">
        <v>27</v>
      </c>
      <c r="C234">
        <v>667</v>
      </c>
      <c r="D234" t="s">
        <v>816</v>
      </c>
      <c r="E234">
        <v>380</v>
      </c>
      <c r="F234">
        <v>684</v>
      </c>
      <c r="G234" t="s">
        <v>816</v>
      </c>
      <c r="H234">
        <v>1</v>
      </c>
      <c r="I234" t="s">
        <v>3351</v>
      </c>
      <c r="J234" s="2" t="str">
        <f t="shared" si="9"/>
        <v>[241]=684,</v>
      </c>
      <c r="K234" s="3">
        <f t="shared" si="10"/>
        <v>241</v>
      </c>
      <c r="L234" s="3">
        <f t="shared" si="11"/>
        <v>684</v>
      </c>
      <c r="M234" s="9" t="str">
        <f>VLOOKUP(A234,WayshrineNames!$A$3:$B$967,2,)</f>
        <v>Great Bay Wayshrine</v>
      </c>
      <c r="N234" s="3" t="str">
        <f>VLOOKUP(F234,'ESO zones'!$A$5:$D$10003,4,FALSE)</f>
        <v>Wrothgar</v>
      </c>
    </row>
    <row r="235" spans="1:14" x14ac:dyDescent="0.25">
      <c r="A235">
        <v>242</v>
      </c>
      <c r="B235">
        <v>27</v>
      </c>
      <c r="C235">
        <v>667</v>
      </c>
      <c r="D235" t="s">
        <v>816</v>
      </c>
      <c r="E235">
        <v>380</v>
      </c>
      <c r="F235">
        <v>684</v>
      </c>
      <c r="G235" t="s">
        <v>816</v>
      </c>
      <c r="H235">
        <v>1</v>
      </c>
      <c r="I235" t="s">
        <v>3352</v>
      </c>
      <c r="J235" s="2" t="str">
        <f t="shared" si="9"/>
        <v>[242]=684,</v>
      </c>
      <c r="K235" s="3">
        <f t="shared" si="10"/>
        <v>242</v>
      </c>
      <c r="L235" s="3">
        <f t="shared" si="11"/>
        <v>684</v>
      </c>
      <c r="M235" s="9" t="str">
        <f>VLOOKUP(A235,WayshrineNames!$A$3:$B$967,2,)</f>
        <v>Frostbreak Ridge Wayshrine</v>
      </c>
      <c r="N235" s="3" t="str">
        <f>VLOOKUP(F235,'ESO zones'!$A$5:$D$10003,4,FALSE)</f>
        <v>Wrothgar</v>
      </c>
    </row>
    <row r="236" spans="1:14" x14ac:dyDescent="0.25">
      <c r="A236">
        <v>243</v>
      </c>
      <c r="B236">
        <v>27</v>
      </c>
      <c r="C236">
        <v>667</v>
      </c>
      <c r="D236" t="s">
        <v>816</v>
      </c>
      <c r="E236">
        <v>380</v>
      </c>
      <c r="F236">
        <v>684</v>
      </c>
      <c r="G236" t="s">
        <v>816</v>
      </c>
      <c r="H236">
        <v>1</v>
      </c>
      <c r="I236" t="s">
        <v>3353</v>
      </c>
      <c r="J236" s="2" t="str">
        <f t="shared" si="9"/>
        <v>[243]=684,</v>
      </c>
      <c r="K236" s="3">
        <f t="shared" si="10"/>
        <v>243</v>
      </c>
      <c r="L236" s="3">
        <f t="shared" si="11"/>
        <v>684</v>
      </c>
      <c r="M236" s="9" t="str">
        <f>VLOOKUP(A236,WayshrineNames!$A$3:$B$967,2,)</f>
        <v>Siege Road Wayshrine</v>
      </c>
      <c r="N236" s="3" t="str">
        <f>VLOOKUP(F236,'ESO zones'!$A$5:$D$10003,4,FALSE)</f>
        <v>Wrothgar</v>
      </c>
    </row>
    <row r="237" spans="1:14" x14ac:dyDescent="0.25">
      <c r="A237">
        <v>244</v>
      </c>
      <c r="B237">
        <v>27</v>
      </c>
      <c r="C237">
        <v>667</v>
      </c>
      <c r="D237" t="s">
        <v>816</v>
      </c>
      <c r="E237">
        <v>380</v>
      </c>
      <c r="F237">
        <v>684</v>
      </c>
      <c r="G237" t="s">
        <v>816</v>
      </c>
      <c r="H237">
        <v>1</v>
      </c>
      <c r="I237" t="s">
        <v>3354</v>
      </c>
      <c r="J237" s="2" t="str">
        <f t="shared" si="9"/>
        <v>[244]=684,</v>
      </c>
      <c r="K237" s="3">
        <f t="shared" si="10"/>
        <v>244</v>
      </c>
      <c r="L237" s="3">
        <f t="shared" si="11"/>
        <v>684</v>
      </c>
      <c r="M237" s="9" t="str">
        <f>VLOOKUP(A237,WayshrineNames!$A$3:$B$967,2,)</f>
        <v>Orsinium Wayshrine</v>
      </c>
      <c r="N237" s="3" t="str">
        <f>VLOOKUP(F237,'ESO zones'!$A$5:$D$10003,4,FALSE)</f>
        <v>Wrothgar</v>
      </c>
    </row>
    <row r="238" spans="1:14" x14ac:dyDescent="0.25">
      <c r="A238">
        <v>245</v>
      </c>
      <c r="B238">
        <v>27</v>
      </c>
      <c r="C238">
        <v>667</v>
      </c>
      <c r="D238" t="s">
        <v>816</v>
      </c>
      <c r="E238">
        <v>380</v>
      </c>
      <c r="F238">
        <v>684</v>
      </c>
      <c r="G238" t="s">
        <v>816</v>
      </c>
      <c r="H238">
        <v>1</v>
      </c>
      <c r="I238" t="s">
        <v>3355</v>
      </c>
      <c r="J238" s="2" t="str">
        <f t="shared" si="9"/>
        <v>[245]=684,</v>
      </c>
      <c r="K238" s="3">
        <f t="shared" si="10"/>
        <v>245</v>
      </c>
      <c r="L238" s="3">
        <f t="shared" si="11"/>
        <v>684</v>
      </c>
      <c r="M238" s="9" t="str">
        <f>VLOOKUP(A238,WayshrineNames!$A$3:$B$967,2,)</f>
        <v>Trader's Road Wayshrine</v>
      </c>
      <c r="N238" s="3" t="str">
        <f>VLOOKUP(F238,'ESO zones'!$A$5:$D$10003,4,FALSE)</f>
        <v>Wrothgar</v>
      </c>
    </row>
    <row r="239" spans="1:14" x14ac:dyDescent="0.25">
      <c r="A239">
        <v>246</v>
      </c>
      <c r="B239">
        <v>27</v>
      </c>
      <c r="C239">
        <v>667</v>
      </c>
      <c r="D239" t="s">
        <v>816</v>
      </c>
      <c r="E239">
        <v>380</v>
      </c>
      <c r="F239">
        <v>684</v>
      </c>
      <c r="G239" t="s">
        <v>816</v>
      </c>
      <c r="H239">
        <v>1</v>
      </c>
      <c r="I239" t="s">
        <v>3356</v>
      </c>
      <c r="J239" s="2" t="str">
        <f t="shared" si="9"/>
        <v>[246]=684,</v>
      </c>
      <c r="K239" s="3">
        <f t="shared" si="10"/>
        <v>246</v>
      </c>
      <c r="L239" s="3">
        <f t="shared" si="11"/>
        <v>684</v>
      </c>
      <c r="M239" s="9" t="str">
        <f>VLOOKUP(A239,WayshrineNames!$A$3:$B$967,2,)</f>
        <v>Merchant's Gate Wayshrine</v>
      </c>
      <c r="N239" s="3" t="str">
        <f>VLOOKUP(F239,'ESO zones'!$A$5:$D$10003,4,FALSE)</f>
        <v>Wrothgar</v>
      </c>
    </row>
    <row r="240" spans="1:14" x14ac:dyDescent="0.25">
      <c r="A240" s="58">
        <v>247</v>
      </c>
      <c r="B240">
        <v>14</v>
      </c>
      <c r="C240">
        <v>16</v>
      </c>
      <c r="D240" t="s">
        <v>166</v>
      </c>
      <c r="E240">
        <v>38</v>
      </c>
      <c r="F240">
        <v>181</v>
      </c>
      <c r="G240" t="s">
        <v>166</v>
      </c>
      <c r="H240">
        <v>6</v>
      </c>
      <c r="I240" t="s">
        <v>3357</v>
      </c>
      <c r="J240" s="2" t="str">
        <f t="shared" si="9"/>
        <v>[247]=181,</v>
      </c>
      <c r="K240" s="3">
        <f t="shared" si="10"/>
        <v>247</v>
      </c>
      <c r="L240" s="3">
        <f t="shared" si="11"/>
        <v>181</v>
      </c>
      <c r="M240" s="9" t="str">
        <f>VLOOKUP(A240,WayshrineNames!$A$3:$B$967,2,)</f>
        <v>Dungeon: White-Gold Tower</v>
      </c>
      <c r="N240" s="3" t="str">
        <f>VLOOKUP(F240,'ESO zones'!$A$5:$D$10003,4,FALSE)</f>
        <v>Cyrodiil</v>
      </c>
    </row>
    <row r="241" spans="1:14" x14ac:dyDescent="0.25">
      <c r="A241">
        <v>249</v>
      </c>
      <c r="B241">
        <v>27</v>
      </c>
      <c r="C241">
        <v>667</v>
      </c>
      <c r="D241" t="s">
        <v>816</v>
      </c>
      <c r="E241">
        <v>380</v>
      </c>
      <c r="F241">
        <v>684</v>
      </c>
      <c r="G241" t="s">
        <v>816</v>
      </c>
      <c r="H241">
        <v>0</v>
      </c>
      <c r="I241" t="s">
        <v>818</v>
      </c>
      <c r="J241" s="2" t="str">
        <f t="shared" si="9"/>
        <v>[249]=684,</v>
      </c>
      <c r="K241" s="3">
        <f t="shared" si="10"/>
        <v>249</v>
      </c>
      <c r="L241" s="3">
        <f t="shared" si="11"/>
        <v>684</v>
      </c>
      <c r="M241" s="9" t="str">
        <f>VLOOKUP(A241,WayshrineNames!$A$3:$B$967,2,)</f>
        <v>Maelstrom Arena</v>
      </c>
      <c r="N241" s="3" t="str">
        <f>VLOOKUP(F241,'ESO zones'!$A$5:$D$10003,4,FALSE)</f>
        <v>Wrothgar</v>
      </c>
    </row>
    <row r="242" spans="1:14" x14ac:dyDescent="0.25">
      <c r="A242">
        <v>250</v>
      </c>
      <c r="B242">
        <v>27</v>
      </c>
      <c r="C242">
        <v>667</v>
      </c>
      <c r="D242" t="s">
        <v>816</v>
      </c>
      <c r="E242">
        <v>380</v>
      </c>
      <c r="F242">
        <v>684</v>
      </c>
      <c r="G242" t="s">
        <v>816</v>
      </c>
      <c r="H242">
        <v>0</v>
      </c>
      <c r="I242" t="s">
        <v>818</v>
      </c>
      <c r="J242" s="2" t="str">
        <f t="shared" si="9"/>
        <v>[250]=684,</v>
      </c>
      <c r="K242" s="3">
        <f t="shared" si="10"/>
        <v>250</v>
      </c>
      <c r="L242" s="3">
        <f t="shared" si="11"/>
        <v>684</v>
      </c>
      <c r="M242" s="9" t="str">
        <f>VLOOKUP(A242,WayshrineNames!$A$3:$B$967,2,)</f>
        <v>Maelstrom Arena</v>
      </c>
      <c r="N242" s="3" t="str">
        <f>VLOOKUP(F242,'ESO zones'!$A$5:$D$10003,4,FALSE)</f>
        <v>Wrothgar</v>
      </c>
    </row>
    <row r="243" spans="1:14" x14ac:dyDescent="0.25">
      <c r="A243" s="58">
        <v>251</v>
      </c>
      <c r="B243">
        <v>29</v>
      </c>
      <c r="C243">
        <v>1006</v>
      </c>
      <c r="D243" t="s">
        <v>3358</v>
      </c>
      <c r="E243">
        <v>449</v>
      </c>
      <c r="F243">
        <v>823</v>
      </c>
      <c r="G243" t="s">
        <v>3359</v>
      </c>
      <c r="H243">
        <v>1</v>
      </c>
      <c r="I243" t="s">
        <v>3360</v>
      </c>
      <c r="J243" s="2" t="str">
        <f t="shared" si="9"/>
        <v>[251]=823,</v>
      </c>
      <c r="K243" s="3">
        <f t="shared" si="10"/>
        <v>251</v>
      </c>
      <c r="L243" s="3">
        <f t="shared" si="11"/>
        <v>823</v>
      </c>
      <c r="M243" s="9" t="str">
        <f>VLOOKUP(A243,WayshrineNames!$A$3:$B$967,2,)</f>
        <v>Anvil Wayshrine</v>
      </c>
      <c r="N243" s="3" t="str">
        <f>VLOOKUP(F243,'ESO zones'!$A$5:$D$10003,4,FALSE)</f>
        <v>Gold Coast</v>
      </c>
    </row>
    <row r="244" spans="1:14" x14ac:dyDescent="0.25">
      <c r="A244" s="58">
        <v>252</v>
      </c>
      <c r="B244">
        <v>29</v>
      </c>
      <c r="C244">
        <v>1006</v>
      </c>
      <c r="D244" t="s">
        <v>3358</v>
      </c>
      <c r="E244">
        <v>449</v>
      </c>
      <c r="F244">
        <v>823</v>
      </c>
      <c r="G244" t="s">
        <v>3359</v>
      </c>
      <c r="H244">
        <v>1</v>
      </c>
      <c r="I244" t="s">
        <v>3361</v>
      </c>
      <c r="J244" s="2" t="str">
        <f t="shared" si="9"/>
        <v>[252]=823,</v>
      </c>
      <c r="K244" s="3">
        <f t="shared" si="10"/>
        <v>252</v>
      </c>
      <c r="L244" s="3">
        <f t="shared" si="11"/>
        <v>823</v>
      </c>
      <c r="M244" s="9" t="str">
        <f>VLOOKUP(A244,WayshrineNames!$A$3:$B$967,2,)</f>
        <v>Kvatch Wayshrine</v>
      </c>
      <c r="N244" s="3" t="str">
        <f>VLOOKUP(F244,'ESO zones'!$A$5:$D$10003,4,FALSE)</f>
        <v>Gold Coast</v>
      </c>
    </row>
    <row r="245" spans="1:14" x14ac:dyDescent="0.25">
      <c r="A245" s="58">
        <v>253</v>
      </c>
      <c r="B245">
        <v>29</v>
      </c>
      <c r="C245">
        <v>1006</v>
      </c>
      <c r="D245" t="s">
        <v>3358</v>
      </c>
      <c r="E245">
        <v>449</v>
      </c>
      <c r="F245">
        <v>823</v>
      </c>
      <c r="G245" t="s">
        <v>3359</v>
      </c>
      <c r="H245">
        <v>1</v>
      </c>
      <c r="I245" t="s">
        <v>3362</v>
      </c>
      <c r="J245" s="2" t="str">
        <f t="shared" si="9"/>
        <v>[253]=823,</v>
      </c>
      <c r="K245" s="3">
        <f t="shared" si="10"/>
        <v>253</v>
      </c>
      <c r="L245" s="3">
        <f t="shared" si="11"/>
        <v>823</v>
      </c>
      <c r="M245" s="9" t="str">
        <f>VLOOKUP(A245,WayshrineNames!$A$3:$B$967,2,)</f>
        <v>Strid River Wayshrine</v>
      </c>
      <c r="N245" s="3" t="str">
        <f>VLOOKUP(F245,'ESO zones'!$A$5:$D$10003,4,FALSE)</f>
        <v>Gold Coast</v>
      </c>
    </row>
    <row r="246" spans="1:14" x14ac:dyDescent="0.25">
      <c r="A246" s="58">
        <v>254</v>
      </c>
      <c r="B246">
        <v>29</v>
      </c>
      <c r="C246">
        <v>1006</v>
      </c>
      <c r="D246" t="s">
        <v>3358</v>
      </c>
      <c r="E246">
        <v>449</v>
      </c>
      <c r="F246">
        <v>823</v>
      </c>
      <c r="G246" t="s">
        <v>3359</v>
      </c>
      <c r="H246">
        <v>1</v>
      </c>
      <c r="I246" t="s">
        <v>3363</v>
      </c>
      <c r="J246" s="2" t="str">
        <f t="shared" si="9"/>
        <v>[254]=823,</v>
      </c>
      <c r="K246" s="3">
        <f t="shared" si="10"/>
        <v>254</v>
      </c>
      <c r="L246" s="3">
        <f t="shared" si="11"/>
        <v>823</v>
      </c>
      <c r="M246" s="9" t="str">
        <f>VLOOKUP(A246,WayshrineNames!$A$3:$B$967,2,)</f>
        <v>Gold Coast Wayshrine</v>
      </c>
      <c r="N246" s="3" t="str">
        <f>VLOOKUP(F246,'ESO zones'!$A$5:$D$10003,4,FALSE)</f>
        <v>Gold Coast</v>
      </c>
    </row>
    <row r="247" spans="1:14" x14ac:dyDescent="0.25">
      <c r="A247" s="58">
        <v>255</v>
      </c>
      <c r="B247">
        <v>28</v>
      </c>
      <c r="C247">
        <v>994</v>
      </c>
      <c r="D247" t="s">
        <v>3364</v>
      </c>
      <c r="E247">
        <v>443</v>
      </c>
      <c r="F247">
        <v>816</v>
      </c>
      <c r="G247" t="s">
        <v>3364</v>
      </c>
      <c r="H247">
        <v>1</v>
      </c>
      <c r="I247" t="s">
        <v>3365</v>
      </c>
      <c r="J247" s="2" t="str">
        <f t="shared" si="9"/>
        <v>[255]=816,</v>
      </c>
      <c r="K247" s="3">
        <f t="shared" si="10"/>
        <v>255</v>
      </c>
      <c r="L247" s="3">
        <f t="shared" si="11"/>
        <v>816</v>
      </c>
      <c r="M247" s="9" t="str">
        <f>VLOOKUP(A247,WayshrineNames!$A$3:$B$967,2,)</f>
        <v>Abah's Landing Wayshrine</v>
      </c>
      <c r="N247" s="3" t="str">
        <f>VLOOKUP(F247,'ESO zones'!$A$5:$D$10003,4,FALSE)</f>
        <v>Hew's Bane</v>
      </c>
    </row>
    <row r="248" spans="1:14" x14ac:dyDescent="0.25">
      <c r="A248" s="58">
        <v>256</v>
      </c>
      <c r="B248">
        <v>28</v>
      </c>
      <c r="C248">
        <v>994</v>
      </c>
      <c r="D248" t="s">
        <v>3364</v>
      </c>
      <c r="E248">
        <v>443</v>
      </c>
      <c r="F248">
        <v>816</v>
      </c>
      <c r="G248" t="s">
        <v>3364</v>
      </c>
      <c r="H248">
        <v>1</v>
      </c>
      <c r="I248" t="s">
        <v>3366</v>
      </c>
      <c r="J248" s="2" t="str">
        <f t="shared" si="9"/>
        <v>[256]=816,</v>
      </c>
      <c r="K248" s="3">
        <f t="shared" si="10"/>
        <v>256</v>
      </c>
      <c r="L248" s="3">
        <f t="shared" si="11"/>
        <v>816</v>
      </c>
      <c r="M248" s="9" t="str">
        <f>VLOOKUP(A248,WayshrineNames!$A$3:$B$967,2,)</f>
        <v>Zeht's Displeasure Wayshrine</v>
      </c>
      <c r="N248" s="3" t="str">
        <f>VLOOKUP(F248,'ESO zones'!$A$5:$D$10003,4,FALSE)</f>
        <v>Hew's Bane</v>
      </c>
    </row>
    <row r="249" spans="1:14" x14ac:dyDescent="0.25">
      <c r="A249" s="58">
        <v>257</v>
      </c>
      <c r="B249">
        <v>28</v>
      </c>
      <c r="C249">
        <v>994</v>
      </c>
      <c r="D249" t="s">
        <v>3364</v>
      </c>
      <c r="E249">
        <v>443</v>
      </c>
      <c r="F249">
        <v>816</v>
      </c>
      <c r="G249" t="s">
        <v>3364</v>
      </c>
      <c r="H249">
        <v>1</v>
      </c>
      <c r="I249" t="s">
        <v>3367</v>
      </c>
      <c r="J249" s="2" t="str">
        <f t="shared" si="9"/>
        <v>[257]=816,</v>
      </c>
      <c r="K249" s="3">
        <f t="shared" si="10"/>
        <v>257</v>
      </c>
      <c r="L249" s="3">
        <f t="shared" si="11"/>
        <v>816</v>
      </c>
      <c r="M249" s="9" t="str">
        <f>VLOOKUP(A249,WayshrineNames!$A$3:$B$967,2,)</f>
        <v>No Shira Citadel Wayshrine</v>
      </c>
      <c r="N249" s="3" t="str">
        <f>VLOOKUP(F249,'ESO zones'!$A$5:$D$10003,4,FALSE)</f>
        <v>Hew's Bane</v>
      </c>
    </row>
    <row r="250" spans="1:14" x14ac:dyDescent="0.25">
      <c r="A250" s="58">
        <v>258</v>
      </c>
      <c r="B250">
        <v>17</v>
      </c>
      <c r="C250">
        <v>256</v>
      </c>
      <c r="D250" t="s">
        <v>3260</v>
      </c>
      <c r="E250">
        <v>180</v>
      </c>
      <c r="F250">
        <v>382</v>
      </c>
      <c r="G250" t="s">
        <v>3260</v>
      </c>
      <c r="H250">
        <v>3</v>
      </c>
      <c r="I250" t="s">
        <v>3368</v>
      </c>
      <c r="J250" s="2" t="str">
        <f t="shared" si="9"/>
        <v>[258]=382,</v>
      </c>
      <c r="K250" s="3">
        <f t="shared" si="10"/>
        <v>258</v>
      </c>
      <c r="L250" s="3">
        <f t="shared" si="11"/>
        <v>382</v>
      </c>
      <c r="M250" s="9" t="str">
        <f>VLOOKUP(A250,WayshrineNames!$A$3:$B$967,2,)</f>
        <v>Trial: Maw of Lorkhaj</v>
      </c>
      <c r="N250" s="3" t="str">
        <f>VLOOKUP(F250,'ESO zones'!$A$5:$D$10003,4,FALSE)</f>
        <v>Reaper's March</v>
      </c>
    </row>
    <row r="251" spans="1:14" x14ac:dyDescent="0.25">
      <c r="A251" s="58">
        <v>260</v>
      </c>
      <c r="B251">
        <v>9</v>
      </c>
      <c r="C251">
        <v>26</v>
      </c>
      <c r="D251" t="s">
        <v>3159</v>
      </c>
      <c r="E251">
        <v>19</v>
      </c>
      <c r="F251">
        <v>117</v>
      </c>
      <c r="G251" t="s">
        <v>3159</v>
      </c>
      <c r="H251">
        <v>6</v>
      </c>
      <c r="I251" t="s">
        <v>3369</v>
      </c>
      <c r="J251" s="2" t="str">
        <f t="shared" si="9"/>
        <v>[260]=117,</v>
      </c>
      <c r="K251" s="3">
        <f t="shared" si="10"/>
        <v>260</v>
      </c>
      <c r="L251" s="3">
        <f t="shared" si="11"/>
        <v>117</v>
      </c>
      <c r="M251" s="9" t="str">
        <f>VLOOKUP(A251,WayshrineNames!$A$3:$B$967,2,)</f>
        <v>Dungeon: Ruins of Mazzatun</v>
      </c>
      <c r="N251" s="3" t="str">
        <f>VLOOKUP(F251,'ESO zones'!$A$5:$D$10003,4,FALSE)</f>
        <v>Shadowfen</v>
      </c>
    </row>
    <row r="252" spans="1:14" x14ac:dyDescent="0.25">
      <c r="A252" s="58">
        <v>261</v>
      </c>
      <c r="B252">
        <v>9</v>
      </c>
      <c r="C252">
        <v>26</v>
      </c>
      <c r="D252" t="s">
        <v>3159</v>
      </c>
      <c r="E252">
        <v>19</v>
      </c>
      <c r="F252">
        <v>117</v>
      </c>
      <c r="G252" t="s">
        <v>3159</v>
      </c>
      <c r="H252">
        <v>6</v>
      </c>
      <c r="I252" t="s">
        <v>3370</v>
      </c>
      <c r="J252" s="2" t="str">
        <f t="shared" si="9"/>
        <v>[261]=117,</v>
      </c>
      <c r="K252" s="3">
        <f t="shared" si="10"/>
        <v>261</v>
      </c>
      <c r="L252" s="3">
        <f t="shared" si="11"/>
        <v>117</v>
      </c>
      <c r="M252" s="9" t="str">
        <f>VLOOKUP(A252,WayshrineNames!$A$3:$B$967,2,)</f>
        <v>Dungeon: Cradle of Shadows</v>
      </c>
      <c r="N252" s="3" t="str">
        <f>VLOOKUP(F252,'ESO zones'!$A$5:$D$10003,4,FALSE)</f>
        <v>Shadowfen</v>
      </c>
    </row>
    <row r="253" spans="1:14" x14ac:dyDescent="0.25">
      <c r="A253" s="58">
        <v>262</v>
      </c>
      <c r="B253">
        <v>15</v>
      </c>
      <c r="C253">
        <v>143</v>
      </c>
      <c r="D253" t="s">
        <v>439</v>
      </c>
      <c r="E253">
        <v>179</v>
      </c>
      <c r="F253">
        <v>381</v>
      </c>
      <c r="G253" t="s">
        <v>439</v>
      </c>
      <c r="H253">
        <v>6</v>
      </c>
      <c r="I253" t="s">
        <v>3371</v>
      </c>
      <c r="J253" s="2" t="str">
        <f t="shared" si="9"/>
        <v>[262]=381,</v>
      </c>
      <c r="K253" s="3">
        <f t="shared" si="10"/>
        <v>262</v>
      </c>
      <c r="L253" s="3">
        <f t="shared" si="11"/>
        <v>381</v>
      </c>
      <c r="M253" s="9" t="str">
        <f>VLOOKUP(A253,WayshrineNames!$A$3:$B$967,2,)</f>
        <v>Dungeon: The Banished Cells II</v>
      </c>
      <c r="N253" s="3" t="str">
        <f>VLOOKUP(F253,'ESO zones'!$A$5:$D$10003,4,FALSE)</f>
        <v>Auridon</v>
      </c>
    </row>
    <row r="254" spans="1:14" x14ac:dyDescent="0.25">
      <c r="A254" s="58">
        <v>263</v>
      </c>
      <c r="B254">
        <v>4</v>
      </c>
      <c r="C254">
        <v>12</v>
      </c>
      <c r="D254" t="s">
        <v>3121</v>
      </c>
      <c r="E254">
        <v>4</v>
      </c>
      <c r="F254">
        <v>19</v>
      </c>
      <c r="G254" t="s">
        <v>3121</v>
      </c>
      <c r="H254">
        <v>6</v>
      </c>
      <c r="I254" t="s">
        <v>3372</v>
      </c>
      <c r="J254" s="2" t="str">
        <f t="shared" si="9"/>
        <v>[263]=19,</v>
      </c>
      <c r="K254" s="3">
        <f t="shared" si="10"/>
        <v>263</v>
      </c>
      <c r="L254" s="3">
        <f t="shared" si="11"/>
        <v>19</v>
      </c>
      <c r="M254" s="9" t="str">
        <f>VLOOKUP(A254,WayshrineNames!$A$3:$B$967,2,)</f>
        <v>Dungeon: Wayrest Sewers II</v>
      </c>
      <c r="N254" s="3" t="str">
        <f>VLOOKUP(F254,'ESO zones'!$A$5:$D$10003,4,FALSE)</f>
        <v>Stormhaven</v>
      </c>
    </row>
    <row r="255" spans="1:14" x14ac:dyDescent="0.25">
      <c r="A255" s="58">
        <v>264</v>
      </c>
      <c r="B255">
        <v>10</v>
      </c>
      <c r="C255">
        <v>13</v>
      </c>
      <c r="D255" t="s">
        <v>436</v>
      </c>
      <c r="E255">
        <v>10</v>
      </c>
      <c r="F255">
        <v>57</v>
      </c>
      <c r="G255" t="s">
        <v>436</v>
      </c>
      <c r="H255">
        <v>6</v>
      </c>
      <c r="I255" t="s">
        <v>3373</v>
      </c>
      <c r="J255" s="2" t="str">
        <f t="shared" si="9"/>
        <v>[264]=57,</v>
      </c>
      <c r="K255" s="3">
        <f t="shared" si="10"/>
        <v>264</v>
      </c>
      <c r="L255" s="3">
        <f t="shared" si="11"/>
        <v>57</v>
      </c>
      <c r="M255" s="9" t="str">
        <f>VLOOKUP(A255,WayshrineNames!$A$3:$B$967,2,)</f>
        <v>Dungeon: Darkshade Caverns II</v>
      </c>
      <c r="N255" s="3" t="str">
        <f>VLOOKUP(F255,'ESO zones'!$A$5:$D$10003,4,FALSE)</f>
        <v>Deshaan</v>
      </c>
    </row>
    <row r="256" spans="1:14" x14ac:dyDescent="0.25">
      <c r="A256" s="58">
        <v>265</v>
      </c>
      <c r="B256">
        <v>7</v>
      </c>
      <c r="C256">
        <v>9</v>
      </c>
      <c r="D256" t="s">
        <v>3129</v>
      </c>
      <c r="E256">
        <v>181</v>
      </c>
      <c r="F256">
        <v>383</v>
      </c>
      <c r="G256" t="s">
        <v>3129</v>
      </c>
      <c r="H256">
        <v>6</v>
      </c>
      <c r="I256" t="s">
        <v>3374</v>
      </c>
      <c r="J256" s="2" t="str">
        <f t="shared" si="9"/>
        <v>[265]=383,</v>
      </c>
      <c r="K256" s="3">
        <f t="shared" si="10"/>
        <v>265</v>
      </c>
      <c r="L256" s="3">
        <f t="shared" si="11"/>
        <v>383</v>
      </c>
      <c r="M256" s="9" t="str">
        <f>VLOOKUP(A256,WayshrineNames!$A$3:$B$967,2,)</f>
        <v>Dungeon: Elden Hollow II</v>
      </c>
      <c r="N256" s="3" t="str">
        <f>VLOOKUP(F256,'ESO zones'!$A$5:$D$10003,4,FALSE)</f>
        <v>Grahtwood</v>
      </c>
    </row>
    <row r="257" spans="1:14" x14ac:dyDescent="0.25">
      <c r="A257" s="58">
        <v>266</v>
      </c>
      <c r="B257">
        <v>11</v>
      </c>
      <c r="C257">
        <v>7</v>
      </c>
      <c r="D257" t="s">
        <v>3150</v>
      </c>
      <c r="E257">
        <v>9</v>
      </c>
      <c r="F257">
        <v>41</v>
      </c>
      <c r="G257" t="s">
        <v>3150</v>
      </c>
      <c r="H257">
        <v>6</v>
      </c>
      <c r="I257" t="s">
        <v>3375</v>
      </c>
      <c r="J257" s="2" t="str">
        <f t="shared" si="9"/>
        <v>[266]=41,</v>
      </c>
      <c r="K257" s="3">
        <f t="shared" si="10"/>
        <v>266</v>
      </c>
      <c r="L257" s="3">
        <f t="shared" si="11"/>
        <v>41</v>
      </c>
      <c r="M257" s="9" t="str">
        <f>VLOOKUP(A257,WayshrineNames!$A$3:$B$967,2,)</f>
        <v>Dungeon: Fungal Grotto II</v>
      </c>
      <c r="N257" s="3" t="str">
        <f>VLOOKUP(F257,'ESO zones'!$A$5:$D$10003,4,FALSE)</f>
        <v>Stonefalls</v>
      </c>
    </row>
    <row r="258" spans="1:14" x14ac:dyDescent="0.25">
      <c r="A258" s="58">
        <v>267</v>
      </c>
      <c r="B258">
        <v>2</v>
      </c>
      <c r="C258">
        <v>1</v>
      </c>
      <c r="D258" t="s">
        <v>496</v>
      </c>
      <c r="E258">
        <v>2</v>
      </c>
      <c r="F258">
        <v>3</v>
      </c>
      <c r="G258" t="s">
        <v>496</v>
      </c>
      <c r="H258">
        <v>6</v>
      </c>
      <c r="I258" t="s">
        <v>3376</v>
      </c>
      <c r="J258" s="2" t="str">
        <f t="shared" si="9"/>
        <v>[267]=3,</v>
      </c>
      <c r="K258" s="3">
        <f t="shared" si="10"/>
        <v>267</v>
      </c>
      <c r="L258" s="3">
        <f t="shared" si="11"/>
        <v>3</v>
      </c>
      <c r="M258" s="9" t="str">
        <f>VLOOKUP(A258,WayshrineNames!$A$3:$B$967,2,)</f>
        <v>Dungeon: Spindleclutch II</v>
      </c>
      <c r="N258" s="3" t="str">
        <f>VLOOKUP(F258,'ESO zones'!$A$5:$D$10003,4,FALSE)</f>
        <v>Glenumbra</v>
      </c>
    </row>
    <row r="259" spans="1:14" x14ac:dyDescent="0.25">
      <c r="A259" s="58">
        <v>268</v>
      </c>
      <c r="B259">
        <v>16</v>
      </c>
      <c r="C259">
        <v>300</v>
      </c>
      <c r="D259" t="s">
        <v>3258</v>
      </c>
      <c r="E259">
        <v>18</v>
      </c>
      <c r="F259">
        <v>108</v>
      </c>
      <c r="G259" t="s">
        <v>3258</v>
      </c>
      <c r="H259">
        <v>6</v>
      </c>
      <c r="I259" t="s">
        <v>3377</v>
      </c>
      <c r="J259" s="2" t="str">
        <f t="shared" ref="J259:J322" si="12">IF(A259&lt;&gt;"",IF(F259&lt;&gt;"",IF(OR(ISNA(A259),ISNA(F259)),"","["&amp;A259&amp;"]="&amp;F259&amp;","),""),"")</f>
        <v>[268]=108,</v>
      </c>
      <c r="K259" s="3">
        <f t="shared" ref="K259:K322" si="13">A259</f>
        <v>268</v>
      </c>
      <c r="L259" s="3">
        <f t="shared" ref="L259:L322" si="14">F259</f>
        <v>108</v>
      </c>
      <c r="M259" s="9" t="str">
        <f>VLOOKUP(A259,WayshrineNames!$A$3:$B$967,2,)</f>
        <v>Dungeon: City of Ash II</v>
      </c>
      <c r="N259" s="3" t="str">
        <f>VLOOKUP(F259,'ESO zones'!$A$5:$D$10003,4,FALSE)</f>
        <v>Greenshade</v>
      </c>
    </row>
    <row r="260" spans="1:14" x14ac:dyDescent="0.25">
      <c r="A260" s="58">
        <v>269</v>
      </c>
      <c r="B260">
        <v>3</v>
      </c>
      <c r="C260">
        <v>10</v>
      </c>
      <c r="D260" t="s">
        <v>3115</v>
      </c>
      <c r="E260">
        <v>5</v>
      </c>
      <c r="F260">
        <v>20</v>
      </c>
      <c r="G260" t="s">
        <v>3115</v>
      </c>
      <c r="H260">
        <v>6</v>
      </c>
      <c r="I260" t="s">
        <v>3378</v>
      </c>
      <c r="J260" s="2" t="str">
        <f t="shared" si="12"/>
        <v>[269]=20,</v>
      </c>
      <c r="K260" s="3">
        <f t="shared" si="13"/>
        <v>269</v>
      </c>
      <c r="L260" s="3">
        <f t="shared" si="14"/>
        <v>20</v>
      </c>
      <c r="M260" s="9" t="str">
        <f>VLOOKUP(A260,WayshrineNames!$A$3:$B$967,2,)</f>
        <v>Dungeon: Crypt of Hearts II</v>
      </c>
      <c r="N260" s="3" t="str">
        <f>VLOOKUP(F260,'ESO zones'!$A$5:$D$10003,4,FALSE)</f>
        <v>Rivenspire</v>
      </c>
    </row>
    <row r="261" spans="1:14" x14ac:dyDescent="0.25">
      <c r="A261" s="58">
        <v>270</v>
      </c>
      <c r="B261">
        <v>25</v>
      </c>
      <c r="C261">
        <v>1126</v>
      </c>
      <c r="D261" t="s">
        <v>3331</v>
      </c>
      <c r="E261">
        <v>501</v>
      </c>
      <c r="F261">
        <v>888</v>
      </c>
      <c r="G261" t="s">
        <v>3331</v>
      </c>
      <c r="H261">
        <v>2</v>
      </c>
      <c r="I261" t="s">
        <v>3379</v>
      </c>
      <c r="J261" s="2" t="str">
        <f t="shared" si="12"/>
        <v>[270]=888,</v>
      </c>
      <c r="K261" s="3">
        <f t="shared" si="13"/>
        <v>270</v>
      </c>
      <c r="L261" s="3">
        <f t="shared" si="14"/>
        <v>888</v>
      </c>
      <c r="M261" s="9" t="str">
        <f>VLOOKUP(A261,WayshrineNames!$A$3:$B$967,2,)</f>
        <v>Dragonstar Arena</v>
      </c>
      <c r="N261" s="3" t="str">
        <f>VLOOKUP(F261,'ESO zones'!$A$5:$D$10003,4,FALSE)</f>
        <v>Craglorn</v>
      </c>
    </row>
    <row r="262" spans="1:14" x14ac:dyDescent="0.25">
      <c r="A262" s="58">
        <v>272</v>
      </c>
      <c r="B262">
        <v>30</v>
      </c>
      <c r="C262">
        <v>1060</v>
      </c>
      <c r="D262" t="s">
        <v>1037</v>
      </c>
      <c r="E262">
        <v>468</v>
      </c>
      <c r="F262">
        <v>849</v>
      </c>
      <c r="G262" t="s">
        <v>1037</v>
      </c>
      <c r="H262">
        <v>1</v>
      </c>
      <c r="I262" t="s">
        <v>3380</v>
      </c>
      <c r="J262" s="2" t="str">
        <f t="shared" si="12"/>
        <v>[272]=849,</v>
      </c>
      <c r="K262" s="3">
        <f t="shared" si="13"/>
        <v>272</v>
      </c>
      <c r="L262" s="3">
        <f t="shared" si="14"/>
        <v>849</v>
      </c>
      <c r="M262" s="9" t="str">
        <f>VLOOKUP(A262,WayshrineNames!$A$3:$B$967,2,)</f>
        <v>Seyda Neen Wayshrine</v>
      </c>
      <c r="N262" s="3" t="str">
        <f>VLOOKUP(F262,'ESO zones'!$A$5:$D$10003,4,FALSE)</f>
        <v>Vvardenfell</v>
      </c>
    </row>
    <row r="263" spans="1:14" x14ac:dyDescent="0.25">
      <c r="A263" s="58">
        <v>273</v>
      </c>
      <c r="B263">
        <v>30</v>
      </c>
      <c r="C263">
        <v>1060</v>
      </c>
      <c r="D263" t="s">
        <v>1037</v>
      </c>
      <c r="E263">
        <v>468</v>
      </c>
      <c r="F263">
        <v>849</v>
      </c>
      <c r="G263" t="s">
        <v>1037</v>
      </c>
      <c r="H263">
        <v>1</v>
      </c>
      <c r="I263" t="s">
        <v>3381</v>
      </c>
      <c r="J263" s="2" t="str">
        <f t="shared" si="12"/>
        <v>[273]=849,</v>
      </c>
      <c r="K263" s="3">
        <f t="shared" si="13"/>
        <v>273</v>
      </c>
      <c r="L263" s="3">
        <f t="shared" si="14"/>
        <v>849</v>
      </c>
      <c r="M263" s="9" t="str">
        <f>VLOOKUP(A263,WayshrineNames!$A$3:$B$967,2,)</f>
        <v>Gnisis Wayshrine</v>
      </c>
      <c r="N263" s="3" t="str">
        <f>VLOOKUP(F263,'ESO zones'!$A$5:$D$10003,4,FALSE)</f>
        <v>Vvardenfell</v>
      </c>
    </row>
    <row r="264" spans="1:14" x14ac:dyDescent="0.25">
      <c r="A264" s="58">
        <v>274</v>
      </c>
      <c r="B264">
        <v>30</v>
      </c>
      <c r="C264">
        <v>1060</v>
      </c>
      <c r="D264" t="s">
        <v>1037</v>
      </c>
      <c r="E264">
        <v>468</v>
      </c>
      <c r="F264">
        <v>849</v>
      </c>
      <c r="G264" t="s">
        <v>1037</v>
      </c>
      <c r="H264">
        <v>1</v>
      </c>
      <c r="I264" t="s">
        <v>3382</v>
      </c>
      <c r="J264" s="2" t="str">
        <f t="shared" si="12"/>
        <v>[274]=849,</v>
      </c>
      <c r="K264" s="3">
        <f t="shared" si="13"/>
        <v>274</v>
      </c>
      <c r="L264" s="3">
        <f t="shared" si="14"/>
        <v>849</v>
      </c>
      <c r="M264" s="9" t="str">
        <f>VLOOKUP(A264,WayshrineNames!$A$3:$B$967,2,)</f>
        <v>Ald'ruhn Wayshrine</v>
      </c>
      <c r="N264" s="3" t="str">
        <f>VLOOKUP(F264,'ESO zones'!$A$5:$D$10003,4,FALSE)</f>
        <v>Vvardenfell</v>
      </c>
    </row>
    <row r="265" spans="1:14" x14ac:dyDescent="0.25">
      <c r="A265" s="58">
        <v>275</v>
      </c>
      <c r="B265">
        <v>30</v>
      </c>
      <c r="C265">
        <v>1060</v>
      </c>
      <c r="D265" t="s">
        <v>1037</v>
      </c>
      <c r="E265">
        <v>468</v>
      </c>
      <c r="F265">
        <v>849</v>
      </c>
      <c r="G265" t="s">
        <v>1037</v>
      </c>
      <c r="H265">
        <v>1</v>
      </c>
      <c r="I265" t="s">
        <v>3383</v>
      </c>
      <c r="J265" s="2" t="str">
        <f t="shared" si="12"/>
        <v>[275]=849,</v>
      </c>
      <c r="K265" s="3">
        <f t="shared" si="13"/>
        <v>275</v>
      </c>
      <c r="L265" s="3">
        <f t="shared" si="14"/>
        <v>849</v>
      </c>
      <c r="M265" s="9" t="str">
        <f>VLOOKUP(A265,WayshrineNames!$A$3:$B$967,2,)</f>
        <v>Balmora Wayshrine</v>
      </c>
      <c r="N265" s="3" t="str">
        <f>VLOOKUP(F265,'ESO zones'!$A$5:$D$10003,4,FALSE)</f>
        <v>Vvardenfell</v>
      </c>
    </row>
    <row r="266" spans="1:14" x14ac:dyDescent="0.25">
      <c r="A266" s="58">
        <v>276</v>
      </c>
      <c r="B266">
        <v>30</v>
      </c>
      <c r="C266">
        <v>1060</v>
      </c>
      <c r="D266" t="s">
        <v>1037</v>
      </c>
      <c r="E266">
        <v>468</v>
      </c>
      <c r="F266">
        <v>849</v>
      </c>
      <c r="G266" t="s">
        <v>1037</v>
      </c>
      <c r="H266">
        <v>1</v>
      </c>
      <c r="I266" t="s">
        <v>3384</v>
      </c>
      <c r="J266" s="2" t="str">
        <f t="shared" si="12"/>
        <v>[276]=849,</v>
      </c>
      <c r="K266" s="3">
        <f t="shared" si="13"/>
        <v>276</v>
      </c>
      <c r="L266" s="3">
        <f t="shared" si="14"/>
        <v>849</v>
      </c>
      <c r="M266" s="9" t="str">
        <f>VLOOKUP(A266,WayshrineNames!$A$3:$B$967,2,)</f>
        <v>Suran Wayshrine</v>
      </c>
      <c r="N266" s="3" t="str">
        <f>VLOOKUP(F266,'ESO zones'!$A$5:$D$10003,4,FALSE)</f>
        <v>Vvardenfell</v>
      </c>
    </row>
    <row r="267" spans="1:14" x14ac:dyDescent="0.25">
      <c r="A267" s="58">
        <v>277</v>
      </c>
      <c r="B267">
        <v>30</v>
      </c>
      <c r="C267">
        <v>1060</v>
      </c>
      <c r="D267" t="s">
        <v>1037</v>
      </c>
      <c r="E267">
        <v>468</v>
      </c>
      <c r="F267">
        <v>849</v>
      </c>
      <c r="G267" t="s">
        <v>1037</v>
      </c>
      <c r="H267">
        <v>1</v>
      </c>
      <c r="I267" t="s">
        <v>3385</v>
      </c>
      <c r="J267" s="2" t="str">
        <f t="shared" si="12"/>
        <v>[277]=849,</v>
      </c>
      <c r="K267" s="3">
        <f t="shared" si="13"/>
        <v>277</v>
      </c>
      <c r="L267" s="3">
        <f t="shared" si="14"/>
        <v>849</v>
      </c>
      <c r="M267" s="9" t="str">
        <f>VLOOKUP(A267,WayshrineNames!$A$3:$B$967,2,)</f>
        <v>Molag Mar Wayshrine</v>
      </c>
      <c r="N267" s="3" t="str">
        <f>VLOOKUP(F267,'ESO zones'!$A$5:$D$10003,4,FALSE)</f>
        <v>Vvardenfell</v>
      </c>
    </row>
    <row r="268" spans="1:14" x14ac:dyDescent="0.25">
      <c r="A268" s="58">
        <v>278</v>
      </c>
      <c r="B268">
        <v>30</v>
      </c>
      <c r="C268">
        <v>1060</v>
      </c>
      <c r="D268" t="s">
        <v>1037</v>
      </c>
      <c r="E268">
        <v>468</v>
      </c>
      <c r="F268">
        <v>849</v>
      </c>
      <c r="G268" t="s">
        <v>1037</v>
      </c>
      <c r="H268">
        <v>1</v>
      </c>
      <c r="I268" t="s">
        <v>3386</v>
      </c>
      <c r="J268" s="2" t="str">
        <f t="shared" si="12"/>
        <v>[278]=849,</v>
      </c>
      <c r="K268" s="3">
        <f t="shared" si="13"/>
        <v>278</v>
      </c>
      <c r="L268" s="3">
        <f t="shared" si="14"/>
        <v>849</v>
      </c>
      <c r="M268" s="9" t="str">
        <f>VLOOKUP(A268,WayshrineNames!$A$3:$B$967,2,)</f>
        <v>Tel Branora Wayshrine</v>
      </c>
      <c r="N268" s="3" t="str">
        <f>VLOOKUP(F268,'ESO zones'!$A$5:$D$10003,4,FALSE)</f>
        <v>Vvardenfell</v>
      </c>
    </row>
    <row r="269" spans="1:14" x14ac:dyDescent="0.25">
      <c r="A269" s="58">
        <v>279</v>
      </c>
      <c r="B269">
        <v>30</v>
      </c>
      <c r="C269">
        <v>1060</v>
      </c>
      <c r="D269" t="s">
        <v>1037</v>
      </c>
      <c r="E269">
        <v>468</v>
      </c>
      <c r="F269">
        <v>849</v>
      </c>
      <c r="G269" t="s">
        <v>1037</v>
      </c>
      <c r="H269">
        <v>1</v>
      </c>
      <c r="I269" t="s">
        <v>3387</v>
      </c>
      <c r="J269" s="2" t="str">
        <f t="shared" si="12"/>
        <v>[279]=849,</v>
      </c>
      <c r="K269" s="3">
        <f t="shared" si="13"/>
        <v>279</v>
      </c>
      <c r="L269" s="3">
        <f t="shared" si="14"/>
        <v>849</v>
      </c>
      <c r="M269" s="9" t="str">
        <f>VLOOKUP(A269,WayshrineNames!$A$3:$B$967,2,)</f>
        <v>Nchuleftingth Wayshrine</v>
      </c>
      <c r="N269" s="3" t="str">
        <f>VLOOKUP(F269,'ESO zones'!$A$5:$D$10003,4,FALSE)</f>
        <v>Vvardenfell</v>
      </c>
    </row>
    <row r="270" spans="1:14" x14ac:dyDescent="0.25">
      <c r="A270" s="58">
        <v>280</v>
      </c>
      <c r="B270">
        <v>30</v>
      </c>
      <c r="C270">
        <v>1060</v>
      </c>
      <c r="D270" t="s">
        <v>1037</v>
      </c>
      <c r="E270">
        <v>468</v>
      </c>
      <c r="F270">
        <v>849</v>
      </c>
      <c r="G270" t="s">
        <v>1037</v>
      </c>
      <c r="H270">
        <v>1</v>
      </c>
      <c r="I270" t="s">
        <v>3388</v>
      </c>
      <c r="J270" s="2" t="str">
        <f t="shared" si="12"/>
        <v>[280]=849,</v>
      </c>
      <c r="K270" s="3">
        <f t="shared" si="13"/>
        <v>280</v>
      </c>
      <c r="L270" s="3">
        <f t="shared" si="14"/>
        <v>849</v>
      </c>
      <c r="M270" s="9" t="str">
        <f>VLOOKUP(A270,WayshrineNames!$A$3:$B$967,2,)</f>
        <v>Tel Mora Wayshrine</v>
      </c>
      <c r="N270" s="3" t="str">
        <f>VLOOKUP(F270,'ESO zones'!$A$5:$D$10003,4,FALSE)</f>
        <v>Vvardenfell</v>
      </c>
    </row>
    <row r="271" spans="1:14" x14ac:dyDescent="0.25">
      <c r="A271" s="58">
        <v>281</v>
      </c>
      <c r="B271">
        <v>30</v>
      </c>
      <c r="C271">
        <v>1060</v>
      </c>
      <c r="D271" t="s">
        <v>1037</v>
      </c>
      <c r="E271">
        <v>468</v>
      </c>
      <c r="F271">
        <v>849</v>
      </c>
      <c r="G271" t="s">
        <v>1037</v>
      </c>
      <c r="H271">
        <v>1</v>
      </c>
      <c r="I271" t="s">
        <v>3389</v>
      </c>
      <c r="J271" s="2" t="str">
        <f t="shared" si="12"/>
        <v>[281]=849,</v>
      </c>
      <c r="K271" s="3">
        <f t="shared" si="13"/>
        <v>281</v>
      </c>
      <c r="L271" s="3">
        <f t="shared" si="14"/>
        <v>849</v>
      </c>
      <c r="M271" s="9" t="str">
        <f>VLOOKUP(A271,WayshrineNames!$A$3:$B$967,2,)</f>
        <v>Sadrith Mora Wayshrine</v>
      </c>
      <c r="N271" s="3" t="str">
        <f>VLOOKUP(F271,'ESO zones'!$A$5:$D$10003,4,FALSE)</f>
        <v>Vvardenfell</v>
      </c>
    </row>
    <row r="272" spans="1:14" x14ac:dyDescent="0.25">
      <c r="A272" s="58">
        <v>282</v>
      </c>
      <c r="B272">
        <v>30</v>
      </c>
      <c r="C272">
        <v>1060</v>
      </c>
      <c r="D272" t="s">
        <v>1037</v>
      </c>
      <c r="E272">
        <v>468</v>
      </c>
      <c r="F272">
        <v>849</v>
      </c>
      <c r="G272" t="s">
        <v>1037</v>
      </c>
      <c r="H272">
        <v>1</v>
      </c>
      <c r="I272" t="s">
        <v>3390</v>
      </c>
      <c r="J272" s="2" t="str">
        <f t="shared" si="12"/>
        <v>[282]=849,</v>
      </c>
      <c r="K272" s="3">
        <f t="shared" si="13"/>
        <v>282</v>
      </c>
      <c r="L272" s="3">
        <f t="shared" si="14"/>
        <v>849</v>
      </c>
      <c r="M272" s="9" t="str">
        <f>VLOOKUP(A272,WayshrineNames!$A$3:$B$967,2,)</f>
        <v>Valley of the Wind Wayshrine</v>
      </c>
      <c r="N272" s="3" t="str">
        <f>VLOOKUP(F272,'ESO zones'!$A$5:$D$10003,4,FALSE)</f>
        <v>Vvardenfell</v>
      </c>
    </row>
    <row r="273" spans="1:14" x14ac:dyDescent="0.25">
      <c r="A273" s="58">
        <v>284</v>
      </c>
      <c r="B273">
        <v>30</v>
      </c>
      <c r="C273">
        <v>1060</v>
      </c>
      <c r="D273" t="s">
        <v>1037</v>
      </c>
      <c r="E273">
        <v>468</v>
      </c>
      <c r="F273">
        <v>849</v>
      </c>
      <c r="G273" t="s">
        <v>1037</v>
      </c>
      <c r="H273">
        <v>1</v>
      </c>
      <c r="I273" t="s">
        <v>3391</v>
      </c>
      <c r="J273" s="2" t="str">
        <f t="shared" si="12"/>
        <v>[284]=849,</v>
      </c>
      <c r="K273" s="3">
        <f t="shared" si="13"/>
        <v>284</v>
      </c>
      <c r="L273" s="3">
        <f t="shared" si="14"/>
        <v>849</v>
      </c>
      <c r="M273" s="9" t="str">
        <f>VLOOKUP(A273,WayshrineNames!$A$3:$B$967,2,)</f>
        <v>Vivec City Wayshrine</v>
      </c>
      <c r="N273" s="3" t="str">
        <f>VLOOKUP(F273,'ESO zones'!$A$5:$D$10003,4,FALSE)</f>
        <v>Vvardenfell</v>
      </c>
    </row>
    <row r="274" spans="1:14" x14ac:dyDescent="0.25">
      <c r="A274" s="58">
        <v>285</v>
      </c>
      <c r="B274">
        <v>15</v>
      </c>
      <c r="C274">
        <v>143</v>
      </c>
      <c r="D274" t="s">
        <v>439</v>
      </c>
      <c r="E274">
        <v>179</v>
      </c>
      <c r="F274">
        <v>381</v>
      </c>
      <c r="G274" t="s">
        <v>439</v>
      </c>
      <c r="H274">
        <v>7</v>
      </c>
      <c r="I274" t="s">
        <v>3392</v>
      </c>
      <c r="J274" s="2" t="str">
        <f t="shared" si="12"/>
        <v>[285]=381,</v>
      </c>
      <c r="K274" s="3">
        <f t="shared" si="13"/>
        <v>285</v>
      </c>
      <c r="L274" s="3">
        <f t="shared" si="14"/>
        <v>381</v>
      </c>
      <c r="M274" s="9" t="str">
        <f>VLOOKUP(A274,WayshrineNames!$A$3:$B$967,2,)</f>
        <v>Barbed Hook Private Room</v>
      </c>
      <c r="N274" s="3" t="str">
        <f>VLOOKUP(F274,'ESO zones'!$A$5:$D$10003,4,FALSE)</f>
        <v>Auridon</v>
      </c>
    </row>
    <row r="275" spans="1:14" x14ac:dyDescent="0.25">
      <c r="A275" s="58">
        <v>286</v>
      </c>
      <c r="B275">
        <v>5</v>
      </c>
      <c r="C275">
        <v>30</v>
      </c>
      <c r="D275" t="s">
        <v>3152</v>
      </c>
      <c r="E275">
        <v>17</v>
      </c>
      <c r="F275">
        <v>104</v>
      </c>
      <c r="G275" t="s">
        <v>3153</v>
      </c>
      <c r="H275">
        <v>7</v>
      </c>
      <c r="I275" t="s">
        <v>3393</v>
      </c>
      <c r="J275" s="2" t="str">
        <f t="shared" si="12"/>
        <v>[286]=104,</v>
      </c>
      <c r="K275" s="3">
        <f t="shared" si="13"/>
        <v>286</v>
      </c>
      <c r="L275" s="3">
        <f t="shared" si="14"/>
        <v>104</v>
      </c>
      <c r="M275" s="9" t="str">
        <f>VLOOKUP(A275,WayshrineNames!$A$3:$B$967,2,)</f>
        <v>Sisters of the Sands Apartment</v>
      </c>
      <c r="N275" s="3" t="str">
        <f>VLOOKUP(F275,'ESO zones'!$A$5:$D$10003,4,FALSE)</f>
        <v>Alik'r Desert</v>
      </c>
    </row>
    <row r="276" spans="1:14" x14ac:dyDescent="0.25">
      <c r="A276" s="58">
        <v>287</v>
      </c>
      <c r="B276">
        <v>10</v>
      </c>
      <c r="C276">
        <v>13</v>
      </c>
      <c r="D276" t="s">
        <v>436</v>
      </c>
      <c r="E276">
        <v>10</v>
      </c>
      <c r="F276">
        <v>57</v>
      </c>
      <c r="G276" t="s">
        <v>436</v>
      </c>
      <c r="H276">
        <v>7</v>
      </c>
      <c r="I276" t="s">
        <v>3394</v>
      </c>
      <c r="J276" s="2" t="str">
        <f t="shared" si="12"/>
        <v>[287]=57,</v>
      </c>
      <c r="K276" s="3">
        <f t="shared" si="13"/>
        <v>287</v>
      </c>
      <c r="L276" s="3">
        <f t="shared" si="14"/>
        <v>57</v>
      </c>
      <c r="M276" s="9" t="str">
        <f>VLOOKUP(A276,WayshrineNames!$A$3:$B$967,2,)</f>
        <v>Flaming Nix Deluxe Garret</v>
      </c>
      <c r="N276" s="3" t="str">
        <f>VLOOKUP(F276,'ESO zones'!$A$5:$D$10003,4,FALSE)</f>
        <v>Deshaan</v>
      </c>
    </row>
    <row r="277" spans="1:14" x14ac:dyDescent="0.25">
      <c r="A277" s="58">
        <v>288</v>
      </c>
      <c r="B277">
        <v>15</v>
      </c>
      <c r="C277">
        <v>143</v>
      </c>
      <c r="D277" t="s">
        <v>439</v>
      </c>
      <c r="E277">
        <v>179</v>
      </c>
      <c r="F277">
        <v>381</v>
      </c>
      <c r="G277" t="s">
        <v>439</v>
      </c>
      <c r="H277">
        <v>7</v>
      </c>
      <c r="I277" t="s">
        <v>3395</v>
      </c>
      <c r="J277" s="2" t="str">
        <f t="shared" si="12"/>
        <v>[288]=381,</v>
      </c>
      <c r="K277" s="3">
        <f t="shared" si="13"/>
        <v>288</v>
      </c>
      <c r="L277" s="3">
        <f t="shared" si="14"/>
        <v>381</v>
      </c>
      <c r="M277" s="9" t="str">
        <f>VLOOKUP(A277,WayshrineNames!$A$3:$B$967,2,)</f>
        <v>Mara's Kiss Public House</v>
      </c>
      <c r="N277" s="3" t="str">
        <f>VLOOKUP(F277,'ESO zones'!$A$5:$D$10003,4,FALSE)</f>
        <v>Auridon</v>
      </c>
    </row>
    <row r="278" spans="1:14" x14ac:dyDescent="0.25">
      <c r="A278" s="58">
        <v>289</v>
      </c>
      <c r="B278">
        <v>2</v>
      </c>
      <c r="C278">
        <v>1</v>
      </c>
      <c r="D278" t="s">
        <v>496</v>
      </c>
      <c r="E278">
        <v>2</v>
      </c>
      <c r="F278">
        <v>3</v>
      </c>
      <c r="G278" t="s">
        <v>496</v>
      </c>
      <c r="H278">
        <v>7</v>
      </c>
      <c r="I278" t="s">
        <v>3396</v>
      </c>
      <c r="J278" s="2" t="str">
        <f t="shared" si="12"/>
        <v>[289]=3,</v>
      </c>
      <c r="K278" s="3">
        <f t="shared" si="13"/>
        <v>289</v>
      </c>
      <c r="L278" s="3">
        <f t="shared" si="14"/>
        <v>3</v>
      </c>
      <c r="M278" s="9" t="str">
        <f>VLOOKUP(A278,WayshrineNames!$A$3:$B$967,2,)</f>
        <v>The Rosy Lion</v>
      </c>
      <c r="N278" s="3" t="str">
        <f>VLOOKUP(F278,'ESO zones'!$A$5:$D$10003,4,FALSE)</f>
        <v>Glenumbra</v>
      </c>
    </row>
    <row r="279" spans="1:14" x14ac:dyDescent="0.25">
      <c r="A279" s="58">
        <v>290</v>
      </c>
      <c r="B279">
        <v>11</v>
      </c>
      <c r="C279">
        <v>7</v>
      </c>
      <c r="D279" t="s">
        <v>3150</v>
      </c>
      <c r="E279">
        <v>9</v>
      </c>
      <c r="F279">
        <v>41</v>
      </c>
      <c r="G279" t="s">
        <v>3150</v>
      </c>
      <c r="H279">
        <v>7</v>
      </c>
      <c r="I279" t="s">
        <v>3397</v>
      </c>
      <c r="J279" s="2" t="str">
        <f t="shared" si="12"/>
        <v>[290]=41,</v>
      </c>
      <c r="K279" s="3">
        <f t="shared" si="13"/>
        <v>290</v>
      </c>
      <c r="L279" s="3">
        <f t="shared" si="14"/>
        <v>41</v>
      </c>
      <c r="M279" s="9" t="str">
        <f>VLOOKUP(A279,WayshrineNames!$A$3:$B$967,2,)</f>
        <v>The Ebony Flask Inn Room</v>
      </c>
      <c r="N279" s="3" t="str">
        <f>VLOOKUP(F279,'ESO zones'!$A$5:$D$10003,4,FALSE)</f>
        <v>Stonefalls</v>
      </c>
    </row>
    <row r="280" spans="1:14" x14ac:dyDescent="0.25">
      <c r="A280" s="58">
        <v>291</v>
      </c>
      <c r="B280">
        <v>17</v>
      </c>
      <c r="C280">
        <v>256</v>
      </c>
      <c r="D280" t="s">
        <v>3260</v>
      </c>
      <c r="E280">
        <v>180</v>
      </c>
      <c r="F280">
        <v>382</v>
      </c>
      <c r="G280" t="s">
        <v>3260</v>
      </c>
      <c r="H280">
        <v>7</v>
      </c>
      <c r="I280" t="s">
        <v>3398</v>
      </c>
      <c r="J280" s="2" t="str">
        <f t="shared" si="12"/>
        <v>[291]=382,</v>
      </c>
      <c r="K280" s="3">
        <f t="shared" si="13"/>
        <v>291</v>
      </c>
      <c r="L280" s="3">
        <f t="shared" si="14"/>
        <v>382</v>
      </c>
      <c r="M280" s="9" t="str">
        <f>VLOOKUP(A280,WayshrineNames!$A$3:$B$967,2,)</f>
        <v>Serenity Falls Estate</v>
      </c>
      <c r="N280" s="3" t="str">
        <f>VLOOKUP(F280,'ESO zones'!$A$5:$D$10003,4,FALSE)</f>
        <v>Reaper's March</v>
      </c>
    </row>
    <row r="281" spans="1:14" x14ac:dyDescent="0.25">
      <c r="A281" s="58">
        <v>292</v>
      </c>
      <c r="B281">
        <v>2</v>
      </c>
      <c r="C281">
        <v>1</v>
      </c>
      <c r="D281" t="s">
        <v>496</v>
      </c>
      <c r="E281">
        <v>2</v>
      </c>
      <c r="F281">
        <v>3</v>
      </c>
      <c r="G281" t="s">
        <v>496</v>
      </c>
      <c r="H281">
        <v>7</v>
      </c>
      <c r="I281" t="s">
        <v>3399</v>
      </c>
      <c r="J281" s="2" t="str">
        <f t="shared" si="12"/>
        <v>[292]=3,</v>
      </c>
      <c r="K281" s="3">
        <f t="shared" si="13"/>
        <v>292</v>
      </c>
      <c r="L281" s="3">
        <f t="shared" si="14"/>
        <v>3</v>
      </c>
      <c r="M281" s="9" t="str">
        <f>VLOOKUP(A281,WayshrineNames!$A$3:$B$967,2,)</f>
        <v>Daggerfall Overlook</v>
      </c>
      <c r="N281" s="3" t="str">
        <f>VLOOKUP(F281,'ESO zones'!$A$5:$D$10003,4,FALSE)</f>
        <v>Glenumbra</v>
      </c>
    </row>
    <row r="282" spans="1:14" x14ac:dyDescent="0.25">
      <c r="A282" s="58">
        <v>293</v>
      </c>
      <c r="B282">
        <v>11</v>
      </c>
      <c r="C282">
        <v>7</v>
      </c>
      <c r="D282" t="s">
        <v>3150</v>
      </c>
      <c r="E282">
        <v>9</v>
      </c>
      <c r="F282">
        <v>41</v>
      </c>
      <c r="G282" t="s">
        <v>3150</v>
      </c>
      <c r="H282">
        <v>7</v>
      </c>
      <c r="I282" t="s">
        <v>3400</v>
      </c>
      <c r="J282" s="2" t="str">
        <f t="shared" si="12"/>
        <v>[293]=41,</v>
      </c>
      <c r="K282" s="3">
        <f t="shared" si="13"/>
        <v>293</v>
      </c>
      <c r="L282" s="3">
        <f t="shared" si="14"/>
        <v>41</v>
      </c>
      <c r="M282" s="9" t="str">
        <f>VLOOKUP(A282,WayshrineNames!$A$3:$B$967,2,)</f>
        <v>Ebonheart Chateau</v>
      </c>
      <c r="N282" s="3" t="str">
        <f>VLOOKUP(F282,'ESO zones'!$A$5:$D$10003,4,FALSE)</f>
        <v>Stonefalls</v>
      </c>
    </row>
    <row r="283" spans="1:14" x14ac:dyDescent="0.25">
      <c r="A283" s="58">
        <v>294</v>
      </c>
      <c r="B283">
        <v>8</v>
      </c>
      <c r="C283">
        <v>22</v>
      </c>
      <c r="D283" t="s">
        <v>429</v>
      </c>
      <c r="E283">
        <v>11</v>
      </c>
      <c r="F283">
        <v>58</v>
      </c>
      <c r="G283" t="s">
        <v>429</v>
      </c>
      <c r="H283">
        <v>7</v>
      </c>
      <c r="I283" t="s">
        <v>3401</v>
      </c>
      <c r="J283" s="2" t="str">
        <f t="shared" si="12"/>
        <v>[294]=58,</v>
      </c>
      <c r="K283" s="3">
        <f t="shared" si="13"/>
        <v>294</v>
      </c>
      <c r="L283" s="3">
        <f t="shared" si="14"/>
        <v>58</v>
      </c>
      <c r="M283" s="9" t="str">
        <f>VLOOKUP(A283,WayshrineNames!$A$3:$B$967,2,)</f>
        <v>Black Vine Villa</v>
      </c>
      <c r="N283" s="3" t="str">
        <f>VLOOKUP(F283,'ESO zones'!$A$5:$D$10003,4,FALSE)</f>
        <v>Malabal Tor</v>
      </c>
    </row>
    <row r="284" spans="1:14" x14ac:dyDescent="0.25">
      <c r="A284" s="58">
        <v>295</v>
      </c>
      <c r="B284">
        <v>18</v>
      </c>
      <c r="C284">
        <v>75</v>
      </c>
      <c r="D284" t="s">
        <v>965</v>
      </c>
      <c r="E284">
        <v>111</v>
      </c>
      <c r="F284">
        <v>281</v>
      </c>
      <c r="G284" t="s">
        <v>965</v>
      </c>
      <c r="H284">
        <v>7</v>
      </c>
      <c r="I284" t="s">
        <v>3402</v>
      </c>
      <c r="J284" s="2" t="str">
        <f t="shared" si="12"/>
        <v>[295]=281,</v>
      </c>
      <c r="K284" s="3">
        <f t="shared" si="13"/>
        <v>295</v>
      </c>
      <c r="L284" s="3">
        <f t="shared" si="14"/>
        <v>281</v>
      </c>
      <c r="M284" s="9" t="str">
        <f>VLOOKUP(A284,WayshrineNames!$A$3:$B$967,2,)</f>
        <v>Humblemud</v>
      </c>
      <c r="N284" s="3" t="str">
        <f>VLOOKUP(F284,'ESO zones'!$A$5:$D$10003,4,FALSE)</f>
        <v>Bal Foyen</v>
      </c>
    </row>
    <row r="285" spans="1:14" x14ac:dyDescent="0.25">
      <c r="A285" s="58">
        <v>296</v>
      </c>
      <c r="B285">
        <v>7</v>
      </c>
      <c r="C285">
        <v>9</v>
      </c>
      <c r="D285" t="s">
        <v>3129</v>
      </c>
      <c r="E285">
        <v>181</v>
      </c>
      <c r="F285">
        <v>383</v>
      </c>
      <c r="G285" t="s">
        <v>3129</v>
      </c>
      <c r="H285">
        <v>7</v>
      </c>
      <c r="I285" t="s">
        <v>3403</v>
      </c>
      <c r="J285" s="2" t="str">
        <f t="shared" si="12"/>
        <v>[296]=383,</v>
      </c>
      <c r="K285" s="3">
        <f t="shared" si="13"/>
        <v>296</v>
      </c>
      <c r="L285" s="3">
        <f t="shared" si="14"/>
        <v>383</v>
      </c>
      <c r="M285" s="9" t="str">
        <f>VLOOKUP(A285,WayshrineNames!$A$3:$B$967,2,)</f>
        <v>Snugpod</v>
      </c>
      <c r="N285" s="3" t="str">
        <f>VLOOKUP(F285,'ESO zones'!$A$5:$D$10003,4,FALSE)</f>
        <v>Grahtwood</v>
      </c>
    </row>
    <row r="286" spans="1:14" x14ac:dyDescent="0.25">
      <c r="A286" s="58">
        <v>297</v>
      </c>
      <c r="B286">
        <v>2</v>
      </c>
      <c r="C286">
        <v>1</v>
      </c>
      <c r="D286" t="s">
        <v>496</v>
      </c>
      <c r="E286">
        <v>2</v>
      </c>
      <c r="F286">
        <v>3</v>
      </c>
      <c r="G286" t="s">
        <v>496</v>
      </c>
      <c r="H286">
        <v>7</v>
      </c>
      <c r="I286" t="s">
        <v>3404</v>
      </c>
      <c r="J286" s="2" t="str">
        <f t="shared" si="12"/>
        <v>[297]=3,</v>
      </c>
      <c r="K286" s="3">
        <f t="shared" si="13"/>
        <v>297</v>
      </c>
      <c r="L286" s="3">
        <f t="shared" si="14"/>
        <v>3</v>
      </c>
      <c r="M286" s="9" t="str">
        <f>VLOOKUP(A286,WayshrineNames!$A$3:$B$967,2,)</f>
        <v>Captain Margaux's Place</v>
      </c>
      <c r="N286" s="3" t="str">
        <f>VLOOKUP(F286,'ESO zones'!$A$5:$D$10003,4,FALSE)</f>
        <v>Glenumbra</v>
      </c>
    </row>
    <row r="287" spans="1:14" x14ac:dyDescent="0.25">
      <c r="A287" s="58">
        <v>298</v>
      </c>
      <c r="B287">
        <v>11</v>
      </c>
      <c r="C287">
        <v>7</v>
      </c>
      <c r="D287" t="s">
        <v>3150</v>
      </c>
      <c r="E287">
        <v>9</v>
      </c>
      <c r="F287">
        <v>41</v>
      </c>
      <c r="G287" t="s">
        <v>3150</v>
      </c>
      <c r="H287">
        <v>7</v>
      </c>
      <c r="I287" t="s">
        <v>3405</v>
      </c>
      <c r="J287" s="2" t="str">
        <f t="shared" si="12"/>
        <v>[298]=41,</v>
      </c>
      <c r="K287" s="3">
        <f t="shared" si="13"/>
        <v>298</v>
      </c>
      <c r="L287" s="3">
        <f t="shared" si="14"/>
        <v>41</v>
      </c>
      <c r="M287" s="9" t="str">
        <f>VLOOKUP(A287,WayshrineNames!$A$3:$B$967,2,)</f>
        <v>Kragenhome</v>
      </c>
      <c r="N287" s="3" t="str">
        <f>VLOOKUP(F287,'ESO zones'!$A$5:$D$10003,4,FALSE)</f>
        <v>Stonefalls</v>
      </c>
    </row>
    <row r="288" spans="1:14" x14ac:dyDescent="0.25">
      <c r="A288" s="58">
        <v>299</v>
      </c>
      <c r="B288">
        <v>8</v>
      </c>
      <c r="C288">
        <v>22</v>
      </c>
      <c r="D288" t="s">
        <v>429</v>
      </c>
      <c r="E288">
        <v>11</v>
      </c>
      <c r="F288">
        <v>58</v>
      </c>
      <c r="G288" t="s">
        <v>429</v>
      </c>
      <c r="H288">
        <v>7</v>
      </c>
      <c r="I288" t="s">
        <v>3406</v>
      </c>
      <c r="J288" s="2" t="str">
        <f t="shared" si="12"/>
        <v>[299]=58,</v>
      </c>
      <c r="K288" s="3">
        <f t="shared" si="13"/>
        <v>299</v>
      </c>
      <c r="L288" s="3">
        <f t="shared" si="14"/>
        <v>58</v>
      </c>
      <c r="M288" s="9" t="str">
        <f>VLOOKUP(A288,WayshrineNames!$A$3:$B$967,2,)</f>
        <v>Cyrodilic Jungle House</v>
      </c>
      <c r="N288" s="3" t="str">
        <f>VLOOKUP(F288,'ESO zones'!$A$5:$D$10003,4,FALSE)</f>
        <v>Malabal Tor</v>
      </c>
    </row>
    <row r="289" spans="1:14" x14ac:dyDescent="0.25">
      <c r="A289" s="58">
        <v>300</v>
      </c>
      <c r="B289">
        <v>21</v>
      </c>
      <c r="C289">
        <v>258</v>
      </c>
      <c r="D289" t="s">
        <v>3255</v>
      </c>
      <c r="E289">
        <v>307</v>
      </c>
      <c r="F289">
        <v>537</v>
      </c>
      <c r="G289" t="s">
        <v>3255</v>
      </c>
      <c r="H289">
        <v>7</v>
      </c>
      <c r="I289" t="s">
        <v>3407</v>
      </c>
      <c r="J289" s="2" t="str">
        <f t="shared" si="12"/>
        <v>[300]=537,</v>
      </c>
      <c r="K289" s="3">
        <f t="shared" si="13"/>
        <v>300</v>
      </c>
      <c r="L289" s="3">
        <f t="shared" si="14"/>
        <v>537</v>
      </c>
      <c r="M289" s="9" t="str">
        <f>VLOOKUP(A289,WayshrineNames!$A$3:$B$967,2,)</f>
        <v>Moonmirth House</v>
      </c>
      <c r="N289" s="3" t="str">
        <f>VLOOKUP(F289,'ESO zones'!$A$5:$D$10003,4,FALSE)</f>
        <v>Khenarthi's Roost</v>
      </c>
    </row>
    <row r="290" spans="1:14" x14ac:dyDescent="0.25">
      <c r="A290" s="58">
        <v>301</v>
      </c>
      <c r="B290">
        <v>12</v>
      </c>
      <c r="C290">
        <v>125</v>
      </c>
      <c r="D290" t="s">
        <v>3221</v>
      </c>
      <c r="E290">
        <v>16</v>
      </c>
      <c r="F290">
        <v>103</v>
      </c>
      <c r="G290" t="s">
        <v>3221</v>
      </c>
      <c r="H290">
        <v>7</v>
      </c>
      <c r="I290" t="s">
        <v>3408</v>
      </c>
      <c r="J290" s="2" t="str">
        <f t="shared" si="12"/>
        <v>[301]=103,</v>
      </c>
      <c r="K290" s="3">
        <f t="shared" si="13"/>
        <v>301</v>
      </c>
      <c r="L290" s="3">
        <f t="shared" si="14"/>
        <v>103</v>
      </c>
      <c r="M290" s="9" t="str">
        <f>VLOOKUP(A290,WayshrineNames!$A$3:$B$967,2,)</f>
        <v>Autumn's-Gate</v>
      </c>
      <c r="N290" s="3" t="str">
        <f>VLOOKUP(F290,'ESO zones'!$A$5:$D$10003,4,FALSE)</f>
        <v>The Rift</v>
      </c>
    </row>
    <row r="291" spans="1:14" x14ac:dyDescent="0.25">
      <c r="A291" s="58">
        <v>302</v>
      </c>
      <c r="B291">
        <v>4</v>
      </c>
      <c r="C291">
        <v>12</v>
      </c>
      <c r="D291" t="s">
        <v>3121</v>
      </c>
      <c r="E291">
        <v>4</v>
      </c>
      <c r="F291">
        <v>19</v>
      </c>
      <c r="G291" t="s">
        <v>3121</v>
      </c>
      <c r="H291">
        <v>7</v>
      </c>
      <c r="I291" t="s">
        <v>3409</v>
      </c>
      <c r="J291" s="2" t="str">
        <f t="shared" si="12"/>
        <v>[302]=19,</v>
      </c>
      <c r="K291" s="3">
        <f t="shared" si="13"/>
        <v>302</v>
      </c>
      <c r="L291" s="3">
        <f t="shared" si="14"/>
        <v>19</v>
      </c>
      <c r="M291" s="9" t="str">
        <f>VLOOKUP(A291,WayshrineNames!$A$3:$B$967,2,)</f>
        <v>Hammerdeath Bungalow</v>
      </c>
      <c r="N291" s="3" t="str">
        <f>VLOOKUP(F291,'ESO zones'!$A$5:$D$10003,4,FALSE)</f>
        <v>Stormhaven</v>
      </c>
    </row>
    <row r="292" spans="1:14" x14ac:dyDescent="0.25">
      <c r="A292" s="58">
        <v>303</v>
      </c>
      <c r="B292">
        <v>6</v>
      </c>
      <c r="C292">
        <v>20</v>
      </c>
      <c r="D292" t="s">
        <v>524</v>
      </c>
      <c r="E292">
        <v>14</v>
      </c>
      <c r="F292">
        <v>92</v>
      </c>
      <c r="G292" t="s">
        <v>524</v>
      </c>
      <c r="H292">
        <v>7</v>
      </c>
      <c r="I292" t="s">
        <v>3410</v>
      </c>
      <c r="J292" s="2" t="str">
        <f t="shared" si="12"/>
        <v>[303]=92,</v>
      </c>
      <c r="K292" s="3">
        <f t="shared" si="13"/>
        <v>303</v>
      </c>
      <c r="L292" s="3">
        <f t="shared" si="14"/>
        <v>92</v>
      </c>
      <c r="M292" s="9" t="str">
        <f>VLOOKUP(A292,WayshrineNames!$A$3:$B$967,2,)</f>
        <v>Twin Arches</v>
      </c>
      <c r="N292" s="3" t="str">
        <f>VLOOKUP(F292,'ESO zones'!$A$5:$D$10003,4,FALSE)</f>
        <v>Bangkorai</v>
      </c>
    </row>
    <row r="293" spans="1:14" x14ac:dyDescent="0.25">
      <c r="A293" s="58">
        <v>304</v>
      </c>
      <c r="B293">
        <v>16</v>
      </c>
      <c r="C293">
        <v>300</v>
      </c>
      <c r="D293" t="s">
        <v>3258</v>
      </c>
      <c r="E293">
        <v>18</v>
      </c>
      <c r="F293">
        <v>108</v>
      </c>
      <c r="G293" t="s">
        <v>3258</v>
      </c>
      <c r="H293">
        <v>7</v>
      </c>
      <c r="I293" t="s">
        <v>3411</v>
      </c>
      <c r="J293" s="2" t="str">
        <f t="shared" si="12"/>
        <v>[304]=108,</v>
      </c>
      <c r="K293" s="3">
        <f t="shared" si="13"/>
        <v>304</v>
      </c>
      <c r="L293" s="3">
        <f t="shared" si="14"/>
        <v>108</v>
      </c>
      <c r="M293" s="9" t="str">
        <f>VLOOKUP(A293,WayshrineNames!$A$3:$B$967,2,)</f>
        <v>Cliffshade</v>
      </c>
      <c r="N293" s="3" t="str">
        <f>VLOOKUP(F293,'ESO zones'!$A$5:$D$10003,4,FALSE)</f>
        <v>Greenshade</v>
      </c>
    </row>
    <row r="294" spans="1:14" x14ac:dyDescent="0.25">
      <c r="A294" s="58">
        <v>305</v>
      </c>
      <c r="B294">
        <v>9</v>
      </c>
      <c r="C294">
        <v>26</v>
      </c>
      <c r="D294" t="s">
        <v>3159</v>
      </c>
      <c r="E294">
        <v>19</v>
      </c>
      <c r="F294">
        <v>117</v>
      </c>
      <c r="G294" t="s">
        <v>3159</v>
      </c>
      <c r="H294">
        <v>7</v>
      </c>
      <c r="I294" t="s">
        <v>3412</v>
      </c>
      <c r="J294" s="2" t="str">
        <f t="shared" si="12"/>
        <v>[305]=117,</v>
      </c>
      <c r="K294" s="3">
        <f t="shared" si="13"/>
        <v>305</v>
      </c>
      <c r="L294" s="3">
        <f t="shared" si="14"/>
        <v>117</v>
      </c>
      <c r="M294" s="9" t="str">
        <f>VLOOKUP(A294,WayshrineNames!$A$3:$B$967,2,)</f>
        <v>The Ample Domicile</v>
      </c>
      <c r="N294" s="3" t="str">
        <f>VLOOKUP(F294,'ESO zones'!$A$5:$D$10003,4,FALSE)</f>
        <v>Shadowfen</v>
      </c>
    </row>
    <row r="295" spans="1:14" x14ac:dyDescent="0.25">
      <c r="A295" s="58">
        <v>306</v>
      </c>
      <c r="B295">
        <v>16</v>
      </c>
      <c r="C295">
        <v>300</v>
      </c>
      <c r="D295" t="s">
        <v>3258</v>
      </c>
      <c r="E295">
        <v>18</v>
      </c>
      <c r="F295">
        <v>108</v>
      </c>
      <c r="G295" t="s">
        <v>3258</v>
      </c>
      <c r="H295">
        <v>7</v>
      </c>
      <c r="I295" t="s">
        <v>3413</v>
      </c>
      <c r="J295" s="2" t="str">
        <f t="shared" si="12"/>
        <v>[306]=108,</v>
      </c>
      <c r="K295" s="3">
        <f t="shared" si="13"/>
        <v>306</v>
      </c>
      <c r="L295" s="3">
        <f t="shared" si="14"/>
        <v>108</v>
      </c>
      <c r="M295" s="9" t="str">
        <f>VLOOKUP(A295,WayshrineNames!$A$3:$B$967,2,)</f>
        <v>Bouldertree Refuge</v>
      </c>
      <c r="N295" s="3" t="str">
        <f>VLOOKUP(F295,'ESO zones'!$A$5:$D$10003,4,FALSE)</f>
        <v>Greenshade</v>
      </c>
    </row>
    <row r="296" spans="1:14" x14ac:dyDescent="0.25">
      <c r="A296" s="58">
        <v>307</v>
      </c>
      <c r="B296">
        <v>3</v>
      </c>
      <c r="C296">
        <v>10</v>
      </c>
      <c r="D296" t="s">
        <v>3115</v>
      </c>
      <c r="E296">
        <v>5</v>
      </c>
      <c r="F296">
        <v>20</v>
      </c>
      <c r="G296" t="s">
        <v>3115</v>
      </c>
      <c r="H296">
        <v>7</v>
      </c>
      <c r="I296" t="s">
        <v>3414</v>
      </c>
      <c r="J296" s="2" t="str">
        <f t="shared" si="12"/>
        <v>[307]=20,</v>
      </c>
      <c r="K296" s="3">
        <f t="shared" si="13"/>
        <v>307</v>
      </c>
      <c r="L296" s="3">
        <f t="shared" si="14"/>
        <v>20</v>
      </c>
      <c r="M296" s="9" t="str">
        <f>VLOOKUP(A296,WayshrineNames!$A$3:$B$967,2,)</f>
        <v>Ravenhurst</v>
      </c>
      <c r="N296" s="3" t="str">
        <f>VLOOKUP(F296,'ESO zones'!$A$5:$D$10003,4,FALSE)</f>
        <v>Rivenspire</v>
      </c>
    </row>
    <row r="297" spans="1:14" x14ac:dyDescent="0.25">
      <c r="A297" s="58">
        <v>309</v>
      </c>
      <c r="B297">
        <v>10</v>
      </c>
      <c r="C297">
        <v>13</v>
      </c>
      <c r="D297" t="s">
        <v>436</v>
      </c>
      <c r="E297">
        <v>10</v>
      </c>
      <c r="F297">
        <v>57</v>
      </c>
      <c r="G297" t="s">
        <v>436</v>
      </c>
      <c r="H297">
        <v>7</v>
      </c>
      <c r="I297" t="s">
        <v>3415</v>
      </c>
      <c r="J297" s="2" t="str">
        <f t="shared" si="12"/>
        <v>[309]=57,</v>
      </c>
      <c r="K297" s="3">
        <f t="shared" si="13"/>
        <v>309</v>
      </c>
      <c r="L297" s="3">
        <f t="shared" si="14"/>
        <v>57</v>
      </c>
      <c r="M297" s="9" t="str">
        <f>VLOOKUP(A297,WayshrineNames!$A$3:$B$967,2,)</f>
        <v>Velothi Reverie</v>
      </c>
      <c r="N297" s="3" t="str">
        <f>VLOOKUP(F297,'ESO zones'!$A$5:$D$10003,4,FALSE)</f>
        <v>Deshaan</v>
      </c>
    </row>
    <row r="298" spans="1:14" x14ac:dyDescent="0.25">
      <c r="A298" s="58">
        <v>310</v>
      </c>
      <c r="B298">
        <v>25</v>
      </c>
      <c r="C298">
        <v>1126</v>
      </c>
      <c r="D298" t="s">
        <v>3331</v>
      </c>
      <c r="E298">
        <v>501</v>
      </c>
      <c r="F298">
        <v>888</v>
      </c>
      <c r="G298" t="s">
        <v>3331</v>
      </c>
      <c r="H298">
        <v>7</v>
      </c>
      <c r="I298" t="s">
        <v>2604</v>
      </c>
      <c r="J298" s="2" t="str">
        <f t="shared" si="12"/>
        <v>[310]=888,</v>
      </c>
      <c r="K298" s="3">
        <f t="shared" si="13"/>
        <v>310</v>
      </c>
      <c r="L298" s="3">
        <f t="shared" si="14"/>
        <v>888</v>
      </c>
      <c r="M298" s="9" t="str">
        <f>VLOOKUP(A298,WayshrineNames!$A$3:$B$967,2,)</f>
        <v>Domus Phrasticus</v>
      </c>
      <c r="N298" s="3" t="str">
        <f>VLOOKUP(F298,'ESO zones'!$A$5:$D$10003,4,FALSE)</f>
        <v>Craglorn</v>
      </c>
    </row>
    <row r="299" spans="1:14" x14ac:dyDescent="0.25">
      <c r="A299" s="58">
        <v>311</v>
      </c>
      <c r="B299">
        <v>17</v>
      </c>
      <c r="C299">
        <v>256</v>
      </c>
      <c r="D299" t="s">
        <v>3260</v>
      </c>
      <c r="E299">
        <v>180</v>
      </c>
      <c r="F299">
        <v>382</v>
      </c>
      <c r="G299" t="s">
        <v>3260</v>
      </c>
      <c r="H299">
        <v>7</v>
      </c>
      <c r="I299" t="s">
        <v>3416</v>
      </c>
      <c r="J299" s="2" t="str">
        <f t="shared" si="12"/>
        <v>[311]=382,</v>
      </c>
      <c r="K299" s="3">
        <f t="shared" si="13"/>
        <v>311</v>
      </c>
      <c r="L299" s="3">
        <f t="shared" si="14"/>
        <v>382</v>
      </c>
      <c r="M299" s="9" t="str">
        <f>VLOOKUP(A299,WayshrineNames!$A$3:$B$967,2,)</f>
        <v>Sleek Creek House</v>
      </c>
      <c r="N299" s="3" t="str">
        <f>VLOOKUP(F299,'ESO zones'!$A$5:$D$10003,4,FALSE)</f>
        <v>Reaper's March</v>
      </c>
    </row>
    <row r="300" spans="1:14" x14ac:dyDescent="0.25">
      <c r="A300" s="58">
        <v>312</v>
      </c>
      <c r="B300">
        <v>13</v>
      </c>
      <c r="C300">
        <v>61</v>
      </c>
      <c r="D300" t="s">
        <v>3198</v>
      </c>
      <c r="E300">
        <v>15</v>
      </c>
      <c r="F300">
        <v>101</v>
      </c>
      <c r="G300" t="s">
        <v>3198</v>
      </c>
      <c r="H300">
        <v>7</v>
      </c>
      <c r="I300" t="s">
        <v>3417</v>
      </c>
      <c r="J300" s="2" t="str">
        <f t="shared" si="12"/>
        <v>[312]=101,</v>
      </c>
      <c r="K300" s="3">
        <f t="shared" si="13"/>
        <v>312</v>
      </c>
      <c r="L300" s="3">
        <f t="shared" si="14"/>
        <v>101</v>
      </c>
      <c r="M300" s="9" t="str">
        <f>VLOOKUP(A300,WayshrineNames!$A$3:$B$967,2,)</f>
        <v>Grymharth's Woe</v>
      </c>
      <c r="N300" s="3" t="str">
        <f>VLOOKUP(F300,'ESO zones'!$A$5:$D$10003,4,FALSE)</f>
        <v>Eastmarch</v>
      </c>
    </row>
    <row r="301" spans="1:14" x14ac:dyDescent="0.25">
      <c r="A301" s="58">
        <v>313</v>
      </c>
      <c r="B301">
        <v>6</v>
      </c>
      <c r="C301">
        <v>20</v>
      </c>
      <c r="D301" t="s">
        <v>524</v>
      </c>
      <c r="E301">
        <v>14</v>
      </c>
      <c r="F301">
        <v>92</v>
      </c>
      <c r="G301" t="s">
        <v>524</v>
      </c>
      <c r="H301">
        <v>7</v>
      </c>
      <c r="I301" t="s">
        <v>3418</v>
      </c>
      <c r="J301" s="2" t="str">
        <f t="shared" si="12"/>
        <v>[313]=92,</v>
      </c>
      <c r="K301" s="3">
        <f t="shared" si="13"/>
        <v>313</v>
      </c>
      <c r="L301" s="3">
        <f t="shared" si="14"/>
        <v>92</v>
      </c>
      <c r="M301" s="9" t="str">
        <f>VLOOKUP(A301,WayshrineNames!$A$3:$B$967,2,)</f>
        <v>Mournoth Keep</v>
      </c>
      <c r="N301" s="3" t="str">
        <f>VLOOKUP(F301,'ESO zones'!$A$5:$D$10003,4,FALSE)</f>
        <v>Bangkorai</v>
      </c>
    </row>
    <row r="302" spans="1:14" x14ac:dyDescent="0.25">
      <c r="A302" s="58">
        <v>314</v>
      </c>
      <c r="B302">
        <v>5</v>
      </c>
      <c r="C302">
        <v>30</v>
      </c>
      <c r="D302" t="s">
        <v>3152</v>
      </c>
      <c r="E302">
        <v>17</v>
      </c>
      <c r="F302">
        <v>104</v>
      </c>
      <c r="G302" t="s">
        <v>3153</v>
      </c>
      <c r="H302">
        <v>7</v>
      </c>
      <c r="I302" t="s">
        <v>3419</v>
      </c>
      <c r="J302" s="2" t="str">
        <f t="shared" si="12"/>
        <v>[314]=104,</v>
      </c>
      <c r="K302" s="3">
        <f t="shared" si="13"/>
        <v>314</v>
      </c>
      <c r="L302" s="3">
        <f t="shared" si="14"/>
        <v>104</v>
      </c>
      <c r="M302" s="9" t="str">
        <f>VLOOKUP(A302,WayshrineNames!$A$3:$B$967,2,)</f>
        <v>House of the Silent Magnifico</v>
      </c>
      <c r="N302" s="3" t="str">
        <f>VLOOKUP(F302,'ESO zones'!$A$5:$D$10003,4,FALSE)</f>
        <v>Alik'r Desert</v>
      </c>
    </row>
    <row r="303" spans="1:14" x14ac:dyDescent="0.25">
      <c r="A303" s="58">
        <v>315</v>
      </c>
      <c r="B303">
        <v>15</v>
      </c>
      <c r="C303">
        <v>143</v>
      </c>
      <c r="D303" t="s">
        <v>439</v>
      </c>
      <c r="E303">
        <v>179</v>
      </c>
      <c r="F303">
        <v>381</v>
      </c>
      <c r="G303" t="s">
        <v>439</v>
      </c>
      <c r="H303">
        <v>7</v>
      </c>
      <c r="I303" t="s">
        <v>3420</v>
      </c>
      <c r="J303" s="2" t="str">
        <f t="shared" si="12"/>
        <v>[315]=381,</v>
      </c>
      <c r="K303" s="3">
        <f t="shared" si="13"/>
        <v>315</v>
      </c>
      <c r="L303" s="3">
        <f t="shared" si="14"/>
        <v>381</v>
      </c>
      <c r="M303" s="9" t="str">
        <f>VLOOKUP(A303,WayshrineNames!$A$3:$B$967,2,)</f>
        <v>Mathiisen Manor</v>
      </c>
      <c r="N303" s="3" t="str">
        <f>VLOOKUP(F303,'ESO zones'!$A$5:$D$10003,4,FALSE)</f>
        <v>Auridon</v>
      </c>
    </row>
    <row r="304" spans="1:14" x14ac:dyDescent="0.25">
      <c r="A304" s="58">
        <v>316</v>
      </c>
      <c r="B304">
        <v>9</v>
      </c>
      <c r="C304">
        <v>26</v>
      </c>
      <c r="D304" t="s">
        <v>3159</v>
      </c>
      <c r="E304">
        <v>19</v>
      </c>
      <c r="F304">
        <v>117</v>
      </c>
      <c r="G304" t="s">
        <v>3159</v>
      </c>
      <c r="H304">
        <v>7</v>
      </c>
      <c r="I304" t="s">
        <v>3421</v>
      </c>
      <c r="J304" s="2" t="str">
        <f t="shared" si="12"/>
        <v>[316]=117,</v>
      </c>
      <c r="K304" s="3">
        <f t="shared" si="13"/>
        <v>316</v>
      </c>
      <c r="L304" s="3">
        <f t="shared" si="14"/>
        <v>117</v>
      </c>
      <c r="M304" s="9" t="str">
        <f>VLOOKUP(A304,WayshrineNames!$A$3:$B$967,2,)</f>
        <v>Stay-Moist Mansion</v>
      </c>
      <c r="N304" s="3" t="str">
        <f>VLOOKUP(F304,'ESO zones'!$A$5:$D$10003,4,FALSE)</f>
        <v>Shadowfen</v>
      </c>
    </row>
    <row r="305" spans="1:14" x14ac:dyDescent="0.25">
      <c r="A305" s="58">
        <v>317</v>
      </c>
      <c r="B305">
        <v>7</v>
      </c>
      <c r="C305">
        <v>9</v>
      </c>
      <c r="D305" t="s">
        <v>3129</v>
      </c>
      <c r="E305">
        <v>181</v>
      </c>
      <c r="F305">
        <v>383</v>
      </c>
      <c r="G305" t="s">
        <v>3129</v>
      </c>
      <c r="H305">
        <v>7</v>
      </c>
      <c r="I305" t="s">
        <v>3422</v>
      </c>
      <c r="J305" s="2" t="str">
        <f t="shared" si="12"/>
        <v>[317]=383,</v>
      </c>
      <c r="K305" s="3">
        <f t="shared" si="13"/>
        <v>317</v>
      </c>
      <c r="L305" s="3">
        <f t="shared" si="14"/>
        <v>383</v>
      </c>
      <c r="M305" s="9" t="str">
        <f>VLOOKUP(A305,WayshrineNames!$A$3:$B$967,2,)</f>
        <v>The Gorinir Estate</v>
      </c>
      <c r="N305" s="3" t="str">
        <f>VLOOKUP(F305,'ESO zones'!$A$5:$D$10003,4,FALSE)</f>
        <v>Grahtwood</v>
      </c>
    </row>
    <row r="306" spans="1:14" x14ac:dyDescent="0.25">
      <c r="A306" s="58">
        <v>318</v>
      </c>
      <c r="B306">
        <v>4</v>
      </c>
      <c r="C306">
        <v>12</v>
      </c>
      <c r="D306" t="s">
        <v>3121</v>
      </c>
      <c r="E306">
        <v>4</v>
      </c>
      <c r="F306">
        <v>19</v>
      </c>
      <c r="G306" t="s">
        <v>3121</v>
      </c>
      <c r="H306">
        <v>7</v>
      </c>
      <c r="I306" t="s">
        <v>3423</v>
      </c>
      <c r="J306" s="2" t="str">
        <f t="shared" si="12"/>
        <v>[318]=19,</v>
      </c>
      <c r="K306" s="3">
        <f t="shared" si="13"/>
        <v>318</v>
      </c>
      <c r="L306" s="3">
        <f t="shared" si="14"/>
        <v>19</v>
      </c>
      <c r="M306" s="9" t="str">
        <f>VLOOKUP(A306,WayshrineNames!$A$3:$B$967,2,)</f>
        <v>Gardner House</v>
      </c>
      <c r="N306" s="3" t="str">
        <f>VLOOKUP(F306,'ESO zones'!$A$5:$D$10003,4,FALSE)</f>
        <v>Stormhaven</v>
      </c>
    </row>
    <row r="307" spans="1:14" x14ac:dyDescent="0.25">
      <c r="A307" s="58">
        <v>319</v>
      </c>
      <c r="B307">
        <v>10</v>
      </c>
      <c r="C307">
        <v>13</v>
      </c>
      <c r="D307" t="s">
        <v>436</v>
      </c>
      <c r="E307">
        <v>10</v>
      </c>
      <c r="F307">
        <v>57</v>
      </c>
      <c r="G307" t="s">
        <v>436</v>
      </c>
      <c r="H307">
        <v>7</v>
      </c>
      <c r="I307" t="s">
        <v>2608</v>
      </c>
      <c r="J307" s="2" t="str">
        <f t="shared" si="12"/>
        <v>[319]=57,</v>
      </c>
      <c r="K307" s="3">
        <f t="shared" si="13"/>
        <v>319</v>
      </c>
      <c r="L307" s="3">
        <f t="shared" si="14"/>
        <v>57</v>
      </c>
      <c r="M307" s="9" t="str">
        <f>VLOOKUP(A307,WayshrineNames!$A$3:$B$967,2,)</f>
        <v>Quondam Indorilia</v>
      </c>
      <c r="N307" s="3" t="str">
        <f>VLOOKUP(F307,'ESO zones'!$A$5:$D$10003,4,FALSE)</f>
        <v>Deshaan</v>
      </c>
    </row>
    <row r="308" spans="1:14" x14ac:dyDescent="0.25">
      <c r="A308" s="58">
        <v>320</v>
      </c>
      <c r="B308">
        <v>17</v>
      </c>
      <c r="C308">
        <v>256</v>
      </c>
      <c r="D308" t="s">
        <v>3260</v>
      </c>
      <c r="E308">
        <v>180</v>
      </c>
      <c r="F308">
        <v>382</v>
      </c>
      <c r="G308" t="s">
        <v>3260</v>
      </c>
      <c r="H308">
        <v>7</v>
      </c>
      <c r="I308" t="s">
        <v>3424</v>
      </c>
      <c r="J308" s="2" t="str">
        <f t="shared" si="12"/>
        <v>[320]=382,</v>
      </c>
      <c r="K308" s="3">
        <f t="shared" si="13"/>
        <v>320</v>
      </c>
      <c r="L308" s="3">
        <f t="shared" si="14"/>
        <v>382</v>
      </c>
      <c r="M308" s="9" t="str">
        <f>VLOOKUP(A308,WayshrineNames!$A$3:$B$967,2,)</f>
        <v>Strident Springs Demesne</v>
      </c>
      <c r="N308" s="3" t="str">
        <f>VLOOKUP(F308,'ESO zones'!$A$5:$D$10003,4,FALSE)</f>
        <v>Reaper's March</v>
      </c>
    </row>
    <row r="309" spans="1:14" x14ac:dyDescent="0.25">
      <c r="A309" s="58">
        <v>321</v>
      </c>
      <c r="B309">
        <v>17</v>
      </c>
      <c r="C309">
        <v>256</v>
      </c>
      <c r="D309" t="s">
        <v>3260</v>
      </c>
      <c r="E309">
        <v>180</v>
      </c>
      <c r="F309">
        <v>382</v>
      </c>
      <c r="G309" t="s">
        <v>3260</v>
      </c>
      <c r="H309">
        <v>7</v>
      </c>
      <c r="I309" t="s">
        <v>3425</v>
      </c>
      <c r="J309" s="2" t="str">
        <f t="shared" si="12"/>
        <v>[321]=382,</v>
      </c>
      <c r="K309" s="3">
        <f t="shared" si="13"/>
        <v>321</v>
      </c>
      <c r="L309" s="3">
        <f t="shared" si="14"/>
        <v>382</v>
      </c>
      <c r="M309" s="9" t="str">
        <f>VLOOKUP(A309,WayshrineNames!$A$3:$B$967,2,)</f>
        <v>Dawnshadow</v>
      </c>
      <c r="N309" s="3" t="str">
        <f>VLOOKUP(F309,'ESO zones'!$A$5:$D$10003,4,FALSE)</f>
        <v>Reaper's March</v>
      </c>
    </row>
    <row r="310" spans="1:14" x14ac:dyDescent="0.25">
      <c r="A310" s="58">
        <v>322</v>
      </c>
      <c r="B310">
        <v>12</v>
      </c>
      <c r="C310">
        <v>125</v>
      </c>
      <c r="D310" t="s">
        <v>3221</v>
      </c>
      <c r="E310">
        <v>16</v>
      </c>
      <c r="F310">
        <v>103</v>
      </c>
      <c r="G310" t="s">
        <v>3221</v>
      </c>
      <c r="H310">
        <v>7</v>
      </c>
      <c r="I310" t="s">
        <v>3426</v>
      </c>
      <c r="J310" s="2" t="str">
        <f t="shared" si="12"/>
        <v>[322]=103,</v>
      </c>
      <c r="K310" s="3">
        <f t="shared" si="13"/>
        <v>322</v>
      </c>
      <c r="L310" s="3">
        <f t="shared" si="14"/>
        <v>103</v>
      </c>
      <c r="M310" s="9" t="str">
        <f>VLOOKUP(A310,WayshrineNames!$A$3:$B$967,2,)</f>
        <v>Old Mistveil Manor</v>
      </c>
      <c r="N310" s="3" t="str">
        <f>VLOOKUP(F310,'ESO zones'!$A$5:$D$10003,4,FALSE)</f>
        <v>The Rift</v>
      </c>
    </row>
    <row r="311" spans="1:14" x14ac:dyDescent="0.25">
      <c r="A311" s="58">
        <v>323</v>
      </c>
      <c r="B311">
        <v>6</v>
      </c>
      <c r="C311">
        <v>20</v>
      </c>
      <c r="D311" t="s">
        <v>524</v>
      </c>
      <c r="E311">
        <v>14</v>
      </c>
      <c r="F311">
        <v>92</v>
      </c>
      <c r="G311" t="s">
        <v>524</v>
      </c>
      <c r="H311">
        <v>7</v>
      </c>
      <c r="I311" t="s">
        <v>3427</v>
      </c>
      <c r="J311" s="2" t="str">
        <f t="shared" si="12"/>
        <v>[323]=92,</v>
      </c>
      <c r="K311" s="3">
        <f t="shared" si="13"/>
        <v>323</v>
      </c>
      <c r="L311" s="3">
        <f t="shared" si="14"/>
        <v>92</v>
      </c>
      <c r="M311" s="9" t="str">
        <f>VLOOKUP(A311,WayshrineNames!$A$3:$B$967,2,)</f>
        <v>Forsaken Stronghold</v>
      </c>
      <c r="N311" s="3" t="str">
        <f>VLOOKUP(F311,'ESO zones'!$A$5:$D$10003,4,FALSE)</f>
        <v>Bangkorai</v>
      </c>
    </row>
    <row r="312" spans="1:14" x14ac:dyDescent="0.25">
      <c r="A312" s="58">
        <v>324</v>
      </c>
      <c r="B312">
        <v>19</v>
      </c>
      <c r="C312">
        <v>201</v>
      </c>
      <c r="D312" t="s">
        <v>2452</v>
      </c>
      <c r="E312">
        <v>305</v>
      </c>
      <c r="F312">
        <v>534</v>
      </c>
      <c r="G312" t="s">
        <v>2452</v>
      </c>
      <c r="H312">
        <v>7</v>
      </c>
      <c r="I312" t="s">
        <v>3428</v>
      </c>
      <c r="J312" s="2" t="str">
        <f t="shared" si="12"/>
        <v>[324]=534,</v>
      </c>
      <c r="K312" s="3">
        <f t="shared" si="13"/>
        <v>324</v>
      </c>
      <c r="L312" s="3">
        <f t="shared" si="14"/>
        <v>534</v>
      </c>
      <c r="M312" s="9" t="str">
        <f>VLOOKUP(A312,WayshrineNames!$A$3:$B$967,2,)</f>
        <v>Hunding's Palatial Hall</v>
      </c>
      <c r="N312" s="3" t="str">
        <f>VLOOKUP(F312,'ESO zones'!$A$5:$D$10003,4,FALSE)</f>
        <v>Stros M'Kai</v>
      </c>
    </row>
    <row r="313" spans="1:14" x14ac:dyDescent="0.25">
      <c r="A313" s="58">
        <v>325</v>
      </c>
      <c r="B313">
        <v>7</v>
      </c>
      <c r="C313">
        <v>9</v>
      </c>
      <c r="D313" t="s">
        <v>3129</v>
      </c>
      <c r="E313">
        <v>181</v>
      </c>
      <c r="F313">
        <v>383</v>
      </c>
      <c r="G313" t="s">
        <v>3129</v>
      </c>
      <c r="H313">
        <v>7</v>
      </c>
      <c r="I313" t="s">
        <v>3429</v>
      </c>
      <c r="J313" s="2" t="str">
        <f t="shared" si="12"/>
        <v>[325]=383,</v>
      </c>
      <c r="K313" s="3">
        <f t="shared" si="13"/>
        <v>325</v>
      </c>
      <c r="L313" s="3">
        <f t="shared" si="14"/>
        <v>383</v>
      </c>
      <c r="M313" s="9" t="str">
        <f>VLOOKUP(A313,WayshrineNames!$A$3:$B$967,2,)</f>
        <v>Grand Topal Hideaway</v>
      </c>
      <c r="N313" s="3" t="str">
        <f>VLOOKUP(F313,'ESO zones'!$A$5:$D$10003,4,FALSE)</f>
        <v>Grahtwood</v>
      </c>
    </row>
    <row r="314" spans="1:14" x14ac:dyDescent="0.25">
      <c r="A314" s="58">
        <v>326</v>
      </c>
      <c r="B314">
        <v>25</v>
      </c>
      <c r="C314">
        <v>1126</v>
      </c>
      <c r="D314" t="s">
        <v>3331</v>
      </c>
      <c r="E314">
        <v>501</v>
      </c>
      <c r="F314">
        <v>888</v>
      </c>
      <c r="G314" t="s">
        <v>3331</v>
      </c>
      <c r="H314">
        <v>6</v>
      </c>
      <c r="I314" t="s">
        <v>3430</v>
      </c>
      <c r="J314" s="2" t="str">
        <f t="shared" si="12"/>
        <v>[326]=888,</v>
      </c>
      <c r="K314" s="3">
        <f t="shared" si="13"/>
        <v>326</v>
      </c>
      <c r="L314" s="3">
        <f t="shared" si="14"/>
        <v>888</v>
      </c>
      <c r="M314" s="9" t="str">
        <f>VLOOKUP(A314,WayshrineNames!$A$3:$B$967,2,)</f>
        <v>Dungeon: Bloodroot Forge</v>
      </c>
      <c r="N314" s="3" t="str">
        <f>VLOOKUP(F314,'ESO zones'!$A$5:$D$10003,4,FALSE)</f>
        <v>Craglorn</v>
      </c>
    </row>
    <row r="315" spans="1:14" x14ac:dyDescent="0.25">
      <c r="A315" s="58">
        <v>327</v>
      </c>
      <c r="B315">
        <v>25</v>
      </c>
      <c r="C315">
        <v>1126</v>
      </c>
      <c r="D315" t="s">
        <v>3331</v>
      </c>
      <c r="E315">
        <v>501</v>
      </c>
      <c r="F315">
        <v>888</v>
      </c>
      <c r="G315" t="s">
        <v>3331</v>
      </c>
      <c r="H315">
        <v>7</v>
      </c>
      <c r="I315" t="s">
        <v>3431</v>
      </c>
      <c r="J315" s="2" t="str">
        <f t="shared" si="12"/>
        <v>[327]=888,</v>
      </c>
      <c r="K315" s="3">
        <f t="shared" si="13"/>
        <v>327</v>
      </c>
      <c r="L315" s="3">
        <f t="shared" si="14"/>
        <v>888</v>
      </c>
      <c r="M315" s="9" t="str">
        <f>VLOOKUP(A315,WayshrineNames!$A$3:$B$967,2,)</f>
        <v>Earthtear Cavern</v>
      </c>
      <c r="N315" s="3" t="str">
        <f>VLOOKUP(F315,'ESO zones'!$A$5:$D$10003,4,FALSE)</f>
        <v>Craglorn</v>
      </c>
    </row>
    <row r="316" spans="1:14" x14ac:dyDescent="0.25">
      <c r="A316" s="58">
        <v>328</v>
      </c>
      <c r="B316">
        <v>30</v>
      </c>
      <c r="C316">
        <v>1060</v>
      </c>
      <c r="D316" t="s">
        <v>1037</v>
      </c>
      <c r="E316">
        <v>468</v>
      </c>
      <c r="F316">
        <v>849</v>
      </c>
      <c r="G316" t="s">
        <v>1037</v>
      </c>
      <c r="H316">
        <v>1</v>
      </c>
      <c r="I316" t="s">
        <v>3432</v>
      </c>
      <c r="J316" s="2" t="str">
        <f t="shared" si="12"/>
        <v>[328]=849,</v>
      </c>
      <c r="K316" s="3">
        <f t="shared" si="13"/>
        <v>328</v>
      </c>
      <c r="L316" s="3">
        <f t="shared" si="14"/>
        <v>849</v>
      </c>
      <c r="M316" s="9" t="str">
        <f>VLOOKUP(A316,WayshrineNames!$A$3:$B$967,2,)</f>
        <v>Vivec Temple Wayshrine</v>
      </c>
      <c r="N316" s="3" t="str">
        <f>VLOOKUP(F316,'ESO zones'!$A$5:$D$10003,4,FALSE)</f>
        <v>Vvardenfell</v>
      </c>
    </row>
    <row r="317" spans="1:14" x14ac:dyDescent="0.25">
      <c r="A317" s="58">
        <v>329</v>
      </c>
      <c r="B317">
        <v>30</v>
      </c>
      <c r="C317">
        <v>1060</v>
      </c>
      <c r="D317" t="s">
        <v>1037</v>
      </c>
      <c r="E317">
        <v>468</v>
      </c>
      <c r="F317">
        <v>849</v>
      </c>
      <c r="G317" t="s">
        <v>1037</v>
      </c>
      <c r="H317">
        <v>1</v>
      </c>
      <c r="I317" t="s">
        <v>3433</v>
      </c>
      <c r="J317" s="2" t="str">
        <f t="shared" si="12"/>
        <v>[329]=849,</v>
      </c>
      <c r="K317" s="3">
        <f t="shared" si="13"/>
        <v>329</v>
      </c>
      <c r="L317" s="3">
        <f t="shared" si="14"/>
        <v>849</v>
      </c>
      <c r="M317" s="9" t="str">
        <f>VLOOKUP(A317,WayshrineNames!$A$3:$B$967,2,)</f>
        <v>West Gash Wayshrine</v>
      </c>
      <c r="N317" s="3" t="str">
        <f>VLOOKUP(F317,'ESO zones'!$A$5:$D$10003,4,FALSE)</f>
        <v>Vvardenfell</v>
      </c>
    </row>
    <row r="318" spans="1:14" x14ac:dyDescent="0.25">
      <c r="A318" s="58">
        <v>330</v>
      </c>
      <c r="B318">
        <v>30</v>
      </c>
      <c r="C318">
        <v>1060</v>
      </c>
      <c r="D318" t="s">
        <v>1037</v>
      </c>
      <c r="E318">
        <v>468</v>
      </c>
      <c r="F318">
        <v>849</v>
      </c>
      <c r="G318" t="s">
        <v>1037</v>
      </c>
      <c r="H318">
        <v>1</v>
      </c>
      <c r="I318" t="s">
        <v>3434</v>
      </c>
      <c r="J318" s="2" t="str">
        <f t="shared" si="12"/>
        <v>[330]=849,</v>
      </c>
      <c r="K318" s="3">
        <f t="shared" si="13"/>
        <v>330</v>
      </c>
      <c r="L318" s="3">
        <f t="shared" si="14"/>
        <v>849</v>
      </c>
      <c r="M318" s="9" t="str">
        <f>VLOOKUP(A318,WayshrineNames!$A$3:$B$967,2,)</f>
        <v>Urshilaku Camp Wayshrine</v>
      </c>
      <c r="N318" s="3" t="str">
        <f>VLOOKUP(F318,'ESO zones'!$A$5:$D$10003,4,FALSE)</f>
        <v>Vvardenfell</v>
      </c>
    </row>
    <row r="319" spans="1:14" x14ac:dyDescent="0.25">
      <c r="A319" s="58">
        <v>331</v>
      </c>
      <c r="B319">
        <v>30</v>
      </c>
      <c r="C319">
        <v>1060</v>
      </c>
      <c r="D319" t="s">
        <v>1037</v>
      </c>
      <c r="E319">
        <v>468</v>
      </c>
      <c r="F319">
        <v>849</v>
      </c>
      <c r="G319" t="s">
        <v>1037</v>
      </c>
      <c r="H319">
        <v>3</v>
      </c>
      <c r="I319" t="s">
        <v>3435</v>
      </c>
      <c r="J319" s="2" t="str">
        <f t="shared" si="12"/>
        <v>[331]=849,</v>
      </c>
      <c r="K319" s="3">
        <f t="shared" si="13"/>
        <v>331</v>
      </c>
      <c r="L319" s="3">
        <f t="shared" si="14"/>
        <v>849</v>
      </c>
      <c r="M319" s="9" t="str">
        <f>VLOOKUP(A319,WayshrineNames!$A$3:$B$967,2,)</f>
        <v>Trial: Halls of Fabrication</v>
      </c>
      <c r="N319" s="3" t="str">
        <f>VLOOKUP(F319,'ESO zones'!$A$5:$D$10003,4,FALSE)</f>
        <v>Vvardenfell</v>
      </c>
    </row>
    <row r="320" spans="1:14" x14ac:dyDescent="0.25">
      <c r="A320" s="58">
        <v>332</v>
      </c>
      <c r="B320">
        <v>25</v>
      </c>
      <c r="C320">
        <v>1126</v>
      </c>
      <c r="D320" t="s">
        <v>3331</v>
      </c>
      <c r="E320">
        <v>501</v>
      </c>
      <c r="F320">
        <v>888</v>
      </c>
      <c r="G320" t="s">
        <v>3331</v>
      </c>
      <c r="H320">
        <v>6</v>
      </c>
      <c r="I320" t="s">
        <v>3436</v>
      </c>
      <c r="J320" s="2" t="str">
        <f t="shared" si="12"/>
        <v>[332]=888,</v>
      </c>
      <c r="K320" s="3">
        <f t="shared" si="13"/>
        <v>332</v>
      </c>
      <c r="L320" s="3">
        <f t="shared" si="14"/>
        <v>888</v>
      </c>
      <c r="M320" s="9" t="str">
        <f>VLOOKUP(A320,WayshrineNames!$A$3:$B$967,2,)</f>
        <v>Dungeon: Falkreath Hold</v>
      </c>
      <c r="N320" s="3" t="str">
        <f>VLOOKUP(F320,'ESO zones'!$A$5:$D$10003,4,FALSE)</f>
        <v>Craglorn</v>
      </c>
    </row>
    <row r="321" spans="1:14" x14ac:dyDescent="0.25">
      <c r="A321" s="58">
        <v>333</v>
      </c>
      <c r="B321">
        <v>30</v>
      </c>
      <c r="C321">
        <v>1060</v>
      </c>
      <c r="D321" t="s">
        <v>1037</v>
      </c>
      <c r="E321">
        <v>468</v>
      </c>
      <c r="F321">
        <v>849</v>
      </c>
      <c r="G321" t="s">
        <v>1037</v>
      </c>
      <c r="H321">
        <v>7</v>
      </c>
      <c r="I321" t="s">
        <v>3437</v>
      </c>
      <c r="J321" s="2" t="str">
        <f t="shared" si="12"/>
        <v>[333]=849,</v>
      </c>
      <c r="K321" s="3">
        <f t="shared" si="13"/>
        <v>333</v>
      </c>
      <c r="L321" s="3">
        <f t="shared" si="14"/>
        <v>849</v>
      </c>
      <c r="M321" s="9" t="str">
        <f>VLOOKUP(A321,WayshrineNames!$A$3:$B$967,2,)</f>
        <v>Saint Delyn Penthouse</v>
      </c>
      <c r="N321" s="3" t="str">
        <f>VLOOKUP(F321,'ESO zones'!$A$5:$D$10003,4,FALSE)</f>
        <v>Vvardenfell</v>
      </c>
    </row>
    <row r="322" spans="1:14" x14ac:dyDescent="0.25">
      <c r="A322" s="58">
        <v>334</v>
      </c>
      <c r="B322">
        <v>30</v>
      </c>
      <c r="C322">
        <v>1060</v>
      </c>
      <c r="D322" t="s">
        <v>1037</v>
      </c>
      <c r="E322">
        <v>468</v>
      </c>
      <c r="F322">
        <v>849</v>
      </c>
      <c r="G322" t="s">
        <v>1037</v>
      </c>
      <c r="H322">
        <v>7</v>
      </c>
      <c r="I322" t="s">
        <v>3438</v>
      </c>
      <c r="J322" s="2" t="str">
        <f t="shared" si="12"/>
        <v>[334]=849,</v>
      </c>
      <c r="K322" s="3">
        <f t="shared" si="13"/>
        <v>334</v>
      </c>
      <c r="L322" s="3">
        <f t="shared" si="14"/>
        <v>849</v>
      </c>
      <c r="M322" s="9" t="str">
        <f>VLOOKUP(A322,WayshrineNames!$A$3:$B$967,2,)</f>
        <v>Amaya Lake Lodge</v>
      </c>
      <c r="N322" s="3" t="str">
        <f>VLOOKUP(F322,'ESO zones'!$A$5:$D$10003,4,FALSE)</f>
        <v>Vvardenfell</v>
      </c>
    </row>
    <row r="323" spans="1:14" x14ac:dyDescent="0.25">
      <c r="A323" s="58">
        <v>335</v>
      </c>
      <c r="B323">
        <v>30</v>
      </c>
      <c r="C323">
        <v>1060</v>
      </c>
      <c r="D323" t="s">
        <v>1037</v>
      </c>
      <c r="E323">
        <v>468</v>
      </c>
      <c r="F323">
        <v>849</v>
      </c>
      <c r="G323" t="s">
        <v>1037</v>
      </c>
      <c r="H323">
        <v>7</v>
      </c>
      <c r="I323" t="s">
        <v>3439</v>
      </c>
      <c r="J323" s="2" t="str">
        <f t="shared" ref="J323:J386" si="15">IF(A323&lt;&gt;"",IF(F323&lt;&gt;"",IF(OR(ISNA(A323),ISNA(F323)),"","["&amp;A323&amp;"]="&amp;F323&amp;","),""),"")</f>
        <v>[335]=849,</v>
      </c>
      <c r="K323" s="3">
        <f t="shared" ref="K323:K386" si="16">A323</f>
        <v>335</v>
      </c>
      <c r="L323" s="3">
        <f t="shared" ref="L323:L386" si="17">F323</f>
        <v>849</v>
      </c>
      <c r="M323" s="9" t="str">
        <f>VLOOKUP(A323,WayshrineNames!$A$3:$B$967,2,)</f>
        <v>Ald Velothi Harbor House</v>
      </c>
      <c r="N323" s="3" t="str">
        <f>VLOOKUP(F323,'ESO zones'!$A$5:$D$10003,4,FALSE)</f>
        <v>Vvardenfell</v>
      </c>
    </row>
    <row r="324" spans="1:14" x14ac:dyDescent="0.25">
      <c r="A324" s="58">
        <v>336</v>
      </c>
      <c r="B324">
        <v>30</v>
      </c>
      <c r="C324">
        <v>1060</v>
      </c>
      <c r="D324" t="s">
        <v>1037</v>
      </c>
      <c r="E324">
        <v>468</v>
      </c>
      <c r="F324">
        <v>849</v>
      </c>
      <c r="G324" t="s">
        <v>1037</v>
      </c>
      <c r="H324">
        <v>7</v>
      </c>
      <c r="I324" t="s">
        <v>2707</v>
      </c>
      <c r="J324" s="2" t="str">
        <f t="shared" si="15"/>
        <v>[336]=849,</v>
      </c>
      <c r="K324" s="3">
        <f t="shared" si="16"/>
        <v>336</v>
      </c>
      <c r="L324" s="3">
        <f t="shared" si="17"/>
        <v>849</v>
      </c>
      <c r="M324" s="9" t="str">
        <f>VLOOKUP(A324,WayshrineNames!$A$3:$B$967,2,)</f>
        <v>Tel Galen</v>
      </c>
      <c r="N324" s="3" t="str">
        <f>VLOOKUP(F324,'ESO zones'!$A$5:$D$10003,4,FALSE)</f>
        <v>Vvardenfell</v>
      </c>
    </row>
    <row r="325" spans="1:14" x14ac:dyDescent="0.25">
      <c r="A325" s="58">
        <v>337</v>
      </c>
      <c r="B325">
        <v>31</v>
      </c>
      <c r="C325">
        <v>1313</v>
      </c>
      <c r="D325" t="s">
        <v>3440</v>
      </c>
      <c r="E325">
        <v>590</v>
      </c>
      <c r="F325">
        <v>980</v>
      </c>
      <c r="G325" t="s">
        <v>3441</v>
      </c>
      <c r="H325">
        <v>1</v>
      </c>
      <c r="I325" t="s">
        <v>3442</v>
      </c>
      <c r="J325" s="2" t="str">
        <f t="shared" si="15"/>
        <v>[337]=980,</v>
      </c>
      <c r="K325" s="3">
        <f t="shared" si="16"/>
        <v>337</v>
      </c>
      <c r="L325" s="3">
        <f t="shared" si="17"/>
        <v>980</v>
      </c>
      <c r="M325" s="9" t="str">
        <f>VLOOKUP(A325,WayshrineNames!$A$3:$B$967,2,)</f>
        <v>Brass Fortress Wayshrine</v>
      </c>
      <c r="N325" s="3" t="str">
        <f>VLOOKUP(F325,'ESO zones'!$A$5:$D$10003,4,FALSE)</f>
        <v>Clockwork City</v>
      </c>
    </row>
    <row r="326" spans="1:14" x14ac:dyDescent="0.25">
      <c r="A326" s="58">
        <v>338</v>
      </c>
      <c r="B326">
        <v>31</v>
      </c>
      <c r="C326">
        <v>1313</v>
      </c>
      <c r="D326" t="s">
        <v>3440</v>
      </c>
      <c r="E326">
        <v>590</v>
      </c>
      <c r="F326">
        <v>980</v>
      </c>
      <c r="G326" t="s">
        <v>3441</v>
      </c>
      <c r="H326">
        <v>1</v>
      </c>
      <c r="I326" t="s">
        <v>3443</v>
      </c>
      <c r="J326" s="2" t="str">
        <f t="shared" si="15"/>
        <v>[338]=980,</v>
      </c>
      <c r="K326" s="3">
        <f t="shared" si="16"/>
        <v>338</v>
      </c>
      <c r="L326" s="3">
        <f t="shared" si="17"/>
        <v>980</v>
      </c>
      <c r="M326" s="9" t="str">
        <f>VLOOKUP(A326,WayshrineNames!$A$3:$B$967,2,)</f>
        <v>Clockwork Crossroads Wayshrine</v>
      </c>
      <c r="N326" s="3" t="str">
        <f>VLOOKUP(F326,'ESO zones'!$A$5:$D$10003,4,FALSE)</f>
        <v>Clockwork City</v>
      </c>
    </row>
    <row r="327" spans="1:14" x14ac:dyDescent="0.25">
      <c r="A327" s="58">
        <v>339</v>
      </c>
      <c r="B327">
        <v>31</v>
      </c>
      <c r="C327">
        <v>1313</v>
      </c>
      <c r="D327" t="s">
        <v>3440</v>
      </c>
      <c r="E327">
        <v>590</v>
      </c>
      <c r="F327">
        <v>980</v>
      </c>
      <c r="G327" t="s">
        <v>3441</v>
      </c>
      <c r="H327">
        <v>1</v>
      </c>
      <c r="I327" t="s">
        <v>3444</v>
      </c>
      <c r="J327" s="2" t="str">
        <f t="shared" si="15"/>
        <v>[339]=980,</v>
      </c>
      <c r="K327" s="3">
        <f t="shared" si="16"/>
        <v>339</v>
      </c>
      <c r="L327" s="3">
        <f t="shared" si="17"/>
        <v>980</v>
      </c>
      <c r="M327" s="9" t="str">
        <f>VLOOKUP(A327,WayshrineNames!$A$3:$B$967,2,)</f>
        <v>Mire Mechanica Wayshrine</v>
      </c>
      <c r="N327" s="3" t="str">
        <f>VLOOKUP(F327,'ESO zones'!$A$5:$D$10003,4,FALSE)</f>
        <v>Clockwork City</v>
      </c>
    </row>
    <row r="328" spans="1:14" x14ac:dyDescent="0.25">
      <c r="A328" s="58">
        <v>340</v>
      </c>
      <c r="B328">
        <v>31</v>
      </c>
      <c r="C328">
        <v>1313</v>
      </c>
      <c r="D328" t="s">
        <v>3440</v>
      </c>
      <c r="E328">
        <v>590</v>
      </c>
      <c r="F328">
        <v>980</v>
      </c>
      <c r="G328" t="s">
        <v>3441</v>
      </c>
      <c r="H328">
        <v>1</v>
      </c>
      <c r="I328" t="s">
        <v>3445</v>
      </c>
      <c r="J328" s="2" t="str">
        <f t="shared" si="15"/>
        <v>[340]=980,</v>
      </c>
      <c r="K328" s="3">
        <f t="shared" si="16"/>
        <v>340</v>
      </c>
      <c r="L328" s="3">
        <f t="shared" si="17"/>
        <v>980</v>
      </c>
      <c r="M328" s="9" t="str">
        <f>VLOOKUP(A328,WayshrineNames!$A$3:$B$967,2,)</f>
        <v>Sanctuary Wayshrine</v>
      </c>
      <c r="N328" s="3" t="str">
        <f>VLOOKUP(F328,'ESO zones'!$A$5:$D$10003,4,FALSE)</f>
        <v>Clockwork City</v>
      </c>
    </row>
    <row r="329" spans="1:14" x14ac:dyDescent="0.25">
      <c r="A329" s="58">
        <v>341</v>
      </c>
      <c r="B329">
        <v>6</v>
      </c>
      <c r="C329">
        <v>20</v>
      </c>
      <c r="D329" t="s">
        <v>524</v>
      </c>
      <c r="E329">
        <v>14</v>
      </c>
      <c r="F329">
        <v>92</v>
      </c>
      <c r="G329" t="s">
        <v>524</v>
      </c>
      <c r="H329">
        <v>6</v>
      </c>
      <c r="I329" t="s">
        <v>3446</v>
      </c>
      <c r="J329" s="2" t="str">
        <f t="shared" si="15"/>
        <v>[341]=92,</v>
      </c>
      <c r="K329" s="3">
        <f t="shared" si="16"/>
        <v>341</v>
      </c>
      <c r="L329" s="3">
        <f t="shared" si="17"/>
        <v>92</v>
      </c>
      <c r="M329" s="9" t="str">
        <f>VLOOKUP(A329,WayshrineNames!$A$3:$B$967,2,)</f>
        <v>Dungeon: Fang Lair</v>
      </c>
      <c r="N329" s="3" t="str">
        <f>VLOOKUP(F329,'ESO zones'!$A$5:$D$10003,4,FALSE)</f>
        <v>Bangkorai</v>
      </c>
    </row>
    <row r="330" spans="1:14" x14ac:dyDescent="0.25">
      <c r="A330" s="58">
        <v>342</v>
      </c>
      <c r="B330">
        <v>2</v>
      </c>
      <c r="C330">
        <v>1</v>
      </c>
      <c r="D330" t="s">
        <v>496</v>
      </c>
      <c r="E330">
        <v>2</v>
      </c>
      <c r="F330">
        <v>3</v>
      </c>
      <c r="G330" t="s">
        <v>496</v>
      </c>
      <c r="H330">
        <v>7</v>
      </c>
      <c r="I330" t="s">
        <v>3447</v>
      </c>
      <c r="J330" s="2" t="str">
        <f t="shared" si="15"/>
        <v>[342]=3,</v>
      </c>
      <c r="K330" s="3">
        <f t="shared" si="16"/>
        <v>342</v>
      </c>
      <c r="L330" s="3">
        <f t="shared" si="17"/>
        <v>3</v>
      </c>
      <c r="M330" s="9" t="str">
        <f>VLOOKUP(A330,WayshrineNames!$A$3:$B$967,2,)</f>
        <v>Exorcised Coven Cottage</v>
      </c>
      <c r="N330" s="3" t="str">
        <f>VLOOKUP(F330,'ESO zones'!$A$5:$D$10003,4,FALSE)</f>
        <v>Glenumbra</v>
      </c>
    </row>
    <row r="331" spans="1:14" x14ac:dyDescent="0.25">
      <c r="A331" s="58">
        <v>343</v>
      </c>
      <c r="B331">
        <v>29</v>
      </c>
      <c r="C331">
        <v>1006</v>
      </c>
      <c r="D331" t="s">
        <v>3358</v>
      </c>
      <c r="E331">
        <v>449</v>
      </c>
      <c r="F331">
        <v>823</v>
      </c>
      <c r="G331" t="s">
        <v>3359</v>
      </c>
      <c r="H331">
        <v>7</v>
      </c>
      <c r="I331" t="s">
        <v>3448</v>
      </c>
      <c r="J331" s="2" t="str">
        <f t="shared" si="15"/>
        <v>[343]=823,</v>
      </c>
      <c r="K331" s="3">
        <f t="shared" si="16"/>
        <v>343</v>
      </c>
      <c r="L331" s="3">
        <f t="shared" si="17"/>
        <v>823</v>
      </c>
      <c r="M331" s="9" t="str">
        <f>VLOOKUP(A331,WayshrineNames!$A$3:$B$967,2,)</f>
        <v>Linchal Grand Manor</v>
      </c>
      <c r="N331" s="3" t="str">
        <f>VLOOKUP(F331,'ESO zones'!$A$5:$D$10003,4,FALSE)</f>
        <v>Gold Coast</v>
      </c>
    </row>
    <row r="332" spans="1:14" x14ac:dyDescent="0.25">
      <c r="A332" s="58">
        <v>344</v>
      </c>
      <c r="B332">
        <v>23</v>
      </c>
      <c r="C332">
        <v>255</v>
      </c>
      <c r="D332" t="s">
        <v>3241</v>
      </c>
      <c r="E332">
        <v>155</v>
      </c>
      <c r="F332">
        <v>347</v>
      </c>
      <c r="G332" t="s">
        <v>3241</v>
      </c>
      <c r="H332">
        <v>7</v>
      </c>
      <c r="I332" t="s">
        <v>3449</v>
      </c>
      <c r="J332" s="2" t="str">
        <f t="shared" si="15"/>
        <v>[344]=347,</v>
      </c>
      <c r="K332" s="3">
        <f t="shared" si="16"/>
        <v>344</v>
      </c>
      <c r="L332" s="3">
        <f t="shared" si="17"/>
        <v>347</v>
      </c>
      <c r="M332" s="9" t="str">
        <f>VLOOKUP(A332,WayshrineNames!$A$3:$B$967,2,)</f>
        <v>Coldharbour Surreal Estate</v>
      </c>
      <c r="N332" s="3" t="str">
        <f>VLOOKUP(F332,'ESO zones'!$A$5:$D$10003,4,FALSE)</f>
        <v>Coldharbour</v>
      </c>
    </row>
    <row r="333" spans="1:14" x14ac:dyDescent="0.25">
      <c r="A333" s="58">
        <v>345</v>
      </c>
      <c r="B333">
        <v>25</v>
      </c>
      <c r="C333">
        <v>1126</v>
      </c>
      <c r="D333" t="s">
        <v>3331</v>
      </c>
      <c r="E333">
        <v>501</v>
      </c>
      <c r="F333">
        <v>888</v>
      </c>
      <c r="G333" t="s">
        <v>3331</v>
      </c>
      <c r="H333">
        <v>7</v>
      </c>
      <c r="I333" t="s">
        <v>3450</v>
      </c>
      <c r="J333" s="2" t="str">
        <f t="shared" si="15"/>
        <v>[345]=888,</v>
      </c>
      <c r="K333" s="3">
        <f t="shared" si="16"/>
        <v>345</v>
      </c>
      <c r="L333" s="3">
        <f t="shared" si="17"/>
        <v>888</v>
      </c>
      <c r="M333" s="9" t="str">
        <f>VLOOKUP(A333,WayshrineNames!$A$3:$B$967,2,)</f>
        <v>Hakkvild's High Hall</v>
      </c>
      <c r="N333" s="3" t="str">
        <f>VLOOKUP(F333,'ESO zones'!$A$5:$D$10003,4,FALSE)</f>
        <v>Craglorn</v>
      </c>
    </row>
    <row r="334" spans="1:14" x14ac:dyDescent="0.25">
      <c r="A334" s="58">
        <v>346</v>
      </c>
      <c r="B334">
        <v>31</v>
      </c>
      <c r="C334">
        <v>1313</v>
      </c>
      <c r="D334" t="s">
        <v>3440</v>
      </c>
      <c r="E334">
        <v>590</v>
      </c>
      <c r="F334">
        <v>980</v>
      </c>
      <c r="G334" t="s">
        <v>3441</v>
      </c>
      <c r="H334">
        <v>3</v>
      </c>
      <c r="I334" t="s">
        <v>3451</v>
      </c>
      <c r="J334" s="2" t="str">
        <f t="shared" si="15"/>
        <v>[346]=980,</v>
      </c>
      <c r="K334" s="3">
        <f t="shared" si="16"/>
        <v>346</v>
      </c>
      <c r="L334" s="3">
        <f t="shared" si="17"/>
        <v>980</v>
      </c>
      <c r="M334" s="9" t="str">
        <f>VLOOKUP(A334,WayshrineNames!$A$3:$B$967,2,)</f>
        <v>Trial: Asylum Sanctorium</v>
      </c>
      <c r="N334" s="3" t="str">
        <f>VLOOKUP(F334,'ESO zones'!$A$5:$D$10003,4,FALSE)</f>
        <v>Clockwork City</v>
      </c>
    </row>
    <row r="335" spans="1:14" x14ac:dyDescent="0.25">
      <c r="A335" s="58">
        <v>347</v>
      </c>
      <c r="B335">
        <v>31</v>
      </c>
      <c r="C335">
        <v>1313</v>
      </c>
      <c r="D335" t="s">
        <v>3440</v>
      </c>
      <c r="E335">
        <v>590</v>
      </c>
      <c r="F335">
        <v>980</v>
      </c>
      <c r="G335" t="s">
        <v>3441</v>
      </c>
      <c r="H335">
        <v>7</v>
      </c>
      <c r="I335" t="s">
        <v>3452</v>
      </c>
      <c r="J335" s="2" t="str">
        <f t="shared" si="15"/>
        <v>[347]=980,</v>
      </c>
      <c r="K335" s="3">
        <f t="shared" si="16"/>
        <v>347</v>
      </c>
      <c r="L335" s="3">
        <f t="shared" si="17"/>
        <v>980</v>
      </c>
      <c r="M335" s="9" t="str">
        <f>VLOOKUP(A335,WayshrineNames!$A$3:$B$967,2,)</f>
        <v>The Orbservatory Prior</v>
      </c>
      <c r="N335" s="3" t="str">
        <f>VLOOKUP(F335,'ESO zones'!$A$5:$D$10003,4,FALSE)</f>
        <v>Clockwork City</v>
      </c>
    </row>
    <row r="336" spans="1:14" x14ac:dyDescent="0.25">
      <c r="A336">
        <v>348</v>
      </c>
      <c r="B336">
        <v>27</v>
      </c>
      <c r="C336">
        <v>667</v>
      </c>
      <c r="D336" t="s">
        <v>816</v>
      </c>
      <c r="E336">
        <v>380</v>
      </c>
      <c r="F336">
        <v>684</v>
      </c>
      <c r="G336" t="s">
        <v>816</v>
      </c>
      <c r="H336">
        <v>7</v>
      </c>
      <c r="I336" t="s">
        <v>2740</v>
      </c>
      <c r="J336" s="2" t="str">
        <f t="shared" si="15"/>
        <v>[348]=684,</v>
      </c>
      <c r="K336" s="3">
        <f t="shared" si="16"/>
        <v>348</v>
      </c>
      <c r="L336" s="3">
        <f t="shared" si="17"/>
        <v>684</v>
      </c>
      <c r="M336" s="9" t="str">
        <f>VLOOKUP(A336,WayshrineNames!$A$3:$B$967,2,)</f>
        <v>Pariah's Pinnacle</v>
      </c>
      <c r="N336" s="3" t="str">
        <f>VLOOKUP(F336,'ESO zones'!$A$5:$D$10003,4,FALSE)</f>
        <v>Wrothgar</v>
      </c>
    </row>
    <row r="337" spans="1:14" x14ac:dyDescent="0.25">
      <c r="A337" s="58">
        <v>349</v>
      </c>
      <c r="B337">
        <v>32</v>
      </c>
      <c r="C337">
        <v>1349</v>
      </c>
      <c r="D337" t="s">
        <v>3453</v>
      </c>
      <c r="E337">
        <v>617</v>
      </c>
      <c r="F337">
        <v>1011</v>
      </c>
      <c r="G337" t="s">
        <v>3453</v>
      </c>
      <c r="H337">
        <v>1</v>
      </c>
      <c r="I337" t="s">
        <v>3454</v>
      </c>
      <c r="J337" s="2" t="str">
        <f t="shared" si="15"/>
        <v>[349]=1011,</v>
      </c>
      <c r="K337" s="3">
        <f t="shared" si="16"/>
        <v>349</v>
      </c>
      <c r="L337" s="3">
        <f t="shared" si="17"/>
        <v>1011</v>
      </c>
      <c r="M337" s="9" t="str">
        <f>VLOOKUP(A337,WayshrineNames!$A$3:$B$967,2,)</f>
        <v>King's Haven Pass Wayshrine</v>
      </c>
      <c r="N337" s="3" t="str">
        <f>VLOOKUP(F337,'ESO zones'!$A$5:$D$10003,4,FALSE)</f>
        <v>Summerset</v>
      </c>
    </row>
    <row r="338" spans="1:14" x14ac:dyDescent="0.25">
      <c r="A338" s="58">
        <v>350</v>
      </c>
      <c r="B338">
        <v>32</v>
      </c>
      <c r="C338">
        <v>1349</v>
      </c>
      <c r="D338" t="s">
        <v>3453</v>
      </c>
      <c r="E338">
        <v>617</v>
      </c>
      <c r="F338">
        <v>1011</v>
      </c>
      <c r="G338" t="s">
        <v>3453</v>
      </c>
      <c r="H338">
        <v>1</v>
      </c>
      <c r="I338" t="s">
        <v>3455</v>
      </c>
      <c r="J338" s="2" t="str">
        <f t="shared" si="15"/>
        <v>[350]=1011,</v>
      </c>
      <c r="K338" s="3">
        <f t="shared" si="16"/>
        <v>350</v>
      </c>
      <c r="L338" s="3">
        <f t="shared" si="17"/>
        <v>1011</v>
      </c>
      <c r="M338" s="9" t="str">
        <f>VLOOKUP(A338,WayshrineNames!$A$3:$B$967,2,)</f>
        <v>Shimmerene Wayshrine</v>
      </c>
      <c r="N338" s="3" t="str">
        <f>VLOOKUP(F338,'ESO zones'!$A$5:$D$10003,4,FALSE)</f>
        <v>Summerset</v>
      </c>
    </row>
    <row r="339" spans="1:14" x14ac:dyDescent="0.25">
      <c r="A339" s="58">
        <v>351</v>
      </c>
      <c r="B339">
        <v>32</v>
      </c>
      <c r="C339">
        <v>1349</v>
      </c>
      <c r="D339" t="s">
        <v>3453</v>
      </c>
      <c r="E339">
        <v>617</v>
      </c>
      <c r="F339">
        <v>1011</v>
      </c>
      <c r="G339" t="s">
        <v>3453</v>
      </c>
      <c r="H339">
        <v>1</v>
      </c>
      <c r="I339" t="s">
        <v>3456</v>
      </c>
      <c r="J339" s="2" t="str">
        <f t="shared" si="15"/>
        <v>[351]=1011,</v>
      </c>
      <c r="K339" s="3">
        <f t="shared" si="16"/>
        <v>351</v>
      </c>
      <c r="L339" s="3">
        <f t="shared" si="17"/>
        <v>1011</v>
      </c>
      <c r="M339" s="9" t="str">
        <f>VLOOKUP(A339,WayshrineNames!$A$3:$B$967,2,)</f>
        <v>Sil-Var-Woad Wayshrine</v>
      </c>
      <c r="N339" s="3" t="str">
        <f>VLOOKUP(F339,'ESO zones'!$A$5:$D$10003,4,FALSE)</f>
        <v>Summerset</v>
      </c>
    </row>
    <row r="340" spans="1:14" x14ac:dyDescent="0.25">
      <c r="A340" s="58">
        <v>352</v>
      </c>
      <c r="B340">
        <v>32</v>
      </c>
      <c r="C340">
        <v>1349</v>
      </c>
      <c r="D340" t="s">
        <v>3453</v>
      </c>
      <c r="E340">
        <v>617</v>
      </c>
      <c r="F340">
        <v>1011</v>
      </c>
      <c r="G340" t="s">
        <v>3453</v>
      </c>
      <c r="H340">
        <v>1</v>
      </c>
      <c r="I340" t="s">
        <v>3457</v>
      </c>
      <c r="J340" s="2" t="str">
        <f t="shared" si="15"/>
        <v>[352]=1011,</v>
      </c>
      <c r="K340" s="3">
        <f t="shared" si="16"/>
        <v>352</v>
      </c>
      <c r="L340" s="3">
        <f t="shared" si="17"/>
        <v>1011</v>
      </c>
      <c r="M340" s="9" t="str">
        <f>VLOOKUP(A340,WayshrineNames!$A$3:$B$967,2,)</f>
        <v>Russafeld Heights Wayshrine</v>
      </c>
      <c r="N340" s="3" t="str">
        <f>VLOOKUP(F340,'ESO zones'!$A$5:$D$10003,4,FALSE)</f>
        <v>Summerset</v>
      </c>
    </row>
    <row r="341" spans="1:14" x14ac:dyDescent="0.25">
      <c r="A341" s="58">
        <v>353</v>
      </c>
      <c r="B341">
        <v>32</v>
      </c>
      <c r="C341">
        <v>1349</v>
      </c>
      <c r="D341" t="s">
        <v>3453</v>
      </c>
      <c r="E341">
        <v>617</v>
      </c>
      <c r="F341">
        <v>1011</v>
      </c>
      <c r="G341" t="s">
        <v>3453</v>
      </c>
      <c r="H341">
        <v>1</v>
      </c>
      <c r="I341" t="s">
        <v>3458</v>
      </c>
      <c r="J341" s="2" t="str">
        <f t="shared" si="15"/>
        <v>[353]=1011,</v>
      </c>
      <c r="K341" s="3">
        <f t="shared" si="16"/>
        <v>353</v>
      </c>
      <c r="L341" s="3">
        <f t="shared" si="17"/>
        <v>1011</v>
      </c>
      <c r="M341" s="9" t="str">
        <f>VLOOKUP(A341,WayshrineNames!$A$3:$B$967,2,)</f>
        <v>Cey-Tarn Keep Wayshrine</v>
      </c>
      <c r="N341" s="3" t="str">
        <f>VLOOKUP(F341,'ESO zones'!$A$5:$D$10003,4,FALSE)</f>
        <v>Summerset</v>
      </c>
    </row>
    <row r="342" spans="1:14" x14ac:dyDescent="0.25">
      <c r="A342" s="58">
        <v>354</v>
      </c>
      <c r="B342">
        <v>32</v>
      </c>
      <c r="C342">
        <v>1349</v>
      </c>
      <c r="D342" t="s">
        <v>3453</v>
      </c>
      <c r="E342">
        <v>617</v>
      </c>
      <c r="F342">
        <v>1011</v>
      </c>
      <c r="G342" t="s">
        <v>3453</v>
      </c>
      <c r="H342">
        <v>1</v>
      </c>
      <c r="I342" t="s">
        <v>3459</v>
      </c>
      <c r="J342" s="2" t="str">
        <f t="shared" si="15"/>
        <v>[354]=1011,</v>
      </c>
      <c r="K342" s="3">
        <f t="shared" si="16"/>
        <v>354</v>
      </c>
      <c r="L342" s="3">
        <f t="shared" si="17"/>
        <v>1011</v>
      </c>
      <c r="M342" s="9" t="str">
        <f>VLOOKUP(A342,WayshrineNames!$A$3:$B$967,2,)</f>
        <v>Ebon Stadmont Wayshrine</v>
      </c>
      <c r="N342" s="3" t="str">
        <f>VLOOKUP(F342,'ESO zones'!$A$5:$D$10003,4,FALSE)</f>
        <v>Summerset</v>
      </c>
    </row>
    <row r="343" spans="1:14" x14ac:dyDescent="0.25">
      <c r="A343" s="58">
        <v>355</v>
      </c>
      <c r="B343">
        <v>32</v>
      </c>
      <c r="C343">
        <v>1349</v>
      </c>
      <c r="D343" t="s">
        <v>3453</v>
      </c>
      <c r="E343">
        <v>617</v>
      </c>
      <c r="F343">
        <v>1011</v>
      </c>
      <c r="G343" t="s">
        <v>3453</v>
      </c>
      <c r="H343">
        <v>1</v>
      </c>
      <c r="I343" t="s">
        <v>3460</v>
      </c>
      <c r="J343" s="2" t="str">
        <f t="shared" si="15"/>
        <v>[355]=1011,</v>
      </c>
      <c r="K343" s="3">
        <f t="shared" si="16"/>
        <v>355</v>
      </c>
      <c r="L343" s="3">
        <f t="shared" si="17"/>
        <v>1011</v>
      </c>
      <c r="M343" s="9" t="str">
        <f>VLOOKUP(A343,WayshrineNames!$A$3:$B$967,2,)</f>
        <v>Alinor Wayshrine</v>
      </c>
      <c r="N343" s="3" t="str">
        <f>VLOOKUP(F343,'ESO zones'!$A$5:$D$10003,4,FALSE)</f>
        <v>Summerset</v>
      </c>
    </row>
    <row r="344" spans="1:14" x14ac:dyDescent="0.25">
      <c r="A344" s="58">
        <v>356</v>
      </c>
      <c r="B344">
        <v>32</v>
      </c>
      <c r="C344">
        <v>1349</v>
      </c>
      <c r="D344" t="s">
        <v>3453</v>
      </c>
      <c r="E344">
        <v>617</v>
      </c>
      <c r="F344">
        <v>1011</v>
      </c>
      <c r="G344" t="s">
        <v>3453</v>
      </c>
      <c r="H344">
        <v>1</v>
      </c>
      <c r="I344" t="s">
        <v>3461</v>
      </c>
      <c r="J344" s="2" t="str">
        <f t="shared" si="15"/>
        <v>[356]=1011,</v>
      </c>
      <c r="K344" s="3">
        <f t="shared" si="16"/>
        <v>356</v>
      </c>
      <c r="L344" s="3">
        <f t="shared" si="17"/>
        <v>1011</v>
      </c>
      <c r="M344" s="9" t="str">
        <f>VLOOKUP(A344,WayshrineNames!$A$3:$B$967,2,)</f>
        <v>Lillandril Wayshrine</v>
      </c>
      <c r="N344" s="3" t="str">
        <f>VLOOKUP(F344,'ESO zones'!$A$5:$D$10003,4,FALSE)</f>
        <v>Summerset</v>
      </c>
    </row>
    <row r="345" spans="1:14" x14ac:dyDescent="0.25">
      <c r="A345" s="58">
        <v>357</v>
      </c>
      <c r="B345">
        <v>32</v>
      </c>
      <c r="C345">
        <v>1349</v>
      </c>
      <c r="D345" t="s">
        <v>3453</v>
      </c>
      <c r="E345">
        <v>617</v>
      </c>
      <c r="F345">
        <v>1011</v>
      </c>
      <c r="G345" t="s">
        <v>3453</v>
      </c>
      <c r="H345">
        <v>1</v>
      </c>
      <c r="I345" t="s">
        <v>3462</v>
      </c>
      <c r="J345" s="2" t="str">
        <f t="shared" si="15"/>
        <v>[357]=1011,</v>
      </c>
      <c r="K345" s="3">
        <f t="shared" si="16"/>
        <v>357</v>
      </c>
      <c r="L345" s="3">
        <f t="shared" si="17"/>
        <v>1011</v>
      </c>
      <c r="M345" s="9" t="str">
        <f>VLOOKUP(A345,WayshrineNames!$A$3:$B$967,2,)</f>
        <v>Eastern Pass Wayshrine</v>
      </c>
      <c r="N345" s="3" t="str">
        <f>VLOOKUP(F345,'ESO zones'!$A$5:$D$10003,4,FALSE)</f>
        <v>Summerset</v>
      </c>
    </row>
    <row r="346" spans="1:14" x14ac:dyDescent="0.25">
      <c r="A346" s="58">
        <v>358</v>
      </c>
      <c r="B346">
        <v>32</v>
      </c>
      <c r="C346">
        <v>1349</v>
      </c>
      <c r="D346" t="s">
        <v>3453</v>
      </c>
      <c r="E346">
        <v>617</v>
      </c>
      <c r="F346">
        <v>1011</v>
      </c>
      <c r="G346" t="s">
        <v>3453</v>
      </c>
      <c r="H346">
        <v>1</v>
      </c>
      <c r="I346" t="s">
        <v>3463</v>
      </c>
      <c r="J346" s="2" t="str">
        <f t="shared" si="15"/>
        <v>[358]=1011,</v>
      </c>
      <c r="K346" s="3">
        <f t="shared" si="16"/>
        <v>358</v>
      </c>
      <c r="L346" s="3">
        <f t="shared" si="17"/>
        <v>1011</v>
      </c>
      <c r="M346" s="9" t="str">
        <f>VLOOKUP(A346,WayshrineNames!$A$3:$B$967,2,)</f>
        <v>The Crystal Tower Wayshrine</v>
      </c>
      <c r="N346" s="3" t="str">
        <f>VLOOKUP(F346,'ESO zones'!$A$5:$D$10003,4,FALSE)</f>
        <v>Summerset</v>
      </c>
    </row>
    <row r="347" spans="1:14" x14ac:dyDescent="0.25">
      <c r="A347" s="58">
        <v>359</v>
      </c>
      <c r="B347">
        <v>32</v>
      </c>
      <c r="C347">
        <v>1349</v>
      </c>
      <c r="D347" t="s">
        <v>3453</v>
      </c>
      <c r="E347">
        <v>617</v>
      </c>
      <c r="F347">
        <v>1011</v>
      </c>
      <c r="G347" t="s">
        <v>3453</v>
      </c>
      <c r="H347">
        <v>1</v>
      </c>
      <c r="I347" t="s">
        <v>3464</v>
      </c>
      <c r="J347" s="2" t="str">
        <f t="shared" si="15"/>
        <v>[359]=1011,</v>
      </c>
      <c r="K347" s="3">
        <f t="shared" si="16"/>
        <v>359</v>
      </c>
      <c r="L347" s="3">
        <f t="shared" si="17"/>
        <v>1011</v>
      </c>
      <c r="M347" s="9" t="str">
        <f>VLOOKUP(A347,WayshrineNames!$A$3:$B$967,2,)</f>
        <v>Eldbur Ruins Wayshrine</v>
      </c>
      <c r="N347" s="3" t="str">
        <f>VLOOKUP(F347,'ESO zones'!$A$5:$D$10003,4,FALSE)</f>
        <v>Summerset</v>
      </c>
    </row>
    <row r="348" spans="1:14" x14ac:dyDescent="0.25">
      <c r="A348" s="58">
        <v>360</v>
      </c>
      <c r="B348">
        <v>33</v>
      </c>
      <c r="C348">
        <v>1429</v>
      </c>
      <c r="D348" t="s">
        <v>1166</v>
      </c>
      <c r="E348">
        <v>633</v>
      </c>
      <c r="F348">
        <v>1027</v>
      </c>
      <c r="G348" t="s">
        <v>1166</v>
      </c>
      <c r="H348">
        <v>1</v>
      </c>
      <c r="I348" t="s">
        <v>3465</v>
      </c>
      <c r="J348" s="2" t="str">
        <f t="shared" si="15"/>
        <v>[360]=1027,</v>
      </c>
      <c r="K348" s="3">
        <f t="shared" si="16"/>
        <v>360</v>
      </c>
      <c r="L348" s="3">
        <f t="shared" si="17"/>
        <v>1027</v>
      </c>
      <c r="M348" s="9" t="str">
        <f>VLOOKUP(A348,WayshrineNames!$A$3:$B$967,2,)</f>
        <v>Artaeum Wayshrine</v>
      </c>
      <c r="N348" s="3" t="str">
        <f>VLOOKUP(F348,'ESO zones'!$A$5:$D$10003,4,FALSE)</f>
        <v>Artaeum</v>
      </c>
    </row>
    <row r="349" spans="1:14" x14ac:dyDescent="0.25">
      <c r="A349" s="58">
        <v>361</v>
      </c>
      <c r="B349">
        <v>28</v>
      </c>
      <c r="C349">
        <v>994</v>
      </c>
      <c r="D349" t="s">
        <v>3364</v>
      </c>
      <c r="E349">
        <v>443</v>
      </c>
      <c r="F349">
        <v>816</v>
      </c>
      <c r="G349" t="s">
        <v>3364</v>
      </c>
      <c r="H349">
        <v>7</v>
      </c>
      <c r="I349" t="s">
        <v>3466</v>
      </c>
      <c r="J349" s="2" t="str">
        <f t="shared" si="15"/>
        <v>[361]=816,</v>
      </c>
      <c r="K349" s="3">
        <f t="shared" si="16"/>
        <v>361</v>
      </c>
      <c r="L349" s="3">
        <f t="shared" si="17"/>
        <v>816</v>
      </c>
      <c r="M349" s="9" t="str">
        <f>VLOOKUP(A349,WayshrineNames!$A$3:$B$967,2,)</f>
        <v>Princely Dawnlight Palace</v>
      </c>
      <c r="N349" s="3" t="str">
        <f>VLOOKUP(F349,'ESO zones'!$A$5:$D$10003,4,FALSE)</f>
        <v>Hew's Bane</v>
      </c>
    </row>
    <row r="350" spans="1:14" x14ac:dyDescent="0.25">
      <c r="A350" s="58">
        <v>362</v>
      </c>
      <c r="B350">
        <v>29</v>
      </c>
      <c r="C350">
        <v>1006</v>
      </c>
      <c r="D350" t="s">
        <v>3358</v>
      </c>
      <c r="E350">
        <v>449</v>
      </c>
      <c r="F350">
        <v>823</v>
      </c>
      <c r="G350" t="s">
        <v>3359</v>
      </c>
      <c r="H350">
        <v>7</v>
      </c>
      <c r="I350" t="s">
        <v>3467</v>
      </c>
      <c r="J350" s="2" t="str">
        <f t="shared" si="15"/>
        <v>[362]=823,</v>
      </c>
      <c r="K350" s="3">
        <f t="shared" si="16"/>
        <v>362</v>
      </c>
      <c r="L350" s="3">
        <f t="shared" si="17"/>
        <v>823</v>
      </c>
      <c r="M350" s="9" t="str">
        <f>VLOOKUP(A350,WayshrineNames!$A$3:$B$967,2,)</f>
        <v>The Erstwhile Sanctuary</v>
      </c>
      <c r="N350" s="3" t="str">
        <f>VLOOKUP(F350,'ESO zones'!$A$5:$D$10003,4,FALSE)</f>
        <v>Gold Coast</v>
      </c>
    </row>
    <row r="351" spans="1:14" x14ac:dyDescent="0.25">
      <c r="A351" s="58">
        <v>363</v>
      </c>
      <c r="B351">
        <v>4</v>
      </c>
      <c r="C351">
        <v>12</v>
      </c>
      <c r="D351" t="s">
        <v>3121</v>
      </c>
      <c r="E351">
        <v>4</v>
      </c>
      <c r="F351">
        <v>19</v>
      </c>
      <c r="G351" t="s">
        <v>3121</v>
      </c>
      <c r="H351">
        <v>6</v>
      </c>
      <c r="I351" t="s">
        <v>3468</v>
      </c>
      <c r="J351" s="2" t="str">
        <f t="shared" si="15"/>
        <v>[363]=19,</v>
      </c>
      <c r="K351" s="3">
        <f t="shared" si="16"/>
        <v>363</v>
      </c>
      <c r="L351" s="3">
        <f t="shared" si="17"/>
        <v>19</v>
      </c>
      <c r="M351" s="9" t="str">
        <f>VLOOKUP(A351,WayshrineNames!$A$3:$B$967,2,)</f>
        <v>Dungeon: Scalecaller Peak</v>
      </c>
      <c r="N351" s="3" t="str">
        <f>VLOOKUP(F351,'ESO zones'!$A$5:$D$10003,4,FALSE)</f>
        <v>Stormhaven</v>
      </c>
    </row>
    <row r="352" spans="1:14" x14ac:dyDescent="0.25">
      <c r="A352" s="58">
        <v>364</v>
      </c>
      <c r="B352">
        <v>32</v>
      </c>
      <c r="C352">
        <v>1349</v>
      </c>
      <c r="D352" t="s">
        <v>3453</v>
      </c>
      <c r="E352">
        <v>617</v>
      </c>
      <c r="F352">
        <v>1011</v>
      </c>
      <c r="G352" t="s">
        <v>3453</v>
      </c>
      <c r="H352">
        <v>3</v>
      </c>
      <c r="I352" t="s">
        <v>3469</v>
      </c>
      <c r="J352" s="2" t="str">
        <f t="shared" si="15"/>
        <v>[364]=1011,</v>
      </c>
      <c r="K352" s="3">
        <f t="shared" si="16"/>
        <v>364</v>
      </c>
      <c r="L352" s="3">
        <f t="shared" si="17"/>
        <v>1011</v>
      </c>
      <c r="M352" s="9" t="str">
        <f>VLOOKUP(A352,WayshrineNames!$A$3:$B$967,2,)</f>
        <v>Trial: Cloudrest</v>
      </c>
      <c r="N352" s="3" t="str">
        <f>VLOOKUP(F352,'ESO zones'!$A$5:$D$10003,4,FALSE)</f>
        <v>Summerset</v>
      </c>
    </row>
    <row r="353" spans="1:14" x14ac:dyDescent="0.25">
      <c r="A353" s="58">
        <v>365</v>
      </c>
      <c r="B353">
        <v>32</v>
      </c>
      <c r="C353">
        <v>1349</v>
      </c>
      <c r="D353" t="s">
        <v>3453</v>
      </c>
      <c r="E353">
        <v>617</v>
      </c>
      <c r="F353">
        <v>1011</v>
      </c>
      <c r="G353" t="s">
        <v>3453</v>
      </c>
      <c r="H353">
        <v>1</v>
      </c>
      <c r="I353" t="s">
        <v>3470</v>
      </c>
      <c r="J353" s="2" t="str">
        <f t="shared" si="15"/>
        <v>[365]=1011,</v>
      </c>
      <c r="K353" s="3">
        <f t="shared" si="16"/>
        <v>365</v>
      </c>
      <c r="L353" s="3">
        <f t="shared" si="17"/>
        <v>1011</v>
      </c>
      <c r="M353" s="9" t="str">
        <f>VLOOKUP(A353,WayshrineNames!$A$3:$B$967,2,)</f>
        <v>Sunhold Wayshrine</v>
      </c>
      <c r="N353" s="3" t="str">
        <f>VLOOKUP(F353,'ESO zones'!$A$5:$D$10003,4,FALSE)</f>
        <v>Summerset</v>
      </c>
    </row>
    <row r="354" spans="1:14" x14ac:dyDescent="0.25">
      <c r="A354" s="58">
        <v>366</v>
      </c>
      <c r="B354">
        <v>32</v>
      </c>
      <c r="C354">
        <v>1349</v>
      </c>
      <c r="D354" t="s">
        <v>3453</v>
      </c>
      <c r="E354">
        <v>617</v>
      </c>
      <c r="F354">
        <v>1011</v>
      </c>
      <c r="G354" t="s">
        <v>3453</v>
      </c>
      <c r="H354">
        <v>7</v>
      </c>
      <c r="I354" t="s">
        <v>3471</v>
      </c>
      <c r="J354" s="2" t="str">
        <f t="shared" si="15"/>
        <v>[366]=1011,</v>
      </c>
      <c r="K354" s="3">
        <f t="shared" si="16"/>
        <v>366</v>
      </c>
      <c r="L354" s="3">
        <f t="shared" si="17"/>
        <v>1011</v>
      </c>
      <c r="M354" s="9" t="str">
        <f>VLOOKUP(A354,WayshrineNames!$A$3:$B$967,2,)</f>
        <v>Golden Gryphon Garret</v>
      </c>
      <c r="N354" s="3" t="str">
        <f>VLOOKUP(F354,'ESO zones'!$A$5:$D$10003,4,FALSE)</f>
        <v>Summerset</v>
      </c>
    </row>
    <row r="355" spans="1:14" x14ac:dyDescent="0.25">
      <c r="A355" s="58">
        <v>367</v>
      </c>
      <c r="B355">
        <v>32</v>
      </c>
      <c r="C355">
        <v>1349</v>
      </c>
      <c r="D355" t="s">
        <v>3453</v>
      </c>
      <c r="E355">
        <v>617</v>
      </c>
      <c r="F355">
        <v>1011</v>
      </c>
      <c r="G355" t="s">
        <v>3453</v>
      </c>
      <c r="H355">
        <v>7</v>
      </c>
      <c r="I355" t="s">
        <v>3472</v>
      </c>
      <c r="J355" s="2" t="str">
        <f t="shared" si="15"/>
        <v>[367]=1011,</v>
      </c>
      <c r="K355" s="3">
        <f t="shared" si="16"/>
        <v>367</v>
      </c>
      <c r="L355" s="3">
        <f t="shared" si="17"/>
        <v>1011</v>
      </c>
      <c r="M355" s="9" t="str">
        <f>VLOOKUP(A355,WayshrineNames!$A$3:$B$967,2,)</f>
        <v>Alinor Crest Townhouse</v>
      </c>
      <c r="N355" s="3" t="str">
        <f>VLOOKUP(F355,'ESO zones'!$A$5:$D$10003,4,FALSE)</f>
        <v>Summerset</v>
      </c>
    </row>
    <row r="356" spans="1:14" x14ac:dyDescent="0.25">
      <c r="A356" s="58">
        <v>368</v>
      </c>
      <c r="B356">
        <v>32</v>
      </c>
      <c r="C356">
        <v>1349</v>
      </c>
      <c r="D356" t="s">
        <v>3453</v>
      </c>
      <c r="E356">
        <v>617</v>
      </c>
      <c r="F356">
        <v>1011</v>
      </c>
      <c r="G356" t="s">
        <v>3453</v>
      </c>
      <c r="H356">
        <v>7</v>
      </c>
      <c r="I356" t="s">
        <v>3473</v>
      </c>
      <c r="J356" s="2" t="str">
        <f t="shared" si="15"/>
        <v>[368]=1011,</v>
      </c>
      <c r="K356" s="3">
        <f t="shared" si="16"/>
        <v>368</v>
      </c>
      <c r="L356" s="3">
        <f t="shared" si="17"/>
        <v>1011</v>
      </c>
      <c r="M356" s="9" t="str">
        <f>VLOOKUP(A356,WayshrineNames!$A$3:$B$967,2,)</f>
        <v>Colossal Aldmeri Grotto</v>
      </c>
      <c r="N356" s="3" t="str">
        <f>VLOOKUP(F356,'ESO zones'!$A$5:$D$10003,4,FALSE)</f>
        <v>Summerset</v>
      </c>
    </row>
    <row r="357" spans="1:14" x14ac:dyDescent="0.25">
      <c r="A357" s="58">
        <v>369</v>
      </c>
      <c r="B357">
        <v>32</v>
      </c>
      <c r="C357">
        <v>1349</v>
      </c>
      <c r="D357" t="s">
        <v>3453</v>
      </c>
      <c r="E357">
        <v>617</v>
      </c>
      <c r="F357">
        <v>1011</v>
      </c>
      <c r="G357" t="s">
        <v>3453</v>
      </c>
      <c r="H357">
        <v>1</v>
      </c>
      <c r="I357" t="s">
        <v>3474</v>
      </c>
      <c r="J357" s="2" t="str">
        <f t="shared" si="15"/>
        <v>[369]=1011,</v>
      </c>
      <c r="K357" s="3">
        <f t="shared" si="16"/>
        <v>369</v>
      </c>
      <c r="L357" s="3">
        <f t="shared" si="17"/>
        <v>1011</v>
      </c>
      <c r="M357" s="9" t="str">
        <f>VLOOKUP(A357,WayshrineNames!$A$3:$B$967,2,)</f>
        <v>Veyond Wyte Wayshrine</v>
      </c>
      <c r="N357" s="3" t="str">
        <f>VLOOKUP(F357,'ESO zones'!$A$5:$D$10003,4,FALSE)</f>
        <v>Summerset</v>
      </c>
    </row>
    <row r="358" spans="1:14" x14ac:dyDescent="0.25">
      <c r="A358" s="58">
        <v>370</v>
      </c>
      <c r="B358">
        <v>16</v>
      </c>
      <c r="C358">
        <v>300</v>
      </c>
      <c r="D358" t="s">
        <v>3258</v>
      </c>
      <c r="E358">
        <v>18</v>
      </c>
      <c r="F358">
        <v>108</v>
      </c>
      <c r="G358" t="s">
        <v>3258</v>
      </c>
      <c r="H358">
        <v>6</v>
      </c>
      <c r="I358" t="s">
        <v>3475</v>
      </c>
      <c r="J358" s="2" t="str">
        <f t="shared" si="15"/>
        <v>[370]=108,</v>
      </c>
      <c r="K358" s="3">
        <f t="shared" si="16"/>
        <v>370</v>
      </c>
      <c r="L358" s="3">
        <f t="shared" si="17"/>
        <v>108</v>
      </c>
      <c r="M358" s="9" t="str">
        <f>VLOOKUP(A358,WayshrineNames!$A$3:$B$967,2,)</f>
        <v>Dungeon: March of Sacrifices</v>
      </c>
      <c r="N358" s="3" t="str">
        <f>VLOOKUP(F358,'ESO zones'!$A$5:$D$10003,4,FALSE)</f>
        <v>Greenshade</v>
      </c>
    </row>
    <row r="359" spans="1:14" x14ac:dyDescent="0.25">
      <c r="A359" s="58">
        <v>371</v>
      </c>
      <c r="B359">
        <v>17</v>
      </c>
      <c r="C359">
        <v>256</v>
      </c>
      <c r="D359" t="s">
        <v>3260</v>
      </c>
      <c r="E359">
        <v>180</v>
      </c>
      <c r="F359">
        <v>382</v>
      </c>
      <c r="G359" t="s">
        <v>3260</v>
      </c>
      <c r="H359">
        <v>6</v>
      </c>
      <c r="I359" t="s">
        <v>3476</v>
      </c>
      <c r="J359" s="2" t="str">
        <f t="shared" si="15"/>
        <v>[371]=382,</v>
      </c>
      <c r="K359" s="3">
        <f t="shared" si="16"/>
        <v>371</v>
      </c>
      <c r="L359" s="3">
        <f t="shared" si="17"/>
        <v>382</v>
      </c>
      <c r="M359" s="9" t="str">
        <f>VLOOKUP(A359,WayshrineNames!$A$3:$B$967,2,)</f>
        <v>Dungeon: Moon Hunter Keep</v>
      </c>
      <c r="N359" s="3" t="str">
        <f>VLOOKUP(F359,'ESO zones'!$A$5:$D$10003,4,FALSE)</f>
        <v>Reaper's March</v>
      </c>
    </row>
    <row r="360" spans="1:14" x14ac:dyDescent="0.25">
      <c r="A360" s="58">
        <v>372</v>
      </c>
      <c r="B360">
        <v>12</v>
      </c>
      <c r="C360">
        <v>125</v>
      </c>
      <c r="D360" t="s">
        <v>3221</v>
      </c>
      <c r="E360">
        <v>16</v>
      </c>
      <c r="F360">
        <v>103</v>
      </c>
      <c r="G360" t="s">
        <v>3221</v>
      </c>
      <c r="H360">
        <v>7</v>
      </c>
      <c r="I360" t="s">
        <v>3477</v>
      </c>
      <c r="J360" s="2" t="str">
        <f t="shared" si="15"/>
        <v>[372]=103,</v>
      </c>
      <c r="K360" s="3">
        <f t="shared" si="16"/>
        <v>372</v>
      </c>
      <c r="L360" s="3">
        <f t="shared" si="17"/>
        <v>103</v>
      </c>
      <c r="M360" s="9" t="str">
        <f>VLOOKUP(A360,WayshrineNames!$A$3:$B$967,2,)</f>
        <v>Hunter's Glade</v>
      </c>
      <c r="N360" s="3" t="str">
        <f>VLOOKUP(F360,'ESO zones'!$A$5:$D$10003,4,FALSE)</f>
        <v>The Rift</v>
      </c>
    </row>
    <row r="361" spans="1:14" x14ac:dyDescent="0.25">
      <c r="A361" s="58">
        <v>373</v>
      </c>
      <c r="B361">
        <v>33</v>
      </c>
      <c r="C361">
        <v>1429</v>
      </c>
      <c r="D361" t="s">
        <v>1166</v>
      </c>
      <c r="E361">
        <v>633</v>
      </c>
      <c r="F361">
        <v>1027</v>
      </c>
      <c r="G361" t="s">
        <v>1166</v>
      </c>
      <c r="H361">
        <v>7</v>
      </c>
      <c r="I361" t="s">
        <v>3478</v>
      </c>
      <c r="J361" s="2" t="str">
        <f t="shared" si="15"/>
        <v>[373]=1027,</v>
      </c>
      <c r="K361" s="3">
        <f t="shared" si="16"/>
        <v>373</v>
      </c>
      <c r="L361" s="3">
        <f t="shared" si="17"/>
        <v>1027</v>
      </c>
      <c r="M361" s="9" t="str">
        <f>VLOOKUP(A361,WayshrineNames!$A$3:$B$967,2,)</f>
        <v>Grand Psijic Villa</v>
      </c>
      <c r="N361" s="3" t="str">
        <f>VLOOKUP(F361,'ESO zones'!$A$5:$D$10003,4,FALSE)</f>
        <v>Artaeum</v>
      </c>
    </row>
    <row r="362" spans="1:14" x14ac:dyDescent="0.25">
      <c r="A362" s="58">
        <v>374</v>
      </c>
      <c r="B362">
        <v>34</v>
      </c>
      <c r="C362">
        <v>1484</v>
      </c>
      <c r="D362" t="s">
        <v>3479</v>
      </c>
      <c r="E362">
        <v>408</v>
      </c>
      <c r="F362">
        <v>726</v>
      </c>
      <c r="G362" t="s">
        <v>3479</v>
      </c>
      <c r="H362">
        <v>1</v>
      </c>
      <c r="I362" t="s">
        <v>3480</v>
      </c>
      <c r="J362" s="2" t="str">
        <f t="shared" si="15"/>
        <v>[374]=726,</v>
      </c>
      <c r="K362" s="3">
        <f t="shared" si="16"/>
        <v>374</v>
      </c>
      <c r="L362" s="3">
        <f t="shared" si="17"/>
        <v>726</v>
      </c>
      <c r="M362" s="9" t="str">
        <f>VLOOKUP(A362,WayshrineNames!$A$3:$B$967,2,)</f>
        <v>Lilmoth Wayshrine</v>
      </c>
      <c r="N362" s="3" t="str">
        <f>VLOOKUP(F362,'ESO zones'!$A$5:$D$10003,4,FALSE)</f>
        <v>Murkmire</v>
      </c>
    </row>
    <row r="363" spans="1:14" x14ac:dyDescent="0.25">
      <c r="A363" s="58">
        <v>375</v>
      </c>
      <c r="B363">
        <v>34</v>
      </c>
      <c r="C363">
        <v>1484</v>
      </c>
      <c r="D363" t="s">
        <v>3479</v>
      </c>
      <c r="E363">
        <v>408</v>
      </c>
      <c r="F363">
        <v>726</v>
      </c>
      <c r="G363" t="s">
        <v>3479</v>
      </c>
      <c r="H363">
        <v>1</v>
      </c>
      <c r="I363" t="s">
        <v>3481</v>
      </c>
      <c r="J363" s="2" t="str">
        <f t="shared" si="15"/>
        <v>[375]=726,</v>
      </c>
      <c r="K363" s="3">
        <f t="shared" si="16"/>
        <v>375</v>
      </c>
      <c r="L363" s="3">
        <f t="shared" si="17"/>
        <v>726</v>
      </c>
      <c r="M363" s="9" t="str">
        <f>VLOOKUP(A363,WayshrineNames!$A$3:$B$967,2,)</f>
        <v>Bright-Throat Wayshrine</v>
      </c>
      <c r="N363" s="3" t="str">
        <f>VLOOKUP(F363,'ESO zones'!$A$5:$D$10003,4,FALSE)</f>
        <v>Murkmire</v>
      </c>
    </row>
    <row r="364" spans="1:14" x14ac:dyDescent="0.25">
      <c r="A364" s="58">
        <v>376</v>
      </c>
      <c r="B364">
        <v>34</v>
      </c>
      <c r="C364">
        <v>1484</v>
      </c>
      <c r="D364" t="s">
        <v>3479</v>
      </c>
      <c r="E364">
        <v>408</v>
      </c>
      <c r="F364">
        <v>726</v>
      </c>
      <c r="G364" t="s">
        <v>3479</v>
      </c>
      <c r="H364">
        <v>1</v>
      </c>
      <c r="I364" t="s">
        <v>3482</v>
      </c>
      <c r="J364" s="2" t="str">
        <f t="shared" si="15"/>
        <v>[376]=726,</v>
      </c>
      <c r="K364" s="3">
        <f t="shared" si="16"/>
        <v>376</v>
      </c>
      <c r="L364" s="3">
        <f t="shared" si="17"/>
        <v>726</v>
      </c>
      <c r="M364" s="9" t="str">
        <f>VLOOKUP(A364,WayshrineNames!$A$3:$B$967,2,)</f>
        <v>Dead-Water Wayshrine</v>
      </c>
      <c r="N364" s="3" t="str">
        <f>VLOOKUP(F364,'ESO zones'!$A$5:$D$10003,4,FALSE)</f>
        <v>Murkmire</v>
      </c>
    </row>
    <row r="365" spans="1:14" x14ac:dyDescent="0.25">
      <c r="A365" s="58">
        <v>377</v>
      </c>
      <c r="B365">
        <v>34</v>
      </c>
      <c r="C365">
        <v>1484</v>
      </c>
      <c r="D365" t="s">
        <v>3479</v>
      </c>
      <c r="E365">
        <v>408</v>
      </c>
      <c r="F365">
        <v>726</v>
      </c>
      <c r="G365" t="s">
        <v>3479</v>
      </c>
      <c r="H365">
        <v>1</v>
      </c>
      <c r="I365" t="s">
        <v>3483</v>
      </c>
      <c r="J365" s="2" t="str">
        <f t="shared" si="15"/>
        <v>[377]=726,</v>
      </c>
      <c r="K365" s="3">
        <f t="shared" si="16"/>
        <v>377</v>
      </c>
      <c r="L365" s="3">
        <f t="shared" si="17"/>
        <v>726</v>
      </c>
      <c r="M365" s="9" t="str">
        <f>VLOOKUP(A365,WayshrineNames!$A$3:$B$967,2,)</f>
        <v>Root-Whisper Wayshrine</v>
      </c>
      <c r="N365" s="3" t="str">
        <f>VLOOKUP(F365,'ESO zones'!$A$5:$D$10003,4,FALSE)</f>
        <v>Murkmire</v>
      </c>
    </row>
    <row r="366" spans="1:14" x14ac:dyDescent="0.25">
      <c r="A366" s="58">
        <v>378</v>
      </c>
      <c r="B366">
        <v>34</v>
      </c>
      <c r="C366">
        <v>1484</v>
      </c>
      <c r="D366" t="s">
        <v>3479</v>
      </c>
      <c r="E366">
        <v>408</v>
      </c>
      <c r="F366">
        <v>726</v>
      </c>
      <c r="G366" t="s">
        <v>3479</v>
      </c>
      <c r="H366">
        <v>6</v>
      </c>
      <c r="I366" t="s">
        <v>3484</v>
      </c>
      <c r="J366" s="2" t="str">
        <f t="shared" si="15"/>
        <v>[378]=726,</v>
      </c>
      <c r="K366" s="3">
        <f t="shared" si="16"/>
        <v>378</v>
      </c>
      <c r="L366" s="3">
        <f t="shared" si="17"/>
        <v>726</v>
      </c>
      <c r="M366" s="9" t="str">
        <f>VLOOKUP(A366,WayshrineNames!$A$3:$B$967,2,)</f>
        <v>Blackrose Prison</v>
      </c>
      <c r="N366" s="3" t="str">
        <f>VLOOKUP(F366,'ESO zones'!$A$5:$D$10003,4,FALSE)</f>
        <v>Murkmire</v>
      </c>
    </row>
    <row r="367" spans="1:14" x14ac:dyDescent="0.25">
      <c r="A367" s="58">
        <v>379</v>
      </c>
      <c r="B367">
        <v>34</v>
      </c>
      <c r="C367">
        <v>1484</v>
      </c>
      <c r="D367" t="s">
        <v>3479</v>
      </c>
      <c r="E367">
        <v>408</v>
      </c>
      <c r="F367">
        <v>726</v>
      </c>
      <c r="G367" t="s">
        <v>3479</v>
      </c>
      <c r="H367">
        <v>1</v>
      </c>
      <c r="I367" t="s">
        <v>3485</v>
      </c>
      <c r="J367" s="2" t="str">
        <f t="shared" si="15"/>
        <v>[379]=726,</v>
      </c>
      <c r="K367" s="3">
        <f t="shared" si="16"/>
        <v>379</v>
      </c>
      <c r="L367" s="3">
        <f t="shared" si="17"/>
        <v>726</v>
      </c>
      <c r="M367" s="9" t="str">
        <f>VLOOKUP(A367,WayshrineNames!$A$3:$B$967,2,)</f>
        <v>Blackrose Prison Wayshrine</v>
      </c>
      <c r="N367" s="3" t="str">
        <f>VLOOKUP(F367,'ESO zones'!$A$5:$D$10003,4,FALSE)</f>
        <v>Murkmire</v>
      </c>
    </row>
    <row r="368" spans="1:14" x14ac:dyDescent="0.25">
      <c r="A368" s="58">
        <v>380</v>
      </c>
      <c r="B368">
        <v>13</v>
      </c>
      <c r="C368">
        <v>61</v>
      </c>
      <c r="D368" t="s">
        <v>3198</v>
      </c>
      <c r="E368">
        <v>15</v>
      </c>
      <c r="F368">
        <v>101</v>
      </c>
      <c r="G368" t="s">
        <v>3198</v>
      </c>
      <c r="H368">
        <v>7</v>
      </c>
      <c r="I368" t="s">
        <v>3486</v>
      </c>
      <c r="J368" s="2" t="str">
        <f t="shared" si="15"/>
        <v>[380]=101,</v>
      </c>
      <c r="K368" s="3">
        <f t="shared" si="16"/>
        <v>380</v>
      </c>
      <c r="L368" s="3">
        <f t="shared" si="17"/>
        <v>101</v>
      </c>
      <c r="M368" s="9" t="str">
        <f>VLOOKUP(A368,WayshrineNames!$A$3:$B$967,2,)</f>
        <v>Enchanted Snow Globe Home</v>
      </c>
      <c r="N368" s="3" t="str">
        <f>VLOOKUP(F368,'ESO zones'!$A$5:$D$10003,4,FALSE)</f>
        <v>Eastmarch</v>
      </c>
    </row>
    <row r="369" spans="1:14" x14ac:dyDescent="0.25">
      <c r="A369" s="58">
        <v>381</v>
      </c>
      <c r="B369">
        <v>36</v>
      </c>
      <c r="C369">
        <v>1555</v>
      </c>
      <c r="D369" t="s">
        <v>3487</v>
      </c>
      <c r="E369">
        <v>682</v>
      </c>
      <c r="F369">
        <v>1086</v>
      </c>
      <c r="G369" t="s">
        <v>3487</v>
      </c>
      <c r="H369">
        <v>1</v>
      </c>
      <c r="I369" t="s">
        <v>3488</v>
      </c>
      <c r="J369" s="2" t="str">
        <f t="shared" si="15"/>
        <v>[381]=1086,</v>
      </c>
      <c r="K369" s="3">
        <f t="shared" si="16"/>
        <v>381</v>
      </c>
      <c r="L369" s="3">
        <f t="shared" si="17"/>
        <v>1086</v>
      </c>
      <c r="M369" s="9" t="str">
        <f>VLOOKUP(A369,WayshrineNames!$A$3:$B$967,2,)</f>
        <v>Riverhold Wayshrine</v>
      </c>
      <c r="N369" s="3" t="str">
        <f>VLOOKUP(F369,'ESO zones'!$A$5:$D$10003,4,FALSE)</f>
        <v>Northern Elsweyr</v>
      </c>
    </row>
    <row r="370" spans="1:14" x14ac:dyDescent="0.25">
      <c r="A370" s="58">
        <v>382</v>
      </c>
      <c r="B370">
        <v>36</v>
      </c>
      <c r="C370">
        <v>1555</v>
      </c>
      <c r="D370" t="s">
        <v>3487</v>
      </c>
      <c r="E370">
        <v>682</v>
      </c>
      <c r="F370">
        <v>1086</v>
      </c>
      <c r="G370" t="s">
        <v>3487</v>
      </c>
      <c r="H370">
        <v>1</v>
      </c>
      <c r="I370" t="s">
        <v>3489</v>
      </c>
      <c r="J370" s="2" t="str">
        <f t="shared" si="15"/>
        <v>[382]=1086,</v>
      </c>
      <c r="K370" s="3">
        <f t="shared" si="16"/>
        <v>382</v>
      </c>
      <c r="L370" s="3">
        <f t="shared" si="17"/>
        <v>1086</v>
      </c>
      <c r="M370" s="9" t="str">
        <f>VLOOKUP(A370,WayshrineNames!$A$3:$B$967,2,)</f>
        <v>Rimmen Wayshrine</v>
      </c>
      <c r="N370" s="3" t="str">
        <f>VLOOKUP(F370,'ESO zones'!$A$5:$D$10003,4,FALSE)</f>
        <v>Northern Elsweyr</v>
      </c>
    </row>
    <row r="371" spans="1:14" x14ac:dyDescent="0.25">
      <c r="A371" s="58">
        <v>383</v>
      </c>
      <c r="B371">
        <v>36</v>
      </c>
      <c r="C371">
        <v>1555</v>
      </c>
      <c r="D371" t="s">
        <v>3487</v>
      </c>
      <c r="E371">
        <v>682</v>
      </c>
      <c r="F371">
        <v>1086</v>
      </c>
      <c r="G371" t="s">
        <v>3487</v>
      </c>
      <c r="H371">
        <v>1</v>
      </c>
      <c r="I371" t="s">
        <v>3490</v>
      </c>
      <c r="J371" s="2" t="str">
        <f t="shared" si="15"/>
        <v>[383]=1086,</v>
      </c>
      <c r="K371" s="3">
        <f t="shared" si="16"/>
        <v>383</v>
      </c>
      <c r="L371" s="3">
        <f t="shared" si="17"/>
        <v>1086</v>
      </c>
      <c r="M371" s="9" t="str">
        <f>VLOOKUP(A371,WayshrineNames!$A$3:$B$967,2,)</f>
        <v>The Stitches Wayshrine</v>
      </c>
      <c r="N371" s="3" t="str">
        <f>VLOOKUP(F371,'ESO zones'!$A$5:$D$10003,4,FALSE)</f>
        <v>Northern Elsweyr</v>
      </c>
    </row>
    <row r="372" spans="1:14" x14ac:dyDescent="0.25">
      <c r="A372" s="58">
        <v>384</v>
      </c>
      <c r="B372">
        <v>36</v>
      </c>
      <c r="C372">
        <v>1555</v>
      </c>
      <c r="D372" t="s">
        <v>3487</v>
      </c>
      <c r="E372">
        <v>682</v>
      </c>
      <c r="F372">
        <v>1086</v>
      </c>
      <c r="G372" t="s">
        <v>3487</v>
      </c>
      <c r="H372">
        <v>1</v>
      </c>
      <c r="I372" t="s">
        <v>3491</v>
      </c>
      <c r="J372" s="2" t="str">
        <f t="shared" si="15"/>
        <v>[384]=1086,</v>
      </c>
      <c r="K372" s="3">
        <f t="shared" si="16"/>
        <v>384</v>
      </c>
      <c r="L372" s="3">
        <f t="shared" si="17"/>
        <v>1086</v>
      </c>
      <c r="M372" s="9" t="str">
        <f>VLOOKUP(A372,WayshrineNames!$A$3:$B$967,2,)</f>
        <v>Tenmar Temple Wayshrine</v>
      </c>
      <c r="N372" s="3" t="str">
        <f>VLOOKUP(F372,'ESO zones'!$A$5:$D$10003,4,FALSE)</f>
        <v>Northern Elsweyr</v>
      </c>
    </row>
    <row r="373" spans="1:14" x14ac:dyDescent="0.25">
      <c r="A373" s="58">
        <v>386</v>
      </c>
      <c r="B373">
        <v>36</v>
      </c>
      <c r="C373">
        <v>1555</v>
      </c>
      <c r="D373" t="s">
        <v>3487</v>
      </c>
      <c r="E373">
        <v>682</v>
      </c>
      <c r="F373">
        <v>1086</v>
      </c>
      <c r="G373" t="s">
        <v>3487</v>
      </c>
      <c r="H373">
        <v>1</v>
      </c>
      <c r="I373" t="s">
        <v>3492</v>
      </c>
      <c r="J373" s="2" t="str">
        <f t="shared" si="15"/>
        <v>[386]=1086,</v>
      </c>
      <c r="K373" s="3">
        <f t="shared" si="16"/>
        <v>386</v>
      </c>
      <c r="L373" s="3">
        <f t="shared" si="17"/>
        <v>1086</v>
      </c>
      <c r="M373" s="9" t="str">
        <f>VLOOKUP(A373,WayshrineNames!$A$3:$B$967,2,)</f>
        <v>Scar's End Wayshrine</v>
      </c>
      <c r="N373" s="3" t="str">
        <f>VLOOKUP(F373,'ESO zones'!$A$5:$D$10003,4,FALSE)</f>
        <v>Northern Elsweyr</v>
      </c>
    </row>
    <row r="374" spans="1:14" x14ac:dyDescent="0.25">
      <c r="A374" s="58">
        <v>387</v>
      </c>
      <c r="B374">
        <v>36</v>
      </c>
      <c r="C374">
        <v>1555</v>
      </c>
      <c r="D374" t="s">
        <v>3487</v>
      </c>
      <c r="E374">
        <v>682</v>
      </c>
      <c r="F374">
        <v>1086</v>
      </c>
      <c r="G374" t="s">
        <v>3487</v>
      </c>
      <c r="H374">
        <v>1</v>
      </c>
      <c r="I374" t="s">
        <v>3493</v>
      </c>
      <c r="J374" s="2" t="str">
        <f t="shared" si="15"/>
        <v>[387]=1086,</v>
      </c>
      <c r="K374" s="3">
        <f t="shared" si="16"/>
        <v>387</v>
      </c>
      <c r="L374" s="3">
        <f t="shared" si="17"/>
        <v>1086</v>
      </c>
      <c r="M374" s="9" t="str">
        <f>VLOOKUP(A374,WayshrineNames!$A$3:$B$967,2,)</f>
        <v>Hakoshae Wayshrine</v>
      </c>
      <c r="N374" s="3" t="str">
        <f>VLOOKUP(F374,'ESO zones'!$A$5:$D$10003,4,FALSE)</f>
        <v>Northern Elsweyr</v>
      </c>
    </row>
    <row r="375" spans="1:14" x14ac:dyDescent="0.25">
      <c r="A375" s="58">
        <v>388</v>
      </c>
      <c r="B375">
        <v>34</v>
      </c>
      <c r="C375">
        <v>1484</v>
      </c>
      <c r="D375" t="s">
        <v>3479</v>
      </c>
      <c r="E375">
        <v>408</v>
      </c>
      <c r="F375">
        <v>726</v>
      </c>
      <c r="G375" t="s">
        <v>3479</v>
      </c>
      <c r="H375">
        <v>7</v>
      </c>
      <c r="I375" t="s">
        <v>3494</v>
      </c>
      <c r="J375" s="2" t="str">
        <f t="shared" si="15"/>
        <v>[388]=726,</v>
      </c>
      <c r="K375" s="3">
        <f t="shared" si="16"/>
        <v>388</v>
      </c>
      <c r="L375" s="3">
        <f t="shared" si="17"/>
        <v>726</v>
      </c>
      <c r="M375" s="9" t="str">
        <f>VLOOKUP(A375,WayshrineNames!$A$3:$B$967,2,)</f>
        <v>Lakemire Xanmeer Manor</v>
      </c>
      <c r="N375" s="3" t="str">
        <f>VLOOKUP(F375,'ESO zones'!$A$5:$D$10003,4,FALSE)</f>
        <v>Murkmire</v>
      </c>
    </row>
    <row r="376" spans="1:14" x14ac:dyDescent="0.25">
      <c r="A376" s="58">
        <v>389</v>
      </c>
      <c r="B376">
        <v>13</v>
      </c>
      <c r="C376">
        <v>61</v>
      </c>
      <c r="D376" t="s">
        <v>3198</v>
      </c>
      <c r="E376">
        <v>15</v>
      </c>
      <c r="F376">
        <v>101</v>
      </c>
      <c r="G376" t="s">
        <v>3198</v>
      </c>
      <c r="H376">
        <v>6</v>
      </c>
      <c r="I376" t="s">
        <v>3495</v>
      </c>
      <c r="J376" s="2" t="str">
        <f t="shared" si="15"/>
        <v>[389]=101,</v>
      </c>
      <c r="K376" s="3">
        <f t="shared" si="16"/>
        <v>389</v>
      </c>
      <c r="L376" s="3">
        <f t="shared" si="17"/>
        <v>101</v>
      </c>
      <c r="M376" s="9" t="str">
        <f>VLOOKUP(A376,WayshrineNames!$A$3:$B$967,2,)</f>
        <v>Dungeon: Frostvault</v>
      </c>
      <c r="N376" s="3" t="str">
        <f>VLOOKUP(F376,'ESO zones'!$A$5:$D$10003,4,FALSE)</f>
        <v>Eastmarch</v>
      </c>
    </row>
    <row r="377" spans="1:14" x14ac:dyDescent="0.25">
      <c r="A377" s="58">
        <v>390</v>
      </c>
      <c r="B377">
        <v>29</v>
      </c>
      <c r="C377">
        <v>1006</v>
      </c>
      <c r="D377" t="s">
        <v>3358</v>
      </c>
      <c r="E377">
        <v>449</v>
      </c>
      <c r="F377">
        <v>823</v>
      </c>
      <c r="G377" t="s">
        <v>3359</v>
      </c>
      <c r="H377">
        <v>6</v>
      </c>
      <c r="I377" t="s">
        <v>3496</v>
      </c>
      <c r="J377" s="2" t="str">
        <f t="shared" si="15"/>
        <v>[390]=823,</v>
      </c>
      <c r="K377" s="3">
        <f t="shared" si="16"/>
        <v>390</v>
      </c>
      <c r="L377" s="3">
        <f t="shared" si="17"/>
        <v>823</v>
      </c>
      <c r="M377" s="9" t="str">
        <f>VLOOKUP(A377,WayshrineNames!$A$3:$B$967,2,)</f>
        <v>Dungeon: Depths of Malatar</v>
      </c>
      <c r="N377" s="3" t="str">
        <f>VLOOKUP(F377,'ESO zones'!$A$5:$D$10003,4,FALSE)</f>
        <v>Gold Coast</v>
      </c>
    </row>
    <row r="378" spans="1:14" x14ac:dyDescent="0.25">
      <c r="A378" s="58">
        <v>391</v>
      </c>
      <c r="B378">
        <v>36</v>
      </c>
      <c r="C378">
        <v>1555</v>
      </c>
      <c r="D378" t="s">
        <v>3487</v>
      </c>
      <c r="E378">
        <v>682</v>
      </c>
      <c r="F378">
        <v>1086</v>
      </c>
      <c r="G378" t="s">
        <v>3487</v>
      </c>
      <c r="H378">
        <v>6</v>
      </c>
      <c r="I378" t="s">
        <v>3497</v>
      </c>
      <c r="J378" s="2" t="str">
        <f t="shared" si="15"/>
        <v>[391]=1086,</v>
      </c>
      <c r="K378" s="3">
        <f t="shared" si="16"/>
        <v>391</v>
      </c>
      <c r="L378" s="3">
        <f t="shared" si="17"/>
        <v>1086</v>
      </c>
      <c r="M378" s="9" t="str">
        <f>VLOOKUP(A378,WayshrineNames!$A$3:$B$967,2,)</f>
        <v>Dungeon: Moongrave Fane</v>
      </c>
      <c r="N378" s="3" t="str">
        <f>VLOOKUP(F378,'ESO zones'!$A$5:$D$10003,4,FALSE)</f>
        <v>Northern Elsweyr</v>
      </c>
    </row>
    <row r="379" spans="1:14" x14ac:dyDescent="0.25">
      <c r="A379" s="58">
        <v>392</v>
      </c>
      <c r="B379">
        <v>13</v>
      </c>
      <c r="C379">
        <v>61</v>
      </c>
      <c r="D379" t="s">
        <v>3198</v>
      </c>
      <c r="E379">
        <v>15</v>
      </c>
      <c r="F379">
        <v>101</v>
      </c>
      <c r="G379" t="s">
        <v>3198</v>
      </c>
      <c r="H379">
        <v>7</v>
      </c>
      <c r="I379" t="s">
        <v>3498</v>
      </c>
      <c r="J379" s="2" t="str">
        <f t="shared" si="15"/>
        <v>[392]=101,</v>
      </c>
      <c r="K379" s="3">
        <f t="shared" si="16"/>
        <v>392</v>
      </c>
      <c r="L379" s="3">
        <f t="shared" si="17"/>
        <v>101</v>
      </c>
      <c r="M379" s="9" t="str">
        <f>VLOOKUP(A379,WayshrineNames!$A$3:$B$967,2,)</f>
        <v>Frostvault Chasm</v>
      </c>
      <c r="N379" s="3" t="str">
        <f>VLOOKUP(F379,'ESO zones'!$A$5:$D$10003,4,FALSE)</f>
        <v>Eastmarch</v>
      </c>
    </row>
    <row r="380" spans="1:14" x14ac:dyDescent="0.25">
      <c r="A380" s="58">
        <v>395</v>
      </c>
      <c r="B380">
        <v>25</v>
      </c>
      <c r="C380">
        <v>1126</v>
      </c>
      <c r="D380" t="s">
        <v>3331</v>
      </c>
      <c r="E380">
        <v>501</v>
      </c>
      <c r="F380">
        <v>888</v>
      </c>
      <c r="G380" t="s">
        <v>3331</v>
      </c>
      <c r="H380">
        <v>7</v>
      </c>
      <c r="I380" t="s">
        <v>3499</v>
      </c>
      <c r="J380" s="2" t="str">
        <f t="shared" si="15"/>
        <v>[395]=888,</v>
      </c>
      <c r="K380" s="3">
        <f t="shared" si="16"/>
        <v>395</v>
      </c>
      <c r="L380" s="3">
        <f t="shared" si="17"/>
        <v>888</v>
      </c>
      <c r="M380" s="9" t="str">
        <f>VLOOKUP(A380,WayshrineNames!$A$3:$B$967,2,)</f>
        <v>Elinhir Private Arena</v>
      </c>
      <c r="N380" s="3" t="str">
        <f>VLOOKUP(F380,'ESO zones'!$A$5:$D$10003,4,FALSE)</f>
        <v>Craglorn</v>
      </c>
    </row>
    <row r="381" spans="1:14" x14ac:dyDescent="0.25">
      <c r="A381" s="58">
        <v>396</v>
      </c>
      <c r="B381">
        <v>36</v>
      </c>
      <c r="C381">
        <v>1555</v>
      </c>
      <c r="D381" t="s">
        <v>3487</v>
      </c>
      <c r="E381">
        <v>682</v>
      </c>
      <c r="F381">
        <v>1086</v>
      </c>
      <c r="G381" t="s">
        <v>3487</v>
      </c>
      <c r="H381">
        <v>7</v>
      </c>
      <c r="I381" t="s">
        <v>3500</v>
      </c>
      <c r="J381" s="2" t="str">
        <f t="shared" si="15"/>
        <v>[396]=1086,</v>
      </c>
      <c r="K381" s="3">
        <f t="shared" si="16"/>
        <v>396</v>
      </c>
      <c r="L381" s="3">
        <f t="shared" si="17"/>
        <v>1086</v>
      </c>
      <c r="M381" s="9" t="str">
        <f>VLOOKUP(A381,WayshrineNames!$A$3:$B$967,2,)</f>
        <v>Sugar Bowl Suite</v>
      </c>
      <c r="N381" s="3" t="str">
        <f>VLOOKUP(F381,'ESO zones'!$A$5:$D$10003,4,FALSE)</f>
        <v>Northern Elsweyr</v>
      </c>
    </row>
    <row r="382" spans="1:14" x14ac:dyDescent="0.25">
      <c r="A382" s="58">
        <v>397</v>
      </c>
      <c r="B382">
        <v>36</v>
      </c>
      <c r="C382">
        <v>1555</v>
      </c>
      <c r="D382" t="s">
        <v>3487</v>
      </c>
      <c r="E382">
        <v>682</v>
      </c>
      <c r="F382">
        <v>1086</v>
      </c>
      <c r="G382" t="s">
        <v>3487</v>
      </c>
      <c r="H382">
        <v>1</v>
      </c>
      <c r="I382" t="s">
        <v>3501</v>
      </c>
      <c r="J382" s="2" t="str">
        <f t="shared" si="15"/>
        <v>[397]=1086,</v>
      </c>
      <c r="K382" s="3">
        <f t="shared" si="16"/>
        <v>397</v>
      </c>
      <c r="L382" s="3">
        <f t="shared" si="17"/>
        <v>1086</v>
      </c>
      <c r="M382" s="9" t="str">
        <f>VLOOKUP(A382,WayshrineNames!$A$3:$B$967,2,)</f>
        <v>Star Haven Wayshrine</v>
      </c>
      <c r="N382" s="3" t="str">
        <f>VLOOKUP(F382,'ESO zones'!$A$5:$D$10003,4,FALSE)</f>
        <v>Northern Elsweyr</v>
      </c>
    </row>
    <row r="383" spans="1:14" x14ac:dyDescent="0.25">
      <c r="A383" s="58">
        <v>398</v>
      </c>
      <c r="B383">
        <v>7</v>
      </c>
      <c r="C383">
        <v>9</v>
      </c>
      <c r="D383" t="s">
        <v>3129</v>
      </c>
      <c r="E383">
        <v>181</v>
      </c>
      <c r="F383">
        <v>383</v>
      </c>
      <c r="G383" t="s">
        <v>3129</v>
      </c>
      <c r="H383">
        <v>6</v>
      </c>
      <c r="I383" t="s">
        <v>3502</v>
      </c>
      <c r="J383" s="2" t="str">
        <f t="shared" si="15"/>
        <v>[398]=383,</v>
      </c>
      <c r="K383" s="3">
        <f t="shared" si="16"/>
        <v>398</v>
      </c>
      <c r="L383" s="3">
        <f t="shared" si="17"/>
        <v>383</v>
      </c>
      <c r="M383" s="9" t="str">
        <f>VLOOKUP(A383,WayshrineNames!$A$3:$B$967,2,)</f>
        <v>Dungeon: Lair of Maarselok</v>
      </c>
      <c r="N383" s="3" t="str">
        <f>VLOOKUP(F383,'ESO zones'!$A$5:$D$10003,4,FALSE)</f>
        <v>Grahtwood</v>
      </c>
    </row>
    <row r="384" spans="1:14" x14ac:dyDescent="0.25">
      <c r="A384" s="58">
        <v>399</v>
      </c>
      <c r="B384">
        <v>36</v>
      </c>
      <c r="C384">
        <v>1555</v>
      </c>
      <c r="D384" t="s">
        <v>3487</v>
      </c>
      <c r="E384">
        <v>682</v>
      </c>
      <c r="F384">
        <v>1086</v>
      </c>
      <c r="G384" t="s">
        <v>3487</v>
      </c>
      <c r="H384">
        <v>3</v>
      </c>
      <c r="I384" t="s">
        <v>3503</v>
      </c>
      <c r="J384" s="2" t="str">
        <f t="shared" si="15"/>
        <v>[399]=1086,</v>
      </c>
      <c r="K384" s="3">
        <f t="shared" si="16"/>
        <v>399</v>
      </c>
      <c r="L384" s="3">
        <f t="shared" si="17"/>
        <v>1086</v>
      </c>
      <c r="M384" s="9" t="str">
        <f>VLOOKUP(A384,WayshrineNames!$A$3:$B$967,2,)</f>
        <v>Trial: Sunspire</v>
      </c>
      <c r="N384" s="3" t="str">
        <f>VLOOKUP(F384,'ESO zones'!$A$5:$D$10003,4,FALSE)</f>
        <v>Northern Elsweyr</v>
      </c>
    </row>
    <row r="385" spans="1:14" x14ac:dyDescent="0.25">
      <c r="A385" s="58">
        <v>400</v>
      </c>
      <c r="B385">
        <v>36</v>
      </c>
      <c r="C385">
        <v>1555</v>
      </c>
      <c r="D385" t="s">
        <v>3487</v>
      </c>
      <c r="E385">
        <v>682</v>
      </c>
      <c r="F385">
        <v>1086</v>
      </c>
      <c r="G385" t="s">
        <v>3487</v>
      </c>
      <c r="H385">
        <v>7</v>
      </c>
      <c r="I385" t="s">
        <v>3504</v>
      </c>
      <c r="J385" s="2" t="str">
        <f t="shared" si="15"/>
        <v>[400]=1086,</v>
      </c>
      <c r="K385" s="3">
        <f t="shared" si="16"/>
        <v>400</v>
      </c>
      <c r="L385" s="3">
        <f t="shared" si="17"/>
        <v>1086</v>
      </c>
      <c r="M385" s="9" t="str">
        <f>VLOOKUP(A385,WayshrineNames!$A$3:$B$967,2,)</f>
        <v>Hall of the Lunar Champion</v>
      </c>
      <c r="N385" s="3" t="str">
        <f>VLOOKUP(F385,'ESO zones'!$A$5:$D$10003,4,FALSE)</f>
        <v>Northern Elsweyr</v>
      </c>
    </row>
    <row r="386" spans="1:14" x14ac:dyDescent="0.25">
      <c r="A386" s="58">
        <v>401</v>
      </c>
      <c r="B386">
        <v>36</v>
      </c>
      <c r="C386">
        <v>1555</v>
      </c>
      <c r="D386" t="s">
        <v>3487</v>
      </c>
      <c r="E386">
        <v>682</v>
      </c>
      <c r="F386">
        <v>1086</v>
      </c>
      <c r="G386" t="s">
        <v>3487</v>
      </c>
      <c r="H386">
        <v>7</v>
      </c>
      <c r="I386" t="s">
        <v>3505</v>
      </c>
      <c r="J386" s="2" t="str">
        <f t="shared" si="15"/>
        <v>[401]=1086,</v>
      </c>
      <c r="K386" s="3">
        <f t="shared" si="16"/>
        <v>401</v>
      </c>
      <c r="L386" s="3">
        <f t="shared" si="17"/>
        <v>1086</v>
      </c>
      <c r="M386" s="9" t="str">
        <f>VLOOKUP(A386,WayshrineNames!$A$3:$B$967,2,)</f>
        <v>Jode's Embrace</v>
      </c>
      <c r="N386" s="3" t="str">
        <f>VLOOKUP(F386,'ESO zones'!$A$5:$D$10003,4,FALSE)</f>
        <v>Northern Elsweyr</v>
      </c>
    </row>
    <row r="387" spans="1:14" x14ac:dyDescent="0.25">
      <c r="A387" s="58">
        <v>402</v>
      </c>
      <c r="B387">
        <v>37</v>
      </c>
      <c r="C387">
        <v>1654</v>
      </c>
      <c r="D387" t="s">
        <v>3506</v>
      </c>
      <c r="E387">
        <v>721</v>
      </c>
      <c r="F387">
        <v>1133</v>
      </c>
      <c r="G387" t="s">
        <v>3506</v>
      </c>
      <c r="H387">
        <v>1</v>
      </c>
      <c r="I387" t="s">
        <v>3507</v>
      </c>
      <c r="J387" s="2" t="str">
        <f t="shared" ref="J387:J450" si="18">IF(A387&lt;&gt;"",IF(F387&lt;&gt;"",IF(OR(ISNA(A387),ISNA(F387)),"","["&amp;A387&amp;"]="&amp;F387&amp;","),""),"")</f>
        <v>[402]=1133,</v>
      </c>
      <c r="K387" s="3">
        <f t="shared" ref="K387:K450" si="19">A387</f>
        <v>402</v>
      </c>
      <c r="L387" s="3">
        <f t="shared" ref="L387:L450" si="20">F387</f>
        <v>1133</v>
      </c>
      <c r="M387" s="9" t="str">
        <f>VLOOKUP(A387,WayshrineNames!$A$3:$B$967,2,)</f>
        <v>Senchal Wayshrine</v>
      </c>
      <c r="N387" s="3" t="str">
        <f>VLOOKUP(F387,'ESO zones'!$A$5:$D$10003,4,FALSE)</f>
        <v>Southern Elsweyr</v>
      </c>
    </row>
    <row r="388" spans="1:14" x14ac:dyDescent="0.25">
      <c r="A388" s="58">
        <v>403</v>
      </c>
      <c r="B388">
        <v>37</v>
      </c>
      <c r="C388">
        <v>1654</v>
      </c>
      <c r="D388" t="s">
        <v>3506</v>
      </c>
      <c r="E388">
        <v>721</v>
      </c>
      <c r="F388">
        <v>1133</v>
      </c>
      <c r="G388" t="s">
        <v>3506</v>
      </c>
      <c r="H388">
        <v>1</v>
      </c>
      <c r="I388" t="s">
        <v>3508</v>
      </c>
      <c r="J388" s="2" t="str">
        <f t="shared" si="18"/>
        <v>[403]=1133,</v>
      </c>
      <c r="K388" s="3">
        <f t="shared" si="19"/>
        <v>403</v>
      </c>
      <c r="L388" s="3">
        <f t="shared" si="20"/>
        <v>1133</v>
      </c>
      <c r="M388" s="9" t="str">
        <f>VLOOKUP(A388,WayshrineNames!$A$3:$B$967,2,)</f>
        <v>South Guard Ruins Wayshrine</v>
      </c>
      <c r="N388" s="3" t="str">
        <f>VLOOKUP(F388,'ESO zones'!$A$5:$D$10003,4,FALSE)</f>
        <v>Southern Elsweyr</v>
      </c>
    </row>
    <row r="389" spans="1:14" x14ac:dyDescent="0.25">
      <c r="A389" s="58">
        <v>404</v>
      </c>
      <c r="B389">
        <v>37</v>
      </c>
      <c r="C389">
        <v>1654</v>
      </c>
      <c r="D389" t="s">
        <v>3506</v>
      </c>
      <c r="E389">
        <v>721</v>
      </c>
      <c r="F389">
        <v>1133</v>
      </c>
      <c r="G389" t="s">
        <v>3506</v>
      </c>
      <c r="H389">
        <v>1</v>
      </c>
      <c r="I389" t="s">
        <v>3509</v>
      </c>
      <c r="J389" s="2" t="str">
        <f t="shared" si="18"/>
        <v>[404]=1133,</v>
      </c>
      <c r="K389" s="3">
        <f t="shared" si="19"/>
        <v>404</v>
      </c>
      <c r="L389" s="3">
        <f t="shared" si="20"/>
        <v>1133</v>
      </c>
      <c r="M389" s="9" t="str">
        <f>VLOOKUP(A389,WayshrineNames!$A$3:$B$967,2,)</f>
        <v>Western Plains Wayshrine</v>
      </c>
      <c r="N389" s="3" t="str">
        <f>VLOOKUP(F389,'ESO zones'!$A$5:$D$10003,4,FALSE)</f>
        <v>Southern Elsweyr</v>
      </c>
    </row>
    <row r="390" spans="1:14" x14ac:dyDescent="0.25">
      <c r="A390" s="58">
        <v>405</v>
      </c>
      <c r="B390">
        <v>37</v>
      </c>
      <c r="C390">
        <v>1654</v>
      </c>
      <c r="D390" t="s">
        <v>3506</v>
      </c>
      <c r="E390">
        <v>721</v>
      </c>
      <c r="F390">
        <v>1133</v>
      </c>
      <c r="G390" t="s">
        <v>3506</v>
      </c>
      <c r="H390">
        <v>1</v>
      </c>
      <c r="I390" t="s">
        <v>3510</v>
      </c>
      <c r="J390" s="2" t="str">
        <f t="shared" si="18"/>
        <v>[405]=1133,</v>
      </c>
      <c r="K390" s="3">
        <f t="shared" si="19"/>
        <v>405</v>
      </c>
      <c r="L390" s="3">
        <f t="shared" si="20"/>
        <v>1133</v>
      </c>
      <c r="M390" s="9" t="str">
        <f>VLOOKUP(A390,WayshrineNames!$A$3:$B$967,2,)</f>
        <v>Black Heights Wayshrine</v>
      </c>
      <c r="N390" s="3" t="str">
        <f>VLOOKUP(F390,'ESO zones'!$A$5:$D$10003,4,FALSE)</f>
        <v>Southern Elsweyr</v>
      </c>
    </row>
    <row r="391" spans="1:14" x14ac:dyDescent="0.25">
      <c r="A391" s="58">
        <v>406</v>
      </c>
      <c r="B391">
        <v>37</v>
      </c>
      <c r="C391">
        <v>1654</v>
      </c>
      <c r="D391" t="s">
        <v>3506</v>
      </c>
      <c r="E391">
        <v>721</v>
      </c>
      <c r="F391">
        <v>1133</v>
      </c>
      <c r="G391" t="s">
        <v>3506</v>
      </c>
      <c r="H391">
        <v>1</v>
      </c>
      <c r="I391" t="s">
        <v>3511</v>
      </c>
      <c r="J391" s="2" t="str">
        <f t="shared" si="18"/>
        <v>[406]=1133,</v>
      </c>
      <c r="K391" s="3">
        <f t="shared" si="19"/>
        <v>406</v>
      </c>
      <c r="L391" s="3">
        <f t="shared" si="20"/>
        <v>1133</v>
      </c>
      <c r="M391" s="9" t="str">
        <f>VLOOKUP(A391,WayshrineNames!$A$3:$B$967,2,)</f>
        <v>Pridehome Wayshrine</v>
      </c>
      <c r="N391" s="3" t="str">
        <f>VLOOKUP(F391,'ESO zones'!$A$5:$D$10003,4,FALSE)</f>
        <v>Southern Elsweyr</v>
      </c>
    </row>
    <row r="392" spans="1:14" x14ac:dyDescent="0.25">
      <c r="A392" s="58">
        <v>407</v>
      </c>
      <c r="B392">
        <v>37</v>
      </c>
      <c r="C392">
        <v>1654</v>
      </c>
      <c r="D392" t="s">
        <v>3506</v>
      </c>
      <c r="E392">
        <v>721</v>
      </c>
      <c r="F392">
        <v>1133</v>
      </c>
      <c r="G392" t="s">
        <v>3506</v>
      </c>
      <c r="H392">
        <v>1</v>
      </c>
      <c r="I392" t="s">
        <v>3512</v>
      </c>
      <c r="J392" s="2" t="str">
        <f t="shared" si="18"/>
        <v>[407]=1133,</v>
      </c>
      <c r="K392" s="3">
        <f t="shared" si="19"/>
        <v>407</v>
      </c>
      <c r="L392" s="3">
        <f t="shared" si="20"/>
        <v>1133</v>
      </c>
      <c r="M392" s="9" t="str">
        <f>VLOOKUP(A392,WayshrineNames!$A$3:$B$967,2,)</f>
        <v>Dragonguard Sanctum Wayshrine</v>
      </c>
      <c r="N392" s="3" t="str">
        <f>VLOOKUP(F392,'ESO zones'!$A$5:$D$10003,4,FALSE)</f>
        <v>Southern Elsweyr</v>
      </c>
    </row>
    <row r="393" spans="1:14" x14ac:dyDescent="0.25">
      <c r="A393" s="58">
        <v>409</v>
      </c>
      <c r="B393">
        <v>3</v>
      </c>
      <c r="C393">
        <v>10</v>
      </c>
      <c r="D393" t="s">
        <v>3115</v>
      </c>
      <c r="E393">
        <v>5</v>
      </c>
      <c r="F393">
        <v>20</v>
      </c>
      <c r="G393" t="s">
        <v>3115</v>
      </c>
      <c r="H393">
        <v>7</v>
      </c>
      <c r="I393" t="s">
        <v>3513</v>
      </c>
      <c r="J393" s="2" t="str">
        <f t="shared" si="18"/>
        <v>[409]=20,</v>
      </c>
      <c r="K393" s="3">
        <f t="shared" si="19"/>
        <v>409</v>
      </c>
      <c r="L393" s="3">
        <f t="shared" si="20"/>
        <v>20</v>
      </c>
      <c r="M393" s="9" t="str">
        <f>VLOOKUP(A393,WayshrineNames!$A$3:$B$967,2,)</f>
        <v>Wraithhome</v>
      </c>
      <c r="N393" s="3" t="str">
        <f>VLOOKUP(F393,'ESO zones'!$A$5:$D$10003,4,FALSE)</f>
        <v>Rivenspire</v>
      </c>
    </row>
    <row r="394" spans="1:14" x14ac:dyDescent="0.25">
      <c r="A394" s="58">
        <v>410</v>
      </c>
      <c r="B394">
        <v>36</v>
      </c>
      <c r="C394">
        <v>1555</v>
      </c>
      <c r="D394" t="s">
        <v>3487</v>
      </c>
      <c r="E394">
        <v>682</v>
      </c>
      <c r="F394">
        <v>1086</v>
      </c>
      <c r="G394" t="s">
        <v>3487</v>
      </c>
      <c r="H394">
        <v>7</v>
      </c>
      <c r="I394" t="s">
        <v>3514</v>
      </c>
      <c r="J394" s="2" t="str">
        <f t="shared" si="18"/>
        <v>[410]=1086,</v>
      </c>
      <c r="K394" s="3">
        <f t="shared" si="19"/>
        <v>410</v>
      </c>
      <c r="L394" s="3">
        <f t="shared" si="20"/>
        <v>1086</v>
      </c>
      <c r="M394" s="9" t="str">
        <f>VLOOKUP(A394,WayshrineNames!$A$3:$B$967,2,)</f>
        <v>Moon-Sugar Meadow</v>
      </c>
      <c r="N394" s="3" t="str">
        <f>VLOOKUP(F394,'ESO zones'!$A$5:$D$10003,4,FALSE)</f>
        <v>Northern Elsweyr</v>
      </c>
    </row>
    <row r="395" spans="1:14" x14ac:dyDescent="0.25">
      <c r="A395" s="58">
        <v>411</v>
      </c>
      <c r="B395">
        <v>40</v>
      </c>
      <c r="C395">
        <v>1782</v>
      </c>
      <c r="D395" t="s">
        <v>3515</v>
      </c>
      <c r="E395">
        <v>4294967296</v>
      </c>
      <c r="F395">
        <v>0</v>
      </c>
      <c r="H395">
        <v>1</v>
      </c>
      <c r="I395" t="s">
        <v>3516</v>
      </c>
      <c r="J395" s="2" t="str">
        <f t="shared" si="18"/>
        <v>[411]=0,</v>
      </c>
      <c r="K395" s="3">
        <f t="shared" si="19"/>
        <v>411</v>
      </c>
      <c r="L395" s="3">
        <f t="shared" si="20"/>
        <v>0</v>
      </c>
      <c r="M395" s="9" t="str">
        <f>VLOOKUP(A395,WayshrineNames!$A$3:$B$967,2,)</f>
        <v>Dusktown Wayshrine</v>
      </c>
      <c r="N395" s="3" t="str">
        <f>VLOOKUP(F395,'ESO zones'!$A$5:$D$10003,4,FALSE)</f>
        <v>Tamriel Map</v>
      </c>
    </row>
    <row r="396" spans="1:14" x14ac:dyDescent="0.25">
      <c r="A396" s="58">
        <v>412</v>
      </c>
      <c r="B396">
        <v>40</v>
      </c>
      <c r="C396">
        <v>1782</v>
      </c>
      <c r="D396" t="s">
        <v>3515</v>
      </c>
      <c r="E396">
        <v>4294967296</v>
      </c>
      <c r="F396">
        <v>0</v>
      </c>
      <c r="H396">
        <v>1</v>
      </c>
      <c r="I396" t="s">
        <v>3517</v>
      </c>
      <c r="J396" s="2" t="str">
        <f t="shared" si="18"/>
        <v>[412]=0,</v>
      </c>
      <c r="K396" s="3">
        <f t="shared" si="19"/>
        <v>412</v>
      </c>
      <c r="L396" s="3">
        <f t="shared" si="20"/>
        <v>0</v>
      </c>
      <c r="M396" s="9" t="str">
        <f>VLOOKUP(A396,WayshrineNames!$A$3:$B$967,2,)</f>
        <v>Greymoor Keep Wayshrine</v>
      </c>
      <c r="N396" s="3" t="str">
        <f>VLOOKUP(F396,'ESO zones'!$A$5:$D$10003,4,FALSE)</f>
        <v>Tamriel Map</v>
      </c>
    </row>
    <row r="397" spans="1:14" x14ac:dyDescent="0.25">
      <c r="A397" s="58">
        <v>413</v>
      </c>
      <c r="B397">
        <v>40</v>
      </c>
      <c r="C397">
        <v>1782</v>
      </c>
      <c r="D397" t="s">
        <v>3515</v>
      </c>
      <c r="E397">
        <v>4294967296</v>
      </c>
      <c r="F397">
        <v>0</v>
      </c>
      <c r="H397">
        <v>1</v>
      </c>
      <c r="I397" t="s">
        <v>3518</v>
      </c>
      <c r="J397" s="2" t="str">
        <f t="shared" si="18"/>
        <v>[413]=0,</v>
      </c>
      <c r="K397" s="3">
        <f t="shared" si="19"/>
        <v>413</v>
      </c>
      <c r="L397" s="3">
        <f t="shared" si="20"/>
        <v>0</v>
      </c>
      <c r="M397" s="9" t="str">
        <f>VLOOKUP(A397,WayshrineNames!$A$3:$B$967,2,)</f>
        <v>Lightless Hollow Wayshrine</v>
      </c>
      <c r="N397" s="3" t="str">
        <f>VLOOKUP(F397,'ESO zones'!$A$5:$D$10003,4,FALSE)</f>
        <v>Tamriel Map</v>
      </c>
    </row>
    <row r="398" spans="1:14" x14ac:dyDescent="0.25">
      <c r="A398" s="58">
        <v>414</v>
      </c>
      <c r="B398">
        <v>40</v>
      </c>
      <c r="C398">
        <v>1782</v>
      </c>
      <c r="D398" t="s">
        <v>3515</v>
      </c>
      <c r="E398">
        <v>4294967296</v>
      </c>
      <c r="F398">
        <v>0</v>
      </c>
      <c r="H398">
        <v>1</v>
      </c>
      <c r="I398" t="s">
        <v>3519</v>
      </c>
      <c r="J398" s="2" t="str">
        <f t="shared" si="18"/>
        <v>[414]=0,</v>
      </c>
      <c r="K398" s="3">
        <f t="shared" si="19"/>
        <v>414</v>
      </c>
      <c r="L398" s="3">
        <f t="shared" si="20"/>
        <v>0</v>
      </c>
      <c r="M398" s="9" t="str">
        <f>VLOOKUP(A398,WayshrineNames!$A$3:$B$967,2,)</f>
        <v>Dark Moon Grotto Wayshrine</v>
      </c>
      <c r="N398" s="3" t="str">
        <f>VLOOKUP(F398,'ESO zones'!$A$5:$D$10003,4,FALSE)</f>
        <v>Tamriel Map</v>
      </c>
    </row>
    <row r="399" spans="1:14" x14ac:dyDescent="0.25">
      <c r="A399" s="58">
        <v>415</v>
      </c>
      <c r="B399">
        <v>38</v>
      </c>
      <c r="C399">
        <v>1719</v>
      </c>
      <c r="D399" t="s">
        <v>3520</v>
      </c>
      <c r="E399">
        <v>744</v>
      </c>
      <c r="F399">
        <v>1160</v>
      </c>
      <c r="G399" t="s">
        <v>3520</v>
      </c>
      <c r="H399">
        <v>1</v>
      </c>
      <c r="I399" t="s">
        <v>3521</v>
      </c>
      <c r="J399" s="2" t="str">
        <f t="shared" si="18"/>
        <v>[415]=1160,</v>
      </c>
      <c r="K399" s="3">
        <f t="shared" si="19"/>
        <v>415</v>
      </c>
      <c r="L399" s="3">
        <f t="shared" si="20"/>
        <v>1160</v>
      </c>
      <c r="M399" s="9" t="str">
        <f>VLOOKUP(A399,WayshrineNames!$A$3:$B$967,2,)</f>
        <v>Kilkreath Temple Wayshrine</v>
      </c>
      <c r="N399" s="3" t="str">
        <f>VLOOKUP(F399,'ESO zones'!$A$5:$D$10003,4,FALSE)</f>
        <v>Western Skyrim</v>
      </c>
    </row>
    <row r="400" spans="1:14" x14ac:dyDescent="0.25">
      <c r="A400" s="58">
        <v>416</v>
      </c>
      <c r="B400">
        <v>38</v>
      </c>
      <c r="C400">
        <v>1719</v>
      </c>
      <c r="D400" t="s">
        <v>3520</v>
      </c>
      <c r="E400">
        <v>744</v>
      </c>
      <c r="F400">
        <v>1160</v>
      </c>
      <c r="G400" t="s">
        <v>3520</v>
      </c>
      <c r="H400">
        <v>1</v>
      </c>
      <c r="I400" t="s">
        <v>3522</v>
      </c>
      <c r="J400" s="2" t="str">
        <f t="shared" si="18"/>
        <v>[416]=1160,</v>
      </c>
      <c r="K400" s="3">
        <f t="shared" si="19"/>
        <v>416</v>
      </c>
      <c r="L400" s="3">
        <f t="shared" si="20"/>
        <v>1160</v>
      </c>
      <c r="M400" s="9" t="str">
        <f>VLOOKUP(A400,WayshrineNames!$A$3:$B$967,2,)</f>
        <v>Morthal Wayshrine</v>
      </c>
      <c r="N400" s="3" t="str">
        <f>VLOOKUP(F400,'ESO zones'!$A$5:$D$10003,4,FALSE)</f>
        <v>Western Skyrim</v>
      </c>
    </row>
    <row r="401" spans="1:14" x14ac:dyDescent="0.25">
      <c r="A401" s="58">
        <v>417</v>
      </c>
      <c r="B401">
        <v>38</v>
      </c>
      <c r="C401">
        <v>1719</v>
      </c>
      <c r="D401" t="s">
        <v>3520</v>
      </c>
      <c r="E401">
        <v>744</v>
      </c>
      <c r="F401">
        <v>1160</v>
      </c>
      <c r="G401" t="s">
        <v>3520</v>
      </c>
      <c r="H401">
        <v>1</v>
      </c>
      <c r="I401" t="s">
        <v>3523</v>
      </c>
      <c r="J401" s="2" t="str">
        <f t="shared" si="18"/>
        <v>[417]=1160,</v>
      </c>
      <c r="K401" s="3">
        <f t="shared" si="19"/>
        <v>417</v>
      </c>
      <c r="L401" s="3">
        <f t="shared" si="20"/>
        <v>1160</v>
      </c>
      <c r="M401" s="9" t="str">
        <f>VLOOKUP(A401,WayshrineNames!$A$3:$B$967,2,)</f>
        <v>Mor Khazgur Wayshrine</v>
      </c>
      <c r="N401" s="3" t="str">
        <f>VLOOKUP(F401,'ESO zones'!$A$5:$D$10003,4,FALSE)</f>
        <v>Western Skyrim</v>
      </c>
    </row>
    <row r="402" spans="1:14" x14ac:dyDescent="0.25">
      <c r="A402" s="58">
        <v>418</v>
      </c>
      <c r="B402">
        <v>38</v>
      </c>
      <c r="C402">
        <v>1719</v>
      </c>
      <c r="D402" t="s">
        <v>3520</v>
      </c>
      <c r="E402">
        <v>744</v>
      </c>
      <c r="F402">
        <v>1160</v>
      </c>
      <c r="G402" t="s">
        <v>3520</v>
      </c>
      <c r="H402">
        <v>1</v>
      </c>
      <c r="I402" t="s">
        <v>3524</v>
      </c>
      <c r="J402" s="2" t="str">
        <f t="shared" si="18"/>
        <v>[418]=1160,</v>
      </c>
      <c r="K402" s="3">
        <f t="shared" si="19"/>
        <v>418</v>
      </c>
      <c r="L402" s="3">
        <f t="shared" si="20"/>
        <v>1160</v>
      </c>
      <c r="M402" s="9" t="str">
        <f>VLOOKUP(A402,WayshrineNames!$A$3:$B$967,2,)</f>
        <v>Dragon Bridge Wayshrine</v>
      </c>
      <c r="N402" s="3" t="str">
        <f>VLOOKUP(F402,'ESO zones'!$A$5:$D$10003,4,FALSE)</f>
        <v>Western Skyrim</v>
      </c>
    </row>
    <row r="403" spans="1:14" x14ac:dyDescent="0.25">
      <c r="A403" s="58">
        <v>419</v>
      </c>
      <c r="B403">
        <v>38</v>
      </c>
      <c r="C403">
        <v>1719</v>
      </c>
      <c r="D403" t="s">
        <v>3520</v>
      </c>
      <c r="E403">
        <v>744</v>
      </c>
      <c r="F403">
        <v>1160</v>
      </c>
      <c r="G403" t="s">
        <v>3520</v>
      </c>
      <c r="H403">
        <v>1</v>
      </c>
      <c r="I403" t="s">
        <v>3525</v>
      </c>
      <c r="J403" s="2" t="str">
        <f t="shared" si="18"/>
        <v>[419]=1160,</v>
      </c>
      <c r="K403" s="3">
        <f t="shared" si="19"/>
        <v>419</v>
      </c>
      <c r="L403" s="3">
        <f t="shared" si="20"/>
        <v>1160</v>
      </c>
      <c r="M403" s="9" t="str">
        <f>VLOOKUP(A403,WayshrineNames!$A$3:$B$967,2,)</f>
        <v>Southern Watch Wayshrine</v>
      </c>
      <c r="N403" s="3" t="str">
        <f>VLOOKUP(F403,'ESO zones'!$A$5:$D$10003,4,FALSE)</f>
        <v>Western Skyrim</v>
      </c>
    </row>
    <row r="404" spans="1:14" x14ac:dyDescent="0.25">
      <c r="A404" s="58">
        <v>420</v>
      </c>
      <c r="B404">
        <v>38</v>
      </c>
      <c r="C404">
        <v>1719</v>
      </c>
      <c r="D404" t="s">
        <v>3520</v>
      </c>
      <c r="E404">
        <v>744</v>
      </c>
      <c r="F404">
        <v>1160</v>
      </c>
      <c r="G404" t="s">
        <v>3520</v>
      </c>
      <c r="H404">
        <v>1</v>
      </c>
      <c r="I404" t="s">
        <v>3526</v>
      </c>
      <c r="J404" s="2" t="str">
        <f t="shared" si="18"/>
        <v>[420]=1160,</v>
      </c>
      <c r="K404" s="3">
        <f t="shared" si="19"/>
        <v>420</v>
      </c>
      <c r="L404" s="3">
        <f t="shared" si="20"/>
        <v>1160</v>
      </c>
      <c r="M404" s="9" t="str">
        <f>VLOOKUP(A404,WayshrineNames!$A$3:$B$967,2,)</f>
        <v>Frozen Coast Wayshrine</v>
      </c>
      <c r="N404" s="3" t="str">
        <f>VLOOKUP(F404,'ESO zones'!$A$5:$D$10003,4,FALSE)</f>
        <v>Western Skyrim</v>
      </c>
    </row>
    <row r="405" spans="1:14" x14ac:dyDescent="0.25">
      <c r="A405" s="58">
        <v>421</v>
      </c>
      <c r="B405">
        <v>38</v>
      </c>
      <c r="C405">
        <v>1719</v>
      </c>
      <c r="D405" t="s">
        <v>3520</v>
      </c>
      <c r="E405">
        <v>744</v>
      </c>
      <c r="F405">
        <v>1160</v>
      </c>
      <c r="G405" t="s">
        <v>3520</v>
      </c>
      <c r="H405">
        <v>1</v>
      </c>
      <c r="I405" t="s">
        <v>3527</v>
      </c>
      <c r="J405" s="2" t="str">
        <f t="shared" si="18"/>
        <v>[421]=1160,</v>
      </c>
      <c r="K405" s="3">
        <f t="shared" si="19"/>
        <v>421</v>
      </c>
      <c r="L405" s="3">
        <f t="shared" si="20"/>
        <v>1160</v>
      </c>
      <c r="M405" s="9" t="str">
        <f>VLOOKUP(A405,WayshrineNames!$A$3:$B$967,2,)</f>
        <v>Solitude Wayshrine</v>
      </c>
      <c r="N405" s="3" t="str">
        <f>VLOOKUP(F405,'ESO zones'!$A$5:$D$10003,4,FALSE)</f>
        <v>Western Skyrim</v>
      </c>
    </row>
    <row r="406" spans="1:14" x14ac:dyDescent="0.25">
      <c r="A406" s="58">
        <v>422</v>
      </c>
      <c r="B406">
        <v>37</v>
      </c>
      <c r="C406">
        <v>1654</v>
      </c>
      <c r="D406" t="s">
        <v>3506</v>
      </c>
      <c r="E406">
        <v>721</v>
      </c>
      <c r="F406">
        <v>1133</v>
      </c>
      <c r="G406" t="s">
        <v>3506</v>
      </c>
      <c r="H406">
        <v>7</v>
      </c>
      <c r="I406" t="s">
        <v>3528</v>
      </c>
      <c r="J406" s="2" t="str">
        <f t="shared" si="18"/>
        <v>[422]=1133,</v>
      </c>
      <c r="K406" s="3">
        <f t="shared" si="19"/>
        <v>422</v>
      </c>
      <c r="L406" s="3">
        <f t="shared" si="20"/>
        <v>1133</v>
      </c>
      <c r="M406" s="9" t="str">
        <f>VLOOKUP(A406,WayshrineNames!$A$3:$B$967,2,)</f>
        <v>Lucky Cat Landing</v>
      </c>
      <c r="N406" s="3" t="str">
        <f>VLOOKUP(F406,'ESO zones'!$A$5:$D$10003,4,FALSE)</f>
        <v>Southern Elsweyr</v>
      </c>
    </row>
    <row r="407" spans="1:14" x14ac:dyDescent="0.25">
      <c r="A407" s="58">
        <v>423</v>
      </c>
      <c r="B407">
        <v>37</v>
      </c>
      <c r="C407">
        <v>1654</v>
      </c>
      <c r="D407" t="s">
        <v>3506</v>
      </c>
      <c r="E407">
        <v>721</v>
      </c>
      <c r="F407">
        <v>1133</v>
      </c>
      <c r="G407" t="s">
        <v>3506</v>
      </c>
      <c r="H407">
        <v>7</v>
      </c>
      <c r="I407" t="s">
        <v>3529</v>
      </c>
      <c r="J407" s="2" t="str">
        <f t="shared" si="18"/>
        <v>[423]=1133,</v>
      </c>
      <c r="K407" s="3">
        <f t="shared" si="19"/>
        <v>423</v>
      </c>
      <c r="L407" s="3">
        <f t="shared" si="20"/>
        <v>1133</v>
      </c>
      <c r="M407" s="9" t="str">
        <f>VLOOKUP(A407,WayshrineNames!$A$3:$B$967,2,)</f>
        <v>Potentate's Retreat</v>
      </c>
      <c r="N407" s="3" t="str">
        <f>VLOOKUP(F407,'ESO zones'!$A$5:$D$10003,4,FALSE)</f>
        <v>Southern Elsweyr</v>
      </c>
    </row>
    <row r="408" spans="1:14" x14ac:dyDescent="0.25">
      <c r="A408">
        <v>424</v>
      </c>
      <c r="B408">
        <v>27</v>
      </c>
      <c r="C408">
        <v>667</v>
      </c>
      <c r="D408" t="s">
        <v>816</v>
      </c>
      <c r="E408">
        <v>380</v>
      </c>
      <c r="F408">
        <v>684</v>
      </c>
      <c r="G408" t="s">
        <v>816</v>
      </c>
      <c r="H408">
        <v>6</v>
      </c>
      <c r="I408" t="s">
        <v>3530</v>
      </c>
      <c r="J408" s="2" t="str">
        <f t="shared" si="18"/>
        <v>[424]=684,</v>
      </c>
      <c r="K408" s="3">
        <f t="shared" si="19"/>
        <v>424</v>
      </c>
      <c r="L408" s="3">
        <f t="shared" si="20"/>
        <v>684</v>
      </c>
      <c r="M408" s="9" t="str">
        <f>VLOOKUP(A408,WayshrineNames!$A$3:$B$967,2,)</f>
        <v>Dungeon: Icereach</v>
      </c>
      <c r="N408" s="3" t="str">
        <f>VLOOKUP(F408,'ESO zones'!$A$5:$D$10003,4,FALSE)</f>
        <v>Wrothgar</v>
      </c>
    </row>
    <row r="409" spans="1:14" x14ac:dyDescent="0.25">
      <c r="A409" s="58">
        <v>425</v>
      </c>
      <c r="B409">
        <v>6</v>
      </c>
      <c r="C409">
        <v>20</v>
      </c>
      <c r="D409" t="s">
        <v>524</v>
      </c>
      <c r="E409">
        <v>14</v>
      </c>
      <c r="F409">
        <v>92</v>
      </c>
      <c r="G409" t="s">
        <v>524</v>
      </c>
      <c r="H409">
        <v>6</v>
      </c>
      <c r="I409" t="s">
        <v>3531</v>
      </c>
      <c r="J409" s="2" t="str">
        <f t="shared" si="18"/>
        <v>[425]=92,</v>
      </c>
      <c r="K409" s="3">
        <f t="shared" si="19"/>
        <v>425</v>
      </c>
      <c r="L409" s="3">
        <f t="shared" si="20"/>
        <v>92</v>
      </c>
      <c r="M409" s="9" t="str">
        <f>VLOOKUP(A409,WayshrineNames!$A$3:$B$967,2,)</f>
        <v>Dungeon: Unhallowed Grave</v>
      </c>
      <c r="N409" s="3" t="str">
        <f>VLOOKUP(F409,'ESO zones'!$A$5:$D$10003,4,FALSE)</f>
        <v>Bangkorai</v>
      </c>
    </row>
    <row r="410" spans="1:14" x14ac:dyDescent="0.25">
      <c r="A410" s="58">
        <v>426</v>
      </c>
      <c r="B410">
        <v>38</v>
      </c>
      <c r="C410">
        <v>1719</v>
      </c>
      <c r="D410" t="s">
        <v>3520</v>
      </c>
      <c r="E410">
        <v>744</v>
      </c>
      <c r="F410">
        <v>1160</v>
      </c>
      <c r="G410" t="s">
        <v>3520</v>
      </c>
      <c r="H410">
        <v>1</v>
      </c>
      <c r="I410" t="s">
        <v>3532</v>
      </c>
      <c r="J410" s="2" t="str">
        <f t="shared" si="18"/>
        <v>[426]=1160,</v>
      </c>
      <c r="K410" s="3">
        <f t="shared" si="19"/>
        <v>426</v>
      </c>
      <c r="L410" s="3">
        <f t="shared" si="20"/>
        <v>1160</v>
      </c>
      <c r="M410" s="9" t="str">
        <f>VLOOKUP(A410,WayshrineNames!$A$3:$B$967,2,)</f>
        <v>Solitude Docks Wayshrine</v>
      </c>
      <c r="N410" s="3" t="str">
        <f>VLOOKUP(F410,'ESO zones'!$A$5:$D$10003,4,FALSE)</f>
        <v>Western Skyrim</v>
      </c>
    </row>
    <row r="411" spans="1:14" x14ac:dyDescent="0.25">
      <c r="A411" s="58">
        <v>427</v>
      </c>
      <c r="B411">
        <v>6</v>
      </c>
      <c r="C411">
        <v>20</v>
      </c>
      <c r="D411" t="s">
        <v>524</v>
      </c>
      <c r="E411">
        <v>14</v>
      </c>
      <c r="F411">
        <v>92</v>
      </c>
      <c r="G411" t="s">
        <v>524</v>
      </c>
      <c r="H411">
        <v>7</v>
      </c>
      <c r="I411" t="s">
        <v>3533</v>
      </c>
      <c r="J411" s="2" t="str">
        <f t="shared" si="18"/>
        <v>[427]=92,</v>
      </c>
      <c r="K411" s="3">
        <f t="shared" si="19"/>
        <v>427</v>
      </c>
      <c r="L411" s="3">
        <f t="shared" si="20"/>
        <v>92</v>
      </c>
      <c r="M411" s="9" t="str">
        <f>VLOOKUP(A411,WayshrineNames!$A$3:$B$967,2,)</f>
        <v>Thieves' Oasis</v>
      </c>
      <c r="N411" s="3" t="str">
        <f>VLOOKUP(F411,'ESO zones'!$A$5:$D$10003,4,FALSE)</f>
        <v>Bangkorai</v>
      </c>
    </row>
    <row r="412" spans="1:14" x14ac:dyDescent="0.25">
      <c r="A412">
        <v>428</v>
      </c>
      <c r="B412">
        <v>27</v>
      </c>
      <c r="C412">
        <v>667</v>
      </c>
      <c r="D412" t="s">
        <v>816</v>
      </c>
      <c r="E412">
        <v>380</v>
      </c>
      <c r="F412">
        <v>684</v>
      </c>
      <c r="G412" t="s">
        <v>816</v>
      </c>
      <c r="H412">
        <v>7</v>
      </c>
      <c r="I412" t="s">
        <v>2845</v>
      </c>
      <c r="J412" s="2" t="str">
        <f t="shared" si="18"/>
        <v>[428]=684,</v>
      </c>
      <c r="K412" s="3">
        <f t="shared" si="19"/>
        <v>428</v>
      </c>
      <c r="L412" s="3">
        <f t="shared" si="20"/>
        <v>684</v>
      </c>
      <c r="M412" s="9" t="str">
        <f>VLOOKUP(A412,WayshrineNames!$A$3:$B$967,2,)</f>
        <v>Forgemaster Falls</v>
      </c>
      <c r="N412" s="3" t="str">
        <f>VLOOKUP(F412,'ESO zones'!$A$5:$D$10003,4,FALSE)</f>
        <v>Wrothgar</v>
      </c>
    </row>
    <row r="413" spans="1:14" x14ac:dyDescent="0.25">
      <c r="A413" s="58">
        <v>429</v>
      </c>
      <c r="B413">
        <v>38</v>
      </c>
      <c r="C413">
        <v>1719</v>
      </c>
      <c r="D413" t="s">
        <v>3520</v>
      </c>
      <c r="E413">
        <v>744</v>
      </c>
      <c r="F413">
        <v>1160</v>
      </c>
      <c r="G413" t="s">
        <v>3520</v>
      </c>
      <c r="H413">
        <v>1</v>
      </c>
      <c r="I413" t="s">
        <v>3534</v>
      </c>
      <c r="J413" s="2" t="str">
        <f t="shared" si="18"/>
        <v>[429]=1160,</v>
      </c>
      <c r="K413" s="3">
        <f t="shared" si="19"/>
        <v>429</v>
      </c>
      <c r="L413" s="3">
        <f t="shared" si="20"/>
        <v>1160</v>
      </c>
      <c r="M413" s="9" t="str">
        <f>VLOOKUP(A413,WayshrineNames!$A$3:$B$967,2,)</f>
        <v>Deepwood Vale Wayshrine</v>
      </c>
      <c r="N413" s="3" t="str">
        <f>VLOOKUP(F413,'ESO zones'!$A$5:$D$10003,4,FALSE)</f>
        <v>Western Skyrim</v>
      </c>
    </row>
    <row r="414" spans="1:14" x14ac:dyDescent="0.25">
      <c r="A414" s="58">
        <v>430</v>
      </c>
      <c r="B414">
        <v>40</v>
      </c>
      <c r="C414">
        <v>1782</v>
      </c>
      <c r="D414" t="s">
        <v>3515</v>
      </c>
      <c r="E414">
        <v>4294967296</v>
      </c>
      <c r="F414">
        <v>0</v>
      </c>
      <c r="H414">
        <v>1</v>
      </c>
      <c r="I414" t="s">
        <v>3535</v>
      </c>
      <c r="J414" s="2" t="str">
        <f t="shared" si="18"/>
        <v>[430]=0,</v>
      </c>
      <c r="K414" s="3">
        <f t="shared" si="19"/>
        <v>430</v>
      </c>
      <c r="L414" s="3">
        <f t="shared" si="20"/>
        <v>0</v>
      </c>
      <c r="M414" s="9" t="str">
        <f>VLOOKUP(A414,WayshrineNames!$A$3:$B$967,2,)</f>
        <v>Dwarven Run Wayshrine</v>
      </c>
      <c r="N414" s="3" t="str">
        <f>VLOOKUP(F414,'ESO zones'!$A$5:$D$10003,4,FALSE)</f>
        <v>Tamriel Map</v>
      </c>
    </row>
    <row r="415" spans="1:14" x14ac:dyDescent="0.25">
      <c r="A415" s="58">
        <v>431</v>
      </c>
      <c r="B415">
        <v>40</v>
      </c>
      <c r="C415">
        <v>1782</v>
      </c>
      <c r="D415" t="s">
        <v>3515</v>
      </c>
      <c r="E415">
        <v>4294967296</v>
      </c>
      <c r="F415">
        <v>0</v>
      </c>
      <c r="H415">
        <v>1</v>
      </c>
      <c r="I415" t="s">
        <v>3536</v>
      </c>
      <c r="J415" s="2" t="str">
        <f t="shared" si="18"/>
        <v>[431]=0,</v>
      </c>
      <c r="K415" s="3">
        <f t="shared" si="19"/>
        <v>431</v>
      </c>
      <c r="L415" s="3">
        <f t="shared" si="20"/>
        <v>0</v>
      </c>
      <c r="M415" s="9" t="str">
        <f>VLOOKUP(A415,WayshrineNames!$A$3:$B$967,2,)</f>
        <v>Grotto Falls Wayshrine</v>
      </c>
      <c r="N415" s="3" t="str">
        <f>VLOOKUP(F415,'ESO zones'!$A$5:$D$10003,4,FALSE)</f>
        <v>Tamriel Map</v>
      </c>
    </row>
    <row r="416" spans="1:14" x14ac:dyDescent="0.25">
      <c r="A416" s="58">
        <v>432</v>
      </c>
      <c r="B416">
        <v>40</v>
      </c>
      <c r="C416">
        <v>1782</v>
      </c>
      <c r="D416" t="s">
        <v>3515</v>
      </c>
      <c r="E416">
        <v>4294967296</v>
      </c>
      <c r="F416">
        <v>0</v>
      </c>
      <c r="H416">
        <v>1</v>
      </c>
      <c r="I416" t="s">
        <v>3537</v>
      </c>
      <c r="J416" s="2" t="str">
        <f t="shared" si="18"/>
        <v>[432]=0,</v>
      </c>
      <c r="K416" s="3">
        <f t="shared" si="19"/>
        <v>432</v>
      </c>
      <c r="L416" s="3">
        <f t="shared" si="20"/>
        <v>0</v>
      </c>
      <c r="M416" s="9" t="str">
        <f>VLOOKUP(A416,WayshrineNames!$A$3:$B$967,2,)</f>
        <v>Deep Overlook Wayshrine</v>
      </c>
      <c r="N416" s="3" t="str">
        <f>VLOOKUP(F416,'ESO zones'!$A$5:$D$10003,4,FALSE)</f>
        <v>Tamriel Map</v>
      </c>
    </row>
    <row r="417" spans="1:14" x14ac:dyDescent="0.25">
      <c r="A417" s="58">
        <v>433</v>
      </c>
      <c r="B417">
        <v>40</v>
      </c>
      <c r="C417">
        <v>1782</v>
      </c>
      <c r="D417" t="s">
        <v>3515</v>
      </c>
      <c r="E417">
        <v>4294967296</v>
      </c>
      <c r="F417">
        <v>0</v>
      </c>
      <c r="H417">
        <v>1</v>
      </c>
      <c r="I417" t="s">
        <v>3538</v>
      </c>
      <c r="J417" s="2" t="str">
        <f t="shared" si="18"/>
        <v>[433]=0,</v>
      </c>
      <c r="K417" s="3">
        <f t="shared" si="19"/>
        <v>433</v>
      </c>
      <c r="L417" s="3">
        <f t="shared" si="20"/>
        <v>0</v>
      </c>
      <c r="M417" s="9" t="str">
        <f>VLOOKUP(A417,WayshrineNames!$A$3:$B$967,2,)</f>
        <v>Western Greymoor Wayshrine</v>
      </c>
      <c r="N417" s="3" t="str">
        <f>VLOOKUP(F417,'ESO zones'!$A$5:$D$10003,4,FALSE)</f>
        <v>Tamriel Map</v>
      </c>
    </row>
    <row r="418" spans="1:14" x14ac:dyDescent="0.25">
      <c r="A418" s="58">
        <v>434</v>
      </c>
      <c r="B418">
        <v>38</v>
      </c>
      <c r="C418">
        <v>1719</v>
      </c>
      <c r="D418" t="s">
        <v>3520</v>
      </c>
      <c r="E418">
        <v>744</v>
      </c>
      <c r="F418">
        <v>1160</v>
      </c>
      <c r="G418" t="s">
        <v>3520</v>
      </c>
      <c r="H418">
        <v>3</v>
      </c>
      <c r="I418" t="s">
        <v>3539</v>
      </c>
      <c r="J418" s="2" t="str">
        <f t="shared" si="18"/>
        <v>[434]=1160,</v>
      </c>
      <c r="K418" s="3">
        <f t="shared" si="19"/>
        <v>434</v>
      </c>
      <c r="L418" s="3">
        <f t="shared" si="20"/>
        <v>1160</v>
      </c>
      <c r="M418" s="9" t="str">
        <f>VLOOKUP(A418,WayshrineNames!$A$3:$B$967,2,)</f>
        <v>Trial: Kyne's Aegis</v>
      </c>
      <c r="N418" s="3" t="str">
        <f>VLOOKUP(F418,'ESO zones'!$A$5:$D$10003,4,FALSE)</f>
        <v>Western Skyrim</v>
      </c>
    </row>
    <row r="419" spans="1:14" x14ac:dyDescent="0.25">
      <c r="A419" s="58">
        <v>435</v>
      </c>
      <c r="B419">
        <v>40</v>
      </c>
      <c r="C419">
        <v>1782</v>
      </c>
      <c r="D419" t="s">
        <v>3515</v>
      </c>
      <c r="E419">
        <v>4294967296</v>
      </c>
      <c r="F419">
        <v>0</v>
      </c>
      <c r="H419">
        <v>6</v>
      </c>
      <c r="I419" t="s">
        <v>3540</v>
      </c>
      <c r="J419" s="2" t="str">
        <f t="shared" si="18"/>
        <v>[435]=0,</v>
      </c>
      <c r="K419" s="3">
        <f t="shared" si="19"/>
        <v>435</v>
      </c>
      <c r="L419" s="3">
        <f t="shared" si="20"/>
        <v>0</v>
      </c>
      <c r="M419" s="9" t="str">
        <f>VLOOKUP(A419,WayshrineNames!$A$3:$B$967,2,)</f>
        <v>Dungeon: Stone Garden</v>
      </c>
      <c r="N419" s="3" t="str">
        <f>VLOOKUP(F419,'ESO zones'!$A$5:$D$10003,4,FALSE)</f>
        <v>Tamriel Map</v>
      </c>
    </row>
    <row r="420" spans="1:14" x14ac:dyDescent="0.25">
      <c r="A420" s="58">
        <v>436</v>
      </c>
      <c r="B420">
        <v>38</v>
      </c>
      <c r="C420">
        <v>1719</v>
      </c>
      <c r="D420" t="s">
        <v>3520</v>
      </c>
      <c r="E420">
        <v>744</v>
      </c>
      <c r="F420">
        <v>1160</v>
      </c>
      <c r="G420" t="s">
        <v>3520</v>
      </c>
      <c r="H420">
        <v>6</v>
      </c>
      <c r="I420" t="s">
        <v>3541</v>
      </c>
      <c r="J420" s="2" t="str">
        <f t="shared" si="18"/>
        <v>[436]=1160,</v>
      </c>
      <c r="K420" s="3">
        <f t="shared" si="19"/>
        <v>436</v>
      </c>
      <c r="L420" s="3">
        <f t="shared" si="20"/>
        <v>1160</v>
      </c>
      <c r="M420" s="9" t="str">
        <f>VLOOKUP(A420,WayshrineNames!$A$3:$B$967,2,)</f>
        <v>Dungeon: Castle Thorn</v>
      </c>
      <c r="N420" s="3" t="str">
        <f>VLOOKUP(F420,'ESO zones'!$A$5:$D$10003,4,FALSE)</f>
        <v>Western Skyrim</v>
      </c>
    </row>
    <row r="421" spans="1:14" x14ac:dyDescent="0.25">
      <c r="A421" s="58">
        <v>437</v>
      </c>
      <c r="B421">
        <v>29</v>
      </c>
      <c r="C421">
        <v>1006</v>
      </c>
      <c r="D421" t="s">
        <v>3358</v>
      </c>
      <c r="E421">
        <v>449</v>
      </c>
      <c r="F421">
        <v>823</v>
      </c>
      <c r="G421" t="s">
        <v>3359</v>
      </c>
      <c r="H421">
        <v>6</v>
      </c>
      <c r="I421" t="s">
        <v>3542</v>
      </c>
      <c r="J421" s="2" t="str">
        <f t="shared" si="18"/>
        <v>[437]=823,</v>
      </c>
      <c r="K421" s="3">
        <f t="shared" si="19"/>
        <v>437</v>
      </c>
      <c r="L421" s="3">
        <f t="shared" si="20"/>
        <v>823</v>
      </c>
      <c r="M421" s="9" t="str">
        <f>VLOOKUP(A421,WayshrineNames!$A$3:$B$967,2,)</f>
        <v>Dungeon: Black Drake Villa</v>
      </c>
      <c r="N421" s="3" t="str">
        <f>VLOOKUP(F421,'ESO zones'!$A$5:$D$10003,4,FALSE)</f>
        <v>Gold Coast</v>
      </c>
    </row>
    <row r="422" spans="1:14" x14ac:dyDescent="0.25">
      <c r="A422" s="58">
        <v>438</v>
      </c>
      <c r="B422">
        <v>38</v>
      </c>
      <c r="C422">
        <v>1719</v>
      </c>
      <c r="D422" t="s">
        <v>3520</v>
      </c>
      <c r="E422">
        <v>744</v>
      </c>
      <c r="F422">
        <v>1160</v>
      </c>
      <c r="G422" t="s">
        <v>3520</v>
      </c>
      <c r="H422">
        <v>7</v>
      </c>
      <c r="I422" t="s">
        <v>3543</v>
      </c>
      <c r="J422" s="2" t="str">
        <f t="shared" si="18"/>
        <v>[438]=1160,</v>
      </c>
      <c r="K422" s="3">
        <f t="shared" si="19"/>
        <v>438</v>
      </c>
      <c r="L422" s="3">
        <f t="shared" si="20"/>
        <v>1160</v>
      </c>
      <c r="M422" s="9" t="str">
        <f>VLOOKUP(A422,WayshrineNames!$A$3:$B$967,2,)</f>
        <v>Snowmelt Suite</v>
      </c>
      <c r="N422" s="3" t="str">
        <f>VLOOKUP(F422,'ESO zones'!$A$5:$D$10003,4,FALSE)</f>
        <v>Western Skyrim</v>
      </c>
    </row>
    <row r="423" spans="1:14" s="39" customFormat="1" x14ac:dyDescent="0.25">
      <c r="A423" s="58">
        <v>439</v>
      </c>
      <c r="B423">
        <v>38</v>
      </c>
      <c r="C423">
        <v>1719</v>
      </c>
      <c r="D423" t="s">
        <v>3520</v>
      </c>
      <c r="E423">
        <v>744</v>
      </c>
      <c r="F423">
        <v>1160</v>
      </c>
      <c r="G423" t="s">
        <v>3520</v>
      </c>
      <c r="H423">
        <v>7</v>
      </c>
      <c r="I423" t="s">
        <v>3544</v>
      </c>
      <c r="J423" s="2" t="str">
        <f t="shared" si="18"/>
        <v>[439]=1160,</v>
      </c>
      <c r="K423" s="3">
        <f t="shared" si="19"/>
        <v>439</v>
      </c>
      <c r="L423" s="3">
        <f t="shared" si="20"/>
        <v>1160</v>
      </c>
      <c r="M423" s="9" t="str">
        <f>VLOOKUP(A423,WayshrineNames!$A$3:$B$967,2,)</f>
        <v>Proudspire Manor</v>
      </c>
      <c r="N423" s="3" t="str">
        <f>VLOOKUP(F423,'ESO zones'!$A$5:$D$10003,4,FALSE)</f>
        <v>Western Skyrim</v>
      </c>
    </row>
    <row r="424" spans="1:14" s="39" customFormat="1" x14ac:dyDescent="0.25">
      <c r="A424" s="58">
        <v>440</v>
      </c>
      <c r="B424">
        <v>40</v>
      </c>
      <c r="C424">
        <v>1782</v>
      </c>
      <c r="D424" t="s">
        <v>3515</v>
      </c>
      <c r="E424">
        <v>4294967296</v>
      </c>
      <c r="F424">
        <v>0</v>
      </c>
      <c r="G424"/>
      <c r="H424">
        <v>7</v>
      </c>
      <c r="I424" t="s">
        <v>3545</v>
      </c>
      <c r="J424" s="2" t="str">
        <f t="shared" si="18"/>
        <v>[440]=0,</v>
      </c>
      <c r="K424" s="3">
        <f t="shared" si="19"/>
        <v>440</v>
      </c>
      <c r="L424" s="3">
        <f t="shared" si="20"/>
        <v>0</v>
      </c>
      <c r="M424" s="9" t="str">
        <f>VLOOKUP(A424,WayshrineNames!$A$3:$B$967,2,)</f>
        <v>Bastion Sanguinaris</v>
      </c>
      <c r="N424" s="3" t="str">
        <f>VLOOKUP(F424,'ESO zones'!$A$5:$D$10003,4,FALSE)</f>
        <v>Tamriel Map</v>
      </c>
    </row>
    <row r="425" spans="1:14" x14ac:dyDescent="0.25">
      <c r="A425">
        <v>441</v>
      </c>
      <c r="B425">
        <v>42</v>
      </c>
      <c r="C425">
        <v>1814</v>
      </c>
      <c r="D425" t="s">
        <v>1492</v>
      </c>
      <c r="E425">
        <v>784</v>
      </c>
      <c r="F425">
        <v>1207</v>
      </c>
      <c r="G425" t="s">
        <v>1492</v>
      </c>
      <c r="H425">
        <v>1</v>
      </c>
      <c r="I425" t="s">
        <v>3546</v>
      </c>
      <c r="J425" s="2" t="str">
        <f t="shared" si="18"/>
        <v>[441]=1207,</v>
      </c>
      <c r="K425" s="3">
        <f t="shared" si="19"/>
        <v>441</v>
      </c>
      <c r="L425" s="3">
        <f t="shared" si="20"/>
        <v>1207</v>
      </c>
      <c r="M425" s="9" t="str">
        <f>VLOOKUP(A425,WayshrineNames!$A$3:$B$967,2,)</f>
        <v>Briar Rock Wayshrine</v>
      </c>
      <c r="N425" s="3" t="str">
        <f>VLOOKUP(F425,'ESO zones'!$A$5:$D$10003,4,FALSE)</f>
        <v>The Reach</v>
      </c>
    </row>
    <row r="426" spans="1:14" x14ac:dyDescent="0.25">
      <c r="A426">
        <v>442</v>
      </c>
      <c r="B426">
        <v>42</v>
      </c>
      <c r="C426">
        <v>1814</v>
      </c>
      <c r="D426" t="s">
        <v>1492</v>
      </c>
      <c r="E426">
        <v>784</v>
      </c>
      <c r="F426">
        <v>1207</v>
      </c>
      <c r="G426" t="s">
        <v>1492</v>
      </c>
      <c r="H426">
        <v>1</v>
      </c>
      <c r="I426" t="s">
        <v>3547</v>
      </c>
      <c r="J426" s="2" t="str">
        <f t="shared" si="18"/>
        <v>[442]=1207,</v>
      </c>
      <c r="K426" s="3">
        <f t="shared" si="19"/>
        <v>442</v>
      </c>
      <c r="L426" s="3">
        <f t="shared" si="20"/>
        <v>1207</v>
      </c>
      <c r="M426" s="9" t="str">
        <f>VLOOKUP(A426,WayshrineNames!$A$3:$B$967,2,)</f>
        <v>Druadach Mountains Wayshrine</v>
      </c>
      <c r="N426" s="3" t="str">
        <f>VLOOKUP(F426,'ESO zones'!$A$5:$D$10003,4,FALSE)</f>
        <v>The Reach</v>
      </c>
    </row>
    <row r="427" spans="1:14" x14ac:dyDescent="0.25">
      <c r="A427">
        <v>443</v>
      </c>
      <c r="B427">
        <v>42</v>
      </c>
      <c r="C427">
        <v>1814</v>
      </c>
      <c r="D427" t="s">
        <v>1492</v>
      </c>
      <c r="E427">
        <v>784</v>
      </c>
      <c r="F427">
        <v>1207</v>
      </c>
      <c r="G427" t="s">
        <v>1492</v>
      </c>
      <c r="H427">
        <v>1</v>
      </c>
      <c r="I427" t="s">
        <v>3548</v>
      </c>
      <c r="J427" s="2" t="str">
        <f t="shared" si="18"/>
        <v>[443]=1207,</v>
      </c>
      <c r="K427" s="3">
        <f t="shared" si="19"/>
        <v>443</v>
      </c>
      <c r="L427" s="3">
        <f t="shared" si="20"/>
        <v>1207</v>
      </c>
      <c r="M427" s="9" t="str">
        <f>VLOOKUP(A427,WayshrineNames!$A$3:$B$967,2,)</f>
        <v>North Markarth Wayshrine</v>
      </c>
      <c r="N427" s="3" t="str">
        <f>VLOOKUP(F427,'ESO zones'!$A$5:$D$10003,4,FALSE)</f>
        <v>The Reach</v>
      </c>
    </row>
    <row r="428" spans="1:14" x14ac:dyDescent="0.25">
      <c r="A428">
        <v>444</v>
      </c>
      <c r="B428">
        <v>42</v>
      </c>
      <c r="C428">
        <v>1814</v>
      </c>
      <c r="D428" t="s">
        <v>1492</v>
      </c>
      <c r="E428">
        <v>784</v>
      </c>
      <c r="F428">
        <v>1207</v>
      </c>
      <c r="G428" t="s">
        <v>1492</v>
      </c>
      <c r="H428">
        <v>1</v>
      </c>
      <c r="I428" t="s">
        <v>3549</v>
      </c>
      <c r="J428" s="2" t="str">
        <f t="shared" si="18"/>
        <v>[444]=1207,</v>
      </c>
      <c r="K428" s="3">
        <f t="shared" si="19"/>
        <v>444</v>
      </c>
      <c r="L428" s="3">
        <f t="shared" si="20"/>
        <v>1207</v>
      </c>
      <c r="M428" s="9" t="str">
        <f>VLOOKUP(A428,WayshrineNames!$A$3:$B$967,2,)</f>
        <v>Lost Valley Wayshrine</v>
      </c>
      <c r="N428" s="3" t="str">
        <f>VLOOKUP(F428,'ESO zones'!$A$5:$D$10003,4,FALSE)</f>
        <v>The Reach</v>
      </c>
    </row>
    <row r="429" spans="1:14" x14ac:dyDescent="0.25">
      <c r="A429">
        <v>445</v>
      </c>
      <c r="B429">
        <v>42</v>
      </c>
      <c r="C429">
        <v>1814</v>
      </c>
      <c r="D429" t="s">
        <v>1492</v>
      </c>
      <c r="E429">
        <v>784</v>
      </c>
      <c r="F429">
        <v>1207</v>
      </c>
      <c r="G429" t="s">
        <v>1492</v>
      </c>
      <c r="H429">
        <v>1</v>
      </c>
      <c r="I429" t="s">
        <v>3550</v>
      </c>
      <c r="J429" s="2" t="str">
        <f t="shared" si="18"/>
        <v>[445]=1207,</v>
      </c>
      <c r="K429" s="3">
        <f t="shared" si="19"/>
        <v>445</v>
      </c>
      <c r="L429" s="3">
        <f t="shared" si="20"/>
        <v>1207</v>
      </c>
      <c r="M429" s="9" t="str">
        <f>VLOOKUP(A429,WayshrineNames!$A$3:$B$967,2,)</f>
        <v>Karthwasten Wayshrine</v>
      </c>
      <c r="N429" s="3" t="str">
        <f>VLOOKUP(F429,'ESO zones'!$A$5:$D$10003,4,FALSE)</f>
        <v>The Reach</v>
      </c>
    </row>
    <row r="430" spans="1:14" x14ac:dyDescent="0.25">
      <c r="A430" s="58">
        <v>446</v>
      </c>
      <c r="B430">
        <v>40</v>
      </c>
      <c r="C430">
        <v>1782</v>
      </c>
      <c r="D430" t="s">
        <v>3515</v>
      </c>
      <c r="E430">
        <v>4294967296</v>
      </c>
      <c r="F430">
        <v>0</v>
      </c>
      <c r="H430">
        <v>1</v>
      </c>
      <c r="I430" t="s">
        <v>3551</v>
      </c>
      <c r="J430" s="2" t="str">
        <f t="shared" si="18"/>
        <v>[446]=0,</v>
      </c>
      <c r="K430" s="3">
        <f t="shared" si="19"/>
        <v>446</v>
      </c>
      <c r="L430" s="3">
        <f t="shared" si="20"/>
        <v>0</v>
      </c>
      <c r="M430" s="9" t="str">
        <f>VLOOKUP(A430,WayshrineNames!$A$3:$B$967,2,)</f>
        <v>Arkthzand Wayshrine</v>
      </c>
      <c r="N430" s="3" t="str">
        <f>VLOOKUP(F430,'ESO zones'!$A$5:$D$10003,4,FALSE)</f>
        <v>Tamriel Map</v>
      </c>
    </row>
    <row r="431" spans="1:14" x14ac:dyDescent="0.25">
      <c r="A431">
        <v>447</v>
      </c>
      <c r="B431">
        <v>42</v>
      </c>
      <c r="C431">
        <v>1814</v>
      </c>
      <c r="D431" t="s">
        <v>1492</v>
      </c>
      <c r="E431">
        <v>784</v>
      </c>
      <c r="F431">
        <v>1207</v>
      </c>
      <c r="G431" t="s">
        <v>1492</v>
      </c>
      <c r="H431">
        <v>1</v>
      </c>
      <c r="I431" t="s">
        <v>3552</v>
      </c>
      <c r="J431" s="2" t="str">
        <f t="shared" si="18"/>
        <v>[447]=1207,</v>
      </c>
      <c r="K431" s="3">
        <f t="shared" si="19"/>
        <v>447</v>
      </c>
      <c r="L431" s="3">
        <f t="shared" si="20"/>
        <v>1207</v>
      </c>
      <c r="M431" s="9" t="str">
        <f>VLOOKUP(A431,WayshrineNames!$A$3:$B$967,2,)</f>
        <v>Rebel's Retreat Wayshrine</v>
      </c>
      <c r="N431" s="3" t="str">
        <f>VLOOKUP(F431,'ESO zones'!$A$5:$D$10003,4,FALSE)</f>
        <v>The Reach</v>
      </c>
    </row>
    <row r="432" spans="1:14" x14ac:dyDescent="0.25">
      <c r="A432" s="58">
        <v>448</v>
      </c>
      <c r="B432">
        <v>40</v>
      </c>
      <c r="C432">
        <v>1782</v>
      </c>
      <c r="D432" t="s">
        <v>3515</v>
      </c>
      <c r="E432">
        <v>4294967296</v>
      </c>
      <c r="F432">
        <v>0</v>
      </c>
      <c r="H432">
        <v>1</v>
      </c>
      <c r="I432" t="s">
        <v>3553</v>
      </c>
      <c r="J432" s="2" t="str">
        <f t="shared" si="18"/>
        <v>[448]=0,</v>
      </c>
      <c r="K432" s="3">
        <f t="shared" si="19"/>
        <v>448</v>
      </c>
      <c r="L432" s="3">
        <f t="shared" si="20"/>
        <v>0</v>
      </c>
      <c r="M432" s="9" t="str">
        <f>VLOOKUP(A432,WayshrineNames!$A$3:$B$967,2,)</f>
        <v>Nighthollow Wayshrine</v>
      </c>
      <c r="N432" s="3" t="str">
        <f>VLOOKUP(F432,'ESO zones'!$A$5:$D$10003,4,FALSE)</f>
        <v>Tamriel Map</v>
      </c>
    </row>
    <row r="433" spans="1:14" x14ac:dyDescent="0.25">
      <c r="A433">
        <v>449</v>
      </c>
      <c r="B433">
        <v>42</v>
      </c>
      <c r="C433">
        <v>1814</v>
      </c>
      <c r="D433" t="s">
        <v>1492</v>
      </c>
      <c r="E433">
        <v>784</v>
      </c>
      <c r="F433">
        <v>1207</v>
      </c>
      <c r="G433" t="s">
        <v>1492</v>
      </c>
      <c r="H433">
        <v>1</v>
      </c>
      <c r="I433" t="s">
        <v>3554</v>
      </c>
      <c r="J433" s="2" t="str">
        <f t="shared" si="18"/>
        <v>[449]=1207,</v>
      </c>
      <c r="K433" s="3">
        <f t="shared" si="19"/>
        <v>449</v>
      </c>
      <c r="L433" s="3">
        <f t="shared" si="20"/>
        <v>1207</v>
      </c>
      <c r="M433" s="9" t="str">
        <f>VLOOKUP(A433,WayshrineNames!$A$3:$B$967,2,)</f>
        <v>Markarth Wayshrine</v>
      </c>
      <c r="N433" s="3" t="str">
        <f>VLOOKUP(F433,'ESO zones'!$A$5:$D$10003,4,FALSE)</f>
        <v>The Reach</v>
      </c>
    </row>
    <row r="434" spans="1:14" x14ac:dyDescent="0.25">
      <c r="A434" s="58">
        <v>450</v>
      </c>
      <c r="B434">
        <v>38</v>
      </c>
      <c r="C434">
        <v>1719</v>
      </c>
      <c r="D434" t="s">
        <v>3520</v>
      </c>
      <c r="E434">
        <v>744</v>
      </c>
      <c r="F434">
        <v>1160</v>
      </c>
      <c r="G434" t="s">
        <v>3520</v>
      </c>
      <c r="H434">
        <v>1</v>
      </c>
      <c r="I434" t="s">
        <v>3555</v>
      </c>
      <c r="J434" s="2" t="str">
        <f t="shared" si="18"/>
        <v>[450]=1160,</v>
      </c>
      <c r="K434" s="3">
        <f t="shared" si="19"/>
        <v>450</v>
      </c>
      <c r="L434" s="3">
        <f t="shared" si="20"/>
        <v>1160</v>
      </c>
      <c r="M434" s="9" t="str">
        <f>VLOOKUP(A434,WayshrineNames!$A$3:$B$967,2,)</f>
        <v>Giant's Coast Wayshrine</v>
      </c>
      <c r="N434" s="3" t="str">
        <f>VLOOKUP(F434,'ESO zones'!$A$5:$D$10003,4,FALSE)</f>
        <v>Western Skyrim</v>
      </c>
    </row>
    <row r="435" spans="1:14" x14ac:dyDescent="0.25">
      <c r="A435" s="58">
        <v>451</v>
      </c>
      <c r="B435">
        <v>38</v>
      </c>
      <c r="C435">
        <v>1719</v>
      </c>
      <c r="D435" t="s">
        <v>3520</v>
      </c>
      <c r="E435">
        <v>744</v>
      </c>
      <c r="F435">
        <v>1160</v>
      </c>
      <c r="G435" t="s">
        <v>3520</v>
      </c>
      <c r="H435">
        <v>1</v>
      </c>
      <c r="I435" t="s">
        <v>3556</v>
      </c>
      <c r="J435" s="2" t="str">
        <f t="shared" si="18"/>
        <v>[451]=1160,</v>
      </c>
      <c r="K435" s="3">
        <f t="shared" si="19"/>
        <v>451</v>
      </c>
      <c r="L435" s="3">
        <f t="shared" si="20"/>
        <v>1160</v>
      </c>
      <c r="M435" s="9" t="str">
        <f>VLOOKUP(A435,WayshrineNames!$A$3:$B$967,2,)</f>
        <v>Northern Watch Wayshrine</v>
      </c>
      <c r="N435" s="3" t="str">
        <f>VLOOKUP(F435,'ESO zones'!$A$5:$D$10003,4,FALSE)</f>
        <v>Western Skyrim</v>
      </c>
    </row>
    <row r="436" spans="1:14" x14ac:dyDescent="0.25">
      <c r="A436" s="58">
        <v>452</v>
      </c>
      <c r="B436">
        <v>38</v>
      </c>
      <c r="C436">
        <v>1719</v>
      </c>
      <c r="D436" t="s">
        <v>3520</v>
      </c>
      <c r="E436">
        <v>744</v>
      </c>
      <c r="F436">
        <v>1160</v>
      </c>
      <c r="G436" t="s">
        <v>3520</v>
      </c>
      <c r="H436">
        <v>7</v>
      </c>
      <c r="I436" t="s">
        <v>3557</v>
      </c>
      <c r="J436" s="2" t="str">
        <f t="shared" si="18"/>
        <v>[452]=1160,</v>
      </c>
      <c r="K436" s="3">
        <f t="shared" si="19"/>
        <v>452</v>
      </c>
      <c r="L436" s="3">
        <f t="shared" si="20"/>
        <v>1160</v>
      </c>
      <c r="M436" s="9" t="str">
        <f>VLOOKUP(A436,WayshrineNames!$A$3:$B$967,2,)</f>
        <v>Antiquarian's Alpine Gallery</v>
      </c>
      <c r="N436" s="3" t="str">
        <f>VLOOKUP(F436,'ESO zones'!$A$5:$D$10003,4,FALSE)</f>
        <v>Western Skyrim</v>
      </c>
    </row>
    <row r="437" spans="1:14" x14ac:dyDescent="0.25">
      <c r="A437" s="58">
        <v>453</v>
      </c>
      <c r="B437">
        <v>38</v>
      </c>
      <c r="C437">
        <v>1719</v>
      </c>
      <c r="D437" t="s">
        <v>3520</v>
      </c>
      <c r="E437">
        <v>744</v>
      </c>
      <c r="F437">
        <v>1160</v>
      </c>
      <c r="G437" t="s">
        <v>3520</v>
      </c>
      <c r="H437">
        <v>7</v>
      </c>
      <c r="I437" t="s">
        <v>3558</v>
      </c>
      <c r="J437" s="2" t="str">
        <f t="shared" si="18"/>
        <v>[453]=1160,</v>
      </c>
      <c r="K437" s="3">
        <f t="shared" si="19"/>
        <v>453</v>
      </c>
      <c r="L437" s="3">
        <f t="shared" si="20"/>
        <v>1160</v>
      </c>
      <c r="M437" s="9" t="str">
        <f>VLOOKUP(A437,WayshrineNames!$A$3:$B$967,2,)</f>
        <v>Stillwaters Retreat</v>
      </c>
      <c r="N437" s="3" t="str">
        <f>VLOOKUP(F437,'ESO zones'!$A$5:$D$10003,4,FALSE)</f>
        <v>Western Skyrim</v>
      </c>
    </row>
    <row r="438" spans="1:14" x14ac:dyDescent="0.25">
      <c r="A438" s="58">
        <v>454</v>
      </c>
      <c r="B438">
        <v>10</v>
      </c>
      <c r="C438">
        <v>13</v>
      </c>
      <c r="D438" t="s">
        <v>436</v>
      </c>
      <c r="E438">
        <v>10</v>
      </c>
      <c r="F438">
        <v>57</v>
      </c>
      <c r="G438" t="s">
        <v>436</v>
      </c>
      <c r="H438">
        <v>6</v>
      </c>
      <c r="I438" t="s">
        <v>3559</v>
      </c>
      <c r="J438" s="2" t="str">
        <f t="shared" si="18"/>
        <v>[454]=57,</v>
      </c>
      <c r="K438" s="3">
        <f t="shared" si="19"/>
        <v>454</v>
      </c>
      <c r="L438" s="3">
        <f t="shared" si="20"/>
        <v>57</v>
      </c>
      <c r="M438" s="9" t="str">
        <f>VLOOKUP(A438,WayshrineNames!$A$3:$B$967,2,)</f>
        <v>Dungeon: The Cauldron</v>
      </c>
      <c r="N438" s="3" t="str">
        <f>VLOOKUP(F438,'ESO zones'!$A$5:$D$10003,4,FALSE)</f>
        <v>Deshaan</v>
      </c>
    </row>
    <row r="439" spans="1:14" x14ac:dyDescent="0.25">
      <c r="A439" s="58">
        <v>455</v>
      </c>
      <c r="B439">
        <v>38</v>
      </c>
      <c r="C439">
        <v>1719</v>
      </c>
      <c r="D439" t="s">
        <v>3520</v>
      </c>
      <c r="E439">
        <v>744</v>
      </c>
      <c r="F439">
        <v>1160</v>
      </c>
      <c r="G439" t="s">
        <v>3520</v>
      </c>
      <c r="H439">
        <v>7</v>
      </c>
      <c r="I439" t="s">
        <v>3560</v>
      </c>
      <c r="J439" s="2" t="str">
        <f t="shared" si="18"/>
        <v>[455]=1160,</v>
      </c>
      <c r="K439" s="3">
        <f t="shared" si="19"/>
        <v>455</v>
      </c>
      <c r="L439" s="3">
        <f t="shared" si="20"/>
        <v>1160</v>
      </c>
      <c r="M439" s="9" t="str">
        <f>VLOOKUP(A439,WayshrineNames!$A$3:$B$967,2,)</f>
        <v>Shalidor's Shrouded Realm</v>
      </c>
      <c r="N439" s="3" t="str">
        <f>VLOOKUP(F439,'ESO zones'!$A$5:$D$10003,4,FALSE)</f>
        <v>Western Skyrim</v>
      </c>
    </row>
    <row r="440" spans="1:14" x14ac:dyDescent="0.25">
      <c r="A440">
        <v>456</v>
      </c>
      <c r="B440">
        <v>42</v>
      </c>
      <c r="C440">
        <v>1814</v>
      </c>
      <c r="D440" t="s">
        <v>1492</v>
      </c>
      <c r="E440">
        <v>784</v>
      </c>
      <c r="F440">
        <v>1207</v>
      </c>
      <c r="G440" t="s">
        <v>1492</v>
      </c>
      <c r="H440">
        <v>7</v>
      </c>
      <c r="I440" t="s">
        <v>2894</v>
      </c>
      <c r="J440" s="2" t="str">
        <f t="shared" si="18"/>
        <v>[456]=1207,</v>
      </c>
      <c r="K440" s="3">
        <f t="shared" si="19"/>
        <v>456</v>
      </c>
      <c r="L440" s="3">
        <f t="shared" si="20"/>
        <v>1207</v>
      </c>
      <c r="M440" s="9" t="str">
        <f>VLOOKUP(A440,WayshrineNames!$A$3:$B$967,2,)</f>
        <v>Stone Eagle Aerie</v>
      </c>
      <c r="N440" s="3" t="str">
        <f>VLOOKUP(F440,'ESO zones'!$A$5:$D$10003,4,FALSE)</f>
        <v>The Reach</v>
      </c>
    </row>
    <row r="441" spans="1:14" x14ac:dyDescent="0.25">
      <c r="A441">
        <v>457</v>
      </c>
      <c r="B441">
        <v>42</v>
      </c>
      <c r="C441">
        <v>1814</v>
      </c>
      <c r="D441" t="s">
        <v>1492</v>
      </c>
      <c r="E441">
        <v>784</v>
      </c>
      <c r="F441">
        <v>1207</v>
      </c>
      <c r="G441" t="s">
        <v>1492</v>
      </c>
      <c r="H441">
        <v>0</v>
      </c>
      <c r="I441" t="s">
        <v>1511</v>
      </c>
      <c r="J441" s="2" t="str">
        <f t="shared" si="18"/>
        <v>[457]=1207,</v>
      </c>
      <c r="K441" s="3">
        <f t="shared" si="19"/>
        <v>457</v>
      </c>
      <c r="L441" s="3">
        <f t="shared" si="20"/>
        <v>1207</v>
      </c>
      <c r="M441" s="9" t="str">
        <f>VLOOKUP(A441,WayshrineNames!$A$3:$B$967,2,)</f>
        <v>Vateshran Hollows</v>
      </c>
      <c r="N441" s="3" t="str">
        <f>VLOOKUP(F441,'ESO zones'!$A$5:$D$10003,4,FALSE)</f>
        <v>The Reach</v>
      </c>
    </row>
    <row r="442" spans="1:14" x14ac:dyDescent="0.25">
      <c r="A442" s="58">
        <v>458</v>
      </c>
      <c r="B442">
        <v>43</v>
      </c>
      <c r="C442">
        <v>1887</v>
      </c>
      <c r="D442" t="s">
        <v>3561</v>
      </c>
      <c r="E442">
        <v>835</v>
      </c>
      <c r="F442">
        <v>1261</v>
      </c>
      <c r="G442" t="s">
        <v>3561</v>
      </c>
      <c r="H442">
        <v>1</v>
      </c>
      <c r="I442" t="s">
        <v>3562</v>
      </c>
      <c r="J442" s="2" t="str">
        <f t="shared" si="18"/>
        <v>[458]=1261,</v>
      </c>
      <c r="K442" s="3">
        <f t="shared" si="19"/>
        <v>458</v>
      </c>
      <c r="L442" s="3">
        <f t="shared" si="20"/>
        <v>1261</v>
      </c>
      <c r="M442" s="9" t="str">
        <f>VLOOKUP(A442,WayshrineNames!$A$3:$B$967,2,)</f>
        <v>Leyawiin Wayshrine</v>
      </c>
      <c r="N442" s="3" t="str">
        <f>VLOOKUP(F442,'ESO zones'!$A$5:$D$10003,4,FALSE)</f>
        <v>Blackwood</v>
      </c>
    </row>
    <row r="443" spans="1:14" x14ac:dyDescent="0.25">
      <c r="A443" s="58">
        <v>459</v>
      </c>
      <c r="B443">
        <v>43</v>
      </c>
      <c r="C443">
        <v>1887</v>
      </c>
      <c r="D443" t="s">
        <v>3561</v>
      </c>
      <c r="E443">
        <v>835</v>
      </c>
      <c r="F443">
        <v>1261</v>
      </c>
      <c r="G443" t="s">
        <v>3561</v>
      </c>
      <c r="H443">
        <v>1</v>
      </c>
      <c r="I443" t="s">
        <v>3563</v>
      </c>
      <c r="J443" s="2" t="str">
        <f t="shared" si="18"/>
        <v>[459]=1261,</v>
      </c>
      <c r="K443" s="3">
        <f t="shared" si="19"/>
        <v>459</v>
      </c>
      <c r="L443" s="3">
        <f t="shared" si="20"/>
        <v>1261</v>
      </c>
      <c r="M443" s="9" t="str">
        <f>VLOOKUP(A443,WayshrineNames!$A$3:$B$967,2,)</f>
        <v>Gideon Wayshrine</v>
      </c>
      <c r="N443" s="3" t="str">
        <f>VLOOKUP(F443,'ESO zones'!$A$5:$D$10003,4,FALSE)</f>
        <v>Blackwood</v>
      </c>
    </row>
    <row r="444" spans="1:14" x14ac:dyDescent="0.25">
      <c r="A444" s="58">
        <v>460</v>
      </c>
      <c r="B444">
        <v>43</v>
      </c>
      <c r="C444">
        <v>1887</v>
      </c>
      <c r="D444" t="s">
        <v>3561</v>
      </c>
      <c r="E444">
        <v>835</v>
      </c>
      <c r="F444">
        <v>1261</v>
      </c>
      <c r="G444" t="s">
        <v>3561</v>
      </c>
      <c r="H444">
        <v>1</v>
      </c>
      <c r="I444" t="s">
        <v>3564</v>
      </c>
      <c r="J444" s="2" t="str">
        <f t="shared" si="18"/>
        <v>[460]=1261,</v>
      </c>
      <c r="K444" s="3">
        <f t="shared" si="19"/>
        <v>460</v>
      </c>
      <c r="L444" s="3">
        <f t="shared" si="20"/>
        <v>1261</v>
      </c>
      <c r="M444" s="9" t="str">
        <f>VLOOKUP(A444,WayshrineNames!$A$3:$B$967,2,)</f>
        <v>Borderwatch Wayshrine</v>
      </c>
      <c r="N444" s="3" t="str">
        <f>VLOOKUP(F444,'ESO zones'!$A$5:$D$10003,4,FALSE)</f>
        <v>Blackwood</v>
      </c>
    </row>
    <row r="445" spans="1:14" x14ac:dyDescent="0.25">
      <c r="A445" s="58">
        <v>461</v>
      </c>
      <c r="B445">
        <v>43</v>
      </c>
      <c r="C445">
        <v>1887</v>
      </c>
      <c r="D445" t="s">
        <v>3561</v>
      </c>
      <c r="E445">
        <v>835</v>
      </c>
      <c r="F445">
        <v>1261</v>
      </c>
      <c r="G445" t="s">
        <v>3561</v>
      </c>
      <c r="H445">
        <v>1</v>
      </c>
      <c r="I445" t="s">
        <v>3565</v>
      </c>
      <c r="J445" s="2" t="str">
        <f t="shared" si="18"/>
        <v>[461]=1261,</v>
      </c>
      <c r="K445" s="3">
        <f t="shared" si="19"/>
        <v>461</v>
      </c>
      <c r="L445" s="3">
        <f t="shared" si="20"/>
        <v>1261</v>
      </c>
      <c r="M445" s="9" t="str">
        <f>VLOOKUP(A445,WayshrineNames!$A$3:$B$967,2,)</f>
        <v>Fort Redmane Wayshrine</v>
      </c>
      <c r="N445" s="3" t="str">
        <f>VLOOKUP(F445,'ESO zones'!$A$5:$D$10003,4,FALSE)</f>
        <v>Blackwood</v>
      </c>
    </row>
    <row r="446" spans="1:14" x14ac:dyDescent="0.25">
      <c r="A446" s="58">
        <v>462</v>
      </c>
      <c r="B446">
        <v>43</v>
      </c>
      <c r="C446">
        <v>1887</v>
      </c>
      <c r="D446" t="s">
        <v>3561</v>
      </c>
      <c r="E446">
        <v>835</v>
      </c>
      <c r="F446">
        <v>1261</v>
      </c>
      <c r="G446" t="s">
        <v>3561</v>
      </c>
      <c r="H446">
        <v>1</v>
      </c>
      <c r="I446" t="s">
        <v>3566</v>
      </c>
      <c r="J446" s="2" t="str">
        <f t="shared" si="18"/>
        <v>[462]=1261,</v>
      </c>
      <c r="K446" s="3">
        <f t="shared" si="19"/>
        <v>462</v>
      </c>
      <c r="L446" s="3">
        <f t="shared" si="20"/>
        <v>1261</v>
      </c>
      <c r="M446" s="9" t="str">
        <f>VLOOKUP(A446,WayshrineNames!$A$3:$B$967,2,)</f>
        <v>Bloodrun Wayshrine</v>
      </c>
      <c r="N446" s="3" t="str">
        <f>VLOOKUP(F446,'ESO zones'!$A$5:$D$10003,4,FALSE)</f>
        <v>Blackwood</v>
      </c>
    </row>
    <row r="447" spans="1:14" x14ac:dyDescent="0.25">
      <c r="A447" s="58">
        <v>463</v>
      </c>
      <c r="B447">
        <v>43</v>
      </c>
      <c r="C447">
        <v>1887</v>
      </c>
      <c r="D447" t="s">
        <v>3561</v>
      </c>
      <c r="E447">
        <v>835</v>
      </c>
      <c r="F447">
        <v>1261</v>
      </c>
      <c r="G447" t="s">
        <v>3561</v>
      </c>
      <c r="H447">
        <v>1</v>
      </c>
      <c r="I447" t="s">
        <v>3567</v>
      </c>
      <c r="J447" s="2" t="str">
        <f t="shared" si="18"/>
        <v>[463]=1261,</v>
      </c>
      <c r="K447" s="3">
        <f t="shared" si="19"/>
        <v>463</v>
      </c>
      <c r="L447" s="3">
        <f t="shared" si="20"/>
        <v>1261</v>
      </c>
      <c r="M447" s="9" t="str">
        <f>VLOOKUP(A447,WayshrineNames!$A$3:$B$967,2,)</f>
        <v>Blueblood Wayshrine</v>
      </c>
      <c r="N447" s="3" t="str">
        <f>VLOOKUP(F447,'ESO zones'!$A$5:$D$10003,4,FALSE)</f>
        <v>Blackwood</v>
      </c>
    </row>
    <row r="448" spans="1:14" x14ac:dyDescent="0.25">
      <c r="A448" s="58">
        <v>464</v>
      </c>
      <c r="B448">
        <v>43</v>
      </c>
      <c r="C448">
        <v>1887</v>
      </c>
      <c r="D448" t="s">
        <v>3561</v>
      </c>
      <c r="E448">
        <v>835</v>
      </c>
      <c r="F448">
        <v>1261</v>
      </c>
      <c r="G448" t="s">
        <v>3561</v>
      </c>
      <c r="H448">
        <v>1</v>
      </c>
      <c r="I448" t="s">
        <v>3568</v>
      </c>
      <c r="J448" s="2" t="str">
        <f t="shared" si="18"/>
        <v>[464]=1261,</v>
      </c>
      <c r="K448" s="3">
        <f t="shared" si="19"/>
        <v>464</v>
      </c>
      <c r="L448" s="3">
        <f t="shared" si="20"/>
        <v>1261</v>
      </c>
      <c r="M448" s="9" t="str">
        <f>VLOOKUP(A448,WayshrineNames!$A$3:$B$967,2,)</f>
        <v>Stonewastes Wayshrine</v>
      </c>
      <c r="N448" s="3" t="str">
        <f>VLOOKUP(F448,'ESO zones'!$A$5:$D$10003,4,FALSE)</f>
        <v>Blackwood</v>
      </c>
    </row>
    <row r="449" spans="1:14" x14ac:dyDescent="0.25">
      <c r="A449" s="58">
        <v>465</v>
      </c>
      <c r="B449">
        <v>30</v>
      </c>
      <c r="C449">
        <v>1060</v>
      </c>
      <c r="D449" t="s">
        <v>1037</v>
      </c>
      <c r="E449">
        <v>468</v>
      </c>
      <c r="F449">
        <v>849</v>
      </c>
      <c r="G449" t="s">
        <v>1037</v>
      </c>
      <c r="H449">
        <v>7</v>
      </c>
      <c r="I449" t="s">
        <v>3569</v>
      </c>
      <c r="J449" s="2" t="str">
        <f t="shared" si="18"/>
        <v>[465]=849,</v>
      </c>
      <c r="K449" s="3">
        <f t="shared" si="19"/>
        <v>465</v>
      </c>
      <c r="L449" s="3">
        <f t="shared" si="20"/>
        <v>849</v>
      </c>
      <c r="M449" s="9" t="str">
        <f>VLOOKUP(A449,WayshrineNames!$A$3:$B$967,2,)</f>
        <v>Kushalit Sanctuary</v>
      </c>
      <c r="N449" s="3" t="str">
        <f>VLOOKUP(F449,'ESO zones'!$A$5:$D$10003,4,FALSE)</f>
        <v>Vvardenfell</v>
      </c>
    </row>
    <row r="450" spans="1:14" x14ac:dyDescent="0.25">
      <c r="A450" s="58">
        <v>466</v>
      </c>
      <c r="B450">
        <v>29</v>
      </c>
      <c r="C450">
        <v>1006</v>
      </c>
      <c r="D450" t="s">
        <v>3358</v>
      </c>
      <c r="E450">
        <v>449</v>
      </c>
      <c r="F450">
        <v>823</v>
      </c>
      <c r="G450" t="s">
        <v>3359</v>
      </c>
      <c r="H450">
        <v>7</v>
      </c>
      <c r="I450" t="s">
        <v>3570</v>
      </c>
      <c r="J450" s="2" t="str">
        <f t="shared" si="18"/>
        <v>[466]=823,</v>
      </c>
      <c r="K450" s="3">
        <f t="shared" si="19"/>
        <v>466</v>
      </c>
      <c r="L450" s="3">
        <f t="shared" si="20"/>
        <v>823</v>
      </c>
      <c r="M450" s="9" t="str">
        <f>VLOOKUP(A450,WayshrineNames!$A$3:$B$967,2,)</f>
        <v>Varlaisvea Ayleid Ruins</v>
      </c>
      <c r="N450" s="3" t="str">
        <f>VLOOKUP(F450,'ESO zones'!$A$5:$D$10003,4,FALSE)</f>
        <v>Gold Coast</v>
      </c>
    </row>
    <row r="451" spans="1:14" x14ac:dyDescent="0.25">
      <c r="A451" s="58">
        <v>467</v>
      </c>
      <c r="B451">
        <v>43</v>
      </c>
      <c r="C451">
        <v>1887</v>
      </c>
      <c r="D451" t="s">
        <v>3561</v>
      </c>
      <c r="E451">
        <v>835</v>
      </c>
      <c r="F451">
        <v>1261</v>
      </c>
      <c r="G451" t="s">
        <v>3561</v>
      </c>
      <c r="H451">
        <v>1</v>
      </c>
      <c r="I451" t="s">
        <v>3571</v>
      </c>
      <c r="J451" s="2" t="str">
        <f t="shared" ref="J451:J514" si="21">IF(A451&lt;&gt;"",IF(F451&lt;&gt;"",IF(OR(ISNA(A451),ISNA(F451)),"","["&amp;A451&amp;"]="&amp;F451&amp;","),""),"")</f>
        <v>[467]=1261,</v>
      </c>
      <c r="K451" s="3">
        <f t="shared" ref="K451:K514" si="22">A451</f>
        <v>467</v>
      </c>
      <c r="L451" s="3">
        <f t="shared" ref="L451:L514" si="23">F451</f>
        <v>1261</v>
      </c>
      <c r="M451" s="9" t="str">
        <f>VLOOKUP(A451,WayshrineNames!$A$3:$B$967,2,)</f>
        <v>Leyawiin Outskirts Wayshrine</v>
      </c>
      <c r="N451" s="3" t="str">
        <f>VLOOKUP(F451,'ESO zones'!$A$5:$D$10003,4,FALSE)</f>
        <v>Blackwood</v>
      </c>
    </row>
    <row r="452" spans="1:14" x14ac:dyDescent="0.25">
      <c r="A452" s="58">
        <v>468</v>
      </c>
      <c r="B452">
        <v>43</v>
      </c>
      <c r="C452">
        <v>1887</v>
      </c>
      <c r="D452" t="s">
        <v>3561</v>
      </c>
      <c r="E452">
        <v>835</v>
      </c>
      <c r="F452">
        <v>1261</v>
      </c>
      <c r="G452" t="s">
        <v>3561</v>
      </c>
      <c r="H452">
        <v>3</v>
      </c>
      <c r="I452" t="s">
        <v>3572</v>
      </c>
      <c r="J452" s="2" t="str">
        <f t="shared" si="21"/>
        <v>[468]=1261,</v>
      </c>
      <c r="K452" s="3">
        <f t="shared" si="22"/>
        <v>468</v>
      </c>
      <c r="L452" s="3">
        <f t="shared" si="23"/>
        <v>1261</v>
      </c>
      <c r="M452" s="9" t="str">
        <f>VLOOKUP(A452,WayshrineNames!$A$3:$B$967,2,)</f>
        <v>Trial: Rockgrove</v>
      </c>
      <c r="N452" s="3" t="str">
        <f>VLOOKUP(F452,'ESO zones'!$A$5:$D$10003,4,FALSE)</f>
        <v>Blackwood</v>
      </c>
    </row>
    <row r="453" spans="1:14" x14ac:dyDescent="0.25">
      <c r="A453" s="58">
        <v>469</v>
      </c>
      <c r="B453">
        <v>43</v>
      </c>
      <c r="C453">
        <v>1887</v>
      </c>
      <c r="D453" t="s">
        <v>3561</v>
      </c>
      <c r="E453">
        <v>835</v>
      </c>
      <c r="F453">
        <v>1261</v>
      </c>
      <c r="G453" t="s">
        <v>3561</v>
      </c>
      <c r="H453">
        <v>6</v>
      </c>
      <c r="I453" t="s">
        <v>3573</v>
      </c>
      <c r="J453" s="2" t="str">
        <f t="shared" si="21"/>
        <v>[469]=1261,</v>
      </c>
      <c r="K453" s="3">
        <f t="shared" si="22"/>
        <v>469</v>
      </c>
      <c r="L453" s="3">
        <f t="shared" si="23"/>
        <v>1261</v>
      </c>
      <c r="M453" s="9" t="str">
        <f>VLOOKUP(A453,WayshrineNames!$A$3:$B$967,2,)</f>
        <v>Dungeon: The Dread Cellar</v>
      </c>
      <c r="N453" s="3" t="str">
        <f>VLOOKUP(F453,'ESO zones'!$A$5:$D$10003,4,FALSE)</f>
        <v>Blackwood</v>
      </c>
    </row>
    <row r="454" spans="1:14" x14ac:dyDescent="0.25">
      <c r="A454" s="58">
        <v>470</v>
      </c>
      <c r="B454">
        <v>2</v>
      </c>
      <c r="C454">
        <v>1</v>
      </c>
      <c r="D454" t="s">
        <v>496</v>
      </c>
      <c r="E454">
        <v>2</v>
      </c>
      <c r="F454">
        <v>3</v>
      </c>
      <c r="G454" t="s">
        <v>496</v>
      </c>
      <c r="H454">
        <v>6</v>
      </c>
      <c r="I454" t="s">
        <v>3574</v>
      </c>
      <c r="J454" s="2" t="str">
        <f t="shared" si="21"/>
        <v>[470]=3,</v>
      </c>
      <c r="K454" s="3">
        <f t="shared" si="22"/>
        <v>470</v>
      </c>
      <c r="L454" s="3">
        <f t="shared" si="23"/>
        <v>3</v>
      </c>
      <c r="M454" s="9" t="str">
        <f>VLOOKUP(A454,WayshrineNames!$A$3:$B$967,2,)</f>
        <v>Dungeon: Red Petal Bastion</v>
      </c>
      <c r="N454" s="3" t="str">
        <f>VLOOKUP(F454,'ESO zones'!$A$5:$D$10003,4,FALSE)</f>
        <v>Glenumbra</v>
      </c>
    </row>
    <row r="455" spans="1:14" x14ac:dyDescent="0.25">
      <c r="A455" s="58">
        <v>471</v>
      </c>
      <c r="B455">
        <v>43</v>
      </c>
      <c r="C455">
        <v>1887</v>
      </c>
      <c r="D455" t="s">
        <v>3561</v>
      </c>
      <c r="E455">
        <v>835</v>
      </c>
      <c r="F455">
        <v>1261</v>
      </c>
      <c r="G455" t="s">
        <v>3561</v>
      </c>
      <c r="H455">
        <v>7</v>
      </c>
      <c r="I455" t="s">
        <v>3575</v>
      </c>
      <c r="J455" s="2" t="str">
        <f t="shared" si="21"/>
        <v>[471]=1261,</v>
      </c>
      <c r="K455" s="3">
        <f t="shared" si="22"/>
        <v>471</v>
      </c>
      <c r="L455" s="3">
        <f t="shared" si="23"/>
        <v>1261</v>
      </c>
      <c r="M455" s="9" t="str">
        <f>VLOOKUP(A455,WayshrineNames!$A$3:$B$967,2,)</f>
        <v>Pilgrim's Rest</v>
      </c>
      <c r="N455" s="3" t="str">
        <f>VLOOKUP(F455,'ESO zones'!$A$5:$D$10003,4,FALSE)</f>
        <v>Blackwood</v>
      </c>
    </row>
    <row r="456" spans="1:14" x14ac:dyDescent="0.25">
      <c r="A456" s="58">
        <v>472</v>
      </c>
      <c r="B456">
        <v>43</v>
      </c>
      <c r="C456">
        <v>1887</v>
      </c>
      <c r="D456" t="s">
        <v>3561</v>
      </c>
      <c r="E456">
        <v>835</v>
      </c>
      <c r="F456">
        <v>1261</v>
      </c>
      <c r="G456" t="s">
        <v>3561</v>
      </c>
      <c r="H456">
        <v>7</v>
      </c>
      <c r="I456" t="s">
        <v>3576</v>
      </c>
      <c r="J456" s="2" t="str">
        <f t="shared" si="21"/>
        <v>[472]=1261,</v>
      </c>
      <c r="K456" s="3">
        <f t="shared" si="22"/>
        <v>472</v>
      </c>
      <c r="L456" s="3">
        <f t="shared" si="23"/>
        <v>1261</v>
      </c>
      <c r="M456" s="9" t="str">
        <f>VLOOKUP(A456,WayshrineNames!$A$3:$B$967,2,)</f>
        <v>Water's Edge</v>
      </c>
      <c r="N456" s="3" t="str">
        <f>VLOOKUP(F456,'ESO zones'!$A$5:$D$10003,4,FALSE)</f>
        <v>Blackwood</v>
      </c>
    </row>
    <row r="457" spans="1:14" x14ac:dyDescent="0.25">
      <c r="A457" s="58">
        <v>473</v>
      </c>
      <c r="B457">
        <v>43</v>
      </c>
      <c r="C457">
        <v>1887</v>
      </c>
      <c r="D457" t="s">
        <v>3561</v>
      </c>
      <c r="E457">
        <v>835</v>
      </c>
      <c r="F457">
        <v>1261</v>
      </c>
      <c r="G457" t="s">
        <v>3561</v>
      </c>
      <c r="H457">
        <v>7</v>
      </c>
      <c r="I457" t="s">
        <v>3577</v>
      </c>
      <c r="J457" s="2" t="str">
        <f t="shared" si="21"/>
        <v>[473]=1261,</v>
      </c>
      <c r="K457" s="3">
        <f t="shared" si="22"/>
        <v>473</v>
      </c>
      <c r="L457" s="3">
        <f t="shared" si="23"/>
        <v>1261</v>
      </c>
      <c r="M457" s="9" t="str">
        <f>VLOOKUP(A457,WayshrineNames!$A$3:$B$967,2,)</f>
        <v>Pantherfang Chapel</v>
      </c>
      <c r="N457" s="3" t="str">
        <f>VLOOKUP(F457,'ESO zones'!$A$5:$D$10003,4,FALSE)</f>
        <v>Blackwood</v>
      </c>
    </row>
    <row r="458" spans="1:14" x14ac:dyDescent="0.25">
      <c r="A458" s="58">
        <v>476</v>
      </c>
      <c r="B458">
        <v>45</v>
      </c>
      <c r="C458">
        <v>2021</v>
      </c>
      <c r="D458" t="s">
        <v>3578</v>
      </c>
      <c r="E458">
        <v>858</v>
      </c>
      <c r="F458">
        <v>1286</v>
      </c>
      <c r="G458" t="s">
        <v>3578</v>
      </c>
      <c r="H458">
        <v>1</v>
      </c>
      <c r="I458" t="s">
        <v>3579</v>
      </c>
      <c r="J458" s="2" t="str">
        <f t="shared" si="21"/>
        <v>[476]=1286,</v>
      </c>
      <c r="K458" s="3">
        <f t="shared" si="22"/>
        <v>476</v>
      </c>
      <c r="L458" s="3">
        <f t="shared" si="23"/>
        <v>1286</v>
      </c>
      <c r="M458" s="9" t="str">
        <f>VLOOKUP(A458,WayshrineNames!$A$3:$B$967,2,)</f>
        <v>The Blood Pit Wayshrine</v>
      </c>
      <c r="N458" s="3" t="str">
        <f>VLOOKUP(F458,'ESO zones'!$A$5:$D$10003,4,FALSE)</f>
        <v>The Deadlands</v>
      </c>
    </row>
    <row r="459" spans="1:14" x14ac:dyDescent="0.25">
      <c r="A459" s="58">
        <v>477</v>
      </c>
      <c r="B459">
        <v>45</v>
      </c>
      <c r="C459">
        <v>2021</v>
      </c>
      <c r="D459" t="s">
        <v>3578</v>
      </c>
      <c r="E459">
        <v>858</v>
      </c>
      <c r="F459">
        <v>1286</v>
      </c>
      <c r="G459" t="s">
        <v>3578</v>
      </c>
      <c r="H459">
        <v>1</v>
      </c>
      <c r="I459" t="s">
        <v>3580</v>
      </c>
      <c r="J459" s="2" t="str">
        <f t="shared" si="21"/>
        <v>[477]=1286,</v>
      </c>
      <c r="K459" s="3">
        <f t="shared" si="22"/>
        <v>477</v>
      </c>
      <c r="L459" s="3">
        <f t="shared" si="23"/>
        <v>1286</v>
      </c>
      <c r="M459" s="9" t="str">
        <f>VLOOKUP(A459,WayshrineNames!$A$3:$B$967,2,)</f>
        <v>Ardent Hope Wayshrine</v>
      </c>
      <c r="N459" s="3" t="str">
        <f>VLOOKUP(F459,'ESO zones'!$A$5:$D$10003,4,FALSE)</f>
        <v>The Deadlands</v>
      </c>
    </row>
    <row r="460" spans="1:14" x14ac:dyDescent="0.25">
      <c r="A460" s="58">
        <v>478</v>
      </c>
      <c r="B460">
        <v>45</v>
      </c>
      <c r="C460">
        <v>2021</v>
      </c>
      <c r="D460" t="s">
        <v>3578</v>
      </c>
      <c r="E460">
        <v>858</v>
      </c>
      <c r="F460">
        <v>1286</v>
      </c>
      <c r="G460" t="s">
        <v>3578</v>
      </c>
      <c r="H460">
        <v>1</v>
      </c>
      <c r="I460" t="s">
        <v>3581</v>
      </c>
      <c r="J460" s="2" t="str">
        <f t="shared" si="21"/>
        <v>[478]=1286,</v>
      </c>
      <c r="K460" s="3">
        <f t="shared" si="22"/>
        <v>478</v>
      </c>
      <c r="L460" s="3">
        <f t="shared" si="23"/>
        <v>1286</v>
      </c>
      <c r="M460" s="9" t="str">
        <f>VLOOKUP(A460,WayshrineNames!$A$3:$B$967,2,)</f>
        <v>Wretched Spire Wayshrine</v>
      </c>
      <c r="N460" s="3" t="str">
        <f>VLOOKUP(F460,'ESO zones'!$A$5:$D$10003,4,FALSE)</f>
        <v>The Deadlands</v>
      </c>
    </row>
    <row r="461" spans="1:14" x14ac:dyDescent="0.25">
      <c r="A461" s="58">
        <v>479</v>
      </c>
      <c r="B461">
        <v>45</v>
      </c>
      <c r="C461">
        <v>2021</v>
      </c>
      <c r="D461" t="s">
        <v>3578</v>
      </c>
      <c r="E461">
        <v>858</v>
      </c>
      <c r="F461">
        <v>1286</v>
      </c>
      <c r="G461" t="s">
        <v>3578</v>
      </c>
      <c r="H461">
        <v>1</v>
      </c>
      <c r="I461" t="s">
        <v>3582</v>
      </c>
      <c r="J461" s="2" t="str">
        <f t="shared" si="21"/>
        <v>[479]=1286,</v>
      </c>
      <c r="K461" s="3">
        <f t="shared" si="22"/>
        <v>479</v>
      </c>
      <c r="L461" s="3">
        <f t="shared" si="23"/>
        <v>1286</v>
      </c>
      <c r="M461" s="9" t="str">
        <f>VLOOKUP(A461,WayshrineNames!$A$3:$B$967,2,)</f>
        <v>False Martyrs' Folly Wayshrine</v>
      </c>
      <c r="N461" s="3" t="str">
        <f>VLOOKUP(F461,'ESO zones'!$A$5:$D$10003,4,FALSE)</f>
        <v>The Deadlands</v>
      </c>
    </row>
    <row r="462" spans="1:14" x14ac:dyDescent="0.25">
      <c r="A462" s="58">
        <v>480</v>
      </c>
      <c r="B462">
        <v>45</v>
      </c>
      <c r="C462">
        <v>2021</v>
      </c>
      <c r="D462" t="s">
        <v>3578</v>
      </c>
      <c r="E462">
        <v>858</v>
      </c>
      <c r="F462">
        <v>1286</v>
      </c>
      <c r="G462" t="s">
        <v>3578</v>
      </c>
      <c r="H462">
        <v>1</v>
      </c>
      <c r="I462" t="s">
        <v>3583</v>
      </c>
      <c r="J462" s="2" t="str">
        <f t="shared" si="21"/>
        <v>[480]=1286,</v>
      </c>
      <c r="K462" s="3">
        <f t="shared" si="22"/>
        <v>480</v>
      </c>
      <c r="L462" s="3">
        <f t="shared" si="23"/>
        <v>1286</v>
      </c>
      <c r="M462" s="9" t="str">
        <f>VLOOKUP(A462,WayshrineNames!$A$3:$B$967,2,)</f>
        <v>Annihilarch's Summit Wayshrine</v>
      </c>
      <c r="N462" s="3" t="str">
        <f>VLOOKUP(F462,'ESO zones'!$A$5:$D$10003,4,FALSE)</f>
        <v>The Deadlands</v>
      </c>
    </row>
    <row r="463" spans="1:14" x14ac:dyDescent="0.25">
      <c r="A463" s="58">
        <v>481</v>
      </c>
      <c r="B463">
        <v>43</v>
      </c>
      <c r="C463">
        <v>1887</v>
      </c>
      <c r="D463" t="s">
        <v>3561</v>
      </c>
      <c r="E463">
        <v>835</v>
      </c>
      <c r="F463">
        <v>1261</v>
      </c>
      <c r="G463" t="s">
        <v>3561</v>
      </c>
      <c r="H463">
        <v>1</v>
      </c>
      <c r="I463" t="s">
        <v>3584</v>
      </c>
      <c r="J463" s="2" t="str">
        <f t="shared" si="21"/>
        <v>[481]=1261,</v>
      </c>
      <c r="K463" s="3">
        <f t="shared" si="22"/>
        <v>481</v>
      </c>
      <c r="L463" s="3">
        <f t="shared" si="23"/>
        <v>1261</v>
      </c>
      <c r="M463" s="9" t="str">
        <f>VLOOKUP(A463,WayshrineNames!$A$3:$B$967,2,)</f>
        <v>Doomvault Vulpinaz Wayshrine</v>
      </c>
      <c r="N463" s="3" t="str">
        <f>VLOOKUP(F463,'ESO zones'!$A$5:$D$10003,4,FALSE)</f>
        <v>Blackwood</v>
      </c>
    </row>
    <row r="464" spans="1:14" x14ac:dyDescent="0.25">
      <c r="A464" s="58">
        <v>482</v>
      </c>
      <c r="B464">
        <v>43</v>
      </c>
      <c r="C464">
        <v>1887</v>
      </c>
      <c r="D464" t="s">
        <v>3561</v>
      </c>
      <c r="E464">
        <v>835</v>
      </c>
      <c r="F464">
        <v>1261</v>
      </c>
      <c r="G464" t="s">
        <v>3561</v>
      </c>
      <c r="H464">
        <v>1</v>
      </c>
      <c r="I464" t="s">
        <v>3585</v>
      </c>
      <c r="J464" s="2" t="str">
        <f t="shared" si="21"/>
        <v>[482]=1261,</v>
      </c>
      <c r="K464" s="3">
        <f t="shared" si="22"/>
        <v>482</v>
      </c>
      <c r="L464" s="3">
        <f t="shared" si="23"/>
        <v>1261</v>
      </c>
      <c r="M464" s="9" t="str">
        <f>VLOOKUP(A464,WayshrineNames!$A$3:$B$967,2,)</f>
        <v>Blackwood Crossroads Wayshrine</v>
      </c>
      <c r="N464" s="3" t="str">
        <f>VLOOKUP(F464,'ESO zones'!$A$5:$D$10003,4,FALSE)</f>
        <v>Blackwood</v>
      </c>
    </row>
    <row r="465" spans="1:14" x14ac:dyDescent="0.25">
      <c r="A465" s="58">
        <v>483</v>
      </c>
      <c r="B465">
        <v>43</v>
      </c>
      <c r="C465">
        <v>1887</v>
      </c>
      <c r="D465" t="s">
        <v>3561</v>
      </c>
      <c r="E465">
        <v>835</v>
      </c>
      <c r="F465">
        <v>1261</v>
      </c>
      <c r="G465" t="s">
        <v>3561</v>
      </c>
      <c r="H465">
        <v>1</v>
      </c>
      <c r="I465" t="s">
        <v>3586</v>
      </c>
      <c r="J465" s="2" t="str">
        <f t="shared" si="21"/>
        <v>[483]=1261,</v>
      </c>
      <c r="K465" s="3">
        <f t="shared" si="22"/>
        <v>483</v>
      </c>
      <c r="L465" s="3">
        <f t="shared" si="23"/>
        <v>1261</v>
      </c>
      <c r="M465" s="9" t="str">
        <f>VLOOKUP(A465,WayshrineNames!$A$3:$B$967,2,)</f>
        <v>Hutan-Tzel Wayshrine</v>
      </c>
      <c r="N465" s="3" t="str">
        <f>VLOOKUP(F465,'ESO zones'!$A$5:$D$10003,4,FALSE)</f>
        <v>Blackwood</v>
      </c>
    </row>
    <row r="466" spans="1:14" x14ac:dyDescent="0.25">
      <c r="A466" s="58">
        <v>484</v>
      </c>
      <c r="B466">
        <v>43</v>
      </c>
      <c r="C466">
        <v>1887</v>
      </c>
      <c r="D466" t="s">
        <v>3561</v>
      </c>
      <c r="E466">
        <v>835</v>
      </c>
      <c r="F466">
        <v>1261</v>
      </c>
      <c r="G466" t="s">
        <v>3561</v>
      </c>
      <c r="H466">
        <v>1</v>
      </c>
      <c r="I466" t="s">
        <v>3587</v>
      </c>
      <c r="J466" s="2" t="str">
        <f t="shared" si="21"/>
        <v>[484]=1261,</v>
      </c>
      <c r="K466" s="3">
        <f t="shared" si="22"/>
        <v>484</v>
      </c>
      <c r="L466" s="3">
        <f t="shared" si="23"/>
        <v>1261</v>
      </c>
      <c r="M466" s="9" t="str">
        <f>VLOOKUP(A466,WayshrineNames!$A$3:$B$967,2,)</f>
        <v>Vunalk Wayshrine</v>
      </c>
      <c r="N466" s="3" t="str">
        <f>VLOOKUP(F466,'ESO zones'!$A$5:$D$10003,4,FALSE)</f>
        <v>Blackwood</v>
      </c>
    </row>
    <row r="467" spans="1:14" x14ac:dyDescent="0.25">
      <c r="A467" s="58">
        <v>485</v>
      </c>
      <c r="B467">
        <v>8</v>
      </c>
      <c r="C467">
        <v>22</v>
      </c>
      <c r="D467" t="s">
        <v>429</v>
      </c>
      <c r="E467">
        <v>11</v>
      </c>
      <c r="F467">
        <v>58</v>
      </c>
      <c r="G467" t="s">
        <v>429</v>
      </c>
      <c r="H467">
        <v>7</v>
      </c>
      <c r="I467" t="s">
        <v>3588</v>
      </c>
      <c r="J467" s="2" t="str">
        <f t="shared" si="21"/>
        <v>[485]=58,</v>
      </c>
      <c r="K467" s="3">
        <f t="shared" si="22"/>
        <v>485</v>
      </c>
      <c r="L467" s="3">
        <f t="shared" si="23"/>
        <v>58</v>
      </c>
      <c r="M467" s="9" t="str">
        <f>VLOOKUP(A467,WayshrineNames!$A$3:$B$967,2,)</f>
        <v>Doomchar Plateau</v>
      </c>
      <c r="N467" s="3" t="str">
        <f>VLOOKUP(F467,'ESO zones'!$A$5:$D$10003,4,FALSE)</f>
        <v>Malabal Tor</v>
      </c>
    </row>
    <row r="468" spans="1:14" x14ac:dyDescent="0.25">
      <c r="A468" s="58">
        <v>486</v>
      </c>
      <c r="B468">
        <v>43</v>
      </c>
      <c r="C468">
        <v>1887</v>
      </c>
      <c r="D468" t="s">
        <v>3561</v>
      </c>
      <c r="E468">
        <v>835</v>
      </c>
      <c r="F468">
        <v>1261</v>
      </c>
      <c r="G468" t="s">
        <v>3561</v>
      </c>
      <c r="H468">
        <v>7</v>
      </c>
      <c r="I468" t="s">
        <v>3589</v>
      </c>
      <c r="J468" s="2" t="str">
        <f t="shared" si="21"/>
        <v>[486]=1261,</v>
      </c>
      <c r="K468" s="3">
        <f t="shared" si="22"/>
        <v>486</v>
      </c>
      <c r="L468" s="3">
        <f t="shared" si="23"/>
        <v>1261</v>
      </c>
      <c r="M468" s="9" t="str">
        <f>VLOOKUP(A468,WayshrineNames!$A$3:$B$967,2,)</f>
        <v>Sweetwater Cascades</v>
      </c>
      <c r="N468" s="3" t="str">
        <f>VLOOKUP(F468,'ESO zones'!$A$5:$D$10003,4,FALSE)</f>
        <v>Blackwood</v>
      </c>
    </row>
    <row r="469" spans="1:14" x14ac:dyDescent="0.25">
      <c r="A469" s="58">
        <v>487</v>
      </c>
      <c r="B469">
        <v>44</v>
      </c>
      <c r="C469">
        <v>2119</v>
      </c>
      <c r="D469" t="s">
        <v>3590</v>
      </c>
      <c r="E469">
        <v>855</v>
      </c>
      <c r="F469">
        <v>1283</v>
      </c>
      <c r="G469" t="s">
        <v>3591</v>
      </c>
      <c r="H469">
        <v>1</v>
      </c>
      <c r="I469" t="s">
        <v>3592</v>
      </c>
      <c r="J469" s="2" t="str">
        <f t="shared" si="21"/>
        <v>[487]=1283,</v>
      </c>
      <c r="K469" s="3">
        <f t="shared" si="22"/>
        <v>487</v>
      </c>
      <c r="L469" s="3">
        <f t="shared" si="23"/>
        <v>1283</v>
      </c>
      <c r="M469" s="9" t="str">
        <f>VLOOKUP(A469,WayshrineNames!$A$3:$B$967,2,)</f>
        <v>Fargrave Outskirts Wayshrine</v>
      </c>
      <c r="N469" s="3" t="str">
        <f>VLOOKUP(F469,'ESO zones'!$A$5:$D$10003,4,FALSE)</f>
        <v>The Shambles</v>
      </c>
    </row>
    <row r="470" spans="1:14" x14ac:dyDescent="0.25">
      <c r="A470" s="58">
        <v>488</v>
      </c>
      <c r="B470">
        <v>46</v>
      </c>
      <c r="C470">
        <v>2114</v>
      </c>
      <c r="D470" t="s">
        <v>3593</v>
      </c>
      <c r="E470">
        <v>884</v>
      </c>
      <c r="F470">
        <v>1318</v>
      </c>
      <c r="G470" t="s">
        <v>3594</v>
      </c>
      <c r="H470">
        <v>3</v>
      </c>
      <c r="I470" t="s">
        <v>3595</v>
      </c>
      <c r="J470" s="2" t="str">
        <f t="shared" si="21"/>
        <v>[488]=1318,</v>
      </c>
      <c r="K470" s="3">
        <f t="shared" si="22"/>
        <v>488</v>
      </c>
      <c r="L470" s="3">
        <f t="shared" si="23"/>
        <v>1318</v>
      </c>
      <c r="M470" s="9" t="str">
        <f>VLOOKUP(A470,WayshrineNames!$A$3:$B$967,2,)</f>
        <v>Trial: Dreadsail Reef</v>
      </c>
      <c r="N470" s="3" t="str">
        <f>VLOOKUP(F470,'ESO zones'!$A$5:$D$10003,4,FALSE)</f>
        <v>High Isle</v>
      </c>
    </row>
    <row r="471" spans="1:14" x14ac:dyDescent="0.25">
      <c r="A471" s="58">
        <v>489</v>
      </c>
      <c r="B471">
        <v>44</v>
      </c>
      <c r="C471">
        <v>2119</v>
      </c>
      <c r="D471" t="s">
        <v>3590</v>
      </c>
      <c r="E471">
        <v>855</v>
      </c>
      <c r="F471">
        <v>1283</v>
      </c>
      <c r="G471" t="s">
        <v>3591</v>
      </c>
      <c r="H471">
        <v>1</v>
      </c>
      <c r="I471" t="s">
        <v>3596</v>
      </c>
      <c r="J471" s="2" t="str">
        <f t="shared" si="21"/>
        <v>[489]=1283,</v>
      </c>
      <c r="K471" s="3">
        <f t="shared" si="22"/>
        <v>489</v>
      </c>
      <c r="L471" s="3">
        <f t="shared" si="23"/>
        <v>1283</v>
      </c>
      <c r="M471" s="9" t="str">
        <f>VLOOKUP(A471,WayshrineNames!$A$3:$B$967,2,)</f>
        <v>The Shambles Wayshrine</v>
      </c>
      <c r="N471" s="3" t="str">
        <f>VLOOKUP(F471,'ESO zones'!$A$5:$D$10003,4,FALSE)</f>
        <v>The Shambles</v>
      </c>
    </row>
    <row r="472" spans="1:14" x14ac:dyDescent="0.25">
      <c r="A472" s="58">
        <v>490</v>
      </c>
      <c r="B472">
        <v>45</v>
      </c>
      <c r="C472">
        <v>2021</v>
      </c>
      <c r="D472" t="s">
        <v>3578</v>
      </c>
      <c r="E472">
        <v>858</v>
      </c>
      <c r="F472">
        <v>1286</v>
      </c>
      <c r="G472" t="s">
        <v>3578</v>
      </c>
      <c r="H472">
        <v>1</v>
      </c>
      <c r="I472" t="s">
        <v>3597</v>
      </c>
      <c r="J472" s="2" t="str">
        <f t="shared" si="21"/>
        <v>[490]=1286,</v>
      </c>
      <c r="K472" s="3">
        <f t="shared" si="22"/>
        <v>490</v>
      </c>
      <c r="L472" s="3">
        <f t="shared" si="23"/>
        <v>1286</v>
      </c>
      <c r="M472" s="9" t="str">
        <f>VLOOKUP(A472,WayshrineNames!$A$3:$B$967,2,)</f>
        <v>Wounded Crossing Wayshrine</v>
      </c>
      <c r="N472" s="3" t="str">
        <f>VLOOKUP(F472,'ESO zones'!$A$5:$D$10003,4,FALSE)</f>
        <v>The Deadlands</v>
      </c>
    </row>
    <row r="473" spans="1:14" x14ac:dyDescent="0.25">
      <c r="A473" s="58">
        <v>491</v>
      </c>
      <c r="B473">
        <v>45</v>
      </c>
      <c r="C473">
        <v>2021</v>
      </c>
      <c r="D473" t="s">
        <v>3578</v>
      </c>
      <c r="E473">
        <v>858</v>
      </c>
      <c r="F473">
        <v>1286</v>
      </c>
      <c r="G473" t="s">
        <v>3578</v>
      </c>
      <c r="H473">
        <v>1</v>
      </c>
      <c r="I473" t="s">
        <v>3598</v>
      </c>
      <c r="J473" s="2" t="str">
        <f t="shared" si="21"/>
        <v>[491]=1286,</v>
      </c>
      <c r="K473" s="3">
        <f t="shared" si="22"/>
        <v>491</v>
      </c>
      <c r="L473" s="3">
        <f t="shared" si="23"/>
        <v>1286</v>
      </c>
      <c r="M473" s="9" t="str">
        <f>VLOOKUP(A473,WayshrineNames!$A$3:$B$967,2,)</f>
        <v>The Scourshales Wayshrine</v>
      </c>
      <c r="N473" s="3" t="str">
        <f>VLOOKUP(F473,'ESO zones'!$A$5:$D$10003,4,FALSE)</f>
        <v>The Deadlands</v>
      </c>
    </row>
    <row r="474" spans="1:14" x14ac:dyDescent="0.25">
      <c r="A474" s="58">
        <v>493</v>
      </c>
      <c r="B474">
        <v>44</v>
      </c>
      <c r="C474">
        <v>2119</v>
      </c>
      <c r="D474" t="s">
        <v>3590</v>
      </c>
      <c r="E474">
        <v>855</v>
      </c>
      <c r="F474">
        <v>1283</v>
      </c>
      <c r="G474" t="s">
        <v>3591</v>
      </c>
      <c r="H474">
        <v>1</v>
      </c>
      <c r="I474" t="s">
        <v>3599</v>
      </c>
      <c r="J474" s="2" t="str">
        <f t="shared" si="21"/>
        <v>[493]=1283,</v>
      </c>
      <c r="K474" s="3">
        <f t="shared" si="22"/>
        <v>493</v>
      </c>
      <c r="L474" s="3">
        <f t="shared" si="23"/>
        <v>1283</v>
      </c>
      <c r="M474" s="9" t="str">
        <f>VLOOKUP(A474,WayshrineNames!$A$3:$B$967,2,)</f>
        <v>Fargrave Wayshrine</v>
      </c>
      <c r="N474" s="3" t="str">
        <f>VLOOKUP(F474,'ESO zones'!$A$5:$D$10003,4,FALSE)</f>
        <v>The Shambles</v>
      </c>
    </row>
    <row r="475" spans="1:14" x14ac:dyDescent="0.25">
      <c r="A475" s="58">
        <v>494</v>
      </c>
      <c r="B475">
        <v>45</v>
      </c>
      <c r="C475">
        <v>2021</v>
      </c>
      <c r="D475" t="s">
        <v>3578</v>
      </c>
      <c r="E475">
        <v>858</v>
      </c>
      <c r="F475">
        <v>1286</v>
      </c>
      <c r="G475" t="s">
        <v>3578</v>
      </c>
      <c r="H475">
        <v>1</v>
      </c>
      <c r="I475" t="s">
        <v>3600</v>
      </c>
      <c r="J475" s="2" t="str">
        <f t="shared" si="21"/>
        <v>[494]=1286,</v>
      </c>
      <c r="K475" s="3">
        <f t="shared" si="22"/>
        <v>494</v>
      </c>
      <c r="L475" s="3">
        <f t="shared" si="23"/>
        <v>1286</v>
      </c>
      <c r="M475" s="9" t="str">
        <f>VLOOKUP(A475,WayshrineNames!$A$3:$B$967,2,)</f>
        <v>Raging Coast Wayshrine</v>
      </c>
      <c r="N475" s="3" t="str">
        <f>VLOOKUP(F475,'ESO zones'!$A$5:$D$10003,4,FALSE)</f>
        <v>The Deadlands</v>
      </c>
    </row>
    <row r="476" spans="1:14" x14ac:dyDescent="0.25">
      <c r="A476" s="58">
        <v>495</v>
      </c>
      <c r="B476">
        <v>44</v>
      </c>
      <c r="C476">
        <v>2119</v>
      </c>
      <c r="D476" t="s">
        <v>3590</v>
      </c>
      <c r="E476">
        <v>855</v>
      </c>
      <c r="F476">
        <v>1283</v>
      </c>
      <c r="G476" t="s">
        <v>3591</v>
      </c>
      <c r="H476">
        <v>7</v>
      </c>
      <c r="I476" t="s">
        <v>3601</v>
      </c>
      <c r="J476" s="2" t="str">
        <f t="shared" si="21"/>
        <v>[495]=1283,</v>
      </c>
      <c r="K476" s="3">
        <f t="shared" si="22"/>
        <v>495</v>
      </c>
      <c r="L476" s="3">
        <f t="shared" si="23"/>
        <v>1283</v>
      </c>
      <c r="M476" s="9" t="str">
        <f>VLOOKUP(A476,WayshrineNames!$A$3:$B$967,2,)</f>
        <v>Ossa Accentium</v>
      </c>
      <c r="N476" s="3" t="str">
        <f>VLOOKUP(F476,'ESO zones'!$A$5:$D$10003,4,FALSE)</f>
        <v>The Shambles</v>
      </c>
    </row>
    <row r="477" spans="1:14" x14ac:dyDescent="0.25">
      <c r="A477" s="58">
        <v>496</v>
      </c>
      <c r="B477">
        <v>45</v>
      </c>
      <c r="C477">
        <v>2021</v>
      </c>
      <c r="D477" t="s">
        <v>3578</v>
      </c>
      <c r="E477">
        <v>858</v>
      </c>
      <c r="F477">
        <v>1286</v>
      </c>
      <c r="G477" t="s">
        <v>3578</v>
      </c>
      <c r="H477">
        <v>7</v>
      </c>
      <c r="I477" t="s">
        <v>3602</v>
      </c>
      <c r="J477" s="2" t="str">
        <f t="shared" si="21"/>
        <v>[496]=1286,</v>
      </c>
      <c r="K477" s="3">
        <f t="shared" si="22"/>
        <v>496</v>
      </c>
      <c r="L477" s="3">
        <f t="shared" si="23"/>
        <v>1286</v>
      </c>
      <c r="M477" s="9" t="str">
        <f>VLOOKUP(A477,WayshrineNames!$A$3:$B$967,2,)</f>
        <v>Agony's Ascent</v>
      </c>
      <c r="N477" s="3" t="str">
        <f>VLOOKUP(F477,'ESO zones'!$A$5:$D$10003,4,FALSE)</f>
        <v>The Deadlands</v>
      </c>
    </row>
    <row r="478" spans="1:14" x14ac:dyDescent="0.25">
      <c r="A478" s="58">
        <v>497</v>
      </c>
      <c r="B478">
        <v>32</v>
      </c>
      <c r="C478">
        <v>1349</v>
      </c>
      <c r="D478" t="s">
        <v>3453</v>
      </c>
      <c r="E478">
        <v>617</v>
      </c>
      <c r="F478">
        <v>1011</v>
      </c>
      <c r="G478" t="s">
        <v>3453</v>
      </c>
      <c r="H478">
        <v>6</v>
      </c>
      <c r="I478" t="s">
        <v>3603</v>
      </c>
      <c r="J478" s="2" t="str">
        <f t="shared" si="21"/>
        <v>[497]=1011,</v>
      </c>
      <c r="K478" s="3">
        <f t="shared" si="22"/>
        <v>497</v>
      </c>
      <c r="L478" s="3">
        <f t="shared" si="23"/>
        <v>1011</v>
      </c>
      <c r="M478" s="9" t="str">
        <f>VLOOKUP(A478,WayshrineNames!$A$3:$B$967,2,)</f>
        <v>Dungeon: Coral Aerie</v>
      </c>
      <c r="N478" s="3" t="str">
        <f>VLOOKUP(F478,'ESO zones'!$A$5:$D$10003,4,FALSE)</f>
        <v>Summerset</v>
      </c>
    </row>
    <row r="479" spans="1:14" x14ac:dyDescent="0.25">
      <c r="A479" s="58">
        <v>498</v>
      </c>
      <c r="B479">
        <v>3</v>
      </c>
      <c r="C479">
        <v>10</v>
      </c>
      <c r="D479" t="s">
        <v>3115</v>
      </c>
      <c r="E479">
        <v>5</v>
      </c>
      <c r="F479">
        <v>20</v>
      </c>
      <c r="G479" t="s">
        <v>3115</v>
      </c>
      <c r="H479">
        <v>6</v>
      </c>
      <c r="I479" t="s">
        <v>3604</v>
      </c>
      <c r="J479" s="2" t="str">
        <f t="shared" si="21"/>
        <v>[498]=20,</v>
      </c>
      <c r="K479" s="3">
        <f t="shared" si="22"/>
        <v>498</v>
      </c>
      <c r="L479" s="3">
        <f t="shared" si="23"/>
        <v>20</v>
      </c>
      <c r="M479" s="9" t="str">
        <f>VLOOKUP(A479,WayshrineNames!$A$3:$B$967,2,)</f>
        <v>Dungeon: Shipwright's Regret</v>
      </c>
      <c r="N479" s="3" t="str">
        <f>VLOOKUP(F479,'ESO zones'!$A$5:$D$10003,4,FALSE)</f>
        <v>Rivenspire</v>
      </c>
    </row>
    <row r="480" spans="1:14" x14ac:dyDescent="0.25">
      <c r="A480" s="58">
        <v>499</v>
      </c>
      <c r="B480">
        <v>20</v>
      </c>
      <c r="C480">
        <v>227</v>
      </c>
      <c r="D480" t="s">
        <v>1450</v>
      </c>
      <c r="E480">
        <v>306</v>
      </c>
      <c r="F480">
        <v>535</v>
      </c>
      <c r="G480" t="s">
        <v>1450</v>
      </c>
      <c r="H480">
        <v>7</v>
      </c>
      <c r="I480" t="s">
        <v>3605</v>
      </c>
      <c r="J480" s="2" t="str">
        <f t="shared" si="21"/>
        <v>[499]=535,</v>
      </c>
      <c r="K480" s="3">
        <f t="shared" si="22"/>
        <v>499</v>
      </c>
      <c r="L480" s="3">
        <f t="shared" si="23"/>
        <v>535</v>
      </c>
      <c r="M480" s="9" t="str">
        <f>VLOOKUP(A480,WayshrineNames!$A$3:$B$967,2,)</f>
        <v>Seaveil Spire</v>
      </c>
      <c r="N480" s="3" t="str">
        <f>VLOOKUP(F480,'ESO zones'!$A$5:$D$10003,4,FALSE)</f>
        <v>Betnikh</v>
      </c>
    </row>
    <row r="481" spans="1:14" x14ac:dyDescent="0.25">
      <c r="A481" s="58">
        <v>501</v>
      </c>
      <c r="B481">
        <v>46</v>
      </c>
      <c r="C481">
        <v>2114</v>
      </c>
      <c r="D481" t="s">
        <v>3593</v>
      </c>
      <c r="E481">
        <v>884</v>
      </c>
      <c r="F481">
        <v>1318</v>
      </c>
      <c r="G481" t="s">
        <v>3594</v>
      </c>
      <c r="H481">
        <v>1</v>
      </c>
      <c r="I481" t="s">
        <v>3606</v>
      </c>
      <c r="J481" s="2" t="str">
        <f t="shared" si="21"/>
        <v>[501]=1318,</v>
      </c>
      <c r="K481" s="3">
        <f t="shared" si="22"/>
        <v>501</v>
      </c>
      <c r="L481" s="3">
        <f t="shared" si="23"/>
        <v>1318</v>
      </c>
      <c r="M481" s="9" t="str">
        <f>VLOOKUP(A481,WayshrineNames!$A$3:$B$967,2,)</f>
        <v>Coral Road Wayshrine</v>
      </c>
      <c r="N481" s="3" t="str">
        <f>VLOOKUP(F481,'ESO zones'!$A$5:$D$10003,4,FALSE)</f>
        <v>High Isle</v>
      </c>
    </row>
    <row r="482" spans="1:14" s="39" customFormat="1" x14ac:dyDescent="0.25">
      <c r="A482" s="58">
        <v>502</v>
      </c>
      <c r="B482">
        <v>46</v>
      </c>
      <c r="C482">
        <v>2114</v>
      </c>
      <c r="D482" t="s">
        <v>3593</v>
      </c>
      <c r="E482">
        <v>884</v>
      </c>
      <c r="F482">
        <v>1318</v>
      </c>
      <c r="G482" t="s">
        <v>3594</v>
      </c>
      <c r="H482">
        <v>1</v>
      </c>
      <c r="I482" t="s">
        <v>3607</v>
      </c>
      <c r="J482" s="2" t="str">
        <f t="shared" si="21"/>
        <v>[502]=1318,</v>
      </c>
      <c r="K482" s="3">
        <f t="shared" si="22"/>
        <v>502</v>
      </c>
      <c r="L482" s="3">
        <f t="shared" si="23"/>
        <v>1318</v>
      </c>
      <c r="M482" s="9" t="str">
        <f>VLOOKUP(A482,WayshrineNames!$A$3:$B$967,2,)</f>
        <v>Tor Draioch Wayshrine</v>
      </c>
      <c r="N482" s="3" t="str">
        <f>VLOOKUP(F482,'ESO zones'!$A$5:$D$10003,4,FALSE)</f>
        <v>High Isle</v>
      </c>
    </row>
    <row r="483" spans="1:14" x14ac:dyDescent="0.25">
      <c r="A483" s="58">
        <v>503</v>
      </c>
      <c r="B483">
        <v>46</v>
      </c>
      <c r="C483">
        <v>2114</v>
      </c>
      <c r="D483" t="s">
        <v>3593</v>
      </c>
      <c r="E483">
        <v>884</v>
      </c>
      <c r="F483">
        <v>1318</v>
      </c>
      <c r="G483" t="s">
        <v>3594</v>
      </c>
      <c r="H483">
        <v>1</v>
      </c>
      <c r="I483" t="s">
        <v>3608</v>
      </c>
      <c r="J483" s="2" t="str">
        <f t="shared" si="21"/>
        <v>[503]=1318,</v>
      </c>
      <c r="K483" s="3">
        <f t="shared" si="22"/>
        <v>503</v>
      </c>
      <c r="L483" s="3">
        <f t="shared" si="23"/>
        <v>1318</v>
      </c>
      <c r="M483" s="9" t="str">
        <f>VLOOKUP(A483,WayshrineNames!$A$3:$B$967,2,)</f>
        <v>Steadfast Manor Wayshrine</v>
      </c>
      <c r="N483" s="3" t="str">
        <f>VLOOKUP(F483,'ESO zones'!$A$5:$D$10003,4,FALSE)</f>
        <v>High Isle</v>
      </c>
    </row>
    <row r="484" spans="1:14" x14ac:dyDescent="0.25">
      <c r="A484" s="58">
        <v>504</v>
      </c>
      <c r="B484">
        <v>46</v>
      </c>
      <c r="C484">
        <v>2114</v>
      </c>
      <c r="D484" t="s">
        <v>3593</v>
      </c>
      <c r="E484">
        <v>884</v>
      </c>
      <c r="F484">
        <v>1318</v>
      </c>
      <c r="G484" t="s">
        <v>3594</v>
      </c>
      <c r="H484">
        <v>1</v>
      </c>
      <c r="I484" t="s">
        <v>3609</v>
      </c>
      <c r="J484" s="2" t="str">
        <f t="shared" si="21"/>
        <v>[504]=1318,</v>
      </c>
      <c r="K484" s="3">
        <f t="shared" si="22"/>
        <v>504</v>
      </c>
      <c r="L484" s="3">
        <f t="shared" si="23"/>
        <v>1318</v>
      </c>
      <c r="M484" s="9" t="str">
        <f>VLOOKUP(A484,WayshrineNames!$A$3:$B$967,2,)</f>
        <v>Castle Navire Wayshrine</v>
      </c>
      <c r="N484" s="3" t="str">
        <f>VLOOKUP(F484,'ESO zones'!$A$5:$D$10003,4,FALSE)</f>
        <v>High Isle</v>
      </c>
    </row>
    <row r="485" spans="1:14" x14ac:dyDescent="0.25">
      <c r="A485" s="58">
        <v>505</v>
      </c>
      <c r="B485">
        <v>46</v>
      </c>
      <c r="C485">
        <v>2114</v>
      </c>
      <c r="D485" t="s">
        <v>3593</v>
      </c>
      <c r="E485">
        <v>884</v>
      </c>
      <c r="F485">
        <v>1318</v>
      </c>
      <c r="G485" t="s">
        <v>3594</v>
      </c>
      <c r="H485">
        <v>1</v>
      </c>
      <c r="I485" t="s">
        <v>3610</v>
      </c>
      <c r="J485" s="2" t="str">
        <f t="shared" si="21"/>
        <v>[505]=1318,</v>
      </c>
      <c r="K485" s="3">
        <f t="shared" si="22"/>
        <v>505</v>
      </c>
      <c r="L485" s="3">
        <f t="shared" si="23"/>
        <v>1318</v>
      </c>
      <c r="M485" s="9" t="str">
        <f>VLOOKUP(A485,WayshrineNames!$A$3:$B$967,2,)</f>
        <v>Garick's Rest Wayshrine</v>
      </c>
      <c r="N485" s="3" t="str">
        <f>VLOOKUP(F485,'ESO zones'!$A$5:$D$10003,4,FALSE)</f>
        <v>High Isle</v>
      </c>
    </row>
    <row r="486" spans="1:14" x14ac:dyDescent="0.25">
      <c r="A486" s="58">
        <v>506</v>
      </c>
      <c r="B486">
        <v>46</v>
      </c>
      <c r="C486">
        <v>2114</v>
      </c>
      <c r="D486" t="s">
        <v>3593</v>
      </c>
      <c r="E486">
        <v>884</v>
      </c>
      <c r="F486">
        <v>1318</v>
      </c>
      <c r="G486" t="s">
        <v>3594</v>
      </c>
      <c r="H486">
        <v>1</v>
      </c>
      <c r="I486" t="s">
        <v>3611</v>
      </c>
      <c r="J486" s="2" t="str">
        <f t="shared" si="21"/>
        <v>[506]=1318,</v>
      </c>
      <c r="K486" s="3">
        <f t="shared" si="22"/>
        <v>506</v>
      </c>
      <c r="L486" s="3">
        <f t="shared" si="23"/>
        <v>1318</v>
      </c>
      <c r="M486" s="9" t="str">
        <f>VLOOKUP(A486,WayshrineNames!$A$3:$B$967,2,)</f>
        <v>Stonelore Grove Wayshrine</v>
      </c>
      <c r="N486" s="3" t="str">
        <f>VLOOKUP(F486,'ESO zones'!$A$5:$D$10003,4,FALSE)</f>
        <v>High Isle</v>
      </c>
    </row>
    <row r="487" spans="1:14" x14ac:dyDescent="0.25">
      <c r="A487" s="58">
        <v>507</v>
      </c>
      <c r="B487">
        <v>46</v>
      </c>
      <c r="C487">
        <v>2114</v>
      </c>
      <c r="D487" t="s">
        <v>3593</v>
      </c>
      <c r="E487">
        <v>884</v>
      </c>
      <c r="F487">
        <v>1318</v>
      </c>
      <c r="G487" t="s">
        <v>3594</v>
      </c>
      <c r="H487">
        <v>1</v>
      </c>
      <c r="I487" t="s">
        <v>3612</v>
      </c>
      <c r="J487" s="2" t="str">
        <f t="shared" si="21"/>
        <v>[507]=1318,</v>
      </c>
      <c r="K487" s="3">
        <f t="shared" si="22"/>
        <v>507</v>
      </c>
      <c r="L487" s="3">
        <f t="shared" si="23"/>
        <v>1318</v>
      </c>
      <c r="M487" s="9" t="str">
        <f>VLOOKUP(A487,WayshrineNames!$A$3:$B$967,2,)</f>
        <v>Dufort Shipyards Wayshrine</v>
      </c>
      <c r="N487" s="3" t="str">
        <f>VLOOKUP(F487,'ESO zones'!$A$5:$D$10003,4,FALSE)</f>
        <v>High Isle</v>
      </c>
    </row>
    <row r="488" spans="1:14" x14ac:dyDescent="0.25">
      <c r="A488" s="58">
        <v>508</v>
      </c>
      <c r="B488">
        <v>46</v>
      </c>
      <c r="C488">
        <v>2114</v>
      </c>
      <c r="D488" t="s">
        <v>3593</v>
      </c>
      <c r="E488">
        <v>884</v>
      </c>
      <c r="F488">
        <v>1318</v>
      </c>
      <c r="G488" t="s">
        <v>3594</v>
      </c>
      <c r="H488">
        <v>1</v>
      </c>
      <c r="I488" t="s">
        <v>3613</v>
      </c>
      <c r="J488" s="2" t="str">
        <f t="shared" si="21"/>
        <v>[508]=1318,</v>
      </c>
      <c r="K488" s="3">
        <f t="shared" si="22"/>
        <v>508</v>
      </c>
      <c r="L488" s="3">
        <f t="shared" si="23"/>
        <v>1318</v>
      </c>
      <c r="M488" s="9" t="str">
        <f>VLOOKUP(A488,WayshrineNames!$A$3:$B$967,2,)</f>
        <v>Amenos Station Wayshrine</v>
      </c>
      <c r="N488" s="3" t="str">
        <f>VLOOKUP(F488,'ESO zones'!$A$5:$D$10003,4,FALSE)</f>
        <v>High Isle</v>
      </c>
    </row>
    <row r="489" spans="1:14" x14ac:dyDescent="0.25">
      <c r="A489" s="58">
        <v>509</v>
      </c>
      <c r="B489">
        <v>46</v>
      </c>
      <c r="C489">
        <v>2114</v>
      </c>
      <c r="D489" t="s">
        <v>3593</v>
      </c>
      <c r="E489">
        <v>884</v>
      </c>
      <c r="F489">
        <v>1318</v>
      </c>
      <c r="G489" t="s">
        <v>3594</v>
      </c>
      <c r="H489">
        <v>1</v>
      </c>
      <c r="I489" t="s">
        <v>3614</v>
      </c>
      <c r="J489" s="2" t="str">
        <f t="shared" si="21"/>
        <v>[509]=1318,</v>
      </c>
      <c r="K489" s="3">
        <f t="shared" si="22"/>
        <v>509</v>
      </c>
      <c r="L489" s="3">
        <f t="shared" si="23"/>
        <v>1318</v>
      </c>
      <c r="M489" s="9" t="str">
        <f>VLOOKUP(A489,WayshrineNames!$A$3:$B$967,2,)</f>
        <v>Brokerock Wayshrine</v>
      </c>
      <c r="N489" s="3" t="str">
        <f>VLOOKUP(F489,'ESO zones'!$A$5:$D$10003,4,FALSE)</f>
        <v>High Isle</v>
      </c>
    </row>
    <row r="490" spans="1:14" x14ac:dyDescent="0.25">
      <c r="A490" s="58">
        <v>510</v>
      </c>
      <c r="B490">
        <v>46</v>
      </c>
      <c r="C490">
        <v>2114</v>
      </c>
      <c r="D490" t="s">
        <v>3593</v>
      </c>
      <c r="E490">
        <v>884</v>
      </c>
      <c r="F490">
        <v>1318</v>
      </c>
      <c r="G490" t="s">
        <v>3594</v>
      </c>
      <c r="H490">
        <v>1</v>
      </c>
      <c r="I490" t="s">
        <v>3615</v>
      </c>
      <c r="J490" s="2" t="str">
        <f t="shared" si="21"/>
        <v>[510]=1318,</v>
      </c>
      <c r="K490" s="3">
        <f t="shared" si="22"/>
        <v>510</v>
      </c>
      <c r="L490" s="3">
        <f t="shared" si="23"/>
        <v>1318</v>
      </c>
      <c r="M490" s="9" t="str">
        <f>VLOOKUP(A490,WayshrineNames!$A$3:$B$967,2,)</f>
        <v>All Flags Wayshrine</v>
      </c>
      <c r="N490" s="3" t="str">
        <f>VLOOKUP(F490,'ESO zones'!$A$5:$D$10003,4,FALSE)</f>
        <v>High Isle</v>
      </c>
    </row>
    <row r="491" spans="1:14" x14ac:dyDescent="0.25">
      <c r="A491" s="58">
        <v>511</v>
      </c>
      <c r="B491">
        <v>46</v>
      </c>
      <c r="C491">
        <v>2114</v>
      </c>
      <c r="D491" t="s">
        <v>3593</v>
      </c>
      <c r="E491">
        <v>884</v>
      </c>
      <c r="F491">
        <v>1318</v>
      </c>
      <c r="G491" t="s">
        <v>3594</v>
      </c>
      <c r="H491">
        <v>1</v>
      </c>
      <c r="I491" t="s">
        <v>3616</v>
      </c>
      <c r="J491" s="2" t="str">
        <f t="shared" si="21"/>
        <v>[511]=1318,</v>
      </c>
      <c r="K491" s="3">
        <f t="shared" si="22"/>
        <v>511</v>
      </c>
      <c r="L491" s="3">
        <f t="shared" si="23"/>
        <v>1318</v>
      </c>
      <c r="M491" s="9" t="str">
        <f>VLOOKUP(A491,WayshrineNames!$A$3:$B$967,2,)</f>
        <v>Trappers Peak Wayshrine</v>
      </c>
      <c r="N491" s="3" t="str">
        <f>VLOOKUP(F491,'ESO zones'!$A$5:$D$10003,4,FALSE)</f>
        <v>High Isle</v>
      </c>
    </row>
    <row r="492" spans="1:14" x14ac:dyDescent="0.25">
      <c r="A492" s="58">
        <v>512</v>
      </c>
      <c r="B492">
        <v>46</v>
      </c>
      <c r="C492">
        <v>2114</v>
      </c>
      <c r="D492" t="s">
        <v>3593</v>
      </c>
      <c r="E492">
        <v>884</v>
      </c>
      <c r="F492">
        <v>1318</v>
      </c>
      <c r="G492" t="s">
        <v>3594</v>
      </c>
      <c r="H492">
        <v>1</v>
      </c>
      <c r="I492" t="s">
        <v>3617</v>
      </c>
      <c r="J492" s="2" t="str">
        <f t="shared" si="21"/>
        <v>[512]=1318,</v>
      </c>
      <c r="K492" s="3">
        <f t="shared" si="22"/>
        <v>512</v>
      </c>
      <c r="L492" s="3">
        <f t="shared" si="23"/>
        <v>1318</v>
      </c>
      <c r="M492" s="9" t="str">
        <f>VLOOKUP(A492,WayshrineNames!$A$3:$B$967,2,)</f>
        <v>Westbay Wayshrine</v>
      </c>
      <c r="N492" s="3" t="str">
        <f>VLOOKUP(F492,'ESO zones'!$A$5:$D$10003,4,FALSE)</f>
        <v>High Isle</v>
      </c>
    </row>
    <row r="493" spans="1:14" x14ac:dyDescent="0.25">
      <c r="A493" s="58">
        <v>513</v>
      </c>
      <c r="B493">
        <v>46</v>
      </c>
      <c r="C493">
        <v>2114</v>
      </c>
      <c r="D493" t="s">
        <v>3593</v>
      </c>
      <c r="E493">
        <v>884</v>
      </c>
      <c r="F493">
        <v>1318</v>
      </c>
      <c r="G493" t="s">
        <v>3594</v>
      </c>
      <c r="H493">
        <v>1</v>
      </c>
      <c r="I493" t="s">
        <v>3618</v>
      </c>
      <c r="J493" s="2" t="str">
        <f t="shared" si="21"/>
        <v>[513]=1318,</v>
      </c>
      <c r="K493" s="3">
        <f t="shared" si="22"/>
        <v>513</v>
      </c>
      <c r="L493" s="3">
        <f t="shared" si="23"/>
        <v>1318</v>
      </c>
      <c r="M493" s="9" t="str">
        <f>VLOOKUP(A493,WayshrineNames!$A$3:$B$967,2,)</f>
        <v>Gonfalon Square Wayshrine</v>
      </c>
      <c r="N493" s="3" t="str">
        <f>VLOOKUP(F493,'ESO zones'!$A$5:$D$10003,4,FALSE)</f>
        <v>High Isle</v>
      </c>
    </row>
    <row r="494" spans="1:14" x14ac:dyDescent="0.25">
      <c r="A494" s="58">
        <v>517</v>
      </c>
      <c r="B494">
        <v>46</v>
      </c>
      <c r="C494">
        <v>2114</v>
      </c>
      <c r="D494" t="s">
        <v>3593</v>
      </c>
      <c r="E494">
        <v>884</v>
      </c>
      <c r="F494">
        <v>1318</v>
      </c>
      <c r="G494" t="s">
        <v>3594</v>
      </c>
      <c r="H494">
        <v>0</v>
      </c>
      <c r="I494" t="s">
        <v>3619</v>
      </c>
      <c r="J494" s="2" t="str">
        <f t="shared" si="21"/>
        <v>[517]=1318,</v>
      </c>
      <c r="K494" s="3">
        <f t="shared" si="22"/>
        <v>517</v>
      </c>
      <c r="L494" s="3">
        <f t="shared" si="23"/>
        <v>1318</v>
      </c>
      <c r="M494" s="9" t="str">
        <f>VLOOKUP(A494,WayshrineNames!$A$3:$B$967,2,)</f>
        <v>All Flags Islet</v>
      </c>
      <c r="N494" s="3" t="str">
        <f>VLOOKUP(F494,'ESO zones'!$A$5:$D$10003,4,FALSE)</f>
        <v>High Isle</v>
      </c>
    </row>
    <row r="495" spans="1:14" x14ac:dyDescent="0.25">
      <c r="A495" s="58">
        <v>518</v>
      </c>
      <c r="B495">
        <v>46</v>
      </c>
      <c r="C495">
        <v>2114</v>
      </c>
      <c r="D495" t="s">
        <v>3593</v>
      </c>
      <c r="E495">
        <v>884</v>
      </c>
      <c r="F495">
        <v>1318</v>
      </c>
      <c r="G495" t="s">
        <v>3594</v>
      </c>
      <c r="H495">
        <v>1</v>
      </c>
      <c r="I495" t="s">
        <v>3620</v>
      </c>
      <c r="J495" s="2" t="str">
        <f t="shared" si="21"/>
        <v>[518]=1318,</v>
      </c>
      <c r="K495" s="3">
        <f t="shared" si="22"/>
        <v>518</v>
      </c>
      <c r="L495" s="3">
        <f t="shared" si="23"/>
        <v>1318</v>
      </c>
      <c r="M495" s="9" t="str">
        <f>VLOOKUP(A495,WayshrineNames!$A$3:$B$967,2,)</f>
        <v>Serpents Hollow Wayshrine</v>
      </c>
      <c r="N495" s="3" t="str">
        <f>VLOOKUP(F495,'ESO zones'!$A$5:$D$10003,4,FALSE)</f>
        <v>High Isle</v>
      </c>
    </row>
    <row r="496" spans="1:14" x14ac:dyDescent="0.25">
      <c r="A496" s="58">
        <v>519</v>
      </c>
      <c r="B496">
        <v>46</v>
      </c>
      <c r="C496">
        <v>2114</v>
      </c>
      <c r="D496" t="s">
        <v>3593</v>
      </c>
      <c r="E496">
        <v>884</v>
      </c>
      <c r="F496">
        <v>1318</v>
      </c>
      <c r="G496" t="s">
        <v>3594</v>
      </c>
      <c r="H496">
        <v>1</v>
      </c>
      <c r="I496" t="s">
        <v>3621</v>
      </c>
      <c r="J496" s="2" t="str">
        <f t="shared" si="21"/>
        <v>[519]=1318,</v>
      </c>
      <c r="K496" s="3">
        <f t="shared" si="22"/>
        <v>519</v>
      </c>
      <c r="L496" s="3">
        <f t="shared" si="23"/>
        <v>1318</v>
      </c>
      <c r="M496" s="9" t="str">
        <f>VLOOKUP(A496,WayshrineNames!$A$3:$B$967,2,)</f>
        <v>Flooded Coast Wayshrine</v>
      </c>
      <c r="N496" s="3" t="str">
        <f>VLOOKUP(F496,'ESO zones'!$A$5:$D$10003,4,FALSE)</f>
        <v>High Isle</v>
      </c>
    </row>
    <row r="497" spans="1:14" x14ac:dyDescent="0.25">
      <c r="A497" s="58">
        <v>520</v>
      </c>
      <c r="B497">
        <v>46</v>
      </c>
      <c r="C497">
        <v>2114</v>
      </c>
      <c r="D497" t="s">
        <v>3593</v>
      </c>
      <c r="E497">
        <v>884</v>
      </c>
      <c r="F497">
        <v>1318</v>
      </c>
      <c r="G497" t="s">
        <v>3594</v>
      </c>
      <c r="H497">
        <v>6</v>
      </c>
      <c r="I497" t="s">
        <v>3622</v>
      </c>
      <c r="J497" s="2" t="str">
        <f t="shared" si="21"/>
        <v>[520]=1318,</v>
      </c>
      <c r="K497" s="3">
        <f t="shared" si="22"/>
        <v>520</v>
      </c>
      <c r="L497" s="3">
        <f t="shared" si="23"/>
        <v>1318</v>
      </c>
      <c r="M497" s="9" t="str">
        <f>VLOOKUP(A497,WayshrineNames!$A$3:$B$967,2,)</f>
        <v>Dungeon: Earthen Root Enclave</v>
      </c>
      <c r="N497" s="3" t="str">
        <f>VLOOKUP(F497,'ESO zones'!$A$5:$D$10003,4,FALSE)</f>
        <v>High Isle</v>
      </c>
    </row>
    <row r="498" spans="1:14" x14ac:dyDescent="0.25">
      <c r="A498" s="58">
        <v>521</v>
      </c>
      <c r="B498">
        <v>46</v>
      </c>
      <c r="C498">
        <v>2114</v>
      </c>
      <c r="D498" t="s">
        <v>3593</v>
      </c>
      <c r="E498">
        <v>884</v>
      </c>
      <c r="F498">
        <v>1318</v>
      </c>
      <c r="G498" t="s">
        <v>3594</v>
      </c>
      <c r="H498">
        <v>6</v>
      </c>
      <c r="I498" t="s">
        <v>3623</v>
      </c>
      <c r="J498" s="2" t="str">
        <f t="shared" si="21"/>
        <v>[521]=1318,</v>
      </c>
      <c r="K498" s="3">
        <f t="shared" si="22"/>
        <v>521</v>
      </c>
      <c r="L498" s="3">
        <f t="shared" si="23"/>
        <v>1318</v>
      </c>
      <c r="M498" s="9" t="str">
        <f>VLOOKUP(A498,WayshrineNames!$A$3:$B$967,2,)</f>
        <v>Dungeon: Graven Deep</v>
      </c>
      <c r="N498" s="3" t="str">
        <f>VLOOKUP(F498,'ESO zones'!$A$5:$D$10003,4,FALSE)</f>
        <v>High Isle</v>
      </c>
    </row>
    <row r="499" spans="1:14" x14ac:dyDescent="0.25">
      <c r="A499" s="58">
        <v>522</v>
      </c>
      <c r="B499">
        <v>46</v>
      </c>
      <c r="C499">
        <v>2114</v>
      </c>
      <c r="D499" t="s">
        <v>3593</v>
      </c>
      <c r="E499">
        <v>884</v>
      </c>
      <c r="F499">
        <v>1318</v>
      </c>
      <c r="G499" t="s">
        <v>3594</v>
      </c>
      <c r="H499">
        <v>7</v>
      </c>
      <c r="I499" t="s">
        <v>3624</v>
      </c>
      <c r="J499" s="2" t="str">
        <f t="shared" si="21"/>
        <v>[522]=1318,</v>
      </c>
      <c r="K499" s="3">
        <f t="shared" si="22"/>
        <v>522</v>
      </c>
      <c r="L499" s="3">
        <f t="shared" si="23"/>
        <v>1318</v>
      </c>
      <c r="M499" s="9" t="str">
        <f>VLOOKUP(A499,WayshrineNames!$A$3:$B$967,2,)</f>
        <v>Ancient Anchor Berth</v>
      </c>
      <c r="N499" s="3" t="str">
        <f>VLOOKUP(F499,'ESO zones'!$A$5:$D$10003,4,FALSE)</f>
        <v>High Isle</v>
      </c>
    </row>
    <row r="500" spans="1:14" x14ac:dyDescent="0.25">
      <c r="A500" s="58">
        <v>523</v>
      </c>
      <c r="B500">
        <v>46</v>
      </c>
      <c r="C500">
        <v>2114</v>
      </c>
      <c r="D500" t="s">
        <v>3593</v>
      </c>
      <c r="E500">
        <v>884</v>
      </c>
      <c r="F500">
        <v>1318</v>
      </c>
      <c r="G500" t="s">
        <v>3594</v>
      </c>
      <c r="H500">
        <v>7</v>
      </c>
      <c r="I500" t="s">
        <v>3625</v>
      </c>
      <c r="J500" s="2" t="str">
        <f t="shared" si="21"/>
        <v>[523]=1318,</v>
      </c>
      <c r="K500" s="3">
        <f t="shared" si="22"/>
        <v>523</v>
      </c>
      <c r="L500" s="3">
        <f t="shared" si="23"/>
        <v>1318</v>
      </c>
      <c r="M500" s="9" t="str">
        <f>VLOOKUP(A500,WayshrineNames!$A$3:$B$967,2,)</f>
        <v>Highhallow Hold</v>
      </c>
      <c r="N500" s="3" t="str">
        <f>VLOOKUP(F500,'ESO zones'!$A$5:$D$10003,4,FALSE)</f>
        <v>High Isle</v>
      </c>
    </row>
    <row r="501" spans="1:14" x14ac:dyDescent="0.25">
      <c r="A501" s="58">
        <v>524</v>
      </c>
      <c r="B501">
        <v>48</v>
      </c>
      <c r="C501">
        <v>2212</v>
      </c>
      <c r="D501" t="s">
        <v>3626</v>
      </c>
      <c r="E501">
        <v>929</v>
      </c>
      <c r="F501">
        <v>1383</v>
      </c>
      <c r="G501" t="s">
        <v>1813</v>
      </c>
      <c r="H501">
        <v>1</v>
      </c>
      <c r="I501" t="s">
        <v>3627</v>
      </c>
      <c r="J501" s="2" t="str">
        <f t="shared" si="21"/>
        <v>[524]=1383,</v>
      </c>
      <c r="K501" s="3">
        <f t="shared" si="22"/>
        <v>524</v>
      </c>
      <c r="L501" s="3">
        <f t="shared" si="23"/>
        <v>1383</v>
      </c>
      <c r="M501" s="9" t="str">
        <f>VLOOKUP(A501,WayshrineNames!$A$3:$B$967,2,)</f>
        <v>Vastyr Outskirts Wayshrine</v>
      </c>
      <c r="N501" s="3" t="str">
        <f>VLOOKUP(F501,'ESO zones'!$A$5:$D$10003,4,FALSE)</f>
        <v>Galen</v>
      </c>
    </row>
    <row r="502" spans="1:14" x14ac:dyDescent="0.25">
      <c r="A502" s="58">
        <v>525</v>
      </c>
      <c r="B502">
        <v>48</v>
      </c>
      <c r="C502">
        <v>2212</v>
      </c>
      <c r="D502" t="s">
        <v>3626</v>
      </c>
      <c r="E502">
        <v>929</v>
      </c>
      <c r="F502">
        <v>1383</v>
      </c>
      <c r="G502" t="s">
        <v>1813</v>
      </c>
      <c r="H502">
        <v>1</v>
      </c>
      <c r="I502" t="s">
        <v>3628</v>
      </c>
      <c r="J502" s="2" t="str">
        <f t="shared" si="21"/>
        <v>[525]=1383,</v>
      </c>
      <c r="K502" s="3">
        <f t="shared" si="22"/>
        <v>525</v>
      </c>
      <c r="L502" s="3">
        <f t="shared" si="23"/>
        <v>1383</v>
      </c>
      <c r="M502" s="9" t="str">
        <f>VLOOKUP(A502,WayshrineNames!$A$3:$B$967,2,)</f>
        <v>Glimmertarn Wayshrine</v>
      </c>
      <c r="N502" s="3" t="str">
        <f>VLOOKUP(F502,'ESO zones'!$A$5:$D$10003,4,FALSE)</f>
        <v>Galen</v>
      </c>
    </row>
    <row r="503" spans="1:14" x14ac:dyDescent="0.25">
      <c r="A503" s="58">
        <v>526</v>
      </c>
      <c r="B503">
        <v>48</v>
      </c>
      <c r="C503">
        <v>2212</v>
      </c>
      <c r="D503" t="s">
        <v>3626</v>
      </c>
      <c r="E503">
        <v>929</v>
      </c>
      <c r="F503">
        <v>1383</v>
      </c>
      <c r="G503" t="s">
        <v>1813</v>
      </c>
      <c r="H503">
        <v>1</v>
      </c>
      <c r="I503" t="s">
        <v>3629</v>
      </c>
      <c r="J503" s="2" t="str">
        <f t="shared" si="21"/>
        <v>[526]=1383,</v>
      </c>
      <c r="K503" s="3">
        <f t="shared" si="22"/>
        <v>526</v>
      </c>
      <c r="L503" s="3">
        <f t="shared" si="23"/>
        <v>1383</v>
      </c>
      <c r="M503" s="9" t="str">
        <f>VLOOKUP(A503,WayshrineNames!$A$3:$B$967,2,)</f>
        <v>Embervine Wayshrine</v>
      </c>
      <c r="N503" s="3" t="str">
        <f>VLOOKUP(F503,'ESO zones'!$A$5:$D$10003,4,FALSE)</f>
        <v>Galen</v>
      </c>
    </row>
    <row r="504" spans="1:14" x14ac:dyDescent="0.25">
      <c r="A504" s="58">
        <v>527</v>
      </c>
      <c r="B504">
        <v>48</v>
      </c>
      <c r="C504">
        <v>2212</v>
      </c>
      <c r="D504" t="s">
        <v>3626</v>
      </c>
      <c r="E504">
        <v>929</v>
      </c>
      <c r="F504">
        <v>1383</v>
      </c>
      <c r="G504" t="s">
        <v>1813</v>
      </c>
      <c r="H504">
        <v>1</v>
      </c>
      <c r="I504" t="s">
        <v>3630</v>
      </c>
      <c r="J504" s="2" t="str">
        <f t="shared" si="21"/>
        <v>[527]=1383,</v>
      </c>
      <c r="K504" s="3">
        <f t="shared" si="22"/>
        <v>527</v>
      </c>
      <c r="L504" s="3">
        <f t="shared" si="23"/>
        <v>1383</v>
      </c>
      <c r="M504" s="9" t="str">
        <f>VLOOKUP(A504,WayshrineNames!$A$3:$B$967,2,)</f>
        <v>Llanshara Wayshrine</v>
      </c>
      <c r="N504" s="3" t="str">
        <f>VLOOKUP(F504,'ESO zones'!$A$5:$D$10003,4,FALSE)</f>
        <v>Galen</v>
      </c>
    </row>
    <row r="505" spans="1:14" x14ac:dyDescent="0.25">
      <c r="A505" s="58">
        <v>528</v>
      </c>
      <c r="B505">
        <v>48</v>
      </c>
      <c r="C505">
        <v>2212</v>
      </c>
      <c r="D505" t="s">
        <v>3626</v>
      </c>
      <c r="E505">
        <v>929</v>
      </c>
      <c r="F505">
        <v>1383</v>
      </c>
      <c r="G505" t="s">
        <v>1813</v>
      </c>
      <c r="H505">
        <v>1</v>
      </c>
      <c r="I505" t="s">
        <v>3631</v>
      </c>
      <c r="J505" s="2" t="str">
        <f t="shared" si="21"/>
        <v>[528]=1383,</v>
      </c>
      <c r="K505" s="3">
        <f t="shared" si="22"/>
        <v>528</v>
      </c>
      <c r="L505" s="3">
        <f t="shared" si="23"/>
        <v>1383</v>
      </c>
      <c r="M505" s="9" t="str">
        <f>VLOOKUP(A505,WayshrineNames!$A$3:$B$967,2,)</f>
        <v>Y'ffre's Path Wayshrine</v>
      </c>
      <c r="N505" s="3" t="str">
        <f>VLOOKUP(F505,'ESO zones'!$A$5:$D$10003,4,FALSE)</f>
        <v>Galen</v>
      </c>
    </row>
    <row r="506" spans="1:14" x14ac:dyDescent="0.25">
      <c r="A506" s="58">
        <v>529</v>
      </c>
      <c r="B506">
        <v>48</v>
      </c>
      <c r="C506">
        <v>2212</v>
      </c>
      <c r="D506" t="s">
        <v>3626</v>
      </c>
      <c r="E506">
        <v>929</v>
      </c>
      <c r="F506">
        <v>1383</v>
      </c>
      <c r="G506" t="s">
        <v>1813</v>
      </c>
      <c r="H506">
        <v>1</v>
      </c>
      <c r="I506" t="s">
        <v>3632</v>
      </c>
      <c r="J506" s="2" t="str">
        <f t="shared" si="21"/>
        <v>[529]=1383,</v>
      </c>
      <c r="K506" s="3">
        <f t="shared" si="22"/>
        <v>529</v>
      </c>
      <c r="L506" s="3">
        <f t="shared" si="23"/>
        <v>1383</v>
      </c>
      <c r="M506" s="9" t="str">
        <f>VLOOKUP(A506,WayshrineNames!$A$3:$B$967,2,)</f>
        <v>Vastyr Wayshrine</v>
      </c>
      <c r="N506" s="3" t="str">
        <f>VLOOKUP(F506,'ESO zones'!$A$5:$D$10003,4,FALSE)</f>
        <v>Galen</v>
      </c>
    </row>
    <row r="507" spans="1:14" x14ac:dyDescent="0.25">
      <c r="A507" s="58">
        <v>530</v>
      </c>
      <c r="B507">
        <v>48</v>
      </c>
      <c r="C507">
        <v>2212</v>
      </c>
      <c r="D507" t="s">
        <v>3626</v>
      </c>
      <c r="E507">
        <v>929</v>
      </c>
      <c r="F507">
        <v>1383</v>
      </c>
      <c r="G507" t="s">
        <v>1813</v>
      </c>
      <c r="H507">
        <v>1</v>
      </c>
      <c r="I507" t="s">
        <v>3633</v>
      </c>
      <c r="J507" s="2" t="str">
        <f t="shared" si="21"/>
        <v>[530]=1383,</v>
      </c>
      <c r="K507" s="3">
        <f t="shared" si="22"/>
        <v>530</v>
      </c>
      <c r="L507" s="3">
        <f t="shared" si="23"/>
        <v>1383</v>
      </c>
      <c r="M507" s="9" t="str">
        <f>VLOOKUP(A507,WayshrineNames!$A$3:$B$967,2,)</f>
        <v>Eastern Shores Wayshrine</v>
      </c>
      <c r="N507" s="3" t="str">
        <f>VLOOKUP(F507,'ESO zones'!$A$5:$D$10003,4,FALSE)</f>
        <v>Galen</v>
      </c>
    </row>
    <row r="508" spans="1:14" x14ac:dyDescent="0.25">
      <c r="A508" s="58">
        <v>531</v>
      </c>
      <c r="B508">
        <v>11</v>
      </c>
      <c r="C508">
        <v>7</v>
      </c>
      <c r="D508" t="s">
        <v>3150</v>
      </c>
      <c r="E508">
        <v>9</v>
      </c>
      <c r="F508">
        <v>41</v>
      </c>
      <c r="G508" t="s">
        <v>3150</v>
      </c>
      <c r="H508">
        <v>6</v>
      </c>
      <c r="I508" t="s">
        <v>3634</v>
      </c>
      <c r="J508" s="2" t="str">
        <f t="shared" si="21"/>
        <v>[531]=41,</v>
      </c>
      <c r="K508" s="3">
        <f t="shared" si="22"/>
        <v>531</v>
      </c>
      <c r="L508" s="3">
        <f t="shared" si="23"/>
        <v>41</v>
      </c>
      <c r="M508" s="9" t="str">
        <f>VLOOKUP(A508,WayshrineNames!$A$3:$B$967,2,)</f>
        <v>Dungeon: Bal Sunnar</v>
      </c>
      <c r="N508" s="3" t="str">
        <f>VLOOKUP(F508,'ESO zones'!$A$5:$D$10003,4,FALSE)</f>
        <v>Stonefalls</v>
      </c>
    </row>
    <row r="509" spans="1:14" x14ac:dyDescent="0.25">
      <c r="A509" s="58">
        <v>532</v>
      </c>
      <c r="B509">
        <v>12</v>
      </c>
      <c r="C509">
        <v>125</v>
      </c>
      <c r="D509" t="s">
        <v>3221</v>
      </c>
      <c r="E509">
        <v>16</v>
      </c>
      <c r="F509">
        <v>103</v>
      </c>
      <c r="G509" t="s">
        <v>3221</v>
      </c>
      <c r="H509">
        <v>6</v>
      </c>
      <c r="I509" t="s">
        <v>3635</v>
      </c>
      <c r="J509" s="2" t="str">
        <f t="shared" si="21"/>
        <v>[532]=103,</v>
      </c>
      <c r="K509" s="3">
        <f t="shared" si="22"/>
        <v>532</v>
      </c>
      <c r="L509" s="3">
        <f t="shared" si="23"/>
        <v>103</v>
      </c>
      <c r="M509" s="9" t="str">
        <f>VLOOKUP(A509,WayshrineNames!$A$3:$B$967,2,)</f>
        <v>Dungeon: Scrivener's Hall</v>
      </c>
      <c r="N509" s="3" t="str">
        <f>VLOOKUP(F509,'ESO zones'!$A$5:$D$10003,4,FALSE)</f>
        <v>The Rift</v>
      </c>
    </row>
    <row r="510" spans="1:14" x14ac:dyDescent="0.25">
      <c r="A510" s="58">
        <v>533</v>
      </c>
      <c r="B510">
        <v>46</v>
      </c>
      <c r="C510">
        <v>2114</v>
      </c>
      <c r="D510" t="s">
        <v>3593</v>
      </c>
      <c r="E510">
        <v>884</v>
      </c>
      <c r="F510">
        <v>1318</v>
      </c>
      <c r="G510" t="s">
        <v>3594</v>
      </c>
      <c r="H510">
        <v>7</v>
      </c>
      <c r="I510" t="s">
        <v>3636</v>
      </c>
      <c r="J510" s="2" t="str">
        <f t="shared" si="21"/>
        <v>[533]=1318,</v>
      </c>
      <c r="K510" s="3">
        <f t="shared" si="22"/>
        <v>533</v>
      </c>
      <c r="L510" s="3">
        <f t="shared" si="23"/>
        <v>1318</v>
      </c>
      <c r="M510" s="9" t="str">
        <f>VLOOKUP(A510,WayshrineNames!$A$3:$B$967,2,)</f>
        <v>Fogbreak Lighthouse</v>
      </c>
      <c r="N510" s="3" t="str">
        <f>VLOOKUP(F510,'ESO zones'!$A$5:$D$10003,4,FALSE)</f>
        <v>High Isle</v>
      </c>
    </row>
    <row r="511" spans="1:14" x14ac:dyDescent="0.25">
      <c r="A511" s="58">
        <v>534</v>
      </c>
      <c r="B511">
        <v>49</v>
      </c>
      <c r="C511">
        <v>2274</v>
      </c>
      <c r="D511" t="s">
        <v>3637</v>
      </c>
      <c r="E511">
        <v>958</v>
      </c>
      <c r="F511">
        <v>1414</v>
      </c>
      <c r="G511" t="s">
        <v>3637</v>
      </c>
      <c r="H511">
        <v>3</v>
      </c>
      <c r="I511" t="s">
        <v>3638</v>
      </c>
      <c r="J511" s="2" t="str">
        <f t="shared" si="21"/>
        <v>[534]=1414,</v>
      </c>
      <c r="K511" s="3">
        <f t="shared" si="22"/>
        <v>534</v>
      </c>
      <c r="L511" s="3">
        <f t="shared" si="23"/>
        <v>1414</v>
      </c>
      <c r="M511" s="9" t="str">
        <f>VLOOKUP(A511,WayshrineNames!$A$3:$B$967,2,)</f>
        <v>Trial: Sanity's Edge</v>
      </c>
      <c r="N511" s="3" t="str">
        <f>VLOOKUP(F511,'ESO zones'!$A$5:$D$10003,4,FALSE)</f>
        <v>Telvanni Peninsula</v>
      </c>
    </row>
    <row r="512" spans="1:14" x14ac:dyDescent="0.25">
      <c r="A512" s="58">
        <v>535</v>
      </c>
      <c r="B512">
        <v>49</v>
      </c>
      <c r="C512">
        <v>2274</v>
      </c>
      <c r="D512" t="s">
        <v>3637</v>
      </c>
      <c r="E512">
        <v>958</v>
      </c>
      <c r="F512">
        <v>1414</v>
      </c>
      <c r="G512" t="s">
        <v>3637</v>
      </c>
      <c r="H512">
        <v>1</v>
      </c>
      <c r="I512" t="s">
        <v>3639</v>
      </c>
      <c r="J512" s="2" t="str">
        <f t="shared" si="21"/>
        <v>[535]=1414,</v>
      </c>
      <c r="K512" s="3">
        <f t="shared" si="22"/>
        <v>535</v>
      </c>
      <c r="L512" s="3">
        <f t="shared" si="23"/>
        <v>1414</v>
      </c>
      <c r="M512" s="9" t="str">
        <f>VLOOKUP(A512,WayshrineNames!$A$3:$B$967,2,)</f>
        <v>Necrom Outskirts Wayshrine</v>
      </c>
      <c r="N512" s="3" t="str">
        <f>VLOOKUP(F512,'ESO zones'!$A$5:$D$10003,4,FALSE)</f>
        <v>Telvanni Peninsula</v>
      </c>
    </row>
    <row r="513" spans="1:14" x14ac:dyDescent="0.25">
      <c r="A513" s="58">
        <v>536</v>
      </c>
      <c r="B513">
        <v>49</v>
      </c>
      <c r="C513">
        <v>2274</v>
      </c>
      <c r="D513" t="s">
        <v>3637</v>
      </c>
      <c r="E513">
        <v>958</v>
      </c>
      <c r="F513">
        <v>1414</v>
      </c>
      <c r="G513" t="s">
        <v>3637</v>
      </c>
      <c r="H513">
        <v>1</v>
      </c>
      <c r="I513" t="s">
        <v>3640</v>
      </c>
      <c r="J513" s="2" t="str">
        <f t="shared" si="21"/>
        <v>[536]=1414,</v>
      </c>
      <c r="K513" s="3">
        <f t="shared" si="22"/>
        <v>536</v>
      </c>
      <c r="L513" s="3">
        <f t="shared" si="23"/>
        <v>1414</v>
      </c>
      <c r="M513" s="9" t="str">
        <f>VLOOKUP(A513,WayshrineNames!$A$3:$B$967,2,)</f>
        <v>Necrom Wayshrine</v>
      </c>
      <c r="N513" s="3" t="str">
        <f>VLOOKUP(F513,'ESO zones'!$A$5:$D$10003,4,FALSE)</f>
        <v>Telvanni Peninsula</v>
      </c>
    </row>
    <row r="514" spans="1:14" x14ac:dyDescent="0.25">
      <c r="A514" s="58">
        <v>537</v>
      </c>
      <c r="B514">
        <v>49</v>
      </c>
      <c r="C514">
        <v>2274</v>
      </c>
      <c r="D514" t="s">
        <v>3637</v>
      </c>
      <c r="E514">
        <v>958</v>
      </c>
      <c r="F514">
        <v>1414</v>
      </c>
      <c r="G514" t="s">
        <v>3637</v>
      </c>
      <c r="H514">
        <v>1</v>
      </c>
      <c r="I514" t="s">
        <v>3641</v>
      </c>
      <c r="J514" s="2" t="str">
        <f t="shared" si="21"/>
        <v>[537]=1414,</v>
      </c>
      <c r="K514" s="3">
        <f t="shared" si="22"/>
        <v>537</v>
      </c>
      <c r="L514" s="3">
        <f t="shared" si="23"/>
        <v>1414</v>
      </c>
      <c r="M514" s="9" t="str">
        <f>VLOOKUP(A514,WayshrineNames!$A$3:$B$967,2,)</f>
        <v>Fungal Lowlands Wayshrine</v>
      </c>
      <c r="N514" s="3" t="str">
        <f>VLOOKUP(F514,'ESO zones'!$A$5:$D$10003,4,FALSE)</f>
        <v>Telvanni Peninsula</v>
      </c>
    </row>
    <row r="515" spans="1:14" x14ac:dyDescent="0.25">
      <c r="A515" s="58">
        <v>538</v>
      </c>
      <c r="B515">
        <v>49</v>
      </c>
      <c r="C515">
        <v>2274</v>
      </c>
      <c r="D515" t="s">
        <v>3637</v>
      </c>
      <c r="E515">
        <v>958</v>
      </c>
      <c r="F515">
        <v>1414</v>
      </c>
      <c r="G515" t="s">
        <v>3637</v>
      </c>
      <c r="H515">
        <v>1</v>
      </c>
      <c r="I515" t="s">
        <v>3642</v>
      </c>
      <c r="J515" s="2" t="str">
        <f t="shared" ref="J515:J578" si="24">IF(A515&lt;&gt;"",IF(F515&lt;&gt;"",IF(OR(ISNA(A515),ISNA(F515)),"","["&amp;A515&amp;"]="&amp;F515&amp;","),""),"")</f>
        <v>[538]=1414,</v>
      </c>
      <c r="K515" s="3">
        <f t="shared" ref="K515:K578" si="25">A515</f>
        <v>538</v>
      </c>
      <c r="L515" s="3">
        <f t="shared" ref="L515:L578" si="26">F515</f>
        <v>1414</v>
      </c>
      <c r="M515" s="9" t="str">
        <f>VLOOKUP(A515,WayshrineNames!$A$3:$B$967,2,)</f>
        <v>Ald Isra Wayshrine</v>
      </c>
      <c r="N515" s="3" t="str">
        <f>VLOOKUP(F515,'ESO zones'!$A$5:$D$10003,4,FALSE)</f>
        <v>Telvanni Peninsula</v>
      </c>
    </row>
    <row r="516" spans="1:14" x14ac:dyDescent="0.25">
      <c r="A516" s="58">
        <v>539</v>
      </c>
      <c r="B516">
        <v>49</v>
      </c>
      <c r="C516">
        <v>2274</v>
      </c>
      <c r="D516" t="s">
        <v>3637</v>
      </c>
      <c r="E516">
        <v>958</v>
      </c>
      <c r="F516">
        <v>1414</v>
      </c>
      <c r="G516" t="s">
        <v>3637</v>
      </c>
      <c r="H516">
        <v>1</v>
      </c>
      <c r="I516" t="s">
        <v>3643</v>
      </c>
      <c r="J516" s="2" t="str">
        <f t="shared" si="24"/>
        <v>[539]=1414,</v>
      </c>
      <c r="K516" s="3">
        <f t="shared" si="25"/>
        <v>539</v>
      </c>
      <c r="L516" s="3">
        <f t="shared" si="26"/>
        <v>1414</v>
      </c>
      <c r="M516" s="9" t="str">
        <f>VLOOKUP(A516,WayshrineNames!$A$3:$B$967,2,)</f>
        <v>Padomaic Crest Wayshrine</v>
      </c>
      <c r="N516" s="3" t="str">
        <f>VLOOKUP(F516,'ESO zones'!$A$5:$D$10003,4,FALSE)</f>
        <v>Telvanni Peninsula</v>
      </c>
    </row>
    <row r="517" spans="1:14" x14ac:dyDescent="0.25">
      <c r="A517" s="58">
        <v>540</v>
      </c>
      <c r="B517">
        <v>50</v>
      </c>
      <c r="C517">
        <v>2275</v>
      </c>
      <c r="D517" t="s">
        <v>1897</v>
      </c>
      <c r="E517">
        <v>957</v>
      </c>
      <c r="F517">
        <v>1413</v>
      </c>
      <c r="G517" t="s">
        <v>1897</v>
      </c>
      <c r="H517">
        <v>1</v>
      </c>
      <c r="I517" t="s">
        <v>3644</v>
      </c>
      <c r="J517" s="2" t="str">
        <f t="shared" si="24"/>
        <v>[540]=1413,</v>
      </c>
      <c r="K517" s="3">
        <f t="shared" si="25"/>
        <v>540</v>
      </c>
      <c r="L517" s="3">
        <f t="shared" si="26"/>
        <v>1413</v>
      </c>
      <c r="M517" s="9" t="str">
        <f>VLOOKUP(A517,WayshrineNames!$A$3:$B$967,2,)</f>
        <v>Soundless Bight Wayshrine</v>
      </c>
      <c r="N517" s="3" t="str">
        <f>VLOOKUP(F517,'ESO zones'!$A$5:$D$10003,4,FALSE)</f>
        <v>Apocrypha</v>
      </c>
    </row>
    <row r="518" spans="1:14" x14ac:dyDescent="0.25">
      <c r="A518" s="58">
        <v>541</v>
      </c>
      <c r="B518">
        <v>50</v>
      </c>
      <c r="C518">
        <v>2275</v>
      </c>
      <c r="D518" t="s">
        <v>1897</v>
      </c>
      <c r="E518">
        <v>957</v>
      </c>
      <c r="F518">
        <v>1413</v>
      </c>
      <c r="G518" t="s">
        <v>1897</v>
      </c>
      <c r="H518">
        <v>1</v>
      </c>
      <c r="I518" t="s">
        <v>3645</v>
      </c>
      <c r="J518" s="2" t="str">
        <f t="shared" si="24"/>
        <v>[541]=1413,</v>
      </c>
      <c r="K518" s="3">
        <f t="shared" si="25"/>
        <v>541</v>
      </c>
      <c r="L518" s="3">
        <f t="shared" si="26"/>
        <v>1413</v>
      </c>
      <c r="M518" s="9" t="str">
        <f>VLOOKUP(A518,WayshrineNames!$A$3:$B$967,2,)</f>
        <v>Stilled Shallows Wayshrine</v>
      </c>
      <c r="N518" s="3" t="str">
        <f>VLOOKUP(F518,'ESO zones'!$A$5:$D$10003,4,FALSE)</f>
        <v>Apocrypha</v>
      </c>
    </row>
    <row r="519" spans="1:14" x14ac:dyDescent="0.25">
      <c r="A519" s="58">
        <v>542</v>
      </c>
      <c r="B519">
        <v>50</v>
      </c>
      <c r="C519">
        <v>2275</v>
      </c>
      <c r="D519" t="s">
        <v>1897</v>
      </c>
      <c r="E519">
        <v>957</v>
      </c>
      <c r="F519">
        <v>1413</v>
      </c>
      <c r="G519" t="s">
        <v>1897</v>
      </c>
      <c r="H519">
        <v>1</v>
      </c>
      <c r="I519" t="s">
        <v>3646</v>
      </c>
      <c r="J519" s="2" t="str">
        <f t="shared" si="24"/>
        <v>[542]=1413,</v>
      </c>
      <c r="K519" s="3">
        <f t="shared" si="25"/>
        <v>542</v>
      </c>
      <c r="L519" s="3">
        <f t="shared" si="26"/>
        <v>1413</v>
      </c>
      <c r="M519" s="9" t="str">
        <f>VLOOKUP(A519,WayshrineNames!$A$3:$B$967,2,)</f>
        <v>Cipher's Midden Wayshrine</v>
      </c>
      <c r="N519" s="3" t="str">
        <f>VLOOKUP(F519,'ESO zones'!$A$5:$D$10003,4,FALSE)</f>
        <v>Apocrypha</v>
      </c>
    </row>
    <row r="520" spans="1:14" x14ac:dyDescent="0.25">
      <c r="A520" s="58">
        <v>543</v>
      </c>
      <c r="B520">
        <v>50</v>
      </c>
      <c r="C520">
        <v>2275</v>
      </c>
      <c r="D520" t="s">
        <v>1897</v>
      </c>
      <c r="E520">
        <v>957</v>
      </c>
      <c r="F520">
        <v>1413</v>
      </c>
      <c r="G520" t="s">
        <v>1897</v>
      </c>
      <c r="H520">
        <v>1</v>
      </c>
      <c r="I520" t="s">
        <v>3647</v>
      </c>
      <c r="J520" s="2" t="str">
        <f t="shared" si="24"/>
        <v>[543]=1413,</v>
      </c>
      <c r="K520" s="3">
        <f t="shared" si="25"/>
        <v>543</v>
      </c>
      <c r="L520" s="3">
        <f t="shared" si="26"/>
        <v>1413</v>
      </c>
      <c r="M520" s="9" t="str">
        <f>VLOOKUP(A520,WayshrineNames!$A$3:$B$967,2,)</f>
        <v>Speiran Tarn Wayshrine</v>
      </c>
      <c r="N520" s="3" t="str">
        <f>VLOOKUP(F520,'ESO zones'!$A$5:$D$10003,4,FALSE)</f>
        <v>Apocrypha</v>
      </c>
    </row>
    <row r="521" spans="1:14" x14ac:dyDescent="0.25">
      <c r="A521" s="58">
        <v>544</v>
      </c>
      <c r="B521">
        <v>50</v>
      </c>
      <c r="C521">
        <v>2275</v>
      </c>
      <c r="D521" t="s">
        <v>1897</v>
      </c>
      <c r="E521">
        <v>957</v>
      </c>
      <c r="F521">
        <v>1413</v>
      </c>
      <c r="G521" t="s">
        <v>1897</v>
      </c>
      <c r="H521">
        <v>1</v>
      </c>
      <c r="I521" t="s">
        <v>3648</v>
      </c>
      <c r="J521" s="2" t="str">
        <f t="shared" si="24"/>
        <v>[544]=1413,</v>
      </c>
      <c r="K521" s="3">
        <f t="shared" si="25"/>
        <v>544</v>
      </c>
      <c r="L521" s="3">
        <f t="shared" si="26"/>
        <v>1413</v>
      </c>
      <c r="M521" s="9" t="str">
        <f>VLOOKUP(A521,WayshrineNames!$A$3:$B$967,2,)</f>
        <v>Writhing Wastes Wayshrine</v>
      </c>
      <c r="N521" s="3" t="str">
        <f>VLOOKUP(F521,'ESO zones'!$A$5:$D$10003,4,FALSE)</f>
        <v>Apocrypha</v>
      </c>
    </row>
    <row r="522" spans="1:14" x14ac:dyDescent="0.25">
      <c r="A522" s="58">
        <v>545</v>
      </c>
      <c r="B522">
        <v>50</v>
      </c>
      <c r="C522">
        <v>2275</v>
      </c>
      <c r="D522" t="s">
        <v>1897</v>
      </c>
      <c r="E522">
        <v>957</v>
      </c>
      <c r="F522">
        <v>1413</v>
      </c>
      <c r="G522" t="s">
        <v>1897</v>
      </c>
      <c r="H522">
        <v>1</v>
      </c>
      <c r="I522" t="s">
        <v>3649</v>
      </c>
      <c r="J522" s="2" t="str">
        <f t="shared" si="24"/>
        <v>[545]=1413,</v>
      </c>
      <c r="K522" s="3">
        <f t="shared" si="25"/>
        <v>545</v>
      </c>
      <c r="L522" s="3">
        <f t="shared" si="26"/>
        <v>1413</v>
      </c>
      <c r="M522" s="9" t="str">
        <f>VLOOKUP(A522,WayshrineNames!$A$3:$B$967,2,)</f>
        <v>Tranquil Catalog Wayshrine</v>
      </c>
      <c r="N522" s="3" t="str">
        <f>VLOOKUP(F522,'ESO zones'!$A$5:$D$10003,4,FALSE)</f>
        <v>Apocrypha</v>
      </c>
    </row>
    <row r="523" spans="1:14" x14ac:dyDescent="0.25">
      <c r="A523" s="58">
        <v>546</v>
      </c>
      <c r="B523">
        <v>50</v>
      </c>
      <c r="C523">
        <v>2275</v>
      </c>
      <c r="D523" t="s">
        <v>1897</v>
      </c>
      <c r="E523">
        <v>957</v>
      </c>
      <c r="F523">
        <v>1413</v>
      </c>
      <c r="G523" t="s">
        <v>1897</v>
      </c>
      <c r="H523">
        <v>1</v>
      </c>
      <c r="I523" t="s">
        <v>3650</v>
      </c>
      <c r="J523" s="2" t="str">
        <f t="shared" si="24"/>
        <v>[546]=1413,</v>
      </c>
      <c r="K523" s="3">
        <f t="shared" si="25"/>
        <v>546</v>
      </c>
      <c r="L523" s="3">
        <f t="shared" si="26"/>
        <v>1413</v>
      </c>
      <c r="M523" s="9" t="str">
        <f>VLOOKUP(A523,WayshrineNames!$A$3:$B$967,2,)</f>
        <v>Apogee Nadir Wayshrine</v>
      </c>
      <c r="N523" s="3" t="str">
        <f>VLOOKUP(F523,'ESO zones'!$A$5:$D$10003,4,FALSE)</f>
        <v>Apocrypha</v>
      </c>
    </row>
    <row r="524" spans="1:14" x14ac:dyDescent="0.25">
      <c r="A524" s="58">
        <v>547</v>
      </c>
      <c r="B524">
        <v>50</v>
      </c>
      <c r="C524">
        <v>2275</v>
      </c>
      <c r="D524" t="s">
        <v>1897</v>
      </c>
      <c r="E524">
        <v>957</v>
      </c>
      <c r="F524">
        <v>1413</v>
      </c>
      <c r="G524" t="s">
        <v>1897</v>
      </c>
      <c r="H524">
        <v>1</v>
      </c>
      <c r="I524" t="s">
        <v>3651</v>
      </c>
      <c r="J524" s="2" t="str">
        <f t="shared" si="24"/>
        <v>[547]=1413,</v>
      </c>
      <c r="K524" s="3">
        <f t="shared" si="25"/>
        <v>547</v>
      </c>
      <c r="L524" s="3">
        <f t="shared" si="26"/>
        <v>1413</v>
      </c>
      <c r="M524" s="9" t="str">
        <f>VLOOKUP(A524,WayshrineNames!$A$3:$B$967,2,)</f>
        <v>Forlorn Palisades Wayshrine</v>
      </c>
      <c r="N524" s="3" t="str">
        <f>VLOOKUP(F524,'ESO zones'!$A$5:$D$10003,4,FALSE)</f>
        <v>Apocrypha</v>
      </c>
    </row>
    <row r="525" spans="1:14" x14ac:dyDescent="0.25">
      <c r="A525" s="58">
        <v>548</v>
      </c>
      <c r="B525">
        <v>50</v>
      </c>
      <c r="C525">
        <v>2275</v>
      </c>
      <c r="D525" t="s">
        <v>1897</v>
      </c>
      <c r="E525">
        <v>957</v>
      </c>
      <c r="F525">
        <v>1413</v>
      </c>
      <c r="G525" t="s">
        <v>1897</v>
      </c>
      <c r="H525">
        <v>1</v>
      </c>
      <c r="I525" t="s">
        <v>3652</v>
      </c>
      <c r="J525" s="2" t="str">
        <f t="shared" si="24"/>
        <v>[548]=1413,</v>
      </c>
      <c r="K525" s="3">
        <f t="shared" si="25"/>
        <v>548</v>
      </c>
      <c r="L525" s="3">
        <f t="shared" si="26"/>
        <v>1413</v>
      </c>
      <c r="M525" s="9" t="str">
        <f>VLOOKUP(A525,WayshrineNames!$A$3:$B$967,2,)</f>
        <v>Feral Gallery Wayshrine</v>
      </c>
      <c r="N525" s="3" t="str">
        <f>VLOOKUP(F525,'ESO zones'!$A$5:$D$10003,4,FALSE)</f>
        <v>Apocrypha</v>
      </c>
    </row>
    <row r="526" spans="1:14" x14ac:dyDescent="0.25">
      <c r="A526" s="58">
        <v>549</v>
      </c>
      <c r="B526">
        <v>49</v>
      </c>
      <c r="C526">
        <v>2274</v>
      </c>
      <c r="D526" t="s">
        <v>3637</v>
      </c>
      <c r="E526">
        <v>958</v>
      </c>
      <c r="F526">
        <v>1414</v>
      </c>
      <c r="G526" t="s">
        <v>3637</v>
      </c>
      <c r="H526">
        <v>1</v>
      </c>
      <c r="I526" t="s">
        <v>3653</v>
      </c>
      <c r="J526" s="2" t="str">
        <f t="shared" si="24"/>
        <v>[549]=1414,</v>
      </c>
      <c r="K526" s="3">
        <f t="shared" si="25"/>
        <v>549</v>
      </c>
      <c r="L526" s="3">
        <f t="shared" si="26"/>
        <v>1414</v>
      </c>
      <c r="M526" s="9" t="str">
        <f>VLOOKUP(A526,WayshrineNames!$A$3:$B$967,2,)</f>
        <v>Great Arm Wayshrine</v>
      </c>
      <c r="N526" s="3" t="str">
        <f>VLOOKUP(F526,'ESO zones'!$A$5:$D$10003,4,FALSE)</f>
        <v>Telvanni Peninsula</v>
      </c>
    </row>
    <row r="527" spans="1:14" x14ac:dyDescent="0.25">
      <c r="A527" s="58">
        <v>550</v>
      </c>
      <c r="B527">
        <v>50</v>
      </c>
      <c r="C527">
        <v>2275</v>
      </c>
      <c r="D527" t="s">
        <v>1897</v>
      </c>
      <c r="E527">
        <v>957</v>
      </c>
      <c r="F527">
        <v>1413</v>
      </c>
      <c r="G527" t="s">
        <v>1897</v>
      </c>
      <c r="H527">
        <v>6</v>
      </c>
      <c r="I527" t="s">
        <v>306</v>
      </c>
      <c r="J527" s="2" t="str">
        <f t="shared" si="24"/>
        <v>[550]=1413,</v>
      </c>
      <c r="K527" s="3">
        <f t="shared" si="25"/>
        <v>550</v>
      </c>
      <c r="L527" s="3">
        <f t="shared" si="26"/>
        <v>1413</v>
      </c>
      <c r="M527" s="9" t="str">
        <f>VLOOKUP(A527,WayshrineNames!$A$3:$B$967,2,)</f>
        <v>Infinite Archive</v>
      </c>
      <c r="N527" s="3" t="str">
        <f>VLOOKUP(F527,'ESO zones'!$A$5:$D$10003,4,FALSE)</f>
        <v>Apocrypha</v>
      </c>
    </row>
    <row r="528" spans="1:14" x14ac:dyDescent="0.25">
      <c r="A528" s="58">
        <v>551</v>
      </c>
      <c r="B528">
        <v>48</v>
      </c>
      <c r="C528">
        <v>2212</v>
      </c>
      <c r="D528" t="s">
        <v>3626</v>
      </c>
      <c r="E528">
        <v>929</v>
      </c>
      <c r="F528">
        <v>1383</v>
      </c>
      <c r="G528" t="s">
        <v>1813</v>
      </c>
      <c r="H528">
        <v>7</v>
      </c>
      <c r="I528" t="s">
        <v>3654</v>
      </c>
      <c r="J528" s="2" t="str">
        <f t="shared" si="24"/>
        <v>[551]=1383,</v>
      </c>
      <c r="K528" s="3">
        <f t="shared" si="25"/>
        <v>551</v>
      </c>
      <c r="L528" s="3">
        <f t="shared" si="26"/>
        <v>1383</v>
      </c>
      <c r="M528" s="9" t="str">
        <f>VLOOKUP(A528,WayshrineNames!$A$3:$B$967,2,)</f>
        <v>The Fair Winds</v>
      </c>
      <c r="N528" s="3" t="str">
        <f>VLOOKUP(F528,'ESO zones'!$A$5:$D$10003,4,FALSE)</f>
        <v>Galen</v>
      </c>
    </row>
    <row r="529" spans="1:14" x14ac:dyDescent="0.25">
      <c r="A529" s="58">
        <v>552</v>
      </c>
      <c r="B529">
        <v>49</v>
      </c>
      <c r="C529">
        <v>2274</v>
      </c>
      <c r="D529" t="s">
        <v>3637</v>
      </c>
      <c r="E529">
        <v>958</v>
      </c>
      <c r="F529">
        <v>1414</v>
      </c>
      <c r="G529" t="s">
        <v>3637</v>
      </c>
      <c r="H529">
        <v>7</v>
      </c>
      <c r="I529" t="s">
        <v>3655</v>
      </c>
      <c r="J529" s="2" t="str">
        <f t="shared" si="24"/>
        <v>[552]=1414,</v>
      </c>
      <c r="K529" s="3">
        <f t="shared" si="25"/>
        <v>552</v>
      </c>
      <c r="L529" s="3">
        <f t="shared" si="26"/>
        <v>1414</v>
      </c>
      <c r="M529" s="9" t="str">
        <f>VLOOKUP(A529,WayshrineNames!$A$3:$B$967,2,)</f>
        <v>Journey's End Lodgings</v>
      </c>
      <c r="N529" s="3" t="str">
        <f>VLOOKUP(F529,'ESO zones'!$A$5:$D$10003,4,FALSE)</f>
        <v>Telvanni Peninsula</v>
      </c>
    </row>
    <row r="530" spans="1:14" x14ac:dyDescent="0.25">
      <c r="A530" s="58">
        <v>553</v>
      </c>
      <c r="B530">
        <v>49</v>
      </c>
      <c r="C530">
        <v>2274</v>
      </c>
      <c r="D530" t="s">
        <v>3637</v>
      </c>
      <c r="E530">
        <v>958</v>
      </c>
      <c r="F530">
        <v>1414</v>
      </c>
      <c r="G530" t="s">
        <v>3637</v>
      </c>
      <c r="H530">
        <v>7</v>
      </c>
      <c r="I530" t="s">
        <v>3656</v>
      </c>
      <c r="J530" s="2" t="str">
        <f t="shared" si="24"/>
        <v>[553]=1414,</v>
      </c>
      <c r="K530" s="3">
        <f t="shared" si="25"/>
        <v>553</v>
      </c>
      <c r="L530" s="3">
        <f t="shared" si="26"/>
        <v>1414</v>
      </c>
      <c r="M530" s="9" t="str">
        <f>VLOOKUP(A530,WayshrineNames!$A$3:$B$967,2,)</f>
        <v>Emissary's Enclave</v>
      </c>
      <c r="N530" s="3" t="str">
        <f>VLOOKUP(F530,'ESO zones'!$A$5:$D$10003,4,FALSE)</f>
        <v>Telvanni Peninsula</v>
      </c>
    </row>
    <row r="531" spans="1:14" x14ac:dyDescent="0.25">
      <c r="A531" s="58">
        <v>554</v>
      </c>
      <c r="B531">
        <v>49</v>
      </c>
      <c r="C531">
        <v>2274</v>
      </c>
      <c r="D531" t="s">
        <v>3637</v>
      </c>
      <c r="E531">
        <v>958</v>
      </c>
      <c r="F531">
        <v>1414</v>
      </c>
      <c r="G531" t="s">
        <v>3637</v>
      </c>
      <c r="H531">
        <v>1</v>
      </c>
      <c r="I531" t="s">
        <v>3657</v>
      </c>
      <c r="J531" s="2" t="str">
        <f t="shared" si="24"/>
        <v>[554]=1414,</v>
      </c>
      <c r="K531" s="3">
        <f t="shared" si="25"/>
        <v>554</v>
      </c>
      <c r="L531" s="3">
        <f t="shared" si="26"/>
        <v>1414</v>
      </c>
      <c r="M531" s="9" t="str">
        <f>VLOOKUP(A531,WayshrineNames!$A$3:$B$967,2,)</f>
        <v>Alavelis Wayshrine</v>
      </c>
      <c r="N531" s="3" t="str">
        <f>VLOOKUP(F531,'ESO zones'!$A$5:$D$10003,4,FALSE)</f>
        <v>Telvanni Peninsula</v>
      </c>
    </row>
    <row r="532" spans="1:14" x14ac:dyDescent="0.25">
      <c r="A532" s="58">
        <v>555</v>
      </c>
      <c r="B532">
        <v>49</v>
      </c>
      <c r="C532">
        <v>2274</v>
      </c>
      <c r="D532" t="s">
        <v>3637</v>
      </c>
      <c r="E532">
        <v>958</v>
      </c>
      <c r="F532">
        <v>1414</v>
      </c>
      <c r="G532" t="s">
        <v>3637</v>
      </c>
      <c r="H532">
        <v>7</v>
      </c>
      <c r="I532" t="s">
        <v>3028</v>
      </c>
      <c r="J532" s="2" t="str">
        <f t="shared" si="24"/>
        <v>[555]=1414,</v>
      </c>
      <c r="K532" s="3">
        <f t="shared" si="25"/>
        <v>555</v>
      </c>
      <c r="L532" s="3">
        <f t="shared" si="26"/>
        <v>1414</v>
      </c>
      <c r="M532" s="9" t="str">
        <f>VLOOKUP(A532,WayshrineNames!$A$3:$B$967,2,)</f>
        <v>Kelesan'ruhn</v>
      </c>
      <c r="N532" s="3" t="str">
        <f>VLOOKUP(F532,'ESO zones'!$A$5:$D$10003,4,FALSE)</f>
        <v>Telvanni Peninsula</v>
      </c>
    </row>
    <row r="533" spans="1:14" x14ac:dyDescent="0.25">
      <c r="A533">
        <v>556</v>
      </c>
      <c r="B533">
        <v>42</v>
      </c>
      <c r="C533">
        <v>1814</v>
      </c>
      <c r="D533" t="s">
        <v>1492</v>
      </c>
      <c r="E533">
        <v>784</v>
      </c>
      <c r="F533">
        <v>1207</v>
      </c>
      <c r="G533" t="s">
        <v>1492</v>
      </c>
      <c r="H533">
        <v>6</v>
      </c>
      <c r="I533" t="s">
        <v>3658</v>
      </c>
      <c r="J533" s="2" t="str">
        <f t="shared" si="24"/>
        <v>[556]=1207,</v>
      </c>
      <c r="K533" s="3">
        <f t="shared" si="25"/>
        <v>556</v>
      </c>
      <c r="L533" s="3">
        <f t="shared" si="26"/>
        <v>1207</v>
      </c>
      <c r="M533" s="9" t="str">
        <f>VLOOKUP(A533,WayshrineNames!$A$3:$B$967,2,)</f>
        <v>Dungeon: Oathsworn Pit</v>
      </c>
      <c r="N533" s="3" t="str">
        <f>VLOOKUP(F533,'ESO zones'!$A$5:$D$10003,4,FALSE)</f>
        <v>The Reach</v>
      </c>
    </row>
    <row r="534" spans="1:14" x14ac:dyDescent="0.25">
      <c r="A534" s="58">
        <v>557</v>
      </c>
      <c r="B534">
        <v>31</v>
      </c>
      <c r="C534">
        <v>1313</v>
      </c>
      <c r="D534" t="s">
        <v>3440</v>
      </c>
      <c r="E534">
        <v>590</v>
      </c>
      <c r="F534">
        <v>980</v>
      </c>
      <c r="G534" t="s">
        <v>3441</v>
      </c>
      <c r="H534">
        <v>7</v>
      </c>
      <c r="I534" t="s">
        <v>3659</v>
      </c>
      <c r="J534" s="2" t="str">
        <f t="shared" si="24"/>
        <v>[557]=980,</v>
      </c>
      <c r="K534" s="3">
        <f t="shared" si="25"/>
        <v>557</v>
      </c>
      <c r="L534" s="3">
        <f t="shared" si="26"/>
        <v>980</v>
      </c>
      <c r="M534" s="9" t="str">
        <f>VLOOKUP(A534,WayshrineNames!$A$3:$B$967,2,)</f>
        <v>Shadow Queen's Labyrinth</v>
      </c>
      <c r="N534" s="3" t="str">
        <f>VLOOKUP(F534,'ESO zones'!$A$5:$D$10003,4,FALSE)</f>
        <v>Clockwork City</v>
      </c>
    </row>
    <row r="535" spans="1:14" x14ac:dyDescent="0.25">
      <c r="A535">
        <v>558</v>
      </c>
      <c r="B535">
        <v>51</v>
      </c>
      <c r="C535" s="32">
        <v>2427</v>
      </c>
      <c r="D535" t="s">
        <v>3660</v>
      </c>
      <c r="E535">
        <v>982</v>
      </c>
      <c r="F535">
        <v>1443</v>
      </c>
      <c r="G535" t="s">
        <v>3660</v>
      </c>
      <c r="H535">
        <v>1</v>
      </c>
      <c r="I535" t="s">
        <v>3661</v>
      </c>
      <c r="J535" s="2" t="str">
        <f t="shared" si="24"/>
        <v>[558]=1443,</v>
      </c>
      <c r="K535" s="3">
        <f t="shared" si="25"/>
        <v>558</v>
      </c>
      <c r="L535" s="3">
        <f t="shared" si="26"/>
        <v>1443</v>
      </c>
      <c r="M535" s="9" t="str">
        <f>VLOOKUP(A535,WayshrineNames!$A$3:$B$967,2,)</f>
        <v>Skingrad City Wayshrine</v>
      </c>
      <c r="N535" s="3" t="str">
        <f>VLOOKUP(F535,'ESO zones'!$A$5:$D$10003,4,FALSE)</f>
        <v>West Weald</v>
      </c>
    </row>
    <row r="536" spans="1:14" x14ac:dyDescent="0.25">
      <c r="A536">
        <v>559</v>
      </c>
      <c r="B536">
        <v>51</v>
      </c>
      <c r="C536" s="32">
        <v>2427</v>
      </c>
      <c r="D536" t="s">
        <v>3660</v>
      </c>
      <c r="E536">
        <v>982</v>
      </c>
      <c r="F536">
        <v>1443</v>
      </c>
      <c r="G536" t="s">
        <v>3660</v>
      </c>
      <c r="H536">
        <v>1</v>
      </c>
      <c r="I536" t="s">
        <v>3662</v>
      </c>
      <c r="J536" s="2" t="str">
        <f t="shared" si="24"/>
        <v>[559]=1443,</v>
      </c>
      <c r="K536" s="3">
        <f t="shared" si="25"/>
        <v>559</v>
      </c>
      <c r="L536" s="3">
        <f t="shared" si="26"/>
        <v>1443</v>
      </c>
      <c r="M536" s="9" t="str">
        <f>VLOOKUP(A536,WayshrineNames!$A$3:$B$967,2,)</f>
        <v>Skingrad Vineyards Wayshrine</v>
      </c>
      <c r="N536" s="3" t="str">
        <f>VLOOKUP(F536,'ESO zones'!$A$5:$D$10003,4,FALSE)</f>
        <v>West Weald</v>
      </c>
    </row>
    <row r="537" spans="1:14" x14ac:dyDescent="0.25">
      <c r="A537">
        <v>560</v>
      </c>
      <c r="B537">
        <v>51</v>
      </c>
      <c r="C537" s="32">
        <v>2427</v>
      </c>
      <c r="D537" t="s">
        <v>3660</v>
      </c>
      <c r="E537">
        <v>982</v>
      </c>
      <c r="F537">
        <v>1443</v>
      </c>
      <c r="G537" t="s">
        <v>3660</v>
      </c>
      <c r="H537">
        <v>1</v>
      </c>
      <c r="I537" t="s">
        <v>3663</v>
      </c>
      <c r="J537" s="2" t="str">
        <f t="shared" si="24"/>
        <v>[560]=1443,</v>
      </c>
      <c r="K537" s="3">
        <f t="shared" si="25"/>
        <v>560</v>
      </c>
      <c r="L537" s="3">
        <f t="shared" si="26"/>
        <v>1443</v>
      </c>
      <c r="M537" s="9" t="str">
        <f>VLOOKUP(A537,WayshrineNames!$A$3:$B$967,2,)</f>
        <v>Vashabar Wayshrine</v>
      </c>
      <c r="N537" s="3" t="str">
        <f>VLOOKUP(F537,'ESO zones'!$A$5:$D$10003,4,FALSE)</f>
        <v>West Weald</v>
      </c>
    </row>
    <row r="538" spans="1:14" x14ac:dyDescent="0.25">
      <c r="A538">
        <v>561</v>
      </c>
      <c r="B538">
        <v>51</v>
      </c>
      <c r="C538" s="32">
        <v>2427</v>
      </c>
      <c r="D538" t="s">
        <v>3660</v>
      </c>
      <c r="E538">
        <v>982</v>
      </c>
      <c r="F538">
        <v>1443</v>
      </c>
      <c r="G538" t="s">
        <v>3660</v>
      </c>
      <c r="H538">
        <v>1</v>
      </c>
      <c r="I538" t="s">
        <v>3664</v>
      </c>
      <c r="J538" s="2" t="str">
        <f t="shared" si="24"/>
        <v>[561]=1443,</v>
      </c>
      <c r="K538" s="3">
        <f t="shared" si="25"/>
        <v>561</v>
      </c>
      <c r="L538" s="3">
        <f t="shared" si="26"/>
        <v>1443</v>
      </c>
      <c r="M538" s="9" t="str">
        <f>VLOOKUP(A538,WayshrineNames!$A$3:$B$967,2,)</f>
        <v>Ontus Wayshrine</v>
      </c>
      <c r="N538" s="3" t="str">
        <f>VLOOKUP(F538,'ESO zones'!$A$5:$D$10003,4,FALSE)</f>
        <v>West Weald</v>
      </c>
    </row>
    <row r="539" spans="1:14" x14ac:dyDescent="0.25">
      <c r="A539">
        <v>562</v>
      </c>
      <c r="B539">
        <v>51</v>
      </c>
      <c r="C539" s="32">
        <v>2427</v>
      </c>
      <c r="D539" t="s">
        <v>3660</v>
      </c>
      <c r="E539">
        <v>982</v>
      </c>
      <c r="F539">
        <v>1443</v>
      </c>
      <c r="G539" t="s">
        <v>3660</v>
      </c>
      <c r="H539">
        <v>1</v>
      </c>
      <c r="I539" t="s">
        <v>3665</v>
      </c>
      <c r="J539" s="2" t="str">
        <f t="shared" si="24"/>
        <v>[562]=1443,</v>
      </c>
      <c r="K539" s="3">
        <f t="shared" si="25"/>
        <v>562</v>
      </c>
      <c r="L539" s="3">
        <f t="shared" si="26"/>
        <v>1443</v>
      </c>
      <c r="M539" s="9" t="str">
        <f>VLOOKUP(A539,WayshrineNames!$A$3:$B$967,2,)</f>
        <v>Sutch Wayshrine</v>
      </c>
      <c r="N539" s="3" t="str">
        <f>VLOOKUP(F539,'ESO zones'!$A$5:$D$10003,4,FALSE)</f>
        <v>West Weald</v>
      </c>
    </row>
    <row r="540" spans="1:14" x14ac:dyDescent="0.25">
      <c r="A540">
        <v>563</v>
      </c>
      <c r="B540">
        <v>51</v>
      </c>
      <c r="C540" s="32">
        <v>2427</v>
      </c>
      <c r="D540" t="s">
        <v>3660</v>
      </c>
      <c r="E540">
        <v>982</v>
      </c>
      <c r="F540">
        <v>1443</v>
      </c>
      <c r="G540" t="s">
        <v>3660</v>
      </c>
      <c r="H540">
        <v>1</v>
      </c>
      <c r="I540" t="s">
        <v>3666</v>
      </c>
      <c r="J540" s="2" t="str">
        <f t="shared" si="24"/>
        <v>[563]=1443,</v>
      </c>
      <c r="K540" s="3">
        <f t="shared" si="25"/>
        <v>563</v>
      </c>
      <c r="L540" s="3">
        <f t="shared" si="26"/>
        <v>1443</v>
      </c>
      <c r="M540" s="9" t="str">
        <f>VLOOKUP(A540,WayshrineNames!$A$3:$B$967,2,)</f>
        <v>North Hook Wayshrine</v>
      </c>
      <c r="N540" s="3" t="str">
        <f>VLOOKUP(F540,'ESO zones'!$A$5:$D$10003,4,FALSE)</f>
        <v>West Weald</v>
      </c>
    </row>
    <row r="541" spans="1:14" x14ac:dyDescent="0.25">
      <c r="A541">
        <v>564</v>
      </c>
      <c r="B541">
        <v>51</v>
      </c>
      <c r="C541" s="32">
        <v>2427</v>
      </c>
      <c r="D541" t="s">
        <v>3660</v>
      </c>
      <c r="E541">
        <v>982</v>
      </c>
      <c r="F541">
        <v>1443</v>
      </c>
      <c r="G541" t="s">
        <v>3660</v>
      </c>
      <c r="H541">
        <v>1</v>
      </c>
      <c r="I541" t="s">
        <v>3667</v>
      </c>
      <c r="J541" s="2" t="str">
        <f t="shared" si="24"/>
        <v>[564]=1443,</v>
      </c>
      <c r="K541" s="3">
        <f t="shared" si="25"/>
        <v>564</v>
      </c>
      <c r="L541" s="3">
        <f t="shared" si="26"/>
        <v>1443</v>
      </c>
      <c r="M541" s="9" t="str">
        <f>VLOOKUP(A541,WayshrineNames!$A$3:$B$967,2,)</f>
        <v>Trader's Luck Wayshrine</v>
      </c>
      <c r="N541" s="3" t="str">
        <f>VLOOKUP(F541,'ESO zones'!$A$5:$D$10003,4,FALSE)</f>
        <v>West Weald</v>
      </c>
    </row>
    <row r="542" spans="1:14" x14ac:dyDescent="0.25">
      <c r="A542">
        <v>565</v>
      </c>
      <c r="B542">
        <v>27</v>
      </c>
      <c r="C542">
        <v>667</v>
      </c>
      <c r="D542" t="s">
        <v>816</v>
      </c>
      <c r="E542">
        <v>380</v>
      </c>
      <c r="F542">
        <v>684</v>
      </c>
      <c r="G542" t="s">
        <v>816</v>
      </c>
      <c r="H542">
        <v>6</v>
      </c>
      <c r="I542" t="s">
        <v>3668</v>
      </c>
      <c r="J542" s="2" t="str">
        <f t="shared" si="24"/>
        <v>[565]=684,</v>
      </c>
      <c r="K542" s="3">
        <f t="shared" si="25"/>
        <v>565</v>
      </c>
      <c r="L542" s="3">
        <f t="shared" si="26"/>
        <v>684</v>
      </c>
      <c r="M542" s="9" t="str">
        <f>VLOOKUP(A542,WayshrineNames!$A$3:$B$967,2,)</f>
        <v>Dungeon: Bedlam Veil</v>
      </c>
      <c r="N542" s="3" t="str">
        <f>VLOOKUP(F542,'ESO zones'!$A$5:$D$10003,4,FALSE)</f>
        <v>Wrothgar</v>
      </c>
    </row>
    <row r="543" spans="1:14" x14ac:dyDescent="0.25">
      <c r="A543" s="58">
        <v>566</v>
      </c>
      <c r="B543">
        <v>48</v>
      </c>
      <c r="C543">
        <v>2212</v>
      </c>
      <c r="D543" t="s">
        <v>3626</v>
      </c>
      <c r="E543">
        <v>929</v>
      </c>
      <c r="F543">
        <v>1383</v>
      </c>
      <c r="G543" t="s">
        <v>1813</v>
      </c>
      <c r="H543">
        <v>7</v>
      </c>
      <c r="I543" t="s">
        <v>3669</v>
      </c>
      <c r="J543" s="2" t="str">
        <f t="shared" si="24"/>
        <v>[566]=1383,</v>
      </c>
      <c r="K543" s="3">
        <f t="shared" si="25"/>
        <v>566</v>
      </c>
      <c r="L543" s="3">
        <f t="shared" si="26"/>
        <v>1383</v>
      </c>
      <c r="M543" s="9" t="str">
        <f>VLOOKUP(A543,WayshrineNames!$A$3:$B$967,2,)</f>
        <v>Gladesong Arboretum</v>
      </c>
      <c r="N543" s="3" t="str">
        <f>VLOOKUP(F543,'ESO zones'!$A$5:$D$10003,4,FALSE)</f>
        <v>Galen</v>
      </c>
    </row>
    <row r="544" spans="1:14" x14ac:dyDescent="0.25">
      <c r="A544" s="58">
        <v>567</v>
      </c>
      <c r="B544">
        <v>50</v>
      </c>
      <c r="C544">
        <v>2275</v>
      </c>
      <c r="D544" t="s">
        <v>1897</v>
      </c>
      <c r="E544">
        <v>957</v>
      </c>
      <c r="F544">
        <v>1413</v>
      </c>
      <c r="G544" t="s">
        <v>1897</v>
      </c>
      <c r="H544">
        <v>7</v>
      </c>
      <c r="I544" t="s">
        <v>3670</v>
      </c>
      <c r="J544" s="2" t="str">
        <f t="shared" si="24"/>
        <v>[567]=1413,</v>
      </c>
      <c r="K544" s="3">
        <f t="shared" si="25"/>
        <v>567</v>
      </c>
      <c r="L544" s="3">
        <f t="shared" si="26"/>
        <v>1413</v>
      </c>
      <c r="M544" s="9" t="str">
        <f>VLOOKUP(A544,WayshrineNames!$A$3:$B$967,2,)</f>
        <v>Tower of Unutterable Truths</v>
      </c>
      <c r="N544" s="3" t="str">
        <f>VLOOKUP(F544,'ESO zones'!$A$5:$D$10003,4,FALSE)</f>
        <v>Apocrypha</v>
      </c>
    </row>
    <row r="545" spans="1:14" x14ac:dyDescent="0.25">
      <c r="A545">
        <v>568</v>
      </c>
      <c r="B545">
        <v>51</v>
      </c>
      <c r="C545" s="32">
        <v>2427</v>
      </c>
      <c r="D545" t="s">
        <v>3660</v>
      </c>
      <c r="E545">
        <v>982</v>
      </c>
      <c r="F545">
        <v>1443</v>
      </c>
      <c r="G545" t="s">
        <v>3660</v>
      </c>
      <c r="H545">
        <v>3</v>
      </c>
      <c r="I545" t="s">
        <v>3671</v>
      </c>
      <c r="J545" s="2" t="str">
        <f t="shared" si="24"/>
        <v>[568]=1443,</v>
      </c>
      <c r="K545" s="3">
        <f t="shared" si="25"/>
        <v>568</v>
      </c>
      <c r="L545" s="3">
        <f t="shared" si="26"/>
        <v>1443</v>
      </c>
      <c r="M545" s="9" t="str">
        <f>VLOOKUP(A545,WayshrineNames!$A$3:$B$967,2,)</f>
        <v>Trial: Lucent Citadel</v>
      </c>
      <c r="N545" s="3" t="str">
        <f>VLOOKUP(F545,'ESO zones'!$A$5:$D$10003,4,FALSE)</f>
        <v>West Weald</v>
      </c>
    </row>
    <row r="546" spans="1:14" x14ac:dyDescent="0.25">
      <c r="A546">
        <v>573</v>
      </c>
      <c r="B546">
        <v>51</v>
      </c>
      <c r="C546" s="32">
        <v>2427</v>
      </c>
      <c r="D546" t="s">
        <v>3660</v>
      </c>
      <c r="E546">
        <v>982</v>
      </c>
      <c r="F546">
        <v>1443</v>
      </c>
      <c r="G546" t="s">
        <v>3660</v>
      </c>
      <c r="H546">
        <v>7</v>
      </c>
      <c r="I546" t="s">
        <v>3672</v>
      </c>
      <c r="J546" s="2" t="str">
        <f t="shared" si="24"/>
        <v>[573]=1443,</v>
      </c>
      <c r="K546" s="3">
        <f t="shared" si="25"/>
        <v>573</v>
      </c>
      <c r="L546" s="3">
        <f t="shared" si="26"/>
        <v>1443</v>
      </c>
      <c r="M546" s="9" t="str">
        <f>VLOOKUP(A546,WayshrineNames!$A$3:$B$967,2,)</f>
        <v>Merryvine Estate</v>
      </c>
      <c r="N546" s="3" t="str">
        <f>VLOOKUP(F546,'ESO zones'!$A$5:$D$10003,4,FALSE)</f>
        <v>West Weald</v>
      </c>
    </row>
    <row r="547" spans="1:14" x14ac:dyDescent="0.25">
      <c r="A547">
        <v>574</v>
      </c>
      <c r="B547">
        <v>51</v>
      </c>
      <c r="C547" s="32">
        <v>2427</v>
      </c>
      <c r="D547" t="s">
        <v>3660</v>
      </c>
      <c r="E547">
        <v>982</v>
      </c>
      <c r="F547">
        <v>1443</v>
      </c>
      <c r="G547" t="s">
        <v>3660</v>
      </c>
      <c r="H547">
        <v>7</v>
      </c>
      <c r="I547" t="s">
        <v>3673</v>
      </c>
      <c r="J547" s="2" t="str">
        <f t="shared" si="24"/>
        <v>[574]=1443,</v>
      </c>
      <c r="K547" s="3">
        <f t="shared" si="25"/>
        <v>574</v>
      </c>
      <c r="L547" s="3">
        <f t="shared" si="26"/>
        <v>1443</v>
      </c>
      <c r="M547" s="9" t="str">
        <f>VLOOKUP(A547,WayshrineNames!$A$3:$B$967,2,)</f>
        <v>Rosewine Retreat</v>
      </c>
      <c r="N547" s="3" t="str">
        <f>VLOOKUP(F547,'ESO zones'!$A$5:$D$10003,4,FALSE)</f>
        <v>West Weald</v>
      </c>
    </row>
    <row r="548" spans="1:14" x14ac:dyDescent="0.25">
      <c r="A548">
        <v>575</v>
      </c>
      <c r="B548">
        <v>51</v>
      </c>
      <c r="C548" s="32">
        <v>2427</v>
      </c>
      <c r="D548" t="s">
        <v>3660</v>
      </c>
      <c r="E548">
        <v>982</v>
      </c>
      <c r="F548">
        <v>1443</v>
      </c>
      <c r="G548" t="s">
        <v>3660</v>
      </c>
      <c r="H548">
        <v>1</v>
      </c>
      <c r="I548" t="s">
        <v>3674</v>
      </c>
      <c r="J548" s="2" t="str">
        <f t="shared" si="24"/>
        <v>[575]=1443,</v>
      </c>
      <c r="K548" s="3">
        <f t="shared" si="25"/>
        <v>575</v>
      </c>
      <c r="L548" s="3">
        <f t="shared" si="26"/>
        <v>1443</v>
      </c>
      <c r="M548" s="9" t="str">
        <f>VLOOKUP(A548,WayshrineNames!$A$3:$B$967,2,)</f>
        <v>Fall's Path Wayshrine</v>
      </c>
      <c r="N548" s="3" t="str">
        <f>VLOOKUP(F548,'ESO zones'!$A$5:$D$10003,4,FALSE)</f>
        <v>West Weald</v>
      </c>
    </row>
    <row r="549" spans="1:14" x14ac:dyDescent="0.25">
      <c r="A549">
        <v>577</v>
      </c>
      <c r="B549">
        <v>51</v>
      </c>
      <c r="C549" s="32">
        <v>2427</v>
      </c>
      <c r="D549" t="s">
        <v>3660</v>
      </c>
      <c r="E549">
        <v>982</v>
      </c>
      <c r="F549">
        <v>1443</v>
      </c>
      <c r="G549" t="s">
        <v>3660</v>
      </c>
      <c r="H549">
        <v>1</v>
      </c>
      <c r="I549" t="s">
        <v>3675</v>
      </c>
      <c r="J549" s="2" t="str">
        <f t="shared" si="24"/>
        <v>[577]=1443,</v>
      </c>
      <c r="K549" s="3">
        <f t="shared" si="25"/>
        <v>577</v>
      </c>
      <c r="L549" s="3">
        <f t="shared" si="26"/>
        <v>1443</v>
      </c>
      <c r="M549" s="9" t="str">
        <f>VLOOKUP(A549,WayshrineNames!$A$3:$B$967,2,)</f>
        <v>Wildburn's Edge Wayshrine</v>
      </c>
      <c r="N549" s="3" t="str">
        <f>VLOOKUP(F549,'ESO zones'!$A$5:$D$10003,4,FALSE)</f>
        <v>West Weald</v>
      </c>
    </row>
    <row r="550" spans="1:14" x14ac:dyDescent="0.25">
      <c r="A550">
        <v>578</v>
      </c>
      <c r="B550">
        <v>51</v>
      </c>
      <c r="C550" s="32">
        <v>2427</v>
      </c>
      <c r="D550" t="s">
        <v>3660</v>
      </c>
      <c r="E550">
        <v>982</v>
      </c>
      <c r="F550">
        <v>1443</v>
      </c>
      <c r="G550" t="s">
        <v>3660</v>
      </c>
      <c r="H550">
        <v>1</v>
      </c>
      <c r="I550" t="s">
        <v>3676</v>
      </c>
      <c r="J550" s="2" t="str">
        <f t="shared" si="24"/>
        <v>[578]=1443,</v>
      </c>
      <c r="K550" s="3">
        <f t="shared" si="25"/>
        <v>578</v>
      </c>
      <c r="L550" s="3">
        <f t="shared" si="26"/>
        <v>1443</v>
      </c>
      <c r="M550" s="9" t="str">
        <f>VLOOKUP(A550,WayshrineNames!$A$3:$B$967,2,)</f>
        <v>Ostumir Wayshrine</v>
      </c>
      <c r="N550" s="3" t="str">
        <f>VLOOKUP(F550,'ESO zones'!$A$5:$D$10003,4,FALSE)</f>
        <v>West Weald</v>
      </c>
    </row>
    <row r="551" spans="1:14" x14ac:dyDescent="0.25">
      <c r="A551">
        <v>579</v>
      </c>
      <c r="B551">
        <v>51</v>
      </c>
      <c r="C551" s="32">
        <v>2427</v>
      </c>
      <c r="D551" t="s">
        <v>3660</v>
      </c>
      <c r="E551">
        <v>982</v>
      </c>
      <c r="F551">
        <v>1443</v>
      </c>
      <c r="G551" t="s">
        <v>3660</v>
      </c>
      <c r="H551">
        <v>1</v>
      </c>
      <c r="I551" t="s">
        <v>3677</v>
      </c>
      <c r="J551" s="2" t="str">
        <f t="shared" si="24"/>
        <v>[579]=1443,</v>
      </c>
      <c r="K551" s="3">
        <f t="shared" si="25"/>
        <v>579</v>
      </c>
      <c r="L551" s="3">
        <f t="shared" si="26"/>
        <v>1443</v>
      </c>
      <c r="M551" s="9" t="str">
        <f>VLOOKUP(A551,WayshrineNames!$A$3:$B$967,2,)</f>
        <v>Centurion's Watch Wayshrine</v>
      </c>
      <c r="N551" s="3" t="str">
        <f>VLOOKUP(F551,'ESO zones'!$A$5:$D$10003,4,FALSE)</f>
        <v>West Weald</v>
      </c>
    </row>
    <row r="552" spans="1:14" x14ac:dyDescent="0.25">
      <c r="A552">
        <v>580</v>
      </c>
      <c r="B552">
        <v>51</v>
      </c>
      <c r="C552" s="32">
        <v>2427</v>
      </c>
      <c r="D552" t="s">
        <v>3660</v>
      </c>
      <c r="E552">
        <v>982</v>
      </c>
      <c r="F552">
        <v>1443</v>
      </c>
      <c r="G552" t="s">
        <v>3660</v>
      </c>
      <c r="H552">
        <v>1</v>
      </c>
      <c r="I552" t="s">
        <v>3678</v>
      </c>
      <c r="J552" s="2" t="str">
        <f t="shared" si="24"/>
        <v>[580]=1443,</v>
      </c>
      <c r="K552" s="3">
        <f t="shared" si="25"/>
        <v>580</v>
      </c>
      <c r="L552" s="3">
        <f t="shared" si="26"/>
        <v>1443</v>
      </c>
      <c r="M552" s="9" t="str">
        <f>VLOOKUP(A552,WayshrineNames!$A$3:$B$967,2,)</f>
        <v>Valente Vineyards Wayshrine</v>
      </c>
      <c r="N552" s="3" t="str">
        <f>VLOOKUP(F552,'ESO zones'!$A$5:$D$10003,4,FALSE)</f>
        <v>West Weald</v>
      </c>
    </row>
    <row r="553" spans="1:14" x14ac:dyDescent="0.25">
      <c r="A553">
        <v>581</v>
      </c>
      <c r="B553">
        <v>51</v>
      </c>
      <c r="C553" s="32">
        <v>2427</v>
      </c>
      <c r="D553" t="s">
        <v>3660</v>
      </c>
      <c r="E553">
        <v>982</v>
      </c>
      <c r="F553">
        <v>1443</v>
      </c>
      <c r="G553" t="s">
        <v>3660</v>
      </c>
      <c r="H553">
        <v>6</v>
      </c>
      <c r="I553" t="s">
        <v>3679</v>
      </c>
      <c r="J553" s="2" t="str">
        <f t="shared" si="24"/>
        <v>[581]=1443,</v>
      </c>
      <c r="K553" s="3">
        <f t="shared" si="25"/>
        <v>581</v>
      </c>
      <c r="L553" s="3">
        <f t="shared" si="26"/>
        <v>1443</v>
      </c>
      <c r="M553" s="9" t="str">
        <f>VLOOKUP(A553,WayshrineNames!$A$3:$B$967,2,)</f>
        <v>Dungeon: Exiled Redoubt</v>
      </c>
      <c r="N553" s="3" t="str">
        <f>VLOOKUP(F553,'ESO zones'!$A$5:$D$10003,4,FALSE)</f>
        <v>West Weald</v>
      </c>
    </row>
    <row r="554" spans="1:14" x14ac:dyDescent="0.25">
      <c r="A554">
        <v>582</v>
      </c>
      <c r="B554">
        <v>28</v>
      </c>
      <c r="C554">
        <v>994</v>
      </c>
      <c r="D554" t="s">
        <v>3364</v>
      </c>
      <c r="E554">
        <v>443</v>
      </c>
      <c r="F554">
        <v>816</v>
      </c>
      <c r="G554" t="s">
        <v>3364</v>
      </c>
      <c r="H554">
        <v>6</v>
      </c>
      <c r="I554" t="s">
        <v>3680</v>
      </c>
      <c r="J554" s="2" t="str">
        <f t="shared" si="24"/>
        <v>[582]=816,</v>
      </c>
      <c r="K554" s="3">
        <f t="shared" si="25"/>
        <v>582</v>
      </c>
      <c r="L554" s="3">
        <f t="shared" si="26"/>
        <v>816</v>
      </c>
      <c r="M554" s="9" t="str">
        <f>VLOOKUP(A554,WayshrineNames!$A$3:$B$967,2,)</f>
        <v>Dungeon: Lep Seclusa</v>
      </c>
      <c r="N554" s="3" t="str">
        <f>VLOOKUP(F554,'ESO zones'!$A$5:$D$10003,4,FALSE)</f>
        <v>Hew's Bane</v>
      </c>
    </row>
    <row r="555" spans="1:14" x14ac:dyDescent="0.25">
      <c r="A555">
        <v>583</v>
      </c>
      <c r="B555">
        <v>51</v>
      </c>
      <c r="C555" s="32">
        <v>2427</v>
      </c>
      <c r="D555" t="s">
        <v>3660</v>
      </c>
      <c r="E555">
        <v>982</v>
      </c>
      <c r="F555">
        <v>1443</v>
      </c>
      <c r="G555" t="s">
        <v>3660</v>
      </c>
      <c r="H555">
        <v>1</v>
      </c>
      <c r="I555" t="s">
        <v>3681</v>
      </c>
      <c r="J555" s="2" t="str">
        <f t="shared" si="24"/>
        <v>[583]=1443,</v>
      </c>
      <c r="K555" s="3">
        <f t="shared" si="25"/>
        <v>583</v>
      </c>
      <c r="L555" s="3">
        <f t="shared" si="26"/>
        <v>1443</v>
      </c>
      <c r="M555" s="9" t="str">
        <f>VLOOKUP(A555,WayshrineNames!$A$3:$B$967,2,)</f>
        <v>Feldagard Keep Wayshrine</v>
      </c>
      <c r="N555" s="3" t="str">
        <f>VLOOKUP(F555,'ESO zones'!$A$5:$D$10003,4,FALSE)</f>
        <v>West Weald</v>
      </c>
    </row>
    <row r="556" spans="1:14" x14ac:dyDescent="0.25">
      <c r="A556">
        <v>584</v>
      </c>
      <c r="B556">
        <v>51</v>
      </c>
      <c r="C556" s="32">
        <v>2427</v>
      </c>
      <c r="D556" t="s">
        <v>3660</v>
      </c>
      <c r="E556">
        <v>982</v>
      </c>
      <c r="F556">
        <v>1443</v>
      </c>
      <c r="G556" t="s">
        <v>3660</v>
      </c>
      <c r="H556">
        <v>1</v>
      </c>
      <c r="I556" t="s">
        <v>3682</v>
      </c>
      <c r="J556" s="2" t="str">
        <f t="shared" si="24"/>
        <v>[584]=1443,</v>
      </c>
      <c r="K556" s="3">
        <f t="shared" si="25"/>
        <v>584</v>
      </c>
      <c r="L556" s="3">
        <f t="shared" si="26"/>
        <v>1443</v>
      </c>
      <c r="M556" s="9" t="str">
        <f>VLOOKUP(A556,WayshrineNames!$A$3:$B$967,2,)</f>
        <v>Three Points Wayshrine</v>
      </c>
      <c r="N556" s="3" t="str">
        <f>VLOOKUP(F556,'ESO zones'!$A$5:$D$10003,4,FALSE)</f>
        <v>West Weald</v>
      </c>
    </row>
    <row r="557" spans="1:14" x14ac:dyDescent="0.25">
      <c r="A557">
        <v>585</v>
      </c>
      <c r="B557">
        <v>15</v>
      </c>
      <c r="C557">
        <v>143</v>
      </c>
      <c r="D557" t="s">
        <v>439</v>
      </c>
      <c r="E557">
        <v>179</v>
      </c>
      <c r="F557">
        <v>381</v>
      </c>
      <c r="G557" t="s">
        <v>439</v>
      </c>
      <c r="H557">
        <v>7</v>
      </c>
      <c r="I557" t="s">
        <v>3042</v>
      </c>
      <c r="J557" s="2" t="str">
        <f t="shared" si="24"/>
        <v>[585]=381,</v>
      </c>
      <c r="K557" s="3">
        <f t="shared" si="25"/>
        <v>585</v>
      </c>
      <c r="L557" s="3">
        <f t="shared" si="26"/>
        <v>381</v>
      </c>
      <c r="M557" s="9" t="str">
        <f>VLOOKUP(A557,WayshrineNames!$A$3:$B$967,2,)</f>
        <v>Seabloom Villa</v>
      </c>
      <c r="N557" s="3" t="str">
        <f>VLOOKUP(F557,'ESO zones'!$A$5:$D$10003,4,FALSE)</f>
        <v>Auridon</v>
      </c>
    </row>
    <row r="558" spans="1:14" x14ac:dyDescent="0.25">
      <c r="A558">
        <v>586</v>
      </c>
      <c r="B558">
        <v>51</v>
      </c>
      <c r="C558" s="32">
        <v>2427</v>
      </c>
      <c r="D558" t="s">
        <v>3660</v>
      </c>
      <c r="E558">
        <v>982</v>
      </c>
      <c r="F558">
        <v>1443</v>
      </c>
      <c r="G558" t="s">
        <v>3660</v>
      </c>
      <c r="H558">
        <v>7</v>
      </c>
      <c r="I558" t="s">
        <v>3043</v>
      </c>
      <c r="J558" s="2" t="str">
        <f t="shared" si="24"/>
        <v>[586]=1443,</v>
      </c>
      <c r="K558" s="3">
        <f t="shared" si="25"/>
        <v>586</v>
      </c>
      <c r="L558" s="3">
        <f t="shared" si="26"/>
        <v>1443</v>
      </c>
      <c r="M558" s="9" t="str">
        <f>VLOOKUP(A558,WayshrineNames!$A$3:$B$967,2,)</f>
        <v>Haven of the Five Companions</v>
      </c>
      <c r="N558" s="3" t="str">
        <f>VLOOKUP(F558,'ESO zones'!$A$5:$D$10003,4,FALSE)</f>
        <v>West Weald</v>
      </c>
    </row>
    <row r="559" spans="1:14" x14ac:dyDescent="0.25">
      <c r="A559">
        <v>587</v>
      </c>
      <c r="B559">
        <v>40</v>
      </c>
      <c r="C559">
        <v>1782</v>
      </c>
      <c r="D559" t="s">
        <v>3515</v>
      </c>
      <c r="E559">
        <v>4294967296</v>
      </c>
      <c r="F559">
        <v>0</v>
      </c>
      <c r="G559" t="s">
        <v>3515</v>
      </c>
      <c r="H559">
        <v>7</v>
      </c>
      <c r="I559" t="s">
        <v>3045</v>
      </c>
      <c r="J559" s="2" t="str">
        <f t="shared" si="24"/>
        <v>[587]=0,</v>
      </c>
      <c r="K559" s="3">
        <f t="shared" si="25"/>
        <v>587</v>
      </c>
      <c r="L559" s="3">
        <f t="shared" si="26"/>
        <v>0</v>
      </c>
      <c r="M559" s="9" t="str">
        <f>VLOOKUP(A559,WayshrineNames!$A$3:$B$967,2,)</f>
        <v>Kthendral Deep Mines</v>
      </c>
      <c r="N559" s="3" t="str">
        <f>VLOOKUP(F559,'ESO zones'!$A$5:$D$10003,4,FALSE)</f>
        <v>Tamriel Map</v>
      </c>
    </row>
    <row r="560" spans="1:14" x14ac:dyDescent="0.25">
      <c r="A560">
        <v>588</v>
      </c>
      <c r="B560">
        <v>12</v>
      </c>
      <c r="C560">
        <v>125</v>
      </c>
      <c r="D560" t="s">
        <v>3221</v>
      </c>
      <c r="E560">
        <v>16</v>
      </c>
      <c r="F560">
        <v>103</v>
      </c>
      <c r="G560" t="s">
        <v>3221</v>
      </c>
      <c r="H560">
        <v>7</v>
      </c>
      <c r="I560" t="s">
        <v>3046</v>
      </c>
      <c r="J560" s="2" t="str">
        <f t="shared" si="24"/>
        <v>[588]=103,</v>
      </c>
      <c r="K560" s="3">
        <f t="shared" si="25"/>
        <v>588</v>
      </c>
      <c r="L560" s="3">
        <f t="shared" si="26"/>
        <v>103</v>
      </c>
      <c r="M560" s="9" t="str">
        <f>VLOOKUP(A560,WayshrineNames!$A$3:$B$967,2,)</f>
        <v>Grand Gallery of Tamriel</v>
      </c>
      <c r="N560" s="3" t="str">
        <f>VLOOKUP(F560,'ESO zones'!$A$5:$D$10003,4,FALSE)</f>
        <v>The Rift</v>
      </c>
    </row>
    <row r="561" spans="1:14" s="39" customFormat="1" x14ac:dyDescent="0.25">
      <c r="A561">
        <v>589</v>
      </c>
      <c r="B561">
        <v>53</v>
      </c>
      <c r="C561">
        <v>2603</v>
      </c>
      <c r="D561" t="s">
        <v>3683</v>
      </c>
      <c r="E561">
        <v>1034</v>
      </c>
      <c r="F561">
        <v>1502</v>
      </c>
      <c r="G561" t="s">
        <v>3683</v>
      </c>
      <c r="H561">
        <v>3</v>
      </c>
      <c r="I561" t="s">
        <v>3684</v>
      </c>
      <c r="J561" s="2" t="str">
        <f t="shared" si="24"/>
        <v>[589]=1502,</v>
      </c>
      <c r="K561" s="3">
        <f t="shared" si="25"/>
        <v>589</v>
      </c>
      <c r="L561" s="3">
        <f t="shared" si="26"/>
        <v>1502</v>
      </c>
      <c r="M561" s="9" t="str">
        <f>VLOOKUP(A561,WayshrineNames!$A$3:$B$967,2,)</f>
        <v>Trial: Ossein Cage</v>
      </c>
      <c r="N561" s="3" t="str">
        <f>VLOOKUP(F561,'ESO zones'!$A$5:$D$10003,4,FALSE)</f>
        <v>Solstice</v>
      </c>
    </row>
    <row r="562" spans="1:14" x14ac:dyDescent="0.25">
      <c r="A562">
        <v>590</v>
      </c>
      <c r="F562">
        <v>1282</v>
      </c>
      <c r="G562" t="s">
        <v>1674</v>
      </c>
      <c r="H562">
        <v>7</v>
      </c>
      <c r="J562" s="2" t="str">
        <f t="shared" si="24"/>
        <v>[590]=1282,</v>
      </c>
      <c r="K562" s="3">
        <f t="shared" si="25"/>
        <v>590</v>
      </c>
      <c r="L562" s="3">
        <f t="shared" si="26"/>
        <v>1282</v>
      </c>
      <c r="M562" s="9" t="str">
        <f>VLOOKUP(A562,WayshrineNames!$A$3:$B$967,2,)</f>
        <v>Shattered Mirror Isle</v>
      </c>
      <c r="N562" s="3" t="str">
        <f>VLOOKUP(F562,'ESO zones'!$A$5:$D$10003,4,FALSE)</f>
        <v>Fargrave</v>
      </c>
    </row>
    <row r="563" spans="1:14" x14ac:dyDescent="0.25">
      <c r="A563">
        <v>591</v>
      </c>
      <c r="F563">
        <v>1443</v>
      </c>
      <c r="G563" t="s">
        <v>3660</v>
      </c>
      <c r="H563">
        <v>7</v>
      </c>
      <c r="J563" s="2" t="str">
        <f t="shared" si="24"/>
        <v>[591]=1443,</v>
      </c>
      <c r="K563" s="3">
        <f t="shared" si="25"/>
        <v>591</v>
      </c>
      <c r="L563" s="3">
        <f t="shared" si="26"/>
        <v>1443</v>
      </c>
      <c r="M563" s="9" t="str">
        <f>VLOOKUP(A563,WayshrineNames!$A$3:$B$967,2,)</f>
        <v>Castle Skingrad</v>
      </c>
      <c r="N563" s="3" t="str">
        <f>VLOOKUP(F563,'ESO zones'!$A$5:$D$10003,4,FALSE)</f>
        <v>West Weald</v>
      </c>
    </row>
    <row r="564" spans="1:14" x14ac:dyDescent="0.25">
      <c r="A564">
        <v>592</v>
      </c>
      <c r="B564">
        <v>53</v>
      </c>
      <c r="C564">
        <v>2603</v>
      </c>
      <c r="D564" t="s">
        <v>3683</v>
      </c>
      <c r="E564">
        <v>1034</v>
      </c>
      <c r="F564">
        <v>1502</v>
      </c>
      <c r="G564" t="s">
        <v>3683</v>
      </c>
      <c r="H564">
        <v>1</v>
      </c>
      <c r="I564" t="s">
        <v>3685</v>
      </c>
      <c r="J564" s="2" t="str">
        <f t="shared" si="24"/>
        <v>[592]=1502,</v>
      </c>
      <c r="K564" s="3">
        <f t="shared" si="25"/>
        <v>592</v>
      </c>
      <c r="L564" s="3">
        <f t="shared" si="26"/>
        <v>1502</v>
      </c>
      <c r="M564" s="9" t="str">
        <f>VLOOKUP(A564,WayshrineNames!$A$3:$B$967,2,)</f>
        <v>Sunport Docks Wayshrine</v>
      </c>
      <c r="N564" s="3" t="str">
        <f>VLOOKUP(F564,'ESO zones'!$A$5:$D$10003,4,FALSE)</f>
        <v>Solstice</v>
      </c>
    </row>
    <row r="565" spans="1:14" x14ac:dyDescent="0.25">
      <c r="A565">
        <v>593</v>
      </c>
      <c r="B565">
        <v>53</v>
      </c>
      <c r="C565">
        <v>2603</v>
      </c>
      <c r="D565" t="s">
        <v>3683</v>
      </c>
      <c r="E565">
        <v>1034</v>
      </c>
      <c r="F565">
        <v>1502</v>
      </c>
      <c r="G565" t="s">
        <v>3683</v>
      </c>
      <c r="H565">
        <v>1</v>
      </c>
      <c r="I565" t="s">
        <v>3617</v>
      </c>
      <c r="J565" s="2" t="str">
        <f t="shared" si="24"/>
        <v>[593]=1502,</v>
      </c>
      <c r="K565" s="3">
        <f t="shared" si="25"/>
        <v>593</v>
      </c>
      <c r="L565" s="3">
        <f t="shared" si="26"/>
        <v>1502</v>
      </c>
      <c r="M565" s="9" t="str">
        <f>VLOOKUP(A565,WayshrineNames!$A$3:$B$967,2,)</f>
        <v>Western Bay Wayshrine</v>
      </c>
      <c r="N565" s="3" t="str">
        <f>VLOOKUP(F565,'ESO zones'!$A$5:$D$10003,4,FALSE)</f>
        <v>Solstice</v>
      </c>
    </row>
    <row r="566" spans="1:14" x14ac:dyDescent="0.25">
      <c r="A566">
        <v>594</v>
      </c>
      <c r="B566">
        <v>53</v>
      </c>
      <c r="C566">
        <v>2603</v>
      </c>
      <c r="D566" t="s">
        <v>3683</v>
      </c>
      <c r="E566">
        <v>1034</v>
      </c>
      <c r="F566">
        <v>1502</v>
      </c>
      <c r="G566" t="s">
        <v>3683</v>
      </c>
      <c r="H566">
        <v>1</v>
      </c>
      <c r="I566" t="s">
        <v>3686</v>
      </c>
      <c r="J566" s="2" t="str">
        <f t="shared" si="24"/>
        <v>[594]=1502,</v>
      </c>
      <c r="K566" s="3">
        <f t="shared" si="25"/>
        <v>594</v>
      </c>
      <c r="L566" s="3">
        <f t="shared" si="26"/>
        <v>1502</v>
      </c>
      <c r="M566" s="9" t="str">
        <f>VLOOKUP(A566,WayshrineNames!$A$3:$B$967,2,)</f>
        <v>Shor's Stand Wayshrine</v>
      </c>
      <c r="N566" s="3" t="str">
        <f>VLOOKUP(F566,'ESO zones'!$A$5:$D$10003,4,FALSE)</f>
        <v>Solstice</v>
      </c>
    </row>
    <row r="567" spans="1:14" x14ac:dyDescent="0.25">
      <c r="A567">
        <v>595</v>
      </c>
      <c r="B567">
        <v>53</v>
      </c>
      <c r="C567">
        <v>2603</v>
      </c>
      <c r="D567" t="s">
        <v>3683</v>
      </c>
      <c r="E567">
        <v>1034</v>
      </c>
      <c r="F567">
        <v>1502</v>
      </c>
      <c r="G567" t="s">
        <v>3683</v>
      </c>
      <c r="H567">
        <v>1</v>
      </c>
      <c r="I567" t="s">
        <v>3687</v>
      </c>
      <c r="J567" s="2" t="str">
        <f t="shared" si="24"/>
        <v>[595]=1502,</v>
      </c>
      <c r="K567" s="3">
        <f t="shared" si="25"/>
        <v>595</v>
      </c>
      <c r="L567" s="3">
        <f t="shared" si="26"/>
        <v>1502</v>
      </c>
      <c r="M567" s="9" t="str">
        <f>VLOOKUP(A567,WayshrineNames!$A$3:$B$967,2,)</f>
        <v>Vale of Revelry Wayshrine</v>
      </c>
      <c r="N567" s="3" t="str">
        <f>VLOOKUP(F567,'ESO zones'!$A$5:$D$10003,4,FALSE)</f>
        <v>Solstice</v>
      </c>
    </row>
    <row r="568" spans="1:14" x14ac:dyDescent="0.25">
      <c r="A568">
        <v>596</v>
      </c>
      <c r="B568">
        <v>53</v>
      </c>
      <c r="C568">
        <v>2603</v>
      </c>
      <c r="D568" t="s">
        <v>3683</v>
      </c>
      <c r="E568">
        <v>1034</v>
      </c>
      <c r="F568">
        <v>1502</v>
      </c>
      <c r="G568" t="s">
        <v>3683</v>
      </c>
      <c r="H568">
        <v>1</v>
      </c>
      <c r="I568" t="s">
        <v>3688</v>
      </c>
      <c r="J568" s="2" t="str">
        <f t="shared" si="24"/>
        <v>[596]=1502,</v>
      </c>
      <c r="K568" s="3">
        <f t="shared" si="25"/>
        <v>596</v>
      </c>
      <c r="L568" s="3">
        <f t="shared" si="26"/>
        <v>1502</v>
      </c>
      <c r="M568" s="9" t="str">
        <f>VLOOKUP(A568,WayshrineNames!$A$3:$B$967,2,)</f>
        <v>Corelanya Manor Wayshrine</v>
      </c>
      <c r="N568" s="3" t="str">
        <f>VLOOKUP(F568,'ESO zones'!$A$5:$D$10003,4,FALSE)</f>
        <v>Solstice</v>
      </c>
    </row>
    <row r="569" spans="1:14" x14ac:dyDescent="0.25">
      <c r="A569">
        <v>597</v>
      </c>
      <c r="B569">
        <v>53</v>
      </c>
      <c r="C569">
        <v>2603</v>
      </c>
      <c r="D569" t="s">
        <v>3683</v>
      </c>
      <c r="E569">
        <v>1034</v>
      </c>
      <c r="F569">
        <v>1502</v>
      </c>
      <c r="G569" t="s">
        <v>3683</v>
      </c>
      <c r="H569">
        <v>1</v>
      </c>
      <c r="I569" t="s">
        <v>3689</v>
      </c>
      <c r="J569" s="2" t="str">
        <f t="shared" si="24"/>
        <v>[597]=1502,</v>
      </c>
      <c r="K569" s="3">
        <f t="shared" si="25"/>
        <v>597</v>
      </c>
      <c r="L569" s="3">
        <f t="shared" si="26"/>
        <v>1502</v>
      </c>
      <c r="M569" s="9" t="str">
        <f>VLOOKUP(A569,WayshrineNames!$A$3:$B$967,2,)</f>
        <v>Shell-Tide Village Wayshrine</v>
      </c>
      <c r="N569" s="3" t="str">
        <f>VLOOKUP(F569,'ESO zones'!$A$5:$D$10003,4,FALSE)</f>
        <v>Solstice</v>
      </c>
    </row>
    <row r="570" spans="1:14" x14ac:dyDescent="0.25">
      <c r="A570">
        <v>598</v>
      </c>
      <c r="B570">
        <v>53</v>
      </c>
      <c r="C570">
        <v>2603</v>
      </c>
      <c r="D570" t="s">
        <v>3683</v>
      </c>
      <c r="E570">
        <v>1034</v>
      </c>
      <c r="F570">
        <v>1502</v>
      </c>
      <c r="G570" t="s">
        <v>3683</v>
      </c>
      <c r="H570">
        <v>1</v>
      </c>
      <c r="I570" t="s">
        <v>3690</v>
      </c>
      <c r="J570" s="2" t="str">
        <f t="shared" si="24"/>
        <v>[598]=1502,</v>
      </c>
      <c r="K570" s="3">
        <f t="shared" si="25"/>
        <v>598</v>
      </c>
      <c r="L570" s="3">
        <f t="shared" si="26"/>
        <v>1502</v>
      </c>
      <c r="M570" s="9" t="str">
        <f>VLOOKUP(A570,WayshrineNames!$A$3:$B$967,2,)</f>
        <v>Sunport Wayshrine</v>
      </c>
      <c r="N570" s="3" t="str">
        <f>VLOOKUP(F570,'ESO zones'!$A$5:$D$10003,4,FALSE)</f>
        <v>Solstice</v>
      </c>
    </row>
    <row r="571" spans="1:14" x14ac:dyDescent="0.25">
      <c r="A571">
        <v>599</v>
      </c>
      <c r="B571">
        <v>53</v>
      </c>
      <c r="C571">
        <v>2603</v>
      </c>
      <c r="D571" t="s">
        <v>3683</v>
      </c>
      <c r="E571">
        <v>1034</v>
      </c>
      <c r="F571">
        <v>1502</v>
      </c>
      <c r="G571" t="s">
        <v>3683</v>
      </c>
      <c r="H571">
        <v>7</v>
      </c>
      <c r="I571" t="s">
        <v>3691</v>
      </c>
      <c r="J571" s="2" t="str">
        <f t="shared" si="24"/>
        <v>[599]=1502,</v>
      </c>
      <c r="K571" s="3">
        <f t="shared" si="25"/>
        <v>599</v>
      </c>
      <c r="L571" s="3">
        <f t="shared" si="26"/>
        <v>1502</v>
      </c>
      <c r="M571" s="9" t="str">
        <f>VLOOKUP(A571,WayshrineNames!$A$3:$B$967,2,)</f>
        <v>The Sleepy Sloth</v>
      </c>
      <c r="N571" s="3" t="str">
        <f>VLOOKUP(F571,'ESO zones'!$A$5:$D$10003,4,FALSE)</f>
        <v>Solstice</v>
      </c>
    </row>
    <row r="572" spans="1:14" x14ac:dyDescent="0.25">
      <c r="A572">
        <v>601</v>
      </c>
      <c r="B572">
        <v>53</v>
      </c>
      <c r="C572">
        <v>2603</v>
      </c>
      <c r="D572" t="s">
        <v>3683</v>
      </c>
      <c r="E572">
        <v>1034</v>
      </c>
      <c r="F572">
        <v>1502</v>
      </c>
      <c r="G572" t="s">
        <v>3683</v>
      </c>
      <c r="H572">
        <v>7</v>
      </c>
      <c r="I572" t="s">
        <v>3692</v>
      </c>
      <c r="J572" s="2" t="str">
        <f t="shared" si="24"/>
        <v>[601]=1502,</v>
      </c>
      <c r="K572" s="3">
        <f t="shared" si="25"/>
        <v>601</v>
      </c>
      <c r="L572" s="3">
        <f t="shared" si="26"/>
        <v>1502</v>
      </c>
      <c r="M572" s="9" t="str">
        <f>VLOOKUP(A572,WayshrineNames!$A$3:$B$967,2,)</f>
        <v>Bismuth Steam Baths</v>
      </c>
      <c r="N572" s="3" t="str">
        <f>VLOOKUP(F572,'ESO zones'!$A$5:$D$10003,4,FALSE)</f>
        <v>Solstice</v>
      </c>
    </row>
    <row r="573" spans="1:14" x14ac:dyDescent="0.25">
      <c r="A573">
        <v>605</v>
      </c>
      <c r="B573">
        <v>53</v>
      </c>
      <c r="C573">
        <v>2603</v>
      </c>
      <c r="D573" t="s">
        <v>3683</v>
      </c>
      <c r="E573">
        <v>1034</v>
      </c>
      <c r="F573">
        <v>1502</v>
      </c>
      <c r="G573" t="s">
        <v>3683</v>
      </c>
      <c r="H573">
        <v>6</v>
      </c>
      <c r="I573" t="s">
        <v>3693</v>
      </c>
      <c r="J573" s="2" t="str">
        <f t="shared" si="24"/>
        <v>[605]=1502,</v>
      </c>
      <c r="K573" s="3">
        <f t="shared" si="25"/>
        <v>605</v>
      </c>
      <c r="L573" s="3">
        <f t="shared" si="26"/>
        <v>1502</v>
      </c>
      <c r="M573" s="9" t="str">
        <f>VLOOKUP(A573,WayshrineNames!$A$3:$B$967,2,)</f>
        <v>Dungeon: Black Gem Foundry</v>
      </c>
      <c r="N573" s="3" t="str">
        <f>VLOOKUP(F573,'ESO zones'!$A$5:$D$10003,4,FALSE)</f>
        <v>Solstice</v>
      </c>
    </row>
    <row r="574" spans="1:14" x14ac:dyDescent="0.25">
      <c r="A574">
        <v>606</v>
      </c>
      <c r="B574">
        <v>53</v>
      </c>
      <c r="C574">
        <v>2603</v>
      </c>
      <c r="D574" t="s">
        <v>3683</v>
      </c>
      <c r="E574">
        <v>1034</v>
      </c>
      <c r="F574">
        <v>1502</v>
      </c>
      <c r="G574" t="s">
        <v>3683</v>
      </c>
      <c r="H574">
        <v>6</v>
      </c>
      <c r="I574" t="s">
        <v>3694</v>
      </c>
      <c r="J574" s="2" t="str">
        <f t="shared" si="24"/>
        <v>[606]=1502,</v>
      </c>
      <c r="K574" s="3">
        <f t="shared" si="25"/>
        <v>606</v>
      </c>
      <c r="L574" s="3">
        <f t="shared" si="26"/>
        <v>1502</v>
      </c>
      <c r="M574" s="9" t="str">
        <f>VLOOKUP(A574,WayshrineNames!$A$3:$B$967,2,)</f>
        <v>Dungeon: Naj-Caldeesh</v>
      </c>
      <c r="N574" s="3" t="str">
        <f>VLOOKUP(F574,'ESO zones'!$A$5:$D$10003,4,FALSE)</f>
        <v>Solstice</v>
      </c>
    </row>
    <row r="575" spans="1:14" x14ac:dyDescent="0.25">
      <c r="A575">
        <v>607</v>
      </c>
      <c r="B575">
        <v>53</v>
      </c>
      <c r="C575">
        <v>2603</v>
      </c>
      <c r="D575" t="s">
        <v>3683</v>
      </c>
      <c r="E575">
        <v>1034</v>
      </c>
      <c r="F575">
        <v>1502</v>
      </c>
      <c r="G575" t="s">
        <v>3683</v>
      </c>
      <c r="H575">
        <v>1</v>
      </c>
      <c r="I575" t="s">
        <v>3695</v>
      </c>
      <c r="J575" s="2" t="str">
        <f t="shared" si="24"/>
        <v>[607]=1502,</v>
      </c>
      <c r="K575" s="3">
        <f t="shared" si="25"/>
        <v>607</v>
      </c>
      <c r="L575" s="3">
        <f t="shared" si="26"/>
        <v>1502</v>
      </c>
      <c r="M575" s="9" t="str">
        <f>VLOOKUP(A575,WayshrineNames!$A$3:$B$967,2,)</f>
        <v>Gristmung Hold Camp Wayshrine</v>
      </c>
      <c r="N575" s="3" t="str">
        <f>VLOOKUP(F575,'ESO zones'!$A$5:$D$10003,4,FALSE)</f>
        <v>Solstice</v>
      </c>
    </row>
    <row r="576" spans="1:14" x14ac:dyDescent="0.25">
      <c r="A576">
        <v>608</v>
      </c>
      <c r="B576">
        <v>53</v>
      </c>
      <c r="C576">
        <v>2603</v>
      </c>
      <c r="D576" t="s">
        <v>3683</v>
      </c>
      <c r="E576">
        <v>1034</v>
      </c>
      <c r="F576">
        <v>1502</v>
      </c>
      <c r="G576" t="s">
        <v>3683</v>
      </c>
      <c r="H576">
        <v>1</v>
      </c>
      <c r="I576" t="s">
        <v>3696</v>
      </c>
      <c r="J576" s="2" t="str">
        <f t="shared" si="24"/>
        <v>[608]=1502,</v>
      </c>
      <c r="K576" s="3">
        <f t="shared" si="25"/>
        <v>608</v>
      </c>
      <c r="L576" s="3">
        <f t="shared" si="26"/>
        <v>1502</v>
      </c>
      <c r="M576" s="9" t="str">
        <f>VLOOKUP(A576,WayshrineNames!$A$3:$B$967,2,)</f>
        <v>Mor Naril Camp Wayshrine</v>
      </c>
      <c r="N576" s="3" t="str">
        <f>VLOOKUP(F576,'ESO zones'!$A$5:$D$10003,4,FALSE)</f>
        <v>Solstice</v>
      </c>
    </row>
    <row r="577" spans="1:14" x14ac:dyDescent="0.25">
      <c r="A577">
        <v>609</v>
      </c>
      <c r="B577">
        <v>53</v>
      </c>
      <c r="C577">
        <v>2603</v>
      </c>
      <c r="D577" t="s">
        <v>3683</v>
      </c>
      <c r="E577">
        <v>1034</v>
      </c>
      <c r="F577">
        <v>1502</v>
      </c>
      <c r="G577" t="s">
        <v>3683</v>
      </c>
      <c r="H577">
        <v>1</v>
      </c>
      <c r="I577" t="s">
        <v>3697</v>
      </c>
      <c r="J577" s="2" t="str">
        <f t="shared" si="24"/>
        <v>[609]=1502,</v>
      </c>
      <c r="K577" s="3">
        <f t="shared" si="25"/>
        <v>609</v>
      </c>
      <c r="L577" s="3">
        <f t="shared" si="26"/>
        <v>1502</v>
      </c>
      <c r="M577" s="9" t="str">
        <f>VLOOKUP(A577,WayshrineNames!$A$3:$B$967,2,)</f>
        <v>Xor-Hist Wayshrine</v>
      </c>
      <c r="N577" s="3" t="str">
        <f>VLOOKUP(F577,'ESO zones'!$A$5:$D$10003,4,FALSE)</f>
        <v>Solstice</v>
      </c>
    </row>
    <row r="578" spans="1:14" x14ac:dyDescent="0.25">
      <c r="A578">
        <v>610</v>
      </c>
      <c r="B578">
        <v>53</v>
      </c>
      <c r="C578">
        <v>2603</v>
      </c>
      <c r="D578" t="s">
        <v>3683</v>
      </c>
      <c r="E578">
        <v>1034</v>
      </c>
      <c r="F578">
        <v>1502</v>
      </c>
      <c r="G578" t="s">
        <v>3683</v>
      </c>
      <c r="H578">
        <v>1</v>
      </c>
      <c r="I578" t="s">
        <v>3698</v>
      </c>
      <c r="J578" s="2" t="str">
        <f t="shared" si="24"/>
        <v>[610]=1502,</v>
      </c>
      <c r="K578" s="3">
        <f t="shared" si="25"/>
        <v>610</v>
      </c>
      <c r="L578" s="3">
        <f t="shared" si="26"/>
        <v>1502</v>
      </c>
      <c r="M578" s="9" t="str">
        <f>VLOOKUP(A578,WayshrineNames!$A$3:$B$967,2,)</f>
        <v>Caterwaul Cove Wayshrine</v>
      </c>
      <c r="N578" s="3" t="str">
        <f>VLOOKUP(F578,'ESO zones'!$A$5:$D$10003,4,FALSE)</f>
        <v>Solstice</v>
      </c>
    </row>
    <row r="579" spans="1:14" x14ac:dyDescent="0.25">
      <c r="A579">
        <v>611</v>
      </c>
      <c r="B579">
        <v>53</v>
      </c>
      <c r="C579">
        <v>2603</v>
      </c>
      <c r="D579" t="s">
        <v>3683</v>
      </c>
      <c r="E579">
        <v>1034</v>
      </c>
      <c r="F579">
        <v>1502</v>
      </c>
      <c r="G579" t="s">
        <v>3683</v>
      </c>
      <c r="H579">
        <v>1</v>
      </c>
      <c r="I579" t="s">
        <v>3699</v>
      </c>
      <c r="J579" s="2" t="str">
        <f t="shared" ref="J579:J587" si="27">IF(A579&lt;&gt;"",IF(F579&lt;&gt;"",IF(OR(ISNA(A579),ISNA(F579)),"","["&amp;A579&amp;"]="&amp;F579&amp;","),""),"")</f>
        <v>[611]=1502,</v>
      </c>
      <c r="K579" s="3">
        <f t="shared" ref="K579:K587" si="28">A579</f>
        <v>611</v>
      </c>
      <c r="L579" s="3">
        <f t="shared" ref="L579:L587" si="29">F579</f>
        <v>1502</v>
      </c>
      <c r="M579" s="9" t="str">
        <f>VLOOKUP(A579,WayshrineNames!$A$3:$B$967,2,)</f>
        <v>Grand Juncture Pass Wayshrine</v>
      </c>
      <c r="N579" s="3" t="str">
        <f>VLOOKUP(F579,'ESO zones'!$A$5:$D$10003,4,FALSE)</f>
        <v>Solstice</v>
      </c>
    </row>
    <row r="580" spans="1:14" x14ac:dyDescent="0.25">
      <c r="A580">
        <v>612</v>
      </c>
      <c r="B580">
        <v>53</v>
      </c>
      <c r="C580">
        <v>2603</v>
      </c>
      <c r="D580" t="s">
        <v>3683</v>
      </c>
      <c r="E580">
        <v>1034</v>
      </c>
      <c r="F580">
        <v>1502</v>
      </c>
      <c r="G580" t="s">
        <v>3683</v>
      </c>
      <c r="H580">
        <v>1</v>
      </c>
      <c r="I580" t="s">
        <v>3700</v>
      </c>
      <c r="J580" s="2" t="str">
        <f t="shared" si="27"/>
        <v>[612]=1502,</v>
      </c>
      <c r="K580" s="3">
        <f t="shared" si="28"/>
        <v>612</v>
      </c>
      <c r="L580" s="3">
        <f t="shared" si="29"/>
        <v>1502</v>
      </c>
      <c r="M580" s="9" t="str">
        <f>VLOOKUP(A580,WayshrineNames!$A$3:$B$967,2,)</f>
        <v>Stone Cove Wayshrine</v>
      </c>
      <c r="N580" s="3" t="str">
        <f>VLOOKUP(F580,'ESO zones'!$A$5:$D$10003,4,FALSE)</f>
        <v>Solstice</v>
      </c>
    </row>
    <row r="581" spans="1:14" x14ac:dyDescent="0.25">
      <c r="A581">
        <v>614</v>
      </c>
      <c r="B581">
        <v>53</v>
      </c>
      <c r="C581">
        <v>2603</v>
      </c>
      <c r="D581" t="s">
        <v>3683</v>
      </c>
      <c r="E581">
        <v>1034</v>
      </c>
      <c r="F581">
        <v>1502</v>
      </c>
      <c r="G581" t="s">
        <v>3683</v>
      </c>
      <c r="H581">
        <v>7</v>
      </c>
      <c r="I581" t="s">
        <v>3701</v>
      </c>
      <c r="J581" s="2" t="str">
        <f t="shared" si="27"/>
        <v>[614]=1502,</v>
      </c>
      <c r="K581" s="3">
        <f t="shared" si="28"/>
        <v>614</v>
      </c>
      <c r="L581" s="3">
        <f t="shared" si="29"/>
        <v>1502</v>
      </c>
      <c r="M581" s="9" t="str">
        <f>VLOOKUP(A581,WayshrineNames!$A$3:$B$967,2,)</f>
        <v>Cradle of the Worm Colossus</v>
      </c>
      <c r="N581" s="3" t="str">
        <f>VLOOKUP(F581,'ESO zones'!$A$5:$D$10003,4,FALSE)</f>
        <v>Solstice</v>
      </c>
    </row>
    <row r="582" spans="1:14" x14ac:dyDescent="0.25">
      <c r="A582">
        <v>615</v>
      </c>
      <c r="B582">
        <v>53</v>
      </c>
      <c r="C582">
        <v>2603</v>
      </c>
      <c r="D582" t="s">
        <v>3683</v>
      </c>
      <c r="E582">
        <v>1034</v>
      </c>
      <c r="F582">
        <v>1502</v>
      </c>
      <c r="G582" t="s">
        <v>3683</v>
      </c>
      <c r="H582">
        <v>1</v>
      </c>
      <c r="I582" t="s">
        <v>3702</v>
      </c>
      <c r="J582" s="2" t="str">
        <f t="shared" si="27"/>
        <v>[615]=1502,</v>
      </c>
      <c r="K582" s="3">
        <f t="shared" si="28"/>
        <v>615</v>
      </c>
      <c r="L582" s="3">
        <f t="shared" si="29"/>
        <v>1502</v>
      </c>
      <c r="M582" s="9" t="str">
        <f>VLOOKUP(A582,WayshrineNames!$A$3:$B$967,2,)</f>
        <v>Rampart Camp Wayshrine</v>
      </c>
      <c r="N582" s="3" t="str">
        <f>VLOOKUP(F582,'ESO zones'!$A$5:$D$10003,4,FALSE)</f>
        <v>Solstice</v>
      </c>
    </row>
    <row r="583" spans="1:14" x14ac:dyDescent="0.25">
      <c r="A583" s="39">
        <v>613</v>
      </c>
      <c r="I583" t="s">
        <v>3702</v>
      </c>
      <c r="J583" s="2" t="str">
        <f t="shared" si="27"/>
        <v/>
      </c>
      <c r="K583" s="3">
        <f t="shared" si="28"/>
        <v>613</v>
      </c>
      <c r="L583" s="3">
        <f t="shared" si="29"/>
        <v>0</v>
      </c>
      <c r="M583" s="9" t="str">
        <f>VLOOKUP(A583,WayshrineNames!$A$3:$B$967,2,)</f>
        <v>Druidspring Conservatory</v>
      </c>
      <c r="N583" s="3" t="str">
        <f>VLOOKUP(F583,'ESO zones'!$A$5:$D$10003,4,FALSE)</f>
        <v>Tamriel Map</v>
      </c>
    </row>
    <row r="584" spans="1:14" x14ac:dyDescent="0.25">
      <c r="A584" s="39">
        <v>616</v>
      </c>
      <c r="B584">
        <v>45</v>
      </c>
      <c r="C584">
        <v>2021</v>
      </c>
      <c r="D584" t="s">
        <v>3578</v>
      </c>
      <c r="E584">
        <v>855</v>
      </c>
      <c r="F584">
        <v>1283</v>
      </c>
      <c r="G584" t="s">
        <v>3591</v>
      </c>
      <c r="H584">
        <v>1</v>
      </c>
      <c r="I584" t="s">
        <v>3703</v>
      </c>
      <c r="J584" s="2" t="str">
        <f t="shared" si="27"/>
        <v>[616]=1283,</v>
      </c>
      <c r="K584" s="3">
        <f t="shared" si="28"/>
        <v>616</v>
      </c>
      <c r="L584" s="3">
        <f t="shared" si="29"/>
        <v>1283</v>
      </c>
      <c r="M584" s="9" t="str">
        <f>VLOOKUP(A584,WayshrineNames!$A$3:$B$967,2,)</f>
        <v>Event Zone: Night Market</v>
      </c>
      <c r="N584" s="3" t="str">
        <f>VLOOKUP(F584,'ESO zones'!$A$5:$D$10003,4,FALSE)</f>
        <v>The Shambles</v>
      </c>
    </row>
    <row r="585" spans="1:14" x14ac:dyDescent="0.25">
      <c r="A585" s="39">
        <v>617</v>
      </c>
      <c r="I585" t="s">
        <v>3073</v>
      </c>
      <c r="J585" s="2" t="str">
        <f t="shared" si="27"/>
        <v/>
      </c>
      <c r="K585" s="3">
        <f t="shared" si="28"/>
        <v>617</v>
      </c>
      <c r="L585" s="3">
        <f t="shared" si="29"/>
        <v>0</v>
      </c>
      <c r="M585" s="9" t="str">
        <f>VLOOKUP(A585,WayshrineNames!$A$3:$B$967,2,)</f>
        <v>Writhing Fortress</v>
      </c>
      <c r="N585" s="3" t="str">
        <f>VLOOKUP(F585,'ESO zones'!$A$5:$D$10003,4,FALSE)</f>
        <v>Tamriel Map</v>
      </c>
    </row>
    <row r="586" spans="1:14" x14ac:dyDescent="0.25">
      <c r="A586" s="39">
        <v>618</v>
      </c>
      <c r="I586" t="s">
        <v>3086</v>
      </c>
      <c r="J586" s="2" t="str">
        <f t="shared" si="27"/>
        <v/>
      </c>
      <c r="K586" s="3">
        <f t="shared" si="28"/>
        <v>618</v>
      </c>
      <c r="L586" s="3">
        <f t="shared" si="29"/>
        <v>0</v>
      </c>
      <c r="M586" s="9" t="str">
        <f>VLOOKUP(A586,WayshrineNames!$A$3:$B$967,2,)</f>
        <v>Night's Den</v>
      </c>
      <c r="N586" s="3" t="str">
        <f>VLOOKUP(F586,'ESO zones'!$A$5:$D$10003,4,FALSE)</f>
        <v>Tamriel Map</v>
      </c>
    </row>
    <row r="587" spans="1:14" x14ac:dyDescent="0.25">
      <c r="A587" s="39">
        <v>619</v>
      </c>
      <c r="I587" t="s">
        <v>3087</v>
      </c>
      <c r="J587" s="2" t="str">
        <f t="shared" si="27"/>
        <v/>
      </c>
      <c r="K587" s="3">
        <f t="shared" si="28"/>
        <v>619</v>
      </c>
      <c r="L587" s="3">
        <f t="shared" si="29"/>
        <v>0</v>
      </c>
      <c r="M587" s="9" t="str">
        <f>VLOOKUP(A587,WayshrineNames!$A$3:$B$967,2,)</f>
        <v>Buccaneer Bay</v>
      </c>
      <c r="N587" s="3" t="str">
        <f>VLOOKUP(F587,'ESO zones'!$A$5:$D$10003,4,FALSE)</f>
        <v>Tamriel Map</v>
      </c>
    </row>
  </sheetData>
  <autoFilter ref="A2:N587" xr:uid="{00000000-0009-0000-0000-00000E000000}">
    <sortState xmlns:xlrd2="http://schemas.microsoft.com/office/spreadsheetml/2017/richdata2" ref="A3:A587">
      <sortCondition ref="A2:A587"/>
    </sortState>
  </autoFilter>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8">
    <tabColor rgb="FFC65911"/>
  </sheetPr>
  <dimension ref="A1:L642"/>
  <sheetViews>
    <sheetView workbookViewId="0">
      <pane xSplit="1" ySplit="2" topLeftCell="B599" activePane="bottomRight" state="frozen"/>
      <selection pane="topRight"/>
      <selection pane="bottomLeft"/>
      <selection pane="bottomRight" activeCell="B1" sqref="B1"/>
    </sheetView>
  </sheetViews>
  <sheetFormatPr defaultColWidth="11.5703125" defaultRowHeight="15" x14ac:dyDescent="0.25"/>
  <cols>
    <col min="1" max="1" width="23.28515625" style="1" customWidth="1"/>
    <col min="2" max="2" width="43.28515625" customWidth="1"/>
    <col min="4" max="4" width="27.5703125" customWidth="1"/>
  </cols>
  <sheetData>
    <row r="1" spans="1:12" x14ac:dyDescent="0.25">
      <c r="B1" s="38" t="s">
        <v>4330</v>
      </c>
      <c r="C1" s="38"/>
      <c r="D1" s="38" t="s">
        <v>3704</v>
      </c>
      <c r="E1" s="38"/>
      <c r="F1" s="38"/>
      <c r="G1" s="38"/>
      <c r="H1" s="38"/>
      <c r="I1" s="38"/>
      <c r="J1" s="38"/>
      <c r="K1" s="38"/>
      <c r="L1" s="38"/>
    </row>
    <row r="2" spans="1:12" s="6" customFormat="1" x14ac:dyDescent="0.25">
      <c r="A2" s="1" t="s">
        <v>3705</v>
      </c>
      <c r="B2" s="6" t="s">
        <v>3706</v>
      </c>
    </row>
    <row r="3" spans="1:12" x14ac:dyDescent="0.25">
      <c r="A3">
        <v>1</v>
      </c>
      <c r="B3" t="s">
        <v>3707</v>
      </c>
    </row>
    <row r="4" spans="1:12" x14ac:dyDescent="0.25">
      <c r="A4">
        <v>2</v>
      </c>
      <c r="B4" t="s">
        <v>3708</v>
      </c>
    </row>
    <row r="5" spans="1:12" x14ac:dyDescent="0.25">
      <c r="A5">
        <v>3</v>
      </c>
      <c r="B5" t="s">
        <v>3709</v>
      </c>
    </row>
    <row r="6" spans="1:12" x14ac:dyDescent="0.25">
      <c r="A6">
        <v>4</v>
      </c>
      <c r="B6" t="s">
        <v>3710</v>
      </c>
    </row>
    <row r="7" spans="1:12" x14ac:dyDescent="0.25">
      <c r="A7">
        <v>5</v>
      </c>
      <c r="B7" t="s">
        <v>3711</v>
      </c>
    </row>
    <row r="8" spans="1:12" x14ac:dyDescent="0.25">
      <c r="A8">
        <v>6</v>
      </c>
      <c r="B8" t="s">
        <v>3712</v>
      </c>
    </row>
    <row r="9" spans="1:12" x14ac:dyDescent="0.25">
      <c r="A9">
        <v>7</v>
      </c>
      <c r="B9" t="s">
        <v>3713</v>
      </c>
    </row>
    <row r="10" spans="1:12" x14ac:dyDescent="0.25">
      <c r="A10">
        <v>8</v>
      </c>
      <c r="B10" t="s">
        <v>3714</v>
      </c>
    </row>
    <row r="11" spans="1:12" x14ac:dyDescent="0.25">
      <c r="A11">
        <v>9</v>
      </c>
      <c r="B11" t="s">
        <v>3715</v>
      </c>
    </row>
    <row r="12" spans="1:12" x14ac:dyDescent="0.25">
      <c r="A12">
        <v>10</v>
      </c>
      <c r="B12" t="s">
        <v>3716</v>
      </c>
    </row>
    <row r="13" spans="1:12" x14ac:dyDescent="0.25">
      <c r="A13">
        <v>11</v>
      </c>
      <c r="B13" t="s">
        <v>3717</v>
      </c>
    </row>
    <row r="14" spans="1:12" x14ac:dyDescent="0.25">
      <c r="A14">
        <v>12</v>
      </c>
      <c r="B14" t="s">
        <v>3718</v>
      </c>
    </row>
    <row r="15" spans="1:12" x14ac:dyDescent="0.25">
      <c r="A15">
        <v>13</v>
      </c>
      <c r="B15" t="s">
        <v>3719</v>
      </c>
    </row>
    <row r="16" spans="1:12" x14ac:dyDescent="0.25">
      <c r="A16">
        <v>14</v>
      </c>
      <c r="B16" t="s">
        <v>3720</v>
      </c>
    </row>
    <row r="17" spans="1:2" x14ac:dyDescent="0.25">
      <c r="A17">
        <v>15</v>
      </c>
      <c r="B17" t="s">
        <v>3721</v>
      </c>
    </row>
    <row r="18" spans="1:2" x14ac:dyDescent="0.25">
      <c r="A18">
        <v>16</v>
      </c>
      <c r="B18" t="s">
        <v>3722</v>
      </c>
    </row>
    <row r="19" spans="1:2" x14ac:dyDescent="0.25">
      <c r="A19">
        <v>17</v>
      </c>
      <c r="B19" t="s">
        <v>3723</v>
      </c>
    </row>
    <row r="20" spans="1:2" x14ac:dyDescent="0.25">
      <c r="A20">
        <v>18</v>
      </c>
      <c r="B20" t="s">
        <v>3724</v>
      </c>
    </row>
    <row r="21" spans="1:2" x14ac:dyDescent="0.25">
      <c r="A21">
        <v>19</v>
      </c>
      <c r="B21" t="s">
        <v>3725</v>
      </c>
    </row>
    <row r="22" spans="1:2" x14ac:dyDescent="0.25">
      <c r="A22">
        <v>20</v>
      </c>
      <c r="B22" t="s">
        <v>3726</v>
      </c>
    </row>
    <row r="23" spans="1:2" x14ac:dyDescent="0.25">
      <c r="A23">
        <v>21</v>
      </c>
      <c r="B23" t="s">
        <v>3727</v>
      </c>
    </row>
    <row r="24" spans="1:2" x14ac:dyDescent="0.25">
      <c r="A24">
        <v>22</v>
      </c>
      <c r="B24" t="s">
        <v>3728</v>
      </c>
    </row>
    <row r="25" spans="1:2" x14ac:dyDescent="0.25">
      <c r="A25">
        <v>23</v>
      </c>
      <c r="B25" t="s">
        <v>3729</v>
      </c>
    </row>
    <row r="26" spans="1:2" x14ac:dyDescent="0.25">
      <c r="A26">
        <v>24</v>
      </c>
      <c r="B26" t="s">
        <v>3730</v>
      </c>
    </row>
    <row r="27" spans="1:2" x14ac:dyDescent="0.25">
      <c r="A27">
        <v>25</v>
      </c>
      <c r="B27" t="s">
        <v>3731</v>
      </c>
    </row>
    <row r="28" spans="1:2" x14ac:dyDescent="0.25">
      <c r="A28">
        <v>26</v>
      </c>
      <c r="B28" t="s">
        <v>3732</v>
      </c>
    </row>
    <row r="29" spans="1:2" x14ac:dyDescent="0.25">
      <c r="A29">
        <v>27</v>
      </c>
      <c r="B29" t="s">
        <v>3733</v>
      </c>
    </row>
    <row r="30" spans="1:2" x14ac:dyDescent="0.25">
      <c r="A30">
        <v>28</v>
      </c>
      <c r="B30" t="s">
        <v>3734</v>
      </c>
    </row>
    <row r="31" spans="1:2" x14ac:dyDescent="0.25">
      <c r="A31">
        <v>29</v>
      </c>
      <c r="B31" t="s">
        <v>3735</v>
      </c>
    </row>
    <row r="32" spans="1:2" x14ac:dyDescent="0.25">
      <c r="A32">
        <v>30</v>
      </c>
      <c r="B32" t="s">
        <v>3736</v>
      </c>
    </row>
    <row r="33" spans="1:2" x14ac:dyDescent="0.25">
      <c r="A33">
        <v>31</v>
      </c>
      <c r="B33" t="s">
        <v>3737</v>
      </c>
    </row>
    <row r="34" spans="1:2" x14ac:dyDescent="0.25">
      <c r="A34">
        <v>32</v>
      </c>
      <c r="B34" t="s">
        <v>3738</v>
      </c>
    </row>
    <row r="35" spans="1:2" x14ac:dyDescent="0.25">
      <c r="A35">
        <v>33</v>
      </c>
      <c r="B35" t="s">
        <v>3739</v>
      </c>
    </row>
    <row r="36" spans="1:2" x14ac:dyDescent="0.25">
      <c r="A36">
        <v>34</v>
      </c>
      <c r="B36" t="s">
        <v>3740</v>
      </c>
    </row>
    <row r="37" spans="1:2" x14ac:dyDescent="0.25">
      <c r="A37">
        <v>35</v>
      </c>
      <c r="B37" t="s">
        <v>3741</v>
      </c>
    </row>
    <row r="38" spans="1:2" x14ac:dyDescent="0.25">
      <c r="A38">
        <v>36</v>
      </c>
      <c r="B38" t="s">
        <v>3742</v>
      </c>
    </row>
    <row r="39" spans="1:2" x14ac:dyDescent="0.25">
      <c r="A39">
        <v>37</v>
      </c>
      <c r="B39" t="s">
        <v>3743</v>
      </c>
    </row>
    <row r="40" spans="1:2" x14ac:dyDescent="0.25">
      <c r="A40">
        <v>38</v>
      </c>
      <c r="B40" t="s">
        <v>3744</v>
      </c>
    </row>
    <row r="41" spans="1:2" x14ac:dyDescent="0.25">
      <c r="A41">
        <v>39</v>
      </c>
      <c r="B41" t="s">
        <v>3745</v>
      </c>
    </row>
    <row r="42" spans="1:2" x14ac:dyDescent="0.25">
      <c r="A42">
        <v>40</v>
      </c>
      <c r="B42" t="s">
        <v>3746</v>
      </c>
    </row>
    <row r="43" spans="1:2" x14ac:dyDescent="0.25">
      <c r="A43">
        <v>41</v>
      </c>
      <c r="B43" t="s">
        <v>3747</v>
      </c>
    </row>
    <row r="44" spans="1:2" x14ac:dyDescent="0.25">
      <c r="A44">
        <v>42</v>
      </c>
      <c r="B44" t="s">
        <v>3748</v>
      </c>
    </row>
    <row r="45" spans="1:2" x14ac:dyDescent="0.25">
      <c r="A45">
        <v>43</v>
      </c>
      <c r="B45" t="s">
        <v>3749</v>
      </c>
    </row>
    <row r="46" spans="1:2" x14ac:dyDescent="0.25">
      <c r="A46">
        <v>44</v>
      </c>
      <c r="B46" t="s">
        <v>3750</v>
      </c>
    </row>
    <row r="47" spans="1:2" x14ac:dyDescent="0.25">
      <c r="A47">
        <v>45</v>
      </c>
      <c r="B47" t="s">
        <v>3751</v>
      </c>
    </row>
    <row r="48" spans="1:2" x14ac:dyDescent="0.25">
      <c r="A48">
        <v>46</v>
      </c>
      <c r="B48" t="s">
        <v>3752</v>
      </c>
    </row>
    <row r="49" spans="1:2" x14ac:dyDescent="0.25">
      <c r="A49">
        <v>47</v>
      </c>
      <c r="B49" t="s">
        <v>3753</v>
      </c>
    </row>
    <row r="50" spans="1:2" x14ac:dyDescent="0.25">
      <c r="A50">
        <v>48</v>
      </c>
      <c r="B50" t="s">
        <v>3754</v>
      </c>
    </row>
    <row r="51" spans="1:2" x14ac:dyDescent="0.25">
      <c r="A51">
        <v>49</v>
      </c>
      <c r="B51" t="s">
        <v>3755</v>
      </c>
    </row>
    <row r="52" spans="1:2" x14ac:dyDescent="0.25">
      <c r="A52">
        <v>50</v>
      </c>
      <c r="B52" t="s">
        <v>3756</v>
      </c>
    </row>
    <row r="53" spans="1:2" x14ac:dyDescent="0.25">
      <c r="A53">
        <v>51</v>
      </c>
      <c r="B53" t="s">
        <v>3757</v>
      </c>
    </row>
    <row r="54" spans="1:2" x14ac:dyDescent="0.25">
      <c r="A54">
        <v>52</v>
      </c>
      <c r="B54" t="s">
        <v>3758</v>
      </c>
    </row>
    <row r="55" spans="1:2" x14ac:dyDescent="0.25">
      <c r="A55">
        <v>53</v>
      </c>
      <c r="B55" t="s">
        <v>3759</v>
      </c>
    </row>
    <row r="56" spans="1:2" x14ac:dyDescent="0.25">
      <c r="A56">
        <v>54</v>
      </c>
    </row>
    <row r="57" spans="1:2" x14ac:dyDescent="0.25">
      <c r="A57">
        <v>55</v>
      </c>
      <c r="B57" t="s">
        <v>3760</v>
      </c>
    </row>
    <row r="58" spans="1:2" x14ac:dyDescent="0.25">
      <c r="A58">
        <v>56</v>
      </c>
      <c r="B58" t="s">
        <v>3761</v>
      </c>
    </row>
    <row r="59" spans="1:2" x14ac:dyDescent="0.25">
      <c r="A59">
        <v>57</v>
      </c>
      <c r="B59" t="s">
        <v>3762</v>
      </c>
    </row>
    <row r="60" spans="1:2" x14ac:dyDescent="0.25">
      <c r="A60">
        <v>58</v>
      </c>
      <c r="B60" t="s">
        <v>3763</v>
      </c>
    </row>
    <row r="61" spans="1:2" x14ac:dyDescent="0.25">
      <c r="A61">
        <v>59</v>
      </c>
      <c r="B61" t="s">
        <v>3764</v>
      </c>
    </row>
    <row r="62" spans="1:2" x14ac:dyDescent="0.25">
      <c r="A62">
        <v>60</v>
      </c>
      <c r="B62" t="s">
        <v>3765</v>
      </c>
    </row>
    <row r="63" spans="1:2" x14ac:dyDescent="0.25">
      <c r="A63">
        <v>61</v>
      </c>
      <c r="B63" t="s">
        <v>3766</v>
      </c>
    </row>
    <row r="64" spans="1:2" x14ac:dyDescent="0.25">
      <c r="A64">
        <v>62</v>
      </c>
      <c r="B64" t="s">
        <v>3767</v>
      </c>
    </row>
    <row r="65" spans="1:2" x14ac:dyDescent="0.25">
      <c r="A65">
        <v>63</v>
      </c>
      <c r="B65" t="s">
        <v>3768</v>
      </c>
    </row>
    <row r="66" spans="1:2" x14ac:dyDescent="0.25">
      <c r="A66">
        <v>64</v>
      </c>
      <c r="B66" t="s">
        <v>3769</v>
      </c>
    </row>
    <row r="67" spans="1:2" x14ac:dyDescent="0.25">
      <c r="A67">
        <v>65</v>
      </c>
      <c r="B67" t="s">
        <v>3770</v>
      </c>
    </row>
    <row r="68" spans="1:2" x14ac:dyDescent="0.25">
      <c r="A68">
        <v>66</v>
      </c>
      <c r="B68" t="s">
        <v>3771</v>
      </c>
    </row>
    <row r="69" spans="1:2" x14ac:dyDescent="0.25">
      <c r="A69">
        <v>67</v>
      </c>
      <c r="B69" t="s">
        <v>3772</v>
      </c>
    </row>
    <row r="70" spans="1:2" x14ac:dyDescent="0.25">
      <c r="A70">
        <v>68</v>
      </c>
      <c r="B70" t="s">
        <v>3773</v>
      </c>
    </row>
    <row r="71" spans="1:2" x14ac:dyDescent="0.25">
      <c r="A71">
        <v>69</v>
      </c>
      <c r="B71" t="s">
        <v>3774</v>
      </c>
    </row>
    <row r="72" spans="1:2" x14ac:dyDescent="0.25">
      <c r="A72">
        <v>70</v>
      </c>
    </row>
    <row r="73" spans="1:2" x14ac:dyDescent="0.25">
      <c r="A73">
        <v>71</v>
      </c>
      <c r="B73" t="s">
        <v>3775</v>
      </c>
    </row>
    <row r="74" spans="1:2" x14ac:dyDescent="0.25">
      <c r="A74">
        <v>72</v>
      </c>
      <c r="B74" t="s">
        <v>3776</v>
      </c>
    </row>
    <row r="75" spans="1:2" x14ac:dyDescent="0.25">
      <c r="A75">
        <v>73</v>
      </c>
      <c r="B75" t="s">
        <v>3777</v>
      </c>
    </row>
    <row r="76" spans="1:2" x14ac:dyDescent="0.25">
      <c r="A76">
        <v>74</v>
      </c>
      <c r="B76" t="s">
        <v>3778</v>
      </c>
    </row>
    <row r="77" spans="1:2" x14ac:dyDescent="0.25">
      <c r="A77">
        <v>75</v>
      </c>
      <c r="B77" t="s">
        <v>3779</v>
      </c>
    </row>
    <row r="78" spans="1:2" x14ac:dyDescent="0.25">
      <c r="A78">
        <v>76</v>
      </c>
      <c r="B78" t="s">
        <v>3780</v>
      </c>
    </row>
    <row r="79" spans="1:2" x14ac:dyDescent="0.25">
      <c r="A79">
        <v>77</v>
      </c>
      <c r="B79" t="s">
        <v>3781</v>
      </c>
    </row>
    <row r="80" spans="1:2" x14ac:dyDescent="0.25">
      <c r="A80">
        <v>78</v>
      </c>
      <c r="B80" t="s">
        <v>3782</v>
      </c>
    </row>
    <row r="81" spans="1:2" x14ac:dyDescent="0.25">
      <c r="A81">
        <v>79</v>
      </c>
      <c r="B81" t="s">
        <v>3783</v>
      </c>
    </row>
    <row r="82" spans="1:2" x14ac:dyDescent="0.25">
      <c r="A82">
        <v>80</v>
      </c>
      <c r="B82" t="s">
        <v>3784</v>
      </c>
    </row>
    <row r="83" spans="1:2" x14ac:dyDescent="0.25">
      <c r="A83">
        <v>81</v>
      </c>
      <c r="B83" t="s">
        <v>3785</v>
      </c>
    </row>
    <row r="84" spans="1:2" x14ac:dyDescent="0.25">
      <c r="A84">
        <v>82</v>
      </c>
      <c r="B84" t="s">
        <v>3786</v>
      </c>
    </row>
    <row r="85" spans="1:2" x14ac:dyDescent="0.25">
      <c r="A85">
        <v>83</v>
      </c>
      <c r="B85" t="s">
        <v>3787</v>
      </c>
    </row>
    <row r="86" spans="1:2" x14ac:dyDescent="0.25">
      <c r="A86">
        <v>84</v>
      </c>
      <c r="B86" t="s">
        <v>3788</v>
      </c>
    </row>
    <row r="87" spans="1:2" x14ac:dyDescent="0.25">
      <c r="A87">
        <v>85</v>
      </c>
      <c r="B87" t="s">
        <v>3789</v>
      </c>
    </row>
    <row r="88" spans="1:2" x14ac:dyDescent="0.25">
      <c r="A88">
        <v>86</v>
      </c>
      <c r="B88" t="s">
        <v>3790</v>
      </c>
    </row>
    <row r="89" spans="1:2" x14ac:dyDescent="0.25">
      <c r="A89">
        <v>87</v>
      </c>
      <c r="B89" t="s">
        <v>3791</v>
      </c>
    </row>
    <row r="90" spans="1:2" x14ac:dyDescent="0.25">
      <c r="A90">
        <v>88</v>
      </c>
      <c r="B90" t="s">
        <v>3792</v>
      </c>
    </row>
    <row r="91" spans="1:2" x14ac:dyDescent="0.25">
      <c r="A91">
        <v>89</v>
      </c>
      <c r="B91" t="s">
        <v>3793</v>
      </c>
    </row>
    <row r="92" spans="1:2" x14ac:dyDescent="0.25">
      <c r="A92">
        <v>90</v>
      </c>
      <c r="B92" t="s">
        <v>3794</v>
      </c>
    </row>
    <row r="93" spans="1:2" x14ac:dyDescent="0.25">
      <c r="A93">
        <v>91</v>
      </c>
      <c r="B93" t="s">
        <v>3795</v>
      </c>
    </row>
    <row r="94" spans="1:2" x14ac:dyDescent="0.25">
      <c r="A94">
        <v>92</v>
      </c>
      <c r="B94" t="s">
        <v>3796</v>
      </c>
    </row>
    <row r="95" spans="1:2" x14ac:dyDescent="0.25">
      <c r="A95">
        <v>93</v>
      </c>
      <c r="B95" t="s">
        <v>3797</v>
      </c>
    </row>
    <row r="96" spans="1:2" x14ac:dyDescent="0.25">
      <c r="A96">
        <v>94</v>
      </c>
      <c r="B96" t="s">
        <v>3798</v>
      </c>
    </row>
    <row r="97" spans="1:2" x14ac:dyDescent="0.25">
      <c r="A97">
        <v>95</v>
      </c>
      <c r="B97" t="s">
        <v>3799</v>
      </c>
    </row>
    <row r="98" spans="1:2" x14ac:dyDescent="0.25">
      <c r="A98">
        <v>96</v>
      </c>
      <c r="B98" t="s">
        <v>3800</v>
      </c>
    </row>
    <row r="99" spans="1:2" x14ac:dyDescent="0.25">
      <c r="A99">
        <v>97</v>
      </c>
      <c r="B99" t="s">
        <v>3801</v>
      </c>
    </row>
    <row r="100" spans="1:2" x14ac:dyDescent="0.25">
      <c r="A100">
        <v>98</v>
      </c>
      <c r="B100" t="s">
        <v>3802</v>
      </c>
    </row>
    <row r="101" spans="1:2" x14ac:dyDescent="0.25">
      <c r="A101">
        <v>99</v>
      </c>
      <c r="B101" t="s">
        <v>3803</v>
      </c>
    </row>
    <row r="102" spans="1:2" x14ac:dyDescent="0.25">
      <c r="A102">
        <v>100</v>
      </c>
      <c r="B102" t="s">
        <v>3804</v>
      </c>
    </row>
    <row r="103" spans="1:2" x14ac:dyDescent="0.25">
      <c r="A103">
        <v>101</v>
      </c>
      <c r="B103" t="s">
        <v>3805</v>
      </c>
    </row>
    <row r="104" spans="1:2" x14ac:dyDescent="0.25">
      <c r="A104">
        <v>102</v>
      </c>
      <c r="B104" t="s">
        <v>3806</v>
      </c>
    </row>
    <row r="105" spans="1:2" x14ac:dyDescent="0.25">
      <c r="A105">
        <v>103</v>
      </c>
      <c r="B105" t="s">
        <v>3807</v>
      </c>
    </row>
    <row r="106" spans="1:2" x14ac:dyDescent="0.25">
      <c r="A106">
        <v>104</v>
      </c>
      <c r="B106" t="s">
        <v>3808</v>
      </c>
    </row>
    <row r="107" spans="1:2" x14ac:dyDescent="0.25">
      <c r="A107">
        <v>105</v>
      </c>
      <c r="B107" t="s">
        <v>3809</v>
      </c>
    </row>
    <row r="108" spans="1:2" x14ac:dyDescent="0.25">
      <c r="A108">
        <v>106</v>
      </c>
      <c r="B108" t="s">
        <v>3810</v>
      </c>
    </row>
    <row r="109" spans="1:2" x14ac:dyDescent="0.25">
      <c r="A109">
        <v>107</v>
      </c>
      <c r="B109" t="s">
        <v>3811</v>
      </c>
    </row>
    <row r="110" spans="1:2" x14ac:dyDescent="0.25">
      <c r="A110">
        <v>108</v>
      </c>
      <c r="B110" t="s">
        <v>3812</v>
      </c>
    </row>
    <row r="111" spans="1:2" x14ac:dyDescent="0.25">
      <c r="A111">
        <v>109</v>
      </c>
      <c r="B111" t="s">
        <v>3813</v>
      </c>
    </row>
    <row r="112" spans="1:2" x14ac:dyDescent="0.25">
      <c r="A112">
        <v>110</v>
      </c>
      <c r="B112" t="s">
        <v>3814</v>
      </c>
    </row>
    <row r="113" spans="1:2" x14ac:dyDescent="0.25">
      <c r="A113">
        <v>111</v>
      </c>
      <c r="B113" t="s">
        <v>3815</v>
      </c>
    </row>
    <row r="114" spans="1:2" x14ac:dyDescent="0.25">
      <c r="A114">
        <v>112</v>
      </c>
      <c r="B114" t="s">
        <v>3816</v>
      </c>
    </row>
    <row r="115" spans="1:2" x14ac:dyDescent="0.25">
      <c r="A115">
        <v>113</v>
      </c>
      <c r="B115" t="s">
        <v>3817</v>
      </c>
    </row>
    <row r="116" spans="1:2" x14ac:dyDescent="0.25">
      <c r="A116">
        <v>114</v>
      </c>
      <c r="B116" t="s">
        <v>3818</v>
      </c>
    </row>
    <row r="117" spans="1:2" x14ac:dyDescent="0.25">
      <c r="A117">
        <v>115</v>
      </c>
      <c r="B117" t="s">
        <v>3819</v>
      </c>
    </row>
    <row r="118" spans="1:2" x14ac:dyDescent="0.25">
      <c r="A118">
        <v>116</v>
      </c>
      <c r="B118" t="s">
        <v>3820</v>
      </c>
    </row>
    <row r="119" spans="1:2" x14ac:dyDescent="0.25">
      <c r="A119">
        <v>117</v>
      </c>
      <c r="B119" t="s">
        <v>3821</v>
      </c>
    </row>
    <row r="120" spans="1:2" x14ac:dyDescent="0.25">
      <c r="A120">
        <v>118</v>
      </c>
      <c r="B120" t="s">
        <v>3822</v>
      </c>
    </row>
    <row r="121" spans="1:2" x14ac:dyDescent="0.25">
      <c r="A121">
        <v>119</v>
      </c>
      <c r="B121" t="s">
        <v>3823</v>
      </c>
    </row>
    <row r="122" spans="1:2" x14ac:dyDescent="0.25">
      <c r="A122">
        <v>120</v>
      </c>
      <c r="B122" t="s">
        <v>3824</v>
      </c>
    </row>
    <row r="123" spans="1:2" x14ac:dyDescent="0.25">
      <c r="A123">
        <v>121</v>
      </c>
      <c r="B123" t="s">
        <v>3825</v>
      </c>
    </row>
    <row r="124" spans="1:2" x14ac:dyDescent="0.25">
      <c r="A124">
        <v>122</v>
      </c>
      <c r="B124" t="s">
        <v>3826</v>
      </c>
    </row>
    <row r="125" spans="1:2" x14ac:dyDescent="0.25">
      <c r="A125">
        <v>123</v>
      </c>
      <c r="B125" t="s">
        <v>3827</v>
      </c>
    </row>
    <row r="126" spans="1:2" x14ac:dyDescent="0.25">
      <c r="A126">
        <v>124</v>
      </c>
      <c r="B126" t="s">
        <v>3828</v>
      </c>
    </row>
    <row r="127" spans="1:2" x14ac:dyDescent="0.25">
      <c r="A127">
        <v>125</v>
      </c>
      <c r="B127" t="s">
        <v>3829</v>
      </c>
    </row>
    <row r="128" spans="1:2" x14ac:dyDescent="0.25">
      <c r="A128">
        <v>126</v>
      </c>
      <c r="B128" t="s">
        <v>3830</v>
      </c>
    </row>
    <row r="129" spans="1:2" x14ac:dyDescent="0.25">
      <c r="A129">
        <v>127</v>
      </c>
      <c r="B129" t="s">
        <v>3831</v>
      </c>
    </row>
    <row r="130" spans="1:2" x14ac:dyDescent="0.25">
      <c r="A130">
        <v>128</v>
      </c>
      <c r="B130" t="s">
        <v>3832</v>
      </c>
    </row>
    <row r="131" spans="1:2" x14ac:dyDescent="0.25">
      <c r="A131">
        <v>129</v>
      </c>
      <c r="B131" t="s">
        <v>3833</v>
      </c>
    </row>
    <row r="132" spans="1:2" x14ac:dyDescent="0.25">
      <c r="A132">
        <v>130</v>
      </c>
      <c r="B132" t="s">
        <v>3834</v>
      </c>
    </row>
    <row r="133" spans="1:2" x14ac:dyDescent="0.25">
      <c r="A133">
        <v>131</v>
      </c>
      <c r="B133" t="s">
        <v>3835</v>
      </c>
    </row>
    <row r="134" spans="1:2" x14ac:dyDescent="0.25">
      <c r="A134">
        <v>132</v>
      </c>
      <c r="B134" t="s">
        <v>3836</v>
      </c>
    </row>
    <row r="135" spans="1:2" x14ac:dyDescent="0.25">
      <c r="A135">
        <v>133</v>
      </c>
      <c r="B135" t="s">
        <v>3837</v>
      </c>
    </row>
    <row r="136" spans="1:2" x14ac:dyDescent="0.25">
      <c r="A136">
        <v>134</v>
      </c>
      <c r="B136" t="s">
        <v>3838</v>
      </c>
    </row>
    <row r="137" spans="1:2" x14ac:dyDescent="0.25">
      <c r="A137">
        <v>135</v>
      </c>
      <c r="B137" t="s">
        <v>3839</v>
      </c>
    </row>
    <row r="138" spans="1:2" x14ac:dyDescent="0.25">
      <c r="A138">
        <v>136</v>
      </c>
      <c r="B138" t="s">
        <v>3840</v>
      </c>
    </row>
    <row r="139" spans="1:2" x14ac:dyDescent="0.25">
      <c r="A139">
        <v>137</v>
      </c>
      <c r="B139" t="s">
        <v>3841</v>
      </c>
    </row>
    <row r="140" spans="1:2" x14ac:dyDescent="0.25">
      <c r="A140">
        <v>138</v>
      </c>
      <c r="B140" t="s">
        <v>3842</v>
      </c>
    </row>
    <row r="141" spans="1:2" x14ac:dyDescent="0.25">
      <c r="A141">
        <v>139</v>
      </c>
      <c r="B141" t="s">
        <v>3843</v>
      </c>
    </row>
    <row r="142" spans="1:2" x14ac:dyDescent="0.25">
      <c r="A142">
        <v>140</v>
      </c>
      <c r="B142" t="s">
        <v>3844</v>
      </c>
    </row>
    <row r="143" spans="1:2" x14ac:dyDescent="0.25">
      <c r="A143">
        <v>141</v>
      </c>
      <c r="B143" t="s">
        <v>3845</v>
      </c>
    </row>
    <row r="144" spans="1:2" x14ac:dyDescent="0.25">
      <c r="A144">
        <v>142</v>
      </c>
      <c r="B144" t="s">
        <v>3846</v>
      </c>
    </row>
    <row r="145" spans="1:2" x14ac:dyDescent="0.25">
      <c r="A145">
        <v>143</v>
      </c>
      <c r="B145" t="s">
        <v>3847</v>
      </c>
    </row>
    <row r="146" spans="1:2" x14ac:dyDescent="0.25">
      <c r="A146">
        <v>144</v>
      </c>
      <c r="B146" t="s">
        <v>3848</v>
      </c>
    </row>
    <row r="147" spans="1:2" x14ac:dyDescent="0.25">
      <c r="A147">
        <v>145</v>
      </c>
      <c r="B147" t="s">
        <v>3849</v>
      </c>
    </row>
    <row r="148" spans="1:2" x14ac:dyDescent="0.25">
      <c r="A148">
        <v>146</v>
      </c>
      <c r="B148" t="s">
        <v>3850</v>
      </c>
    </row>
    <row r="149" spans="1:2" x14ac:dyDescent="0.25">
      <c r="A149">
        <v>147</v>
      </c>
      <c r="B149" t="s">
        <v>3851</v>
      </c>
    </row>
    <row r="150" spans="1:2" x14ac:dyDescent="0.25">
      <c r="A150">
        <v>148</v>
      </c>
      <c r="B150" t="s">
        <v>3852</v>
      </c>
    </row>
    <row r="151" spans="1:2" x14ac:dyDescent="0.25">
      <c r="A151">
        <v>149</v>
      </c>
      <c r="B151" t="s">
        <v>3853</v>
      </c>
    </row>
    <row r="152" spans="1:2" x14ac:dyDescent="0.25">
      <c r="A152">
        <v>150</v>
      </c>
      <c r="B152" t="s">
        <v>3854</v>
      </c>
    </row>
    <row r="153" spans="1:2" x14ac:dyDescent="0.25">
      <c r="A153">
        <v>151</v>
      </c>
      <c r="B153" t="s">
        <v>3855</v>
      </c>
    </row>
    <row r="154" spans="1:2" x14ac:dyDescent="0.25">
      <c r="A154">
        <v>152</v>
      </c>
      <c r="B154" t="s">
        <v>3856</v>
      </c>
    </row>
    <row r="155" spans="1:2" x14ac:dyDescent="0.25">
      <c r="A155">
        <v>153</v>
      </c>
      <c r="B155" t="s">
        <v>3857</v>
      </c>
    </row>
    <row r="156" spans="1:2" x14ac:dyDescent="0.25">
      <c r="A156">
        <v>154</v>
      </c>
      <c r="B156" t="s">
        <v>3858</v>
      </c>
    </row>
    <row r="157" spans="1:2" x14ac:dyDescent="0.25">
      <c r="A157">
        <v>155</v>
      </c>
      <c r="B157" t="s">
        <v>3859</v>
      </c>
    </row>
    <row r="158" spans="1:2" x14ac:dyDescent="0.25">
      <c r="A158">
        <v>156</v>
      </c>
      <c r="B158" t="s">
        <v>3860</v>
      </c>
    </row>
    <row r="159" spans="1:2" x14ac:dyDescent="0.25">
      <c r="A159">
        <v>157</v>
      </c>
      <c r="B159" t="s">
        <v>3861</v>
      </c>
    </row>
    <row r="160" spans="1:2" x14ac:dyDescent="0.25">
      <c r="A160">
        <v>158</v>
      </c>
      <c r="B160" t="s">
        <v>3862</v>
      </c>
    </row>
    <row r="161" spans="1:2" x14ac:dyDescent="0.25">
      <c r="A161">
        <v>159</v>
      </c>
      <c r="B161" t="s">
        <v>3863</v>
      </c>
    </row>
    <row r="162" spans="1:2" x14ac:dyDescent="0.25">
      <c r="A162">
        <v>160</v>
      </c>
      <c r="B162" t="s">
        <v>3864</v>
      </c>
    </row>
    <row r="163" spans="1:2" x14ac:dyDescent="0.25">
      <c r="A163">
        <v>161</v>
      </c>
      <c r="B163" t="s">
        <v>3865</v>
      </c>
    </row>
    <row r="164" spans="1:2" x14ac:dyDescent="0.25">
      <c r="A164">
        <v>162</v>
      </c>
      <c r="B164" t="s">
        <v>3866</v>
      </c>
    </row>
    <row r="165" spans="1:2" x14ac:dyDescent="0.25">
      <c r="A165">
        <v>163</v>
      </c>
      <c r="B165" t="s">
        <v>3867</v>
      </c>
    </row>
    <row r="166" spans="1:2" x14ac:dyDescent="0.25">
      <c r="A166">
        <v>164</v>
      </c>
      <c r="B166" t="s">
        <v>3868</v>
      </c>
    </row>
    <row r="167" spans="1:2" x14ac:dyDescent="0.25">
      <c r="A167">
        <v>165</v>
      </c>
      <c r="B167" t="s">
        <v>3869</v>
      </c>
    </row>
    <row r="168" spans="1:2" x14ac:dyDescent="0.25">
      <c r="A168">
        <v>166</v>
      </c>
      <c r="B168" t="s">
        <v>3870</v>
      </c>
    </row>
    <row r="169" spans="1:2" x14ac:dyDescent="0.25">
      <c r="A169">
        <v>167</v>
      </c>
      <c r="B169" t="s">
        <v>3871</v>
      </c>
    </row>
    <row r="170" spans="1:2" x14ac:dyDescent="0.25">
      <c r="A170">
        <v>168</v>
      </c>
      <c r="B170" t="s">
        <v>3872</v>
      </c>
    </row>
    <row r="171" spans="1:2" x14ac:dyDescent="0.25">
      <c r="A171">
        <v>169</v>
      </c>
      <c r="B171" t="s">
        <v>3873</v>
      </c>
    </row>
    <row r="172" spans="1:2" x14ac:dyDescent="0.25">
      <c r="A172">
        <v>170</v>
      </c>
      <c r="B172" t="s">
        <v>3874</v>
      </c>
    </row>
    <row r="173" spans="1:2" x14ac:dyDescent="0.25">
      <c r="A173">
        <v>171</v>
      </c>
      <c r="B173" t="s">
        <v>3875</v>
      </c>
    </row>
    <row r="174" spans="1:2" x14ac:dyDescent="0.25">
      <c r="A174">
        <v>172</v>
      </c>
      <c r="B174" t="s">
        <v>3876</v>
      </c>
    </row>
    <row r="175" spans="1:2" x14ac:dyDescent="0.25">
      <c r="A175">
        <v>173</v>
      </c>
      <c r="B175" t="s">
        <v>3877</v>
      </c>
    </row>
    <row r="176" spans="1:2" x14ac:dyDescent="0.25">
      <c r="A176">
        <v>174</v>
      </c>
      <c r="B176" t="s">
        <v>3878</v>
      </c>
    </row>
    <row r="177" spans="1:2" x14ac:dyDescent="0.25">
      <c r="A177">
        <v>175</v>
      </c>
      <c r="B177" t="s">
        <v>3879</v>
      </c>
    </row>
    <row r="178" spans="1:2" x14ac:dyDescent="0.25">
      <c r="A178">
        <v>176</v>
      </c>
      <c r="B178" t="s">
        <v>3880</v>
      </c>
    </row>
    <row r="179" spans="1:2" x14ac:dyDescent="0.25">
      <c r="A179">
        <v>177</v>
      </c>
      <c r="B179" t="s">
        <v>3881</v>
      </c>
    </row>
    <row r="180" spans="1:2" x14ac:dyDescent="0.25">
      <c r="A180">
        <v>178</v>
      </c>
      <c r="B180" t="s">
        <v>3882</v>
      </c>
    </row>
    <row r="181" spans="1:2" x14ac:dyDescent="0.25">
      <c r="A181">
        <v>179</v>
      </c>
      <c r="B181" t="s">
        <v>3883</v>
      </c>
    </row>
    <row r="182" spans="1:2" x14ac:dyDescent="0.25">
      <c r="A182">
        <v>180</v>
      </c>
      <c r="B182" t="s">
        <v>3884</v>
      </c>
    </row>
    <row r="183" spans="1:2" x14ac:dyDescent="0.25">
      <c r="A183">
        <v>181</v>
      </c>
      <c r="B183" t="s">
        <v>3885</v>
      </c>
    </row>
    <row r="184" spans="1:2" x14ac:dyDescent="0.25">
      <c r="A184">
        <v>182</v>
      </c>
      <c r="B184" t="s">
        <v>3886</v>
      </c>
    </row>
    <row r="185" spans="1:2" x14ac:dyDescent="0.25">
      <c r="A185">
        <v>183</v>
      </c>
      <c r="B185" t="s">
        <v>3887</v>
      </c>
    </row>
    <row r="186" spans="1:2" x14ac:dyDescent="0.25">
      <c r="A186">
        <v>184</v>
      </c>
      <c r="B186" t="s">
        <v>3888</v>
      </c>
    </row>
    <row r="187" spans="1:2" x14ac:dyDescent="0.25">
      <c r="A187">
        <v>185</v>
      </c>
      <c r="B187" t="s">
        <v>3889</v>
      </c>
    </row>
    <row r="188" spans="1:2" x14ac:dyDescent="0.25">
      <c r="A188">
        <v>186</v>
      </c>
      <c r="B188" t="s">
        <v>3890</v>
      </c>
    </row>
    <row r="189" spans="1:2" x14ac:dyDescent="0.25">
      <c r="A189">
        <v>187</v>
      </c>
      <c r="B189" t="s">
        <v>3891</v>
      </c>
    </row>
    <row r="190" spans="1:2" x14ac:dyDescent="0.25">
      <c r="A190">
        <v>188</v>
      </c>
      <c r="B190" t="s">
        <v>3892</v>
      </c>
    </row>
    <row r="191" spans="1:2" x14ac:dyDescent="0.25">
      <c r="A191">
        <v>189</v>
      </c>
      <c r="B191" t="s">
        <v>3893</v>
      </c>
    </row>
    <row r="192" spans="1:2" x14ac:dyDescent="0.25">
      <c r="A192">
        <v>190</v>
      </c>
      <c r="B192" t="s">
        <v>3894</v>
      </c>
    </row>
    <row r="193" spans="1:2" x14ac:dyDescent="0.25">
      <c r="A193">
        <v>191</v>
      </c>
      <c r="B193" t="s">
        <v>3895</v>
      </c>
    </row>
    <row r="194" spans="1:2" x14ac:dyDescent="0.25">
      <c r="A194">
        <v>192</v>
      </c>
      <c r="B194" t="s">
        <v>3896</v>
      </c>
    </row>
    <row r="195" spans="1:2" x14ac:dyDescent="0.25">
      <c r="A195">
        <v>193</v>
      </c>
      <c r="B195" t="s">
        <v>3897</v>
      </c>
    </row>
    <row r="196" spans="1:2" x14ac:dyDescent="0.25">
      <c r="A196">
        <v>194</v>
      </c>
      <c r="B196" t="s">
        <v>3898</v>
      </c>
    </row>
    <row r="197" spans="1:2" x14ac:dyDescent="0.25">
      <c r="A197">
        <v>195</v>
      </c>
      <c r="B197" t="s">
        <v>3899</v>
      </c>
    </row>
    <row r="198" spans="1:2" x14ac:dyDescent="0.25">
      <c r="A198">
        <v>196</v>
      </c>
      <c r="B198" t="s">
        <v>3900</v>
      </c>
    </row>
    <row r="199" spans="1:2" x14ac:dyDescent="0.25">
      <c r="A199">
        <v>197</v>
      </c>
      <c r="B199" t="s">
        <v>3901</v>
      </c>
    </row>
    <row r="200" spans="1:2" x14ac:dyDescent="0.25">
      <c r="A200">
        <v>198</v>
      </c>
      <c r="B200" t="s">
        <v>3902</v>
      </c>
    </row>
    <row r="201" spans="1:2" x14ac:dyDescent="0.25">
      <c r="A201">
        <v>199</v>
      </c>
      <c r="B201" t="s">
        <v>3903</v>
      </c>
    </row>
    <row r="202" spans="1:2" x14ac:dyDescent="0.25">
      <c r="A202">
        <v>200</v>
      </c>
      <c r="B202" t="s">
        <v>3904</v>
      </c>
    </row>
    <row r="203" spans="1:2" x14ac:dyDescent="0.25">
      <c r="A203">
        <v>201</v>
      </c>
      <c r="B203" t="s">
        <v>3905</v>
      </c>
    </row>
    <row r="204" spans="1:2" x14ac:dyDescent="0.25">
      <c r="A204">
        <v>202</v>
      </c>
      <c r="B204" t="s">
        <v>3906</v>
      </c>
    </row>
    <row r="205" spans="1:2" x14ac:dyDescent="0.25">
      <c r="A205">
        <v>203</v>
      </c>
      <c r="B205" t="s">
        <v>3907</v>
      </c>
    </row>
    <row r="206" spans="1:2" x14ac:dyDescent="0.25">
      <c r="A206">
        <v>204</v>
      </c>
      <c r="B206" t="s">
        <v>3908</v>
      </c>
    </row>
    <row r="207" spans="1:2" x14ac:dyDescent="0.25">
      <c r="A207">
        <v>205</v>
      </c>
      <c r="B207" t="s">
        <v>3909</v>
      </c>
    </row>
    <row r="208" spans="1:2" x14ac:dyDescent="0.25">
      <c r="A208">
        <v>206</v>
      </c>
      <c r="B208" t="s">
        <v>3910</v>
      </c>
    </row>
    <row r="209" spans="1:2" x14ac:dyDescent="0.25">
      <c r="A209">
        <v>207</v>
      </c>
      <c r="B209" t="s">
        <v>3911</v>
      </c>
    </row>
    <row r="210" spans="1:2" x14ac:dyDescent="0.25">
      <c r="A210">
        <v>208</v>
      </c>
      <c r="B210" t="s">
        <v>3912</v>
      </c>
    </row>
    <row r="211" spans="1:2" x14ac:dyDescent="0.25">
      <c r="A211">
        <v>209</v>
      </c>
    </row>
    <row r="212" spans="1:2" x14ac:dyDescent="0.25">
      <c r="A212">
        <v>210</v>
      </c>
      <c r="B212" t="s">
        <v>2997</v>
      </c>
    </row>
    <row r="213" spans="1:2" x14ac:dyDescent="0.25">
      <c r="A213">
        <v>211</v>
      </c>
      <c r="B213" t="s">
        <v>2997</v>
      </c>
    </row>
    <row r="214" spans="1:2" x14ac:dyDescent="0.25">
      <c r="A214">
        <v>212</v>
      </c>
      <c r="B214" t="s">
        <v>2997</v>
      </c>
    </row>
    <row r="215" spans="1:2" x14ac:dyDescent="0.25">
      <c r="A215">
        <v>213</v>
      </c>
      <c r="B215" t="s">
        <v>3913</v>
      </c>
    </row>
    <row r="216" spans="1:2" x14ac:dyDescent="0.25">
      <c r="A216">
        <v>214</v>
      </c>
      <c r="B216" t="s">
        <v>3914</v>
      </c>
    </row>
    <row r="217" spans="1:2" x14ac:dyDescent="0.25">
      <c r="A217">
        <v>215</v>
      </c>
      <c r="B217" t="s">
        <v>561</v>
      </c>
    </row>
    <row r="218" spans="1:2" x14ac:dyDescent="0.25">
      <c r="A218">
        <v>216</v>
      </c>
      <c r="B218" t="s">
        <v>3915</v>
      </c>
    </row>
    <row r="219" spans="1:2" x14ac:dyDescent="0.25">
      <c r="A219">
        <v>217</v>
      </c>
      <c r="B219" t="s">
        <v>3916</v>
      </c>
    </row>
    <row r="220" spans="1:2" x14ac:dyDescent="0.25">
      <c r="A220">
        <v>218</v>
      </c>
      <c r="B220" t="s">
        <v>3917</v>
      </c>
    </row>
    <row r="221" spans="1:2" x14ac:dyDescent="0.25">
      <c r="A221">
        <v>219</v>
      </c>
      <c r="B221" t="s">
        <v>3918</v>
      </c>
    </row>
    <row r="222" spans="1:2" x14ac:dyDescent="0.25">
      <c r="A222">
        <v>220</v>
      </c>
      <c r="B222" t="s">
        <v>3919</v>
      </c>
    </row>
    <row r="223" spans="1:2" x14ac:dyDescent="0.25">
      <c r="A223">
        <v>221</v>
      </c>
      <c r="B223" t="s">
        <v>554</v>
      </c>
    </row>
    <row r="224" spans="1:2" x14ac:dyDescent="0.25">
      <c r="A224">
        <v>222</v>
      </c>
    </row>
    <row r="225" spans="1:2" x14ac:dyDescent="0.25">
      <c r="A225">
        <v>223</v>
      </c>
    </row>
    <row r="226" spans="1:2" x14ac:dyDescent="0.25">
      <c r="A226">
        <v>224</v>
      </c>
    </row>
    <row r="227" spans="1:2" x14ac:dyDescent="0.25">
      <c r="A227">
        <v>225</v>
      </c>
      <c r="B227" t="s">
        <v>3920</v>
      </c>
    </row>
    <row r="228" spans="1:2" x14ac:dyDescent="0.25">
      <c r="A228">
        <v>226</v>
      </c>
      <c r="B228" t="s">
        <v>3921</v>
      </c>
    </row>
    <row r="229" spans="1:2" x14ac:dyDescent="0.25">
      <c r="A229">
        <v>227</v>
      </c>
      <c r="B229" t="s">
        <v>3922</v>
      </c>
    </row>
    <row r="230" spans="1:2" x14ac:dyDescent="0.25">
      <c r="A230">
        <v>228</v>
      </c>
    </row>
    <row r="231" spans="1:2" x14ac:dyDescent="0.25">
      <c r="A231">
        <v>229</v>
      </c>
      <c r="B231" t="s">
        <v>3923</v>
      </c>
    </row>
    <row r="232" spans="1:2" x14ac:dyDescent="0.25">
      <c r="A232">
        <v>230</v>
      </c>
      <c r="B232" t="s">
        <v>3924</v>
      </c>
    </row>
    <row r="233" spans="1:2" x14ac:dyDescent="0.25">
      <c r="A233">
        <v>231</v>
      </c>
      <c r="B233" t="s">
        <v>3925</v>
      </c>
    </row>
    <row r="234" spans="1:2" x14ac:dyDescent="0.25">
      <c r="A234">
        <v>232</v>
      </c>
      <c r="B234" t="s">
        <v>3926</v>
      </c>
    </row>
    <row r="235" spans="1:2" x14ac:dyDescent="0.25">
      <c r="A235">
        <v>233</v>
      </c>
      <c r="B235" t="s">
        <v>3927</v>
      </c>
    </row>
    <row r="236" spans="1:2" x14ac:dyDescent="0.25">
      <c r="A236">
        <v>234</v>
      </c>
      <c r="B236" t="s">
        <v>3928</v>
      </c>
    </row>
    <row r="237" spans="1:2" x14ac:dyDescent="0.25">
      <c r="A237">
        <v>235</v>
      </c>
      <c r="B237" t="s">
        <v>3929</v>
      </c>
    </row>
    <row r="238" spans="1:2" x14ac:dyDescent="0.25">
      <c r="A238">
        <v>236</v>
      </c>
      <c r="B238" t="s">
        <v>3930</v>
      </c>
    </row>
    <row r="239" spans="1:2" x14ac:dyDescent="0.25">
      <c r="A239">
        <v>237</v>
      </c>
      <c r="B239" t="s">
        <v>3347</v>
      </c>
    </row>
    <row r="240" spans="1:2" x14ac:dyDescent="0.25">
      <c r="A240">
        <v>238</v>
      </c>
      <c r="B240" t="s">
        <v>3348</v>
      </c>
    </row>
    <row r="241" spans="1:2" x14ac:dyDescent="0.25">
      <c r="A241">
        <v>239</v>
      </c>
      <c r="B241" t="s">
        <v>3349</v>
      </c>
    </row>
    <row r="242" spans="1:2" x14ac:dyDescent="0.25">
      <c r="A242">
        <v>240</v>
      </c>
      <c r="B242" t="s">
        <v>3350</v>
      </c>
    </row>
    <row r="243" spans="1:2" x14ac:dyDescent="0.25">
      <c r="A243">
        <v>241</v>
      </c>
      <c r="B243" t="s">
        <v>3351</v>
      </c>
    </row>
    <row r="244" spans="1:2" x14ac:dyDescent="0.25">
      <c r="A244">
        <v>242</v>
      </c>
      <c r="B244" t="s">
        <v>3352</v>
      </c>
    </row>
    <row r="245" spans="1:2" x14ac:dyDescent="0.25">
      <c r="A245">
        <v>243</v>
      </c>
      <c r="B245" t="s">
        <v>3353</v>
      </c>
    </row>
    <row r="246" spans="1:2" x14ac:dyDescent="0.25">
      <c r="A246">
        <v>244</v>
      </c>
      <c r="B246" t="s">
        <v>3354</v>
      </c>
    </row>
    <row r="247" spans="1:2" x14ac:dyDescent="0.25">
      <c r="A247">
        <v>245</v>
      </c>
      <c r="B247" t="s">
        <v>3355</v>
      </c>
    </row>
    <row r="248" spans="1:2" x14ac:dyDescent="0.25">
      <c r="A248">
        <v>246</v>
      </c>
      <c r="B248" t="s">
        <v>3356</v>
      </c>
    </row>
    <row r="249" spans="1:2" x14ac:dyDescent="0.25">
      <c r="A249">
        <v>247</v>
      </c>
      <c r="B249" t="s">
        <v>3931</v>
      </c>
    </row>
    <row r="250" spans="1:2" x14ac:dyDescent="0.25">
      <c r="A250">
        <v>248</v>
      </c>
    </row>
    <row r="251" spans="1:2" x14ac:dyDescent="0.25">
      <c r="A251">
        <v>249</v>
      </c>
      <c r="B251" t="s">
        <v>818</v>
      </c>
    </row>
    <row r="252" spans="1:2" x14ac:dyDescent="0.25">
      <c r="A252">
        <v>250</v>
      </c>
      <c r="B252" t="s">
        <v>818</v>
      </c>
    </row>
    <row r="253" spans="1:2" x14ac:dyDescent="0.25">
      <c r="A253">
        <v>251</v>
      </c>
      <c r="B253" t="s">
        <v>3932</v>
      </c>
    </row>
    <row r="254" spans="1:2" x14ac:dyDescent="0.25">
      <c r="A254">
        <v>252</v>
      </c>
      <c r="B254" t="s">
        <v>3933</v>
      </c>
    </row>
    <row r="255" spans="1:2" x14ac:dyDescent="0.25">
      <c r="A255">
        <v>253</v>
      </c>
      <c r="B255" t="s">
        <v>3934</v>
      </c>
    </row>
    <row r="256" spans="1:2" x14ac:dyDescent="0.25">
      <c r="A256">
        <v>254</v>
      </c>
      <c r="B256" t="s">
        <v>3935</v>
      </c>
    </row>
    <row r="257" spans="1:2" x14ac:dyDescent="0.25">
      <c r="A257">
        <v>255</v>
      </c>
      <c r="B257" t="s">
        <v>3936</v>
      </c>
    </row>
    <row r="258" spans="1:2" x14ac:dyDescent="0.25">
      <c r="A258">
        <v>256</v>
      </c>
      <c r="B258" t="s">
        <v>3937</v>
      </c>
    </row>
    <row r="259" spans="1:2" x14ac:dyDescent="0.25">
      <c r="A259">
        <v>257</v>
      </c>
      <c r="B259" t="s">
        <v>3938</v>
      </c>
    </row>
    <row r="260" spans="1:2" x14ac:dyDescent="0.25">
      <c r="A260">
        <v>258</v>
      </c>
      <c r="B260" t="s">
        <v>3939</v>
      </c>
    </row>
    <row r="261" spans="1:2" x14ac:dyDescent="0.25">
      <c r="A261">
        <v>259</v>
      </c>
    </row>
    <row r="262" spans="1:2" x14ac:dyDescent="0.25">
      <c r="A262">
        <v>260</v>
      </c>
      <c r="B262" t="s">
        <v>3940</v>
      </c>
    </row>
    <row r="263" spans="1:2" x14ac:dyDescent="0.25">
      <c r="A263">
        <v>261</v>
      </c>
      <c r="B263" t="s">
        <v>3941</v>
      </c>
    </row>
    <row r="264" spans="1:2" x14ac:dyDescent="0.25">
      <c r="A264">
        <v>262</v>
      </c>
      <c r="B264" t="s">
        <v>3942</v>
      </c>
    </row>
    <row r="265" spans="1:2" x14ac:dyDescent="0.25">
      <c r="A265">
        <v>263</v>
      </c>
      <c r="B265" t="s">
        <v>3943</v>
      </c>
    </row>
    <row r="266" spans="1:2" x14ac:dyDescent="0.25">
      <c r="A266">
        <v>264</v>
      </c>
      <c r="B266" t="s">
        <v>3944</v>
      </c>
    </row>
    <row r="267" spans="1:2" x14ac:dyDescent="0.25">
      <c r="A267">
        <v>265</v>
      </c>
      <c r="B267" t="s">
        <v>3945</v>
      </c>
    </row>
    <row r="268" spans="1:2" x14ac:dyDescent="0.25">
      <c r="A268">
        <v>266</v>
      </c>
      <c r="B268" t="s">
        <v>3946</v>
      </c>
    </row>
    <row r="269" spans="1:2" x14ac:dyDescent="0.25">
      <c r="A269">
        <v>267</v>
      </c>
      <c r="B269" t="s">
        <v>3947</v>
      </c>
    </row>
    <row r="270" spans="1:2" x14ac:dyDescent="0.25">
      <c r="A270">
        <v>268</v>
      </c>
      <c r="B270" t="s">
        <v>3948</v>
      </c>
    </row>
    <row r="271" spans="1:2" x14ac:dyDescent="0.25">
      <c r="A271">
        <v>269</v>
      </c>
      <c r="B271" t="s">
        <v>3949</v>
      </c>
    </row>
    <row r="272" spans="1:2" x14ac:dyDescent="0.25">
      <c r="A272">
        <v>270</v>
      </c>
      <c r="B272" t="s">
        <v>416</v>
      </c>
    </row>
    <row r="273" spans="1:2" x14ac:dyDescent="0.25">
      <c r="A273">
        <v>271</v>
      </c>
    </row>
    <row r="274" spans="1:2" x14ac:dyDescent="0.25">
      <c r="A274">
        <v>272</v>
      </c>
      <c r="B274" t="s">
        <v>3950</v>
      </c>
    </row>
    <row r="275" spans="1:2" x14ac:dyDescent="0.25">
      <c r="A275">
        <v>273</v>
      </c>
      <c r="B275" t="s">
        <v>3951</v>
      </c>
    </row>
    <row r="276" spans="1:2" x14ac:dyDescent="0.25">
      <c r="A276">
        <v>274</v>
      </c>
      <c r="B276" t="s">
        <v>3952</v>
      </c>
    </row>
    <row r="277" spans="1:2" x14ac:dyDescent="0.25">
      <c r="A277">
        <v>275</v>
      </c>
      <c r="B277" t="s">
        <v>3953</v>
      </c>
    </row>
    <row r="278" spans="1:2" x14ac:dyDescent="0.25">
      <c r="A278">
        <v>276</v>
      </c>
      <c r="B278" t="s">
        <v>3954</v>
      </c>
    </row>
    <row r="279" spans="1:2" x14ac:dyDescent="0.25">
      <c r="A279">
        <v>277</v>
      </c>
      <c r="B279" t="s">
        <v>3955</v>
      </c>
    </row>
    <row r="280" spans="1:2" x14ac:dyDescent="0.25">
      <c r="A280">
        <v>278</v>
      </c>
      <c r="B280" t="s">
        <v>3956</v>
      </c>
    </row>
    <row r="281" spans="1:2" x14ac:dyDescent="0.25">
      <c r="A281">
        <v>279</v>
      </c>
      <c r="B281" t="s">
        <v>3957</v>
      </c>
    </row>
    <row r="282" spans="1:2" x14ac:dyDescent="0.25">
      <c r="A282">
        <v>280</v>
      </c>
      <c r="B282" t="s">
        <v>3958</v>
      </c>
    </row>
    <row r="283" spans="1:2" x14ac:dyDescent="0.25">
      <c r="A283">
        <v>281</v>
      </c>
      <c r="B283" t="s">
        <v>3959</v>
      </c>
    </row>
    <row r="284" spans="1:2" x14ac:dyDescent="0.25">
      <c r="A284">
        <v>282</v>
      </c>
      <c r="B284" t="s">
        <v>3960</v>
      </c>
    </row>
    <row r="285" spans="1:2" x14ac:dyDescent="0.25">
      <c r="A285">
        <v>283</v>
      </c>
    </row>
    <row r="286" spans="1:2" x14ac:dyDescent="0.25">
      <c r="A286">
        <v>284</v>
      </c>
      <c r="B286" t="s">
        <v>3961</v>
      </c>
    </row>
    <row r="287" spans="1:2" x14ac:dyDescent="0.25">
      <c r="A287">
        <v>285</v>
      </c>
      <c r="B287" t="s">
        <v>2658</v>
      </c>
    </row>
    <row r="288" spans="1:2" x14ac:dyDescent="0.25">
      <c r="A288">
        <v>286</v>
      </c>
      <c r="B288" t="s">
        <v>2657</v>
      </c>
    </row>
    <row r="289" spans="1:2" x14ac:dyDescent="0.25">
      <c r="A289">
        <v>287</v>
      </c>
      <c r="B289" t="s">
        <v>2656</v>
      </c>
    </row>
    <row r="290" spans="1:2" x14ac:dyDescent="0.25">
      <c r="A290">
        <v>288</v>
      </c>
      <c r="B290" t="s">
        <v>2659</v>
      </c>
    </row>
    <row r="291" spans="1:2" x14ac:dyDescent="0.25">
      <c r="A291">
        <v>289</v>
      </c>
      <c r="B291" t="s">
        <v>2661</v>
      </c>
    </row>
    <row r="292" spans="1:2" x14ac:dyDescent="0.25">
      <c r="A292">
        <v>290</v>
      </c>
      <c r="B292" t="s">
        <v>2660</v>
      </c>
    </row>
    <row r="293" spans="1:2" x14ac:dyDescent="0.25">
      <c r="A293">
        <v>291</v>
      </c>
      <c r="B293" t="s">
        <v>2663</v>
      </c>
    </row>
    <row r="294" spans="1:2" x14ac:dyDescent="0.25">
      <c r="A294">
        <v>292</v>
      </c>
      <c r="B294" t="s">
        <v>2662</v>
      </c>
    </row>
    <row r="295" spans="1:2" x14ac:dyDescent="0.25">
      <c r="A295">
        <v>293</v>
      </c>
      <c r="B295" t="s">
        <v>2664</v>
      </c>
    </row>
    <row r="296" spans="1:2" x14ac:dyDescent="0.25">
      <c r="A296">
        <v>294</v>
      </c>
      <c r="B296" t="s">
        <v>2593</v>
      </c>
    </row>
    <row r="297" spans="1:2" x14ac:dyDescent="0.25">
      <c r="A297">
        <v>295</v>
      </c>
      <c r="B297" t="s">
        <v>2602</v>
      </c>
    </row>
    <row r="298" spans="1:2" x14ac:dyDescent="0.25">
      <c r="A298">
        <v>296</v>
      </c>
      <c r="B298" t="s">
        <v>2594</v>
      </c>
    </row>
    <row r="299" spans="1:2" x14ac:dyDescent="0.25">
      <c r="A299">
        <v>297</v>
      </c>
      <c r="B299" t="s">
        <v>2586</v>
      </c>
    </row>
    <row r="300" spans="1:2" x14ac:dyDescent="0.25">
      <c r="A300">
        <v>298</v>
      </c>
      <c r="B300" t="s">
        <v>2601</v>
      </c>
    </row>
    <row r="301" spans="1:2" x14ac:dyDescent="0.25">
      <c r="A301">
        <v>299</v>
      </c>
      <c r="B301" t="s">
        <v>2605</v>
      </c>
    </row>
    <row r="302" spans="1:2" x14ac:dyDescent="0.25">
      <c r="A302">
        <v>300</v>
      </c>
      <c r="B302" t="s">
        <v>2597</v>
      </c>
    </row>
    <row r="303" spans="1:2" x14ac:dyDescent="0.25">
      <c r="A303">
        <v>301</v>
      </c>
      <c r="B303" t="s">
        <v>2598</v>
      </c>
    </row>
    <row r="304" spans="1:2" x14ac:dyDescent="0.25">
      <c r="A304">
        <v>302</v>
      </c>
      <c r="B304" t="s">
        <v>2589</v>
      </c>
    </row>
    <row r="305" spans="1:2" x14ac:dyDescent="0.25">
      <c r="A305">
        <v>303</v>
      </c>
      <c r="B305" t="s">
        <v>2590</v>
      </c>
    </row>
    <row r="306" spans="1:2" x14ac:dyDescent="0.25">
      <c r="A306">
        <v>304</v>
      </c>
      <c r="B306" t="s">
        <v>2592</v>
      </c>
    </row>
    <row r="307" spans="1:2" x14ac:dyDescent="0.25">
      <c r="A307">
        <v>305</v>
      </c>
      <c r="B307" t="s">
        <v>2603</v>
      </c>
    </row>
    <row r="308" spans="1:2" x14ac:dyDescent="0.25">
      <c r="A308">
        <v>306</v>
      </c>
      <c r="B308" t="s">
        <v>2595</v>
      </c>
    </row>
    <row r="309" spans="1:2" x14ac:dyDescent="0.25">
      <c r="A309">
        <v>307</v>
      </c>
      <c r="B309" t="s">
        <v>2587</v>
      </c>
    </row>
    <row r="310" spans="1:2" x14ac:dyDescent="0.25">
      <c r="A310">
        <v>308</v>
      </c>
    </row>
    <row r="311" spans="1:2" x14ac:dyDescent="0.25">
      <c r="A311">
        <v>309</v>
      </c>
      <c r="B311" t="s">
        <v>2600</v>
      </c>
    </row>
    <row r="312" spans="1:2" x14ac:dyDescent="0.25">
      <c r="A312">
        <v>310</v>
      </c>
      <c r="B312" t="s">
        <v>2604</v>
      </c>
    </row>
    <row r="313" spans="1:2" x14ac:dyDescent="0.25">
      <c r="A313">
        <v>311</v>
      </c>
      <c r="B313" t="s">
        <v>2596</v>
      </c>
    </row>
    <row r="314" spans="1:2" x14ac:dyDescent="0.25">
      <c r="A314">
        <v>312</v>
      </c>
      <c r="B314" t="s">
        <v>2599</v>
      </c>
    </row>
    <row r="315" spans="1:2" x14ac:dyDescent="0.25">
      <c r="A315">
        <v>313</v>
      </c>
      <c r="B315" t="s">
        <v>2588</v>
      </c>
    </row>
    <row r="316" spans="1:2" x14ac:dyDescent="0.25">
      <c r="A316">
        <v>314</v>
      </c>
      <c r="B316" t="s">
        <v>2591</v>
      </c>
    </row>
    <row r="317" spans="1:2" x14ac:dyDescent="0.25">
      <c r="A317">
        <v>315</v>
      </c>
      <c r="B317" t="s">
        <v>2612</v>
      </c>
    </row>
    <row r="318" spans="1:2" x14ac:dyDescent="0.25">
      <c r="A318">
        <v>316</v>
      </c>
      <c r="B318" t="s">
        <v>2607</v>
      </c>
    </row>
    <row r="319" spans="1:2" x14ac:dyDescent="0.25">
      <c r="A319">
        <v>317</v>
      </c>
      <c r="B319" t="s">
        <v>2611</v>
      </c>
    </row>
    <row r="320" spans="1:2" x14ac:dyDescent="0.25">
      <c r="A320">
        <v>318</v>
      </c>
      <c r="B320" t="s">
        <v>2615</v>
      </c>
    </row>
    <row r="321" spans="1:2" x14ac:dyDescent="0.25">
      <c r="A321">
        <v>319</v>
      </c>
      <c r="B321" t="s">
        <v>2608</v>
      </c>
    </row>
    <row r="322" spans="1:2" x14ac:dyDescent="0.25">
      <c r="A322">
        <v>320</v>
      </c>
      <c r="B322" t="s">
        <v>2606</v>
      </c>
    </row>
    <row r="323" spans="1:2" x14ac:dyDescent="0.25">
      <c r="A323">
        <v>321</v>
      </c>
      <c r="B323" t="s">
        <v>2610</v>
      </c>
    </row>
    <row r="324" spans="1:2" x14ac:dyDescent="0.25">
      <c r="A324">
        <v>322</v>
      </c>
      <c r="B324" t="s">
        <v>2609</v>
      </c>
    </row>
    <row r="325" spans="1:2" x14ac:dyDescent="0.25">
      <c r="A325">
        <v>323</v>
      </c>
      <c r="B325" t="s">
        <v>2614</v>
      </c>
    </row>
    <row r="326" spans="1:2" x14ac:dyDescent="0.25">
      <c r="A326">
        <v>324</v>
      </c>
      <c r="B326" t="s">
        <v>2613</v>
      </c>
    </row>
    <row r="327" spans="1:2" x14ac:dyDescent="0.25">
      <c r="A327">
        <v>325</v>
      </c>
      <c r="B327" t="s">
        <v>2616</v>
      </c>
    </row>
    <row r="328" spans="1:2" x14ac:dyDescent="0.25">
      <c r="A328">
        <v>326</v>
      </c>
      <c r="B328" t="s">
        <v>3962</v>
      </c>
    </row>
    <row r="329" spans="1:2" x14ac:dyDescent="0.25">
      <c r="A329">
        <v>327</v>
      </c>
      <c r="B329" t="s">
        <v>2617</v>
      </c>
    </row>
    <row r="330" spans="1:2" x14ac:dyDescent="0.25">
      <c r="A330">
        <v>328</v>
      </c>
      <c r="B330" t="s">
        <v>3963</v>
      </c>
    </row>
    <row r="331" spans="1:2" x14ac:dyDescent="0.25">
      <c r="A331">
        <v>329</v>
      </c>
      <c r="B331" t="s">
        <v>3964</v>
      </c>
    </row>
    <row r="332" spans="1:2" x14ac:dyDescent="0.25">
      <c r="A332">
        <v>330</v>
      </c>
      <c r="B332" t="s">
        <v>3965</v>
      </c>
    </row>
    <row r="333" spans="1:2" x14ac:dyDescent="0.25">
      <c r="A333">
        <v>331</v>
      </c>
      <c r="B333" t="s">
        <v>3966</v>
      </c>
    </row>
    <row r="334" spans="1:2" x14ac:dyDescent="0.25">
      <c r="A334">
        <v>332</v>
      </c>
      <c r="B334" t="s">
        <v>3967</v>
      </c>
    </row>
    <row r="335" spans="1:2" x14ac:dyDescent="0.25">
      <c r="A335">
        <v>333</v>
      </c>
      <c r="B335" t="s">
        <v>2705</v>
      </c>
    </row>
    <row r="336" spans="1:2" x14ac:dyDescent="0.25">
      <c r="A336">
        <v>334</v>
      </c>
      <c r="B336" t="s">
        <v>2706</v>
      </c>
    </row>
    <row r="337" spans="1:2" x14ac:dyDescent="0.25">
      <c r="A337">
        <v>335</v>
      </c>
      <c r="B337" t="s">
        <v>2708</v>
      </c>
    </row>
    <row r="338" spans="1:2" x14ac:dyDescent="0.25">
      <c r="A338">
        <v>336</v>
      </c>
      <c r="B338" t="s">
        <v>2707</v>
      </c>
    </row>
    <row r="339" spans="1:2" x14ac:dyDescent="0.25">
      <c r="A339">
        <v>337</v>
      </c>
      <c r="B339" t="s">
        <v>3968</v>
      </c>
    </row>
    <row r="340" spans="1:2" x14ac:dyDescent="0.25">
      <c r="A340">
        <v>338</v>
      </c>
      <c r="B340" t="s">
        <v>3969</v>
      </c>
    </row>
    <row r="341" spans="1:2" x14ac:dyDescent="0.25">
      <c r="A341">
        <v>339</v>
      </c>
      <c r="B341" t="s">
        <v>3970</v>
      </c>
    </row>
    <row r="342" spans="1:2" x14ac:dyDescent="0.25">
      <c r="A342">
        <v>340</v>
      </c>
      <c r="B342" t="s">
        <v>3971</v>
      </c>
    </row>
    <row r="343" spans="1:2" x14ac:dyDescent="0.25">
      <c r="A343">
        <v>341</v>
      </c>
      <c r="B343" t="s">
        <v>3972</v>
      </c>
    </row>
    <row r="344" spans="1:2" x14ac:dyDescent="0.25">
      <c r="A344">
        <v>342</v>
      </c>
      <c r="B344" t="s">
        <v>2713</v>
      </c>
    </row>
    <row r="345" spans="1:2" x14ac:dyDescent="0.25">
      <c r="A345">
        <v>343</v>
      </c>
      <c r="B345" t="s">
        <v>2712</v>
      </c>
    </row>
    <row r="346" spans="1:2" x14ac:dyDescent="0.25">
      <c r="A346">
        <v>344</v>
      </c>
      <c r="B346" t="s">
        <v>2715</v>
      </c>
    </row>
    <row r="347" spans="1:2" x14ac:dyDescent="0.25">
      <c r="A347">
        <v>345</v>
      </c>
      <c r="B347" t="s">
        <v>2714</v>
      </c>
    </row>
    <row r="348" spans="1:2" x14ac:dyDescent="0.25">
      <c r="A348">
        <v>346</v>
      </c>
      <c r="B348" t="s">
        <v>3973</v>
      </c>
    </row>
    <row r="349" spans="1:2" x14ac:dyDescent="0.25">
      <c r="A349">
        <v>347</v>
      </c>
      <c r="B349" t="s">
        <v>2741</v>
      </c>
    </row>
    <row r="350" spans="1:2" x14ac:dyDescent="0.25">
      <c r="A350">
        <v>348</v>
      </c>
      <c r="B350" t="s">
        <v>2740</v>
      </c>
    </row>
    <row r="351" spans="1:2" x14ac:dyDescent="0.25">
      <c r="A351">
        <v>349</v>
      </c>
      <c r="B351" t="s">
        <v>3974</v>
      </c>
    </row>
    <row r="352" spans="1:2" x14ac:dyDescent="0.25">
      <c r="A352">
        <v>350</v>
      </c>
      <c r="B352" t="s">
        <v>3975</v>
      </c>
    </row>
    <row r="353" spans="1:2" x14ac:dyDescent="0.25">
      <c r="A353">
        <v>351</v>
      </c>
      <c r="B353" t="s">
        <v>3976</v>
      </c>
    </row>
    <row r="354" spans="1:2" x14ac:dyDescent="0.25">
      <c r="A354">
        <v>352</v>
      </c>
      <c r="B354" t="s">
        <v>3977</v>
      </c>
    </row>
    <row r="355" spans="1:2" x14ac:dyDescent="0.25">
      <c r="A355">
        <v>353</v>
      </c>
      <c r="B355" t="s">
        <v>3978</v>
      </c>
    </row>
    <row r="356" spans="1:2" x14ac:dyDescent="0.25">
      <c r="A356">
        <v>354</v>
      </c>
      <c r="B356" t="s">
        <v>3979</v>
      </c>
    </row>
    <row r="357" spans="1:2" x14ac:dyDescent="0.25">
      <c r="A357">
        <v>355</v>
      </c>
      <c r="B357" t="s">
        <v>3980</v>
      </c>
    </row>
    <row r="358" spans="1:2" x14ac:dyDescent="0.25">
      <c r="A358">
        <v>356</v>
      </c>
      <c r="B358" t="s">
        <v>3981</v>
      </c>
    </row>
    <row r="359" spans="1:2" x14ac:dyDescent="0.25">
      <c r="A359">
        <v>357</v>
      </c>
      <c r="B359" t="s">
        <v>3982</v>
      </c>
    </row>
    <row r="360" spans="1:2" x14ac:dyDescent="0.25">
      <c r="A360">
        <v>358</v>
      </c>
      <c r="B360" t="s">
        <v>3983</v>
      </c>
    </row>
    <row r="361" spans="1:2" x14ac:dyDescent="0.25">
      <c r="A361">
        <v>359</v>
      </c>
      <c r="B361" t="s">
        <v>3984</v>
      </c>
    </row>
    <row r="362" spans="1:2" x14ac:dyDescent="0.25">
      <c r="A362">
        <v>360</v>
      </c>
      <c r="B362" t="s">
        <v>3985</v>
      </c>
    </row>
    <row r="363" spans="1:2" x14ac:dyDescent="0.25">
      <c r="A363">
        <v>361</v>
      </c>
      <c r="B363" t="s">
        <v>2743</v>
      </c>
    </row>
    <row r="364" spans="1:2" x14ac:dyDescent="0.25">
      <c r="A364">
        <v>362</v>
      </c>
      <c r="B364" t="s">
        <v>2742</v>
      </c>
    </row>
    <row r="365" spans="1:2" x14ac:dyDescent="0.25">
      <c r="A365">
        <v>363</v>
      </c>
      <c r="B365" t="s">
        <v>3986</v>
      </c>
    </row>
    <row r="366" spans="1:2" x14ac:dyDescent="0.25">
      <c r="A366">
        <v>364</v>
      </c>
      <c r="B366" t="s">
        <v>3987</v>
      </c>
    </row>
    <row r="367" spans="1:2" x14ac:dyDescent="0.25">
      <c r="A367">
        <v>365</v>
      </c>
      <c r="B367" t="s">
        <v>3988</v>
      </c>
    </row>
    <row r="368" spans="1:2" x14ac:dyDescent="0.25">
      <c r="A368">
        <v>366</v>
      </c>
      <c r="B368" t="s">
        <v>2747</v>
      </c>
    </row>
    <row r="369" spans="1:2" x14ac:dyDescent="0.25">
      <c r="A369">
        <v>367</v>
      </c>
      <c r="B369" t="s">
        <v>2748</v>
      </c>
    </row>
    <row r="370" spans="1:2" x14ac:dyDescent="0.25">
      <c r="A370">
        <v>368</v>
      </c>
      <c r="B370" t="s">
        <v>2749</v>
      </c>
    </row>
    <row r="371" spans="1:2" x14ac:dyDescent="0.25">
      <c r="A371">
        <v>369</v>
      </c>
      <c r="B371" t="s">
        <v>3989</v>
      </c>
    </row>
    <row r="372" spans="1:2" x14ac:dyDescent="0.25">
      <c r="A372">
        <v>370</v>
      </c>
      <c r="B372" t="s">
        <v>3990</v>
      </c>
    </row>
    <row r="373" spans="1:2" x14ac:dyDescent="0.25">
      <c r="A373">
        <v>371</v>
      </c>
      <c r="B373" t="s">
        <v>3991</v>
      </c>
    </row>
    <row r="374" spans="1:2" x14ac:dyDescent="0.25">
      <c r="A374">
        <v>372</v>
      </c>
      <c r="B374" t="s">
        <v>2751</v>
      </c>
    </row>
    <row r="375" spans="1:2" x14ac:dyDescent="0.25">
      <c r="A375">
        <v>373</v>
      </c>
      <c r="B375" t="s">
        <v>2750</v>
      </c>
    </row>
    <row r="376" spans="1:2" x14ac:dyDescent="0.25">
      <c r="A376">
        <v>374</v>
      </c>
      <c r="B376" t="s">
        <v>3992</v>
      </c>
    </row>
    <row r="377" spans="1:2" x14ac:dyDescent="0.25">
      <c r="A377">
        <v>375</v>
      </c>
      <c r="B377" t="s">
        <v>3993</v>
      </c>
    </row>
    <row r="378" spans="1:2" x14ac:dyDescent="0.25">
      <c r="A378">
        <v>376</v>
      </c>
      <c r="B378" t="s">
        <v>3994</v>
      </c>
    </row>
    <row r="379" spans="1:2" x14ac:dyDescent="0.25">
      <c r="A379">
        <v>377</v>
      </c>
      <c r="B379" t="s">
        <v>3995</v>
      </c>
    </row>
    <row r="380" spans="1:2" x14ac:dyDescent="0.25">
      <c r="A380">
        <v>378</v>
      </c>
      <c r="B380" t="s">
        <v>1224</v>
      </c>
    </row>
    <row r="381" spans="1:2" x14ac:dyDescent="0.25">
      <c r="A381">
        <v>379</v>
      </c>
      <c r="B381" t="s">
        <v>3996</v>
      </c>
    </row>
    <row r="382" spans="1:2" x14ac:dyDescent="0.25">
      <c r="A382">
        <v>380</v>
      </c>
      <c r="B382" t="s">
        <v>2783</v>
      </c>
    </row>
    <row r="383" spans="1:2" x14ac:dyDescent="0.25">
      <c r="A383">
        <v>381</v>
      </c>
      <c r="B383" t="s">
        <v>3997</v>
      </c>
    </row>
    <row r="384" spans="1:2" x14ac:dyDescent="0.25">
      <c r="A384">
        <v>382</v>
      </c>
      <c r="B384" t="s">
        <v>3998</v>
      </c>
    </row>
    <row r="385" spans="1:2" x14ac:dyDescent="0.25">
      <c r="A385">
        <v>383</v>
      </c>
      <c r="B385" t="s">
        <v>3999</v>
      </c>
    </row>
    <row r="386" spans="1:2" x14ac:dyDescent="0.25">
      <c r="A386">
        <v>384</v>
      </c>
      <c r="B386" t="s">
        <v>4000</v>
      </c>
    </row>
    <row r="387" spans="1:2" x14ac:dyDescent="0.25">
      <c r="A387">
        <v>385</v>
      </c>
    </row>
    <row r="388" spans="1:2" x14ac:dyDescent="0.25">
      <c r="A388">
        <v>386</v>
      </c>
      <c r="B388" t="s">
        <v>4001</v>
      </c>
    </row>
    <row r="389" spans="1:2" x14ac:dyDescent="0.25">
      <c r="A389">
        <v>387</v>
      </c>
      <c r="B389" t="s">
        <v>4002</v>
      </c>
    </row>
    <row r="390" spans="1:2" x14ac:dyDescent="0.25">
      <c r="A390">
        <v>388</v>
      </c>
      <c r="B390" t="s">
        <v>2782</v>
      </c>
    </row>
    <row r="391" spans="1:2" x14ac:dyDescent="0.25">
      <c r="A391">
        <v>389</v>
      </c>
      <c r="B391" t="s">
        <v>4003</v>
      </c>
    </row>
    <row r="392" spans="1:2" x14ac:dyDescent="0.25">
      <c r="A392">
        <v>390</v>
      </c>
      <c r="B392" t="s">
        <v>4004</v>
      </c>
    </row>
    <row r="393" spans="1:2" x14ac:dyDescent="0.25">
      <c r="A393">
        <v>391</v>
      </c>
      <c r="B393" t="s">
        <v>4005</v>
      </c>
    </row>
    <row r="394" spans="1:2" x14ac:dyDescent="0.25">
      <c r="A394">
        <v>392</v>
      </c>
      <c r="B394" t="s">
        <v>2795</v>
      </c>
    </row>
    <row r="395" spans="1:2" x14ac:dyDescent="0.25">
      <c r="A395">
        <v>393</v>
      </c>
    </row>
    <row r="396" spans="1:2" x14ac:dyDescent="0.25">
      <c r="A396">
        <v>394</v>
      </c>
    </row>
    <row r="397" spans="1:2" x14ac:dyDescent="0.25">
      <c r="A397">
        <v>395</v>
      </c>
      <c r="B397" t="s">
        <v>2796</v>
      </c>
    </row>
    <row r="398" spans="1:2" x14ac:dyDescent="0.25">
      <c r="A398">
        <v>396</v>
      </c>
      <c r="B398" t="s">
        <v>2797</v>
      </c>
    </row>
    <row r="399" spans="1:2" x14ac:dyDescent="0.25">
      <c r="A399">
        <v>397</v>
      </c>
      <c r="B399" t="s">
        <v>4006</v>
      </c>
    </row>
    <row r="400" spans="1:2" x14ac:dyDescent="0.25">
      <c r="A400">
        <v>398</v>
      </c>
      <c r="B400" t="s">
        <v>4007</v>
      </c>
    </row>
    <row r="401" spans="1:2" x14ac:dyDescent="0.25">
      <c r="A401">
        <v>399</v>
      </c>
      <c r="B401" t="s">
        <v>4008</v>
      </c>
    </row>
    <row r="402" spans="1:2" x14ac:dyDescent="0.25">
      <c r="A402">
        <v>400</v>
      </c>
      <c r="B402" t="s">
        <v>2798</v>
      </c>
    </row>
    <row r="403" spans="1:2" x14ac:dyDescent="0.25">
      <c r="A403">
        <v>401</v>
      </c>
      <c r="B403" t="s">
        <v>2799</v>
      </c>
    </row>
    <row r="404" spans="1:2" x14ac:dyDescent="0.25">
      <c r="A404">
        <v>402</v>
      </c>
      <c r="B404" t="s">
        <v>4009</v>
      </c>
    </row>
    <row r="405" spans="1:2" x14ac:dyDescent="0.25">
      <c r="A405">
        <v>403</v>
      </c>
      <c r="B405" t="s">
        <v>4010</v>
      </c>
    </row>
    <row r="406" spans="1:2" x14ac:dyDescent="0.25">
      <c r="A406">
        <v>404</v>
      </c>
      <c r="B406" t="s">
        <v>4011</v>
      </c>
    </row>
    <row r="407" spans="1:2" x14ac:dyDescent="0.25">
      <c r="A407">
        <v>405</v>
      </c>
      <c r="B407" t="s">
        <v>4012</v>
      </c>
    </row>
    <row r="408" spans="1:2" x14ac:dyDescent="0.25">
      <c r="A408">
        <v>406</v>
      </c>
      <c r="B408" t="s">
        <v>4013</v>
      </c>
    </row>
    <row r="409" spans="1:2" x14ac:dyDescent="0.25">
      <c r="A409">
        <v>407</v>
      </c>
      <c r="B409" t="s">
        <v>4014</v>
      </c>
    </row>
    <row r="410" spans="1:2" x14ac:dyDescent="0.25">
      <c r="A410">
        <v>408</v>
      </c>
    </row>
    <row r="411" spans="1:2" x14ac:dyDescent="0.25">
      <c r="A411">
        <v>409</v>
      </c>
      <c r="B411" t="s">
        <v>2817</v>
      </c>
    </row>
    <row r="412" spans="1:2" x14ac:dyDescent="0.25">
      <c r="A412">
        <v>410</v>
      </c>
      <c r="B412" t="s">
        <v>2816</v>
      </c>
    </row>
    <row r="413" spans="1:2" x14ac:dyDescent="0.25">
      <c r="A413">
        <v>411</v>
      </c>
      <c r="B413" t="s">
        <v>4015</v>
      </c>
    </row>
    <row r="414" spans="1:2" x14ac:dyDescent="0.25">
      <c r="A414">
        <v>412</v>
      </c>
      <c r="B414" t="s">
        <v>4016</v>
      </c>
    </row>
    <row r="415" spans="1:2" x14ac:dyDescent="0.25">
      <c r="A415">
        <v>413</v>
      </c>
      <c r="B415" t="s">
        <v>4017</v>
      </c>
    </row>
    <row r="416" spans="1:2" x14ac:dyDescent="0.25">
      <c r="A416">
        <v>414</v>
      </c>
      <c r="B416" t="s">
        <v>4018</v>
      </c>
    </row>
    <row r="417" spans="1:2" x14ac:dyDescent="0.25">
      <c r="A417">
        <v>415</v>
      </c>
      <c r="B417" t="s">
        <v>4019</v>
      </c>
    </row>
    <row r="418" spans="1:2" x14ac:dyDescent="0.25">
      <c r="A418">
        <v>416</v>
      </c>
      <c r="B418" t="s">
        <v>4020</v>
      </c>
    </row>
    <row r="419" spans="1:2" x14ac:dyDescent="0.25">
      <c r="A419">
        <v>417</v>
      </c>
      <c r="B419" t="s">
        <v>4021</v>
      </c>
    </row>
    <row r="420" spans="1:2" x14ac:dyDescent="0.25">
      <c r="A420">
        <v>418</v>
      </c>
      <c r="B420" t="s">
        <v>4022</v>
      </c>
    </row>
    <row r="421" spans="1:2" x14ac:dyDescent="0.25">
      <c r="A421">
        <v>419</v>
      </c>
      <c r="B421" t="s">
        <v>4023</v>
      </c>
    </row>
    <row r="422" spans="1:2" x14ac:dyDescent="0.25">
      <c r="A422">
        <v>420</v>
      </c>
      <c r="B422" t="s">
        <v>4024</v>
      </c>
    </row>
    <row r="423" spans="1:2" x14ac:dyDescent="0.25">
      <c r="A423">
        <v>421</v>
      </c>
      <c r="B423" t="s">
        <v>4025</v>
      </c>
    </row>
    <row r="424" spans="1:2" x14ac:dyDescent="0.25">
      <c r="A424">
        <v>422</v>
      </c>
      <c r="B424" t="s">
        <v>2842</v>
      </c>
    </row>
    <row r="425" spans="1:2" x14ac:dyDescent="0.25">
      <c r="A425">
        <v>423</v>
      </c>
      <c r="B425" t="s">
        <v>2843</v>
      </c>
    </row>
    <row r="426" spans="1:2" x14ac:dyDescent="0.25">
      <c r="A426">
        <v>424</v>
      </c>
      <c r="B426" t="s">
        <v>3530</v>
      </c>
    </row>
    <row r="427" spans="1:2" x14ac:dyDescent="0.25">
      <c r="A427">
        <v>425</v>
      </c>
      <c r="B427" t="s">
        <v>4026</v>
      </c>
    </row>
    <row r="428" spans="1:2" x14ac:dyDescent="0.25">
      <c r="A428">
        <v>426</v>
      </c>
      <c r="B428" t="s">
        <v>4027</v>
      </c>
    </row>
    <row r="429" spans="1:2" x14ac:dyDescent="0.25">
      <c r="A429">
        <v>427</v>
      </c>
      <c r="B429" t="s">
        <v>2846</v>
      </c>
    </row>
    <row r="430" spans="1:2" x14ac:dyDescent="0.25">
      <c r="A430">
        <v>428</v>
      </c>
      <c r="B430" t="s">
        <v>2845</v>
      </c>
    </row>
    <row r="431" spans="1:2" x14ac:dyDescent="0.25">
      <c r="A431">
        <v>429</v>
      </c>
      <c r="B431" t="s">
        <v>4028</v>
      </c>
    </row>
    <row r="432" spans="1:2" x14ac:dyDescent="0.25">
      <c r="A432">
        <v>430</v>
      </c>
      <c r="B432" t="s">
        <v>4029</v>
      </c>
    </row>
    <row r="433" spans="1:2" x14ac:dyDescent="0.25">
      <c r="A433">
        <v>431</v>
      </c>
      <c r="B433" t="s">
        <v>4030</v>
      </c>
    </row>
    <row r="434" spans="1:2" x14ac:dyDescent="0.25">
      <c r="A434">
        <v>432</v>
      </c>
      <c r="B434" t="s">
        <v>4031</v>
      </c>
    </row>
    <row r="435" spans="1:2" x14ac:dyDescent="0.25">
      <c r="A435">
        <v>433</v>
      </c>
      <c r="B435" t="s">
        <v>4032</v>
      </c>
    </row>
    <row r="436" spans="1:2" x14ac:dyDescent="0.25">
      <c r="A436">
        <v>434</v>
      </c>
      <c r="B436" t="s">
        <v>4033</v>
      </c>
    </row>
    <row r="437" spans="1:2" x14ac:dyDescent="0.25">
      <c r="A437">
        <v>435</v>
      </c>
      <c r="B437" t="s">
        <v>4034</v>
      </c>
    </row>
    <row r="438" spans="1:2" x14ac:dyDescent="0.25">
      <c r="A438">
        <v>436</v>
      </c>
      <c r="B438" t="s">
        <v>4035</v>
      </c>
    </row>
    <row r="439" spans="1:2" x14ac:dyDescent="0.25">
      <c r="A439">
        <v>437</v>
      </c>
      <c r="B439" t="s">
        <v>4036</v>
      </c>
    </row>
    <row r="440" spans="1:2" x14ac:dyDescent="0.25">
      <c r="A440">
        <v>438</v>
      </c>
      <c r="B440" t="s">
        <v>2860</v>
      </c>
    </row>
    <row r="441" spans="1:2" x14ac:dyDescent="0.25">
      <c r="A441">
        <v>439</v>
      </c>
      <c r="B441" t="s">
        <v>2861</v>
      </c>
    </row>
    <row r="442" spans="1:2" x14ac:dyDescent="0.25">
      <c r="A442">
        <v>440</v>
      </c>
      <c r="B442" t="s">
        <v>2862</v>
      </c>
    </row>
    <row r="443" spans="1:2" x14ac:dyDescent="0.25">
      <c r="A443">
        <v>441</v>
      </c>
      <c r="B443" t="s">
        <v>3546</v>
      </c>
    </row>
    <row r="444" spans="1:2" x14ac:dyDescent="0.25">
      <c r="A444">
        <v>442</v>
      </c>
      <c r="B444" t="s">
        <v>3547</v>
      </c>
    </row>
    <row r="445" spans="1:2" x14ac:dyDescent="0.25">
      <c r="A445">
        <v>443</v>
      </c>
      <c r="B445" t="s">
        <v>3548</v>
      </c>
    </row>
    <row r="446" spans="1:2" x14ac:dyDescent="0.25">
      <c r="A446">
        <v>444</v>
      </c>
      <c r="B446" t="s">
        <v>3549</v>
      </c>
    </row>
    <row r="447" spans="1:2" x14ac:dyDescent="0.25">
      <c r="A447">
        <v>445</v>
      </c>
      <c r="B447" t="s">
        <v>3550</v>
      </c>
    </row>
    <row r="448" spans="1:2" x14ac:dyDescent="0.25">
      <c r="A448">
        <v>446</v>
      </c>
      <c r="B448" t="s">
        <v>4037</v>
      </c>
    </row>
    <row r="449" spans="1:2" x14ac:dyDescent="0.25">
      <c r="A449">
        <v>447</v>
      </c>
      <c r="B449" t="s">
        <v>3552</v>
      </c>
    </row>
    <row r="450" spans="1:2" x14ac:dyDescent="0.25">
      <c r="A450">
        <v>448</v>
      </c>
      <c r="B450" t="s">
        <v>4038</v>
      </c>
    </row>
    <row r="451" spans="1:2" x14ac:dyDescent="0.25">
      <c r="A451">
        <v>449</v>
      </c>
      <c r="B451" t="s">
        <v>3554</v>
      </c>
    </row>
    <row r="452" spans="1:2" x14ac:dyDescent="0.25">
      <c r="A452">
        <v>450</v>
      </c>
      <c r="B452" t="s">
        <v>4039</v>
      </c>
    </row>
    <row r="453" spans="1:2" x14ac:dyDescent="0.25">
      <c r="A453">
        <v>451</v>
      </c>
      <c r="B453" t="s">
        <v>4040</v>
      </c>
    </row>
    <row r="454" spans="1:2" x14ac:dyDescent="0.25">
      <c r="A454">
        <v>452</v>
      </c>
      <c r="B454" t="s">
        <v>2868</v>
      </c>
    </row>
    <row r="455" spans="1:2" x14ac:dyDescent="0.25">
      <c r="A455">
        <v>453</v>
      </c>
      <c r="B455" t="s">
        <v>2869</v>
      </c>
    </row>
    <row r="456" spans="1:2" x14ac:dyDescent="0.25">
      <c r="A456">
        <v>454</v>
      </c>
      <c r="B456" t="s">
        <v>4041</v>
      </c>
    </row>
    <row r="457" spans="1:2" x14ac:dyDescent="0.25">
      <c r="A457">
        <v>455</v>
      </c>
      <c r="B457" t="s">
        <v>2895</v>
      </c>
    </row>
    <row r="458" spans="1:2" x14ac:dyDescent="0.25">
      <c r="A458">
        <v>456</v>
      </c>
      <c r="B458" t="s">
        <v>2894</v>
      </c>
    </row>
    <row r="459" spans="1:2" x14ac:dyDescent="0.25">
      <c r="A459">
        <v>457</v>
      </c>
      <c r="B459" t="s">
        <v>1511</v>
      </c>
    </row>
    <row r="460" spans="1:2" x14ac:dyDescent="0.25">
      <c r="A460">
        <v>458</v>
      </c>
      <c r="B460" t="s">
        <v>4042</v>
      </c>
    </row>
    <row r="461" spans="1:2" x14ac:dyDescent="0.25">
      <c r="A461">
        <v>459</v>
      </c>
      <c r="B461" t="s">
        <v>4043</v>
      </c>
    </row>
    <row r="462" spans="1:2" x14ac:dyDescent="0.25">
      <c r="A462">
        <v>460</v>
      </c>
      <c r="B462" t="s">
        <v>4044</v>
      </c>
    </row>
    <row r="463" spans="1:2" x14ac:dyDescent="0.25">
      <c r="A463">
        <v>461</v>
      </c>
      <c r="B463" t="s">
        <v>4045</v>
      </c>
    </row>
    <row r="464" spans="1:2" x14ac:dyDescent="0.25">
      <c r="A464">
        <v>462</v>
      </c>
      <c r="B464" t="s">
        <v>4046</v>
      </c>
    </row>
    <row r="465" spans="1:2" x14ac:dyDescent="0.25">
      <c r="A465">
        <v>463</v>
      </c>
      <c r="B465" t="s">
        <v>4047</v>
      </c>
    </row>
    <row r="466" spans="1:2" x14ac:dyDescent="0.25">
      <c r="A466">
        <v>464</v>
      </c>
      <c r="B466" t="s">
        <v>4048</v>
      </c>
    </row>
    <row r="467" spans="1:2" x14ac:dyDescent="0.25">
      <c r="A467">
        <v>465</v>
      </c>
      <c r="B467" t="s">
        <v>2897</v>
      </c>
    </row>
    <row r="468" spans="1:2" x14ac:dyDescent="0.25">
      <c r="A468">
        <v>466</v>
      </c>
      <c r="B468" t="s">
        <v>2898</v>
      </c>
    </row>
    <row r="469" spans="1:2" x14ac:dyDescent="0.25">
      <c r="A469">
        <v>467</v>
      </c>
      <c r="B469" t="s">
        <v>4049</v>
      </c>
    </row>
    <row r="470" spans="1:2" x14ac:dyDescent="0.25">
      <c r="A470">
        <v>468</v>
      </c>
      <c r="B470" t="s">
        <v>4050</v>
      </c>
    </row>
    <row r="471" spans="1:2" x14ac:dyDescent="0.25">
      <c r="A471">
        <v>469</v>
      </c>
      <c r="B471" t="s">
        <v>4051</v>
      </c>
    </row>
    <row r="472" spans="1:2" x14ac:dyDescent="0.25">
      <c r="A472">
        <v>470</v>
      </c>
      <c r="B472" t="s">
        <v>4052</v>
      </c>
    </row>
    <row r="473" spans="1:2" x14ac:dyDescent="0.25">
      <c r="A473">
        <v>471</v>
      </c>
      <c r="B473" t="s">
        <v>2900</v>
      </c>
    </row>
    <row r="474" spans="1:2" x14ac:dyDescent="0.25">
      <c r="A474">
        <v>472</v>
      </c>
      <c r="B474" t="s">
        <v>2901</v>
      </c>
    </row>
    <row r="475" spans="1:2" x14ac:dyDescent="0.25">
      <c r="A475">
        <v>473</v>
      </c>
      <c r="B475" t="s">
        <v>2902</v>
      </c>
    </row>
    <row r="476" spans="1:2" x14ac:dyDescent="0.25">
      <c r="A476">
        <v>474</v>
      </c>
    </row>
    <row r="477" spans="1:2" x14ac:dyDescent="0.25">
      <c r="A477">
        <v>475</v>
      </c>
    </row>
    <row r="478" spans="1:2" x14ac:dyDescent="0.25">
      <c r="A478">
        <v>476</v>
      </c>
      <c r="B478" t="s">
        <v>4053</v>
      </c>
    </row>
    <row r="479" spans="1:2" x14ac:dyDescent="0.25">
      <c r="A479">
        <v>477</v>
      </c>
      <c r="B479" t="s">
        <v>4054</v>
      </c>
    </row>
    <row r="480" spans="1:2" x14ac:dyDescent="0.25">
      <c r="A480">
        <v>478</v>
      </c>
      <c r="B480" t="s">
        <v>4055</v>
      </c>
    </row>
    <row r="481" spans="1:2" x14ac:dyDescent="0.25">
      <c r="A481">
        <v>479</v>
      </c>
      <c r="B481" t="s">
        <v>4056</v>
      </c>
    </row>
    <row r="482" spans="1:2" x14ac:dyDescent="0.25">
      <c r="A482">
        <v>480</v>
      </c>
      <c r="B482" t="s">
        <v>4057</v>
      </c>
    </row>
    <row r="483" spans="1:2" x14ac:dyDescent="0.25">
      <c r="A483">
        <v>481</v>
      </c>
      <c r="B483" t="s">
        <v>4058</v>
      </c>
    </row>
    <row r="484" spans="1:2" x14ac:dyDescent="0.25">
      <c r="A484">
        <v>482</v>
      </c>
      <c r="B484" t="s">
        <v>4059</v>
      </c>
    </row>
    <row r="485" spans="1:2" x14ac:dyDescent="0.25">
      <c r="A485">
        <v>483</v>
      </c>
      <c r="B485" t="s">
        <v>4060</v>
      </c>
    </row>
    <row r="486" spans="1:2" x14ac:dyDescent="0.25">
      <c r="A486">
        <v>484</v>
      </c>
      <c r="B486" t="s">
        <v>4061</v>
      </c>
    </row>
    <row r="487" spans="1:2" x14ac:dyDescent="0.25">
      <c r="A487">
        <v>485</v>
      </c>
      <c r="B487" t="s">
        <v>2921</v>
      </c>
    </row>
    <row r="488" spans="1:2" x14ac:dyDescent="0.25">
      <c r="A488">
        <v>486</v>
      </c>
      <c r="B488" t="s">
        <v>2922</v>
      </c>
    </row>
    <row r="489" spans="1:2" x14ac:dyDescent="0.25">
      <c r="A489">
        <v>487</v>
      </c>
      <c r="B489" t="s">
        <v>4062</v>
      </c>
    </row>
    <row r="490" spans="1:2" x14ac:dyDescent="0.25">
      <c r="A490">
        <v>488</v>
      </c>
      <c r="B490" t="s">
        <v>4063</v>
      </c>
    </row>
    <row r="491" spans="1:2" x14ac:dyDescent="0.25">
      <c r="A491">
        <v>489</v>
      </c>
      <c r="B491" t="s">
        <v>4064</v>
      </c>
    </row>
    <row r="492" spans="1:2" x14ac:dyDescent="0.25">
      <c r="A492">
        <v>490</v>
      </c>
      <c r="B492" t="s">
        <v>4065</v>
      </c>
    </row>
    <row r="493" spans="1:2" x14ac:dyDescent="0.25">
      <c r="A493">
        <v>491</v>
      </c>
      <c r="B493" t="s">
        <v>4066</v>
      </c>
    </row>
    <row r="494" spans="1:2" x14ac:dyDescent="0.25">
      <c r="A494">
        <v>492</v>
      </c>
    </row>
    <row r="495" spans="1:2" x14ac:dyDescent="0.25">
      <c r="A495">
        <v>493</v>
      </c>
      <c r="B495" t="s">
        <v>4067</v>
      </c>
    </row>
    <row r="496" spans="1:2" x14ac:dyDescent="0.25">
      <c r="A496">
        <v>494</v>
      </c>
      <c r="B496" t="s">
        <v>4068</v>
      </c>
    </row>
    <row r="497" spans="1:2" x14ac:dyDescent="0.25">
      <c r="A497">
        <v>495</v>
      </c>
      <c r="B497" t="s">
        <v>2944</v>
      </c>
    </row>
    <row r="498" spans="1:2" x14ac:dyDescent="0.25">
      <c r="A498">
        <v>496</v>
      </c>
      <c r="B498" t="s">
        <v>2945</v>
      </c>
    </row>
    <row r="499" spans="1:2" x14ac:dyDescent="0.25">
      <c r="A499">
        <v>497</v>
      </c>
      <c r="B499" t="s">
        <v>4069</v>
      </c>
    </row>
    <row r="500" spans="1:2" x14ac:dyDescent="0.25">
      <c r="A500">
        <v>498</v>
      </c>
      <c r="B500" t="s">
        <v>4070</v>
      </c>
    </row>
    <row r="501" spans="1:2" x14ac:dyDescent="0.25">
      <c r="A501">
        <v>499</v>
      </c>
      <c r="B501" t="s">
        <v>2946</v>
      </c>
    </row>
    <row r="502" spans="1:2" x14ac:dyDescent="0.25">
      <c r="A502">
        <v>500</v>
      </c>
    </row>
    <row r="503" spans="1:2" x14ac:dyDescent="0.25">
      <c r="A503">
        <v>501</v>
      </c>
      <c r="B503" t="s">
        <v>4071</v>
      </c>
    </row>
    <row r="504" spans="1:2" x14ac:dyDescent="0.25">
      <c r="A504">
        <v>502</v>
      </c>
      <c r="B504" t="s">
        <v>4072</v>
      </c>
    </row>
    <row r="505" spans="1:2" x14ac:dyDescent="0.25">
      <c r="A505">
        <v>503</v>
      </c>
      <c r="B505" t="s">
        <v>4073</v>
      </c>
    </row>
    <row r="506" spans="1:2" x14ac:dyDescent="0.25">
      <c r="A506">
        <v>504</v>
      </c>
      <c r="B506" t="s">
        <v>4074</v>
      </c>
    </row>
    <row r="507" spans="1:2" x14ac:dyDescent="0.25">
      <c r="A507">
        <v>505</v>
      </c>
      <c r="B507" t="s">
        <v>4075</v>
      </c>
    </row>
    <row r="508" spans="1:2" x14ac:dyDescent="0.25">
      <c r="A508">
        <v>506</v>
      </c>
      <c r="B508" t="s">
        <v>4076</v>
      </c>
    </row>
    <row r="509" spans="1:2" x14ac:dyDescent="0.25">
      <c r="A509">
        <v>507</v>
      </c>
      <c r="B509" t="s">
        <v>4077</v>
      </c>
    </row>
    <row r="510" spans="1:2" x14ac:dyDescent="0.25">
      <c r="A510">
        <v>508</v>
      </c>
      <c r="B510" t="s">
        <v>4078</v>
      </c>
    </row>
    <row r="511" spans="1:2" x14ac:dyDescent="0.25">
      <c r="A511">
        <v>509</v>
      </c>
      <c r="B511" t="s">
        <v>4079</v>
      </c>
    </row>
    <row r="512" spans="1:2" x14ac:dyDescent="0.25">
      <c r="A512">
        <v>510</v>
      </c>
      <c r="B512" t="s">
        <v>4080</v>
      </c>
    </row>
    <row r="513" spans="1:2" x14ac:dyDescent="0.25">
      <c r="A513">
        <v>511</v>
      </c>
      <c r="B513" t="s">
        <v>4081</v>
      </c>
    </row>
    <row r="514" spans="1:2" x14ac:dyDescent="0.25">
      <c r="A514">
        <v>512</v>
      </c>
      <c r="B514" t="s">
        <v>4082</v>
      </c>
    </row>
    <row r="515" spans="1:2" x14ac:dyDescent="0.25">
      <c r="A515">
        <v>513</v>
      </c>
      <c r="B515" t="s">
        <v>4083</v>
      </c>
    </row>
    <row r="516" spans="1:2" x14ac:dyDescent="0.25">
      <c r="A516">
        <v>514</v>
      </c>
    </row>
    <row r="517" spans="1:2" x14ac:dyDescent="0.25">
      <c r="A517">
        <v>515</v>
      </c>
    </row>
    <row r="518" spans="1:2" x14ac:dyDescent="0.25">
      <c r="A518">
        <v>516</v>
      </c>
    </row>
    <row r="519" spans="1:2" x14ac:dyDescent="0.25">
      <c r="A519">
        <v>517</v>
      </c>
      <c r="B519" t="s">
        <v>2929</v>
      </c>
    </row>
    <row r="520" spans="1:2" x14ac:dyDescent="0.25">
      <c r="A520">
        <v>518</v>
      </c>
      <c r="B520" t="s">
        <v>4084</v>
      </c>
    </row>
    <row r="521" spans="1:2" x14ac:dyDescent="0.25">
      <c r="A521">
        <v>519</v>
      </c>
      <c r="B521" t="s">
        <v>4085</v>
      </c>
    </row>
    <row r="522" spans="1:2" x14ac:dyDescent="0.25">
      <c r="A522">
        <v>520</v>
      </c>
      <c r="B522" t="s">
        <v>4086</v>
      </c>
    </row>
    <row r="523" spans="1:2" x14ac:dyDescent="0.25">
      <c r="A523">
        <v>521</v>
      </c>
      <c r="B523" t="s">
        <v>4087</v>
      </c>
    </row>
    <row r="524" spans="1:2" x14ac:dyDescent="0.25">
      <c r="A524">
        <v>522</v>
      </c>
      <c r="B524" t="s">
        <v>2948</v>
      </c>
    </row>
    <row r="525" spans="1:2" x14ac:dyDescent="0.25">
      <c r="A525">
        <v>523</v>
      </c>
      <c r="B525" t="s">
        <v>2947</v>
      </c>
    </row>
    <row r="526" spans="1:2" x14ac:dyDescent="0.25">
      <c r="A526">
        <v>524</v>
      </c>
      <c r="B526" t="s">
        <v>4088</v>
      </c>
    </row>
    <row r="527" spans="1:2" x14ac:dyDescent="0.25">
      <c r="A527">
        <v>525</v>
      </c>
      <c r="B527" t="s">
        <v>4089</v>
      </c>
    </row>
    <row r="528" spans="1:2" x14ac:dyDescent="0.25">
      <c r="A528">
        <v>526</v>
      </c>
      <c r="B528" t="s">
        <v>4090</v>
      </c>
    </row>
    <row r="529" spans="1:2" x14ac:dyDescent="0.25">
      <c r="A529">
        <v>527</v>
      </c>
      <c r="B529" t="s">
        <v>4091</v>
      </c>
    </row>
    <row r="530" spans="1:2" x14ac:dyDescent="0.25">
      <c r="A530">
        <v>528</v>
      </c>
      <c r="B530" t="s">
        <v>4092</v>
      </c>
    </row>
    <row r="531" spans="1:2" x14ac:dyDescent="0.25">
      <c r="A531">
        <v>529</v>
      </c>
      <c r="B531" t="s">
        <v>4093</v>
      </c>
    </row>
    <row r="532" spans="1:2" x14ac:dyDescent="0.25">
      <c r="A532">
        <v>530</v>
      </c>
      <c r="B532" t="s">
        <v>4094</v>
      </c>
    </row>
    <row r="533" spans="1:2" x14ac:dyDescent="0.25">
      <c r="A533">
        <v>531</v>
      </c>
      <c r="B533" t="s">
        <v>4095</v>
      </c>
    </row>
    <row r="534" spans="1:2" x14ac:dyDescent="0.25">
      <c r="A534">
        <v>532</v>
      </c>
      <c r="B534" t="s">
        <v>4096</v>
      </c>
    </row>
    <row r="535" spans="1:2" x14ac:dyDescent="0.25">
      <c r="A535">
        <v>533</v>
      </c>
      <c r="B535" t="s">
        <v>2998</v>
      </c>
    </row>
    <row r="536" spans="1:2" x14ac:dyDescent="0.25">
      <c r="A536">
        <v>534</v>
      </c>
      <c r="B536" t="s">
        <v>4097</v>
      </c>
    </row>
    <row r="537" spans="1:2" x14ac:dyDescent="0.25">
      <c r="A537">
        <v>535</v>
      </c>
      <c r="B537" t="s">
        <v>4098</v>
      </c>
    </row>
    <row r="538" spans="1:2" x14ac:dyDescent="0.25">
      <c r="A538">
        <v>536</v>
      </c>
      <c r="B538" t="s">
        <v>4099</v>
      </c>
    </row>
    <row r="539" spans="1:2" x14ac:dyDescent="0.25">
      <c r="A539">
        <v>537</v>
      </c>
      <c r="B539" t="s">
        <v>4100</v>
      </c>
    </row>
    <row r="540" spans="1:2" x14ac:dyDescent="0.25">
      <c r="A540">
        <v>538</v>
      </c>
      <c r="B540" t="s">
        <v>4101</v>
      </c>
    </row>
    <row r="541" spans="1:2" x14ac:dyDescent="0.25">
      <c r="A541">
        <v>539</v>
      </c>
      <c r="B541" t="s">
        <v>4102</v>
      </c>
    </row>
    <row r="542" spans="1:2" x14ac:dyDescent="0.25">
      <c r="A542">
        <v>540</v>
      </c>
      <c r="B542" t="s">
        <v>4103</v>
      </c>
    </row>
    <row r="543" spans="1:2" x14ac:dyDescent="0.25">
      <c r="A543">
        <v>541</v>
      </c>
      <c r="B543" t="s">
        <v>4104</v>
      </c>
    </row>
    <row r="544" spans="1:2" x14ac:dyDescent="0.25">
      <c r="A544">
        <v>542</v>
      </c>
      <c r="B544" t="s">
        <v>4105</v>
      </c>
    </row>
    <row r="545" spans="1:2" x14ac:dyDescent="0.25">
      <c r="A545">
        <v>543</v>
      </c>
      <c r="B545" t="s">
        <v>4106</v>
      </c>
    </row>
    <row r="546" spans="1:2" x14ac:dyDescent="0.25">
      <c r="A546">
        <v>544</v>
      </c>
      <c r="B546" t="s">
        <v>4107</v>
      </c>
    </row>
    <row r="547" spans="1:2" x14ac:dyDescent="0.25">
      <c r="A547">
        <v>545</v>
      </c>
      <c r="B547" t="s">
        <v>4108</v>
      </c>
    </row>
    <row r="548" spans="1:2" x14ac:dyDescent="0.25">
      <c r="A548">
        <v>546</v>
      </c>
      <c r="B548" t="s">
        <v>4109</v>
      </c>
    </row>
    <row r="549" spans="1:2" x14ac:dyDescent="0.25">
      <c r="A549">
        <v>547</v>
      </c>
      <c r="B549" t="s">
        <v>4110</v>
      </c>
    </row>
    <row r="550" spans="1:2" x14ac:dyDescent="0.25">
      <c r="A550">
        <v>548</v>
      </c>
      <c r="B550" t="s">
        <v>4111</v>
      </c>
    </row>
    <row r="551" spans="1:2" x14ac:dyDescent="0.25">
      <c r="A551">
        <v>549</v>
      </c>
      <c r="B551" t="s">
        <v>4112</v>
      </c>
    </row>
    <row r="552" spans="1:2" x14ac:dyDescent="0.25">
      <c r="A552">
        <v>550</v>
      </c>
      <c r="B552" t="s">
        <v>1930</v>
      </c>
    </row>
    <row r="553" spans="1:2" x14ac:dyDescent="0.25">
      <c r="A553">
        <v>551</v>
      </c>
      <c r="B553" t="s">
        <v>3001</v>
      </c>
    </row>
    <row r="554" spans="1:2" x14ac:dyDescent="0.25">
      <c r="A554">
        <v>552</v>
      </c>
      <c r="B554" t="s">
        <v>2999</v>
      </c>
    </row>
    <row r="555" spans="1:2" x14ac:dyDescent="0.25">
      <c r="A555">
        <v>553</v>
      </c>
      <c r="B555" t="s">
        <v>3000</v>
      </c>
    </row>
    <row r="556" spans="1:2" x14ac:dyDescent="0.25">
      <c r="A556">
        <v>554</v>
      </c>
      <c r="B556" t="s">
        <v>4113</v>
      </c>
    </row>
    <row r="557" spans="1:2" x14ac:dyDescent="0.25">
      <c r="A557">
        <v>555</v>
      </c>
      <c r="B557" t="s">
        <v>3028</v>
      </c>
    </row>
    <row r="558" spans="1:2" x14ac:dyDescent="0.25">
      <c r="A558">
        <v>556</v>
      </c>
      <c r="B558" t="s">
        <v>3658</v>
      </c>
    </row>
    <row r="559" spans="1:2" x14ac:dyDescent="0.25">
      <c r="A559">
        <v>557</v>
      </c>
      <c r="B559" t="s">
        <v>3002</v>
      </c>
    </row>
    <row r="560" spans="1:2" x14ac:dyDescent="0.25">
      <c r="A560">
        <v>558</v>
      </c>
      <c r="B560" t="s">
        <v>4114</v>
      </c>
    </row>
    <row r="561" spans="1:2" x14ac:dyDescent="0.25">
      <c r="A561">
        <v>559</v>
      </c>
      <c r="B561" t="s">
        <v>4115</v>
      </c>
    </row>
    <row r="562" spans="1:2" x14ac:dyDescent="0.25">
      <c r="A562">
        <v>560</v>
      </c>
      <c r="B562" t="s">
        <v>4116</v>
      </c>
    </row>
    <row r="563" spans="1:2" x14ac:dyDescent="0.25">
      <c r="A563">
        <v>561</v>
      </c>
      <c r="B563" t="s">
        <v>4117</v>
      </c>
    </row>
    <row r="564" spans="1:2" x14ac:dyDescent="0.25">
      <c r="A564">
        <v>562</v>
      </c>
      <c r="B564" t="s">
        <v>4118</v>
      </c>
    </row>
    <row r="565" spans="1:2" x14ac:dyDescent="0.25">
      <c r="A565">
        <v>563</v>
      </c>
      <c r="B565" t="s">
        <v>4119</v>
      </c>
    </row>
    <row r="566" spans="1:2" x14ac:dyDescent="0.25">
      <c r="A566">
        <v>564</v>
      </c>
      <c r="B566" t="s">
        <v>4120</v>
      </c>
    </row>
    <row r="567" spans="1:2" x14ac:dyDescent="0.25">
      <c r="A567">
        <v>565</v>
      </c>
      <c r="B567" t="s">
        <v>3668</v>
      </c>
    </row>
    <row r="568" spans="1:2" x14ac:dyDescent="0.25">
      <c r="A568">
        <v>566</v>
      </c>
      <c r="B568" t="s">
        <v>3029</v>
      </c>
    </row>
    <row r="569" spans="1:2" x14ac:dyDescent="0.25">
      <c r="A569">
        <v>567</v>
      </c>
      <c r="B569" t="s">
        <v>3030</v>
      </c>
    </row>
    <row r="570" spans="1:2" x14ac:dyDescent="0.25">
      <c r="A570">
        <v>568</v>
      </c>
      <c r="B570" t="s">
        <v>4121</v>
      </c>
    </row>
    <row r="571" spans="1:2" x14ac:dyDescent="0.25">
      <c r="A571">
        <v>569</v>
      </c>
      <c r="B571" t="s">
        <v>3003</v>
      </c>
    </row>
    <row r="572" spans="1:2" x14ac:dyDescent="0.25">
      <c r="A572">
        <v>570</v>
      </c>
      <c r="B572" t="s">
        <v>3032</v>
      </c>
    </row>
    <row r="573" spans="1:2" x14ac:dyDescent="0.25">
      <c r="A573">
        <v>571</v>
      </c>
      <c r="B573" t="s">
        <v>3707</v>
      </c>
    </row>
    <row r="574" spans="1:2" x14ac:dyDescent="0.25">
      <c r="A574">
        <v>572</v>
      </c>
      <c r="B574" t="s">
        <v>4122</v>
      </c>
    </row>
    <row r="575" spans="1:2" x14ac:dyDescent="0.25">
      <c r="A575">
        <v>573</v>
      </c>
      <c r="B575" t="s">
        <v>3041</v>
      </c>
    </row>
    <row r="576" spans="1:2" x14ac:dyDescent="0.25">
      <c r="A576">
        <v>574</v>
      </c>
      <c r="B576" t="s">
        <v>3040</v>
      </c>
    </row>
    <row r="577" spans="1:2" x14ac:dyDescent="0.25">
      <c r="A577">
        <v>575</v>
      </c>
      <c r="B577" t="s">
        <v>4123</v>
      </c>
    </row>
    <row r="578" spans="1:2" x14ac:dyDescent="0.25">
      <c r="A578">
        <v>576</v>
      </c>
      <c r="B578" t="s">
        <v>3038</v>
      </c>
    </row>
    <row r="579" spans="1:2" x14ac:dyDescent="0.25">
      <c r="A579">
        <v>577</v>
      </c>
      <c r="B579" t="s">
        <v>4124</v>
      </c>
    </row>
    <row r="580" spans="1:2" x14ac:dyDescent="0.25">
      <c r="A580">
        <v>578</v>
      </c>
      <c r="B580" t="s">
        <v>4125</v>
      </c>
    </row>
    <row r="581" spans="1:2" x14ac:dyDescent="0.25">
      <c r="A581">
        <v>579</v>
      </c>
      <c r="B581" t="s">
        <v>4126</v>
      </c>
    </row>
    <row r="582" spans="1:2" x14ac:dyDescent="0.25">
      <c r="A582">
        <v>580</v>
      </c>
      <c r="B582" t="s">
        <v>4127</v>
      </c>
    </row>
    <row r="583" spans="1:2" x14ac:dyDescent="0.25">
      <c r="A583">
        <v>581</v>
      </c>
      <c r="B583" t="s">
        <v>3679</v>
      </c>
    </row>
    <row r="584" spans="1:2" x14ac:dyDescent="0.25">
      <c r="A584">
        <v>582</v>
      </c>
      <c r="B584" t="s">
        <v>3680</v>
      </c>
    </row>
    <row r="585" spans="1:2" x14ac:dyDescent="0.25">
      <c r="A585">
        <v>583</v>
      </c>
      <c r="B585" t="s">
        <v>4128</v>
      </c>
    </row>
    <row r="586" spans="1:2" x14ac:dyDescent="0.25">
      <c r="A586">
        <v>584</v>
      </c>
      <c r="B586" t="s">
        <v>3682</v>
      </c>
    </row>
    <row r="587" spans="1:2" x14ac:dyDescent="0.25">
      <c r="A587">
        <v>585</v>
      </c>
      <c r="B587" t="s">
        <v>3042</v>
      </c>
    </row>
    <row r="588" spans="1:2" x14ac:dyDescent="0.25">
      <c r="A588">
        <v>586</v>
      </c>
      <c r="B588" t="s">
        <v>3043</v>
      </c>
    </row>
    <row r="589" spans="1:2" x14ac:dyDescent="0.25">
      <c r="A589">
        <v>587</v>
      </c>
      <c r="B589" t="s">
        <v>3045</v>
      </c>
    </row>
    <row r="590" spans="1:2" x14ac:dyDescent="0.25">
      <c r="A590">
        <v>588</v>
      </c>
      <c r="B590" t="s">
        <v>3046</v>
      </c>
    </row>
    <row r="591" spans="1:2" x14ac:dyDescent="0.25">
      <c r="A591">
        <v>589</v>
      </c>
      <c r="B591" t="s">
        <v>4129</v>
      </c>
    </row>
    <row r="592" spans="1:2" x14ac:dyDescent="0.25">
      <c r="A592">
        <v>590</v>
      </c>
      <c r="B592" t="s">
        <v>3071</v>
      </c>
    </row>
    <row r="593" spans="1:2" x14ac:dyDescent="0.25">
      <c r="A593">
        <v>591</v>
      </c>
      <c r="B593" t="s">
        <v>3072</v>
      </c>
    </row>
    <row r="594" spans="1:2" x14ac:dyDescent="0.25">
      <c r="A594">
        <v>592</v>
      </c>
      <c r="B594" t="s">
        <v>4130</v>
      </c>
    </row>
    <row r="595" spans="1:2" x14ac:dyDescent="0.25">
      <c r="A595">
        <v>593</v>
      </c>
      <c r="B595" t="s">
        <v>4131</v>
      </c>
    </row>
    <row r="596" spans="1:2" x14ac:dyDescent="0.25">
      <c r="A596">
        <v>594</v>
      </c>
      <c r="B596" t="s">
        <v>4132</v>
      </c>
    </row>
    <row r="597" spans="1:2" x14ac:dyDescent="0.25">
      <c r="A597">
        <v>595</v>
      </c>
      <c r="B597" t="s">
        <v>4133</v>
      </c>
    </row>
    <row r="598" spans="1:2" x14ac:dyDescent="0.25">
      <c r="A598">
        <v>596</v>
      </c>
      <c r="B598" t="s">
        <v>4134</v>
      </c>
    </row>
    <row r="599" spans="1:2" x14ac:dyDescent="0.25">
      <c r="A599">
        <v>597</v>
      </c>
      <c r="B599" t="s">
        <v>4135</v>
      </c>
    </row>
    <row r="600" spans="1:2" x14ac:dyDescent="0.25">
      <c r="A600">
        <v>598</v>
      </c>
      <c r="B600" t="s">
        <v>4136</v>
      </c>
    </row>
    <row r="601" spans="1:2" x14ac:dyDescent="0.25">
      <c r="A601">
        <v>599</v>
      </c>
      <c r="B601" t="s">
        <v>3076</v>
      </c>
    </row>
    <row r="602" spans="1:2" x14ac:dyDescent="0.25">
      <c r="A602">
        <v>600</v>
      </c>
      <c r="B602" t="s">
        <v>3074</v>
      </c>
    </row>
    <row r="603" spans="1:2" x14ac:dyDescent="0.25">
      <c r="A603">
        <v>601</v>
      </c>
      <c r="B603" t="s">
        <v>3075</v>
      </c>
    </row>
    <row r="604" spans="1:2" x14ac:dyDescent="0.25">
      <c r="A604">
        <v>602</v>
      </c>
      <c r="B604" t="s">
        <v>4137</v>
      </c>
    </row>
    <row r="605" spans="1:2" x14ac:dyDescent="0.25">
      <c r="A605">
        <v>603</v>
      </c>
      <c r="B605" t="s">
        <v>3078</v>
      </c>
    </row>
    <row r="606" spans="1:2" x14ac:dyDescent="0.25">
      <c r="A606">
        <v>604</v>
      </c>
      <c r="B606" t="s">
        <v>3079</v>
      </c>
    </row>
    <row r="607" spans="1:2" x14ac:dyDescent="0.25">
      <c r="A607">
        <v>605</v>
      </c>
      <c r="B607" t="s">
        <v>4138</v>
      </c>
    </row>
    <row r="608" spans="1:2" x14ac:dyDescent="0.25">
      <c r="A608">
        <v>606</v>
      </c>
      <c r="B608" t="s">
        <v>4139</v>
      </c>
    </row>
    <row r="609" spans="1:2" x14ac:dyDescent="0.25">
      <c r="A609">
        <v>607</v>
      </c>
      <c r="B609" t="s">
        <v>4140</v>
      </c>
    </row>
    <row r="610" spans="1:2" x14ac:dyDescent="0.25">
      <c r="A610">
        <v>608</v>
      </c>
      <c r="B610" t="s">
        <v>4141</v>
      </c>
    </row>
    <row r="611" spans="1:2" x14ac:dyDescent="0.25">
      <c r="A611">
        <v>609</v>
      </c>
      <c r="B611" t="s">
        <v>4142</v>
      </c>
    </row>
    <row r="612" spans="1:2" x14ac:dyDescent="0.25">
      <c r="A612">
        <v>610</v>
      </c>
      <c r="B612" t="s">
        <v>4143</v>
      </c>
    </row>
    <row r="613" spans="1:2" x14ac:dyDescent="0.25">
      <c r="A613">
        <v>611</v>
      </c>
      <c r="B613" t="s">
        <v>4144</v>
      </c>
    </row>
    <row r="614" spans="1:2" x14ac:dyDescent="0.25">
      <c r="A614">
        <v>612</v>
      </c>
      <c r="B614" t="s">
        <v>4145</v>
      </c>
    </row>
    <row r="615" spans="1:2" x14ac:dyDescent="0.25">
      <c r="A615">
        <v>613</v>
      </c>
      <c r="B615" t="s">
        <v>3085</v>
      </c>
    </row>
    <row r="616" spans="1:2" x14ac:dyDescent="0.25">
      <c r="A616">
        <v>614</v>
      </c>
      <c r="B616" t="s">
        <v>3084</v>
      </c>
    </row>
    <row r="617" spans="1:2" x14ac:dyDescent="0.25">
      <c r="A617">
        <v>615</v>
      </c>
      <c r="B617" t="s">
        <v>3702</v>
      </c>
    </row>
    <row r="618" spans="1:2" x14ac:dyDescent="0.25">
      <c r="A618">
        <v>616</v>
      </c>
      <c r="B618" t="s">
        <v>3703</v>
      </c>
    </row>
    <row r="619" spans="1:2" x14ac:dyDescent="0.25">
      <c r="A619">
        <v>617</v>
      </c>
      <c r="B619" t="s">
        <v>3073</v>
      </c>
    </row>
    <row r="620" spans="1:2" x14ac:dyDescent="0.25">
      <c r="A620">
        <v>618</v>
      </c>
      <c r="B620" t="s">
        <v>3086</v>
      </c>
    </row>
    <row r="621" spans="1:2" x14ac:dyDescent="0.25">
      <c r="A621">
        <v>619</v>
      </c>
      <c r="B621" t="s">
        <v>3087</v>
      </c>
    </row>
    <row r="622" spans="1:2" x14ac:dyDescent="0.25">
      <c r="A622">
        <v>620</v>
      </c>
      <c r="B622" t="s">
        <v>4302</v>
      </c>
    </row>
    <row r="623" spans="1:2" x14ac:dyDescent="0.25">
      <c r="A623">
        <v>621</v>
      </c>
      <c r="B623" t="s">
        <v>4303</v>
      </c>
    </row>
    <row r="624" spans="1:2" x14ac:dyDescent="0.25">
      <c r="A624">
        <v>622</v>
      </c>
    </row>
    <row r="625" spans="1:2" x14ac:dyDescent="0.25">
      <c r="A625">
        <v>623</v>
      </c>
      <c r="B625" t="s">
        <v>4325</v>
      </c>
    </row>
    <row r="626" spans="1:2" x14ac:dyDescent="0.25">
      <c r="A626">
        <v>624</v>
      </c>
      <c r="B626" t="s">
        <v>4326</v>
      </c>
    </row>
    <row r="627" spans="1:2" x14ac:dyDescent="0.25">
      <c r="A627">
        <v>625</v>
      </c>
      <c r="B627" t="s">
        <v>4304</v>
      </c>
    </row>
    <row r="628" spans="1:2" x14ac:dyDescent="0.25">
      <c r="A628">
        <v>626</v>
      </c>
      <c r="B628" t="s">
        <v>4324</v>
      </c>
    </row>
    <row r="629" spans="1:2" x14ac:dyDescent="0.25">
      <c r="A629">
        <v>627</v>
      </c>
      <c r="B629" t="s">
        <v>4323</v>
      </c>
    </row>
    <row r="630" spans="1:2" x14ac:dyDescent="0.25">
      <c r="A630">
        <v>628</v>
      </c>
    </row>
    <row r="631" spans="1:2" x14ac:dyDescent="0.25">
      <c r="A631">
        <v>629</v>
      </c>
      <c r="B631" t="s">
        <v>4327</v>
      </c>
    </row>
    <row r="632" spans="1:2" x14ac:dyDescent="0.25">
      <c r="A632">
        <v>630</v>
      </c>
      <c r="B632" t="s">
        <v>4328</v>
      </c>
    </row>
    <row r="633" spans="1:2" x14ac:dyDescent="0.25">
      <c r="A633">
        <v>631</v>
      </c>
    </row>
    <row r="634" spans="1:2" x14ac:dyDescent="0.25">
      <c r="A634">
        <v>632</v>
      </c>
    </row>
    <row r="635" spans="1:2" x14ac:dyDescent="0.25">
      <c r="A635">
        <v>633</v>
      </c>
    </row>
    <row r="636" spans="1:2" x14ac:dyDescent="0.25">
      <c r="A636">
        <v>634</v>
      </c>
    </row>
    <row r="637" spans="1:2" x14ac:dyDescent="0.25">
      <c r="A637">
        <v>635</v>
      </c>
    </row>
    <row r="638" spans="1:2" x14ac:dyDescent="0.25">
      <c r="A638">
        <v>636</v>
      </c>
    </row>
    <row r="639" spans="1:2" x14ac:dyDescent="0.25">
      <c r="A639">
        <v>637</v>
      </c>
    </row>
    <row r="640" spans="1:2" x14ac:dyDescent="0.25">
      <c r="A640">
        <v>638</v>
      </c>
    </row>
    <row r="641" spans="1:2" x14ac:dyDescent="0.25">
      <c r="A641">
        <v>639</v>
      </c>
    </row>
    <row r="642" spans="1:2" x14ac:dyDescent="0.25">
      <c r="A642">
        <v>640</v>
      </c>
      <c r="B642" t="s">
        <v>4329</v>
      </c>
    </row>
  </sheetData>
  <autoFilter ref="A2:B621" xr:uid="{00000000-0009-0000-0000-00000F000000}"/>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9">
    <tabColor rgb="FFFFC000"/>
  </sheetPr>
  <dimension ref="A1:J123"/>
  <sheetViews>
    <sheetView workbookViewId="0">
      <pane ySplit="2" topLeftCell="A3" activePane="bottomLeft" state="frozen"/>
      <selection pane="bottomLeft" sqref="A1:I1"/>
    </sheetView>
  </sheetViews>
  <sheetFormatPr defaultColWidth="11.5703125" defaultRowHeight="15" x14ac:dyDescent="0.25"/>
  <cols>
    <col min="1" max="1" width="16.5703125" customWidth="1"/>
    <col min="2" max="2" width="10.5703125" customWidth="1"/>
    <col min="4" max="4" width="11.5703125" style="7"/>
    <col min="5" max="5" width="20.28515625" customWidth="1"/>
    <col min="6" max="6" width="25.28515625" customWidth="1"/>
    <col min="10" max="10" width="111.42578125" style="2" customWidth="1"/>
  </cols>
  <sheetData>
    <row r="1" spans="1:10" x14ac:dyDescent="0.25">
      <c r="A1" s="110" t="s">
        <v>4146</v>
      </c>
      <c r="B1" s="110"/>
      <c r="C1" s="110"/>
      <c r="D1" s="110"/>
      <c r="E1" s="110"/>
      <c r="F1" s="110"/>
      <c r="G1" s="110"/>
      <c r="H1" s="110"/>
      <c r="I1" s="110"/>
    </row>
    <row r="2" spans="1:10" ht="75" x14ac:dyDescent="0.25">
      <c r="A2" s="6" t="s">
        <v>4147</v>
      </c>
      <c r="B2" s="6" t="s">
        <v>4148</v>
      </c>
      <c r="C2" s="6" t="s">
        <v>4149</v>
      </c>
      <c r="D2" s="60" t="s">
        <v>4150</v>
      </c>
      <c r="E2" s="6" t="s">
        <v>4151</v>
      </c>
      <c r="F2" s="6" t="s">
        <v>4152</v>
      </c>
      <c r="G2" s="6" t="s">
        <v>4153</v>
      </c>
      <c r="H2" s="6" t="s">
        <v>4154</v>
      </c>
      <c r="I2" s="6" t="s">
        <v>4155</v>
      </c>
      <c r="J2" s="44" t="s">
        <v>4156</v>
      </c>
    </row>
    <row r="3" spans="1:10" x14ac:dyDescent="0.25">
      <c r="A3">
        <v>124</v>
      </c>
      <c r="B3">
        <v>124</v>
      </c>
      <c r="C3" t="str">
        <f t="shared" ref="C3:C23" si="0">IF(A3=B3,"X","")</f>
        <v>X</v>
      </c>
      <c r="D3" s="61" t="e">
        <f>VLOOKUP(E3,'ESO zones'!$D$5:$H$10005,5,FALSE)</f>
        <v>#N/A</v>
      </c>
      <c r="E3" s="6" t="s">
        <v>4157</v>
      </c>
      <c r="F3" t="s">
        <v>4158</v>
      </c>
      <c r="J3" s="2" t="str">
        <f t="shared" ref="J3:J34" si="1">IF(C3="X","","{ parentCategory="&amp;A3&amp;", category="&amp;B3&amp;IF(AND(NOT(ISNA(D3)),D3&lt;&gt;"",NOT(ISERROR(D3))),", zoneIds={"&amp;D3&amp;"}","")&amp;IF(G3&lt;&gt;"",", isDungeon=true","")&amp;IF(H3&lt;&gt;"",", isTrial=true","")&amp;IF(I3&lt;&gt;"",", isArena=true","")&amp;"},")&amp;"--"&amp;E3</f>
        <v>--Special Category at the top</v>
      </c>
    </row>
    <row r="4" spans="1:10" x14ac:dyDescent="0.25">
      <c r="A4">
        <v>124</v>
      </c>
      <c r="B4">
        <v>133</v>
      </c>
      <c r="C4" t="str">
        <f t="shared" si="0"/>
        <v/>
      </c>
      <c r="D4" s="7" t="s">
        <v>4159</v>
      </c>
      <c r="E4" t="s">
        <v>311</v>
      </c>
      <c r="F4" t="s">
        <v>312</v>
      </c>
      <c r="G4" t="str">
        <f t="shared" ref="G4:G24" si="2">IF(OR(A4=5,A4=6,),"X","")</f>
        <v/>
      </c>
      <c r="H4" t="str">
        <f t="shared" ref="H4:H24" si="3">IF(OR(A4=7,),"X","")</f>
        <v/>
      </c>
      <c r="I4" t="str">
        <f t="shared" ref="I4:I24" si="4">IF(OR(A4=8,),"X","")</f>
        <v/>
      </c>
      <c r="J4" s="2" t="str">
        <f t="shared" si="1"/>
        <v>{ parentCategory=124, category=133, zoneIds={1559}},--Night Market</v>
      </c>
    </row>
    <row r="5" spans="1:10" x14ac:dyDescent="0.25">
      <c r="A5">
        <v>124</v>
      </c>
      <c r="B5">
        <v>130</v>
      </c>
      <c r="C5" t="str">
        <f t="shared" si="0"/>
        <v/>
      </c>
      <c r="D5" s="7" t="s">
        <v>4160</v>
      </c>
      <c r="E5" t="s">
        <v>2036</v>
      </c>
      <c r="F5" t="s">
        <v>3683</v>
      </c>
      <c r="G5" t="str">
        <f t="shared" si="2"/>
        <v/>
      </c>
      <c r="H5" t="str">
        <f t="shared" si="3"/>
        <v/>
      </c>
      <c r="I5" t="str">
        <f t="shared" si="4"/>
        <v/>
      </c>
      <c r="J5" s="2" t="str">
        <f t="shared" si="1"/>
        <v>{ parentCategory=124, category=130, zoneIds={1502}},--Solstice</v>
      </c>
    </row>
    <row r="6" spans="1:10" x14ac:dyDescent="0.25">
      <c r="A6">
        <v>1</v>
      </c>
      <c r="B6">
        <v>1</v>
      </c>
      <c r="C6" t="str">
        <f t="shared" si="0"/>
        <v>X</v>
      </c>
      <c r="D6" s="61"/>
      <c r="E6" s="6" t="s">
        <v>4161</v>
      </c>
      <c r="F6" t="s">
        <v>4161</v>
      </c>
      <c r="G6" t="str">
        <f t="shared" si="2"/>
        <v/>
      </c>
      <c r="H6" t="str">
        <f t="shared" si="3"/>
        <v/>
      </c>
      <c r="I6" t="str">
        <f t="shared" si="4"/>
        <v/>
      </c>
      <c r="J6" s="2" t="str">
        <f t="shared" si="1"/>
        <v>--Aldmeri-Dominion</v>
      </c>
    </row>
    <row r="7" spans="1:10" x14ac:dyDescent="0.25">
      <c r="A7">
        <v>1</v>
      </c>
      <c r="B7">
        <v>11</v>
      </c>
      <c r="C7" t="str">
        <f t="shared" si="0"/>
        <v/>
      </c>
      <c r="D7" s="7">
        <f>VLOOKUP(E7,'ESO zones'!$D$5:$H$10005,5,FALSE)</f>
        <v>381</v>
      </c>
      <c r="E7" t="s">
        <v>439</v>
      </c>
      <c r="F7" t="s">
        <v>439</v>
      </c>
      <c r="G7" t="str">
        <f t="shared" si="2"/>
        <v/>
      </c>
      <c r="H7" t="str">
        <f t="shared" si="3"/>
        <v/>
      </c>
      <c r="I7" t="str">
        <f t="shared" si="4"/>
        <v/>
      </c>
      <c r="J7" s="2" t="str">
        <f t="shared" si="1"/>
        <v>{ parentCategory=1, category=11, zoneIds={381}},--Auridon</v>
      </c>
    </row>
    <row r="8" spans="1:10" x14ac:dyDescent="0.25">
      <c r="A8">
        <v>1</v>
      </c>
      <c r="B8">
        <v>12</v>
      </c>
      <c r="C8" t="str">
        <f t="shared" si="0"/>
        <v/>
      </c>
      <c r="D8" s="7">
        <f>VLOOKUP(E8,'ESO zones'!$D$5:$H$10005,5,FALSE)</f>
        <v>383</v>
      </c>
      <c r="E8" t="s">
        <v>451</v>
      </c>
      <c r="F8" t="s">
        <v>3129</v>
      </c>
      <c r="G8" t="str">
        <f t="shared" si="2"/>
        <v/>
      </c>
      <c r="H8" t="str">
        <f t="shared" si="3"/>
        <v/>
      </c>
      <c r="I8" t="str">
        <f t="shared" si="4"/>
        <v/>
      </c>
      <c r="J8" s="2" t="str">
        <f t="shared" si="1"/>
        <v>{ parentCategory=1, category=12, zoneIds={383}},--Grahtwood</v>
      </c>
    </row>
    <row r="9" spans="1:10" x14ac:dyDescent="0.25">
      <c r="A9">
        <v>1</v>
      </c>
      <c r="B9">
        <v>13</v>
      </c>
      <c r="C9" t="str">
        <f t="shared" si="0"/>
        <v/>
      </c>
      <c r="D9" s="7">
        <f>VLOOKUP(E9,'ESO zones'!$D$5:$H$10005,5,FALSE)</f>
        <v>108</v>
      </c>
      <c r="E9" t="s">
        <v>511</v>
      </c>
      <c r="F9" t="s">
        <v>3258</v>
      </c>
      <c r="G9" t="str">
        <f t="shared" si="2"/>
        <v/>
      </c>
      <c r="H9" t="str">
        <f t="shared" si="3"/>
        <v/>
      </c>
      <c r="I9" t="str">
        <f t="shared" si="4"/>
        <v/>
      </c>
      <c r="J9" s="2" t="str">
        <f t="shared" si="1"/>
        <v>{ parentCategory=1, category=13, zoneIds={108}},--Greenshade</v>
      </c>
    </row>
    <row r="10" spans="1:10" x14ac:dyDescent="0.25">
      <c r="A10">
        <v>1</v>
      </c>
      <c r="B10">
        <v>14</v>
      </c>
      <c r="C10" t="str">
        <f t="shared" si="0"/>
        <v/>
      </c>
      <c r="D10" s="7">
        <f>VLOOKUP(E10,'ESO zones'!$D$5:$H$10005,5,FALSE)</f>
        <v>58</v>
      </c>
      <c r="E10" t="s">
        <v>429</v>
      </c>
      <c r="F10" t="s">
        <v>429</v>
      </c>
      <c r="G10" t="str">
        <f t="shared" si="2"/>
        <v/>
      </c>
      <c r="H10" t="str">
        <f t="shared" si="3"/>
        <v/>
      </c>
      <c r="I10" t="str">
        <f t="shared" si="4"/>
        <v/>
      </c>
      <c r="J10" s="2" t="str">
        <f t="shared" si="1"/>
        <v>{ parentCategory=1, category=14, zoneIds={58}},--Malabal Tor</v>
      </c>
    </row>
    <row r="11" spans="1:10" x14ac:dyDescent="0.25">
      <c r="A11">
        <v>1</v>
      </c>
      <c r="B11">
        <v>15</v>
      </c>
      <c r="C11" t="str">
        <f t="shared" si="0"/>
        <v/>
      </c>
      <c r="D11" s="7">
        <f>VLOOKUP(E11,'ESO zones'!$D$5:$H$10005,5,FALSE)</f>
        <v>382</v>
      </c>
      <c r="E11" t="s">
        <v>568</v>
      </c>
      <c r="F11" t="s">
        <v>3260</v>
      </c>
      <c r="G11" t="str">
        <f t="shared" si="2"/>
        <v/>
      </c>
      <c r="H11" t="str">
        <f t="shared" si="3"/>
        <v/>
      </c>
      <c r="I11" t="str">
        <f t="shared" si="4"/>
        <v/>
      </c>
      <c r="J11" s="2" t="str">
        <f t="shared" si="1"/>
        <v>{ parentCategory=1, category=15, zoneIds={382}},--Reaper's March</v>
      </c>
    </row>
    <row r="12" spans="1:10" x14ac:dyDescent="0.25">
      <c r="A12">
        <v>2</v>
      </c>
      <c r="B12">
        <v>2</v>
      </c>
      <c r="C12" t="str">
        <f t="shared" si="0"/>
        <v>X</v>
      </c>
      <c r="D12" s="61" t="e">
        <f>VLOOKUP(E12,'ESO zones'!$D$5:$H$10005,5,FALSE)</f>
        <v>#N/A</v>
      </c>
      <c r="E12" s="6" t="s">
        <v>4162</v>
      </c>
      <c r="F12" t="s">
        <v>4163</v>
      </c>
      <c r="G12" t="str">
        <f t="shared" si="2"/>
        <v/>
      </c>
      <c r="H12" t="str">
        <f t="shared" si="3"/>
        <v/>
      </c>
      <c r="I12" t="str">
        <f t="shared" si="4"/>
        <v/>
      </c>
      <c r="J12" s="2" t="str">
        <f t="shared" si="1"/>
        <v>--Daggerfall-Convenion</v>
      </c>
    </row>
    <row r="13" spans="1:10" x14ac:dyDescent="0.25">
      <c r="A13">
        <v>2</v>
      </c>
      <c r="B13">
        <v>16</v>
      </c>
      <c r="C13" t="str">
        <f t="shared" si="0"/>
        <v/>
      </c>
      <c r="D13" s="7">
        <f>VLOOKUP(E13,'ESO zones'!$D$5:$H$10005,5,FALSE)</f>
        <v>104</v>
      </c>
      <c r="E13" t="s">
        <v>442</v>
      </c>
      <c r="F13" t="s">
        <v>3153</v>
      </c>
      <c r="G13" t="str">
        <f t="shared" si="2"/>
        <v/>
      </c>
      <c r="H13" t="str">
        <f t="shared" si="3"/>
        <v/>
      </c>
      <c r="I13" t="str">
        <f t="shared" si="4"/>
        <v/>
      </c>
      <c r="J13" s="2" t="str">
        <f t="shared" si="1"/>
        <v>{ parentCategory=2, category=16, zoneIds={104}},--Alik'r Desert</v>
      </c>
    </row>
    <row r="14" spans="1:10" x14ac:dyDescent="0.25">
      <c r="A14">
        <v>2</v>
      </c>
      <c r="B14">
        <v>17</v>
      </c>
      <c r="C14" t="str">
        <f t="shared" si="0"/>
        <v/>
      </c>
      <c r="D14" s="7">
        <f>VLOOKUP(E14,'ESO zones'!$D$5:$H$10005,5,FALSE)</f>
        <v>92</v>
      </c>
      <c r="E14" t="s">
        <v>524</v>
      </c>
      <c r="F14" t="s">
        <v>524</v>
      </c>
      <c r="G14" t="str">
        <f t="shared" si="2"/>
        <v/>
      </c>
      <c r="H14" t="str">
        <f t="shared" si="3"/>
        <v/>
      </c>
      <c r="I14" t="str">
        <f t="shared" si="4"/>
        <v/>
      </c>
      <c r="J14" s="2" t="str">
        <f t="shared" si="1"/>
        <v>{ parentCategory=2, category=17, zoneIds={92}},--Bangkorai</v>
      </c>
    </row>
    <row r="15" spans="1:10" x14ac:dyDescent="0.25">
      <c r="A15">
        <v>2</v>
      </c>
      <c r="B15">
        <v>18</v>
      </c>
      <c r="C15" t="str">
        <f t="shared" si="0"/>
        <v/>
      </c>
      <c r="D15" s="7">
        <f>VLOOKUP(E15,'ESO zones'!$D$5:$H$10005,5,FALSE)</f>
        <v>3</v>
      </c>
      <c r="E15" t="s">
        <v>496</v>
      </c>
      <c r="F15" t="s">
        <v>496</v>
      </c>
      <c r="G15" t="str">
        <f t="shared" si="2"/>
        <v/>
      </c>
      <c r="H15" t="str">
        <f t="shared" si="3"/>
        <v/>
      </c>
      <c r="I15" t="str">
        <f t="shared" si="4"/>
        <v/>
      </c>
      <c r="J15" s="2" t="str">
        <f t="shared" si="1"/>
        <v>{ parentCategory=2, category=18, zoneIds={3}},--Glenumbra</v>
      </c>
    </row>
    <row r="16" spans="1:10" x14ac:dyDescent="0.25">
      <c r="A16">
        <v>2</v>
      </c>
      <c r="B16">
        <v>19</v>
      </c>
      <c r="C16" t="str">
        <f t="shared" si="0"/>
        <v/>
      </c>
      <c r="D16" s="7">
        <f>VLOOKUP(E16,'ESO zones'!$D$5:$H$10005,5,FALSE)</f>
        <v>20</v>
      </c>
      <c r="E16" t="s">
        <v>501</v>
      </c>
      <c r="F16" t="s">
        <v>3115</v>
      </c>
      <c r="G16" t="str">
        <f t="shared" si="2"/>
        <v/>
      </c>
      <c r="H16" t="str">
        <f t="shared" si="3"/>
        <v/>
      </c>
      <c r="I16" t="str">
        <f t="shared" si="4"/>
        <v/>
      </c>
      <c r="J16" s="2" t="str">
        <f t="shared" si="1"/>
        <v>{ parentCategory=2, category=19, zoneIds={20}},--Rivenspire</v>
      </c>
    </row>
    <row r="17" spans="1:10" x14ac:dyDescent="0.25">
      <c r="A17">
        <v>2</v>
      </c>
      <c r="B17">
        <v>20</v>
      </c>
      <c r="C17" t="str">
        <f t="shared" si="0"/>
        <v/>
      </c>
      <c r="D17" s="7">
        <f>VLOOKUP(E17,'ESO zones'!$D$5:$H$10005,5,FALSE)</f>
        <v>19</v>
      </c>
      <c r="E17" t="s">
        <v>413</v>
      </c>
      <c r="F17" t="s">
        <v>3121</v>
      </c>
      <c r="G17" t="str">
        <f t="shared" si="2"/>
        <v/>
      </c>
      <c r="H17" t="str">
        <f t="shared" si="3"/>
        <v/>
      </c>
      <c r="I17" t="str">
        <f t="shared" si="4"/>
        <v/>
      </c>
      <c r="J17" s="2" t="str">
        <f t="shared" si="1"/>
        <v>{ parentCategory=2, category=20, zoneIds={19}},--Stormhaven</v>
      </c>
    </row>
    <row r="18" spans="1:10" x14ac:dyDescent="0.25">
      <c r="A18">
        <v>3</v>
      </c>
      <c r="B18">
        <v>3</v>
      </c>
      <c r="C18" t="str">
        <f t="shared" si="0"/>
        <v>X</v>
      </c>
      <c r="D18" s="61" t="e">
        <f>VLOOKUP(E18,'ESO zones'!$D$5:$H$10005,5,FALSE)</f>
        <v>#N/A</v>
      </c>
      <c r="E18" s="6" t="s">
        <v>4164</v>
      </c>
      <c r="F18" t="s">
        <v>4165</v>
      </c>
      <c r="G18" t="str">
        <f t="shared" si="2"/>
        <v/>
      </c>
      <c r="H18" t="str">
        <f t="shared" si="3"/>
        <v/>
      </c>
      <c r="I18" t="str">
        <f t="shared" si="4"/>
        <v/>
      </c>
      <c r="J18" s="2" t="str">
        <f t="shared" si="1"/>
        <v>--Ebonheart Pact</v>
      </c>
    </row>
    <row r="19" spans="1:10" x14ac:dyDescent="0.25">
      <c r="A19">
        <v>3</v>
      </c>
      <c r="B19">
        <v>21</v>
      </c>
      <c r="C19" t="str">
        <f t="shared" si="0"/>
        <v/>
      </c>
      <c r="D19" s="7">
        <f>VLOOKUP(E19,'ESO zones'!$D$5:$H$10005,5,FALSE)</f>
        <v>57</v>
      </c>
      <c r="E19" t="s">
        <v>436</v>
      </c>
      <c r="F19" t="s">
        <v>436</v>
      </c>
      <c r="G19" t="str">
        <f t="shared" si="2"/>
        <v/>
      </c>
      <c r="H19" t="str">
        <f t="shared" si="3"/>
        <v/>
      </c>
      <c r="I19" t="str">
        <f t="shared" si="4"/>
        <v/>
      </c>
      <c r="J19" s="2" t="str">
        <f t="shared" si="1"/>
        <v>{ parentCategory=3, category=21, zoneIds={57}},--Deshaan</v>
      </c>
    </row>
    <row r="20" spans="1:10" x14ac:dyDescent="0.25">
      <c r="A20">
        <v>3</v>
      </c>
      <c r="B20">
        <v>22</v>
      </c>
      <c r="C20" t="str">
        <f t="shared" si="0"/>
        <v/>
      </c>
      <c r="D20" s="7">
        <f>VLOOKUP(E20,'ESO zones'!$D$5:$H$10005,5,FALSE)</f>
        <v>101</v>
      </c>
      <c r="E20" t="s">
        <v>409</v>
      </c>
      <c r="F20" t="s">
        <v>3198</v>
      </c>
      <c r="G20" t="str">
        <f t="shared" si="2"/>
        <v/>
      </c>
      <c r="H20" t="str">
        <f t="shared" si="3"/>
        <v/>
      </c>
      <c r="I20" t="str">
        <f t="shared" si="4"/>
        <v/>
      </c>
      <c r="J20" s="2" t="str">
        <f t="shared" si="1"/>
        <v>{ parentCategory=3, category=22, zoneIds={101}},--Eastmarch</v>
      </c>
    </row>
    <row r="21" spans="1:10" x14ac:dyDescent="0.25">
      <c r="A21">
        <v>3</v>
      </c>
      <c r="B21">
        <v>23</v>
      </c>
      <c r="C21" t="str">
        <f t="shared" si="0"/>
        <v/>
      </c>
      <c r="D21" s="7">
        <f>VLOOKUP(E21,'ESO zones'!$D$5:$H$10005,5,FALSE)</f>
        <v>103</v>
      </c>
      <c r="E21" t="s">
        <v>406</v>
      </c>
      <c r="F21" t="s">
        <v>3221</v>
      </c>
      <c r="G21" t="str">
        <f t="shared" si="2"/>
        <v/>
      </c>
      <c r="H21" t="str">
        <f t="shared" si="3"/>
        <v/>
      </c>
      <c r="I21" t="str">
        <f t="shared" si="4"/>
        <v/>
      </c>
      <c r="J21" s="2" t="str">
        <f t="shared" si="1"/>
        <v>{ parentCategory=3, category=23, zoneIds={103}},--The Rift</v>
      </c>
    </row>
    <row r="22" spans="1:10" x14ac:dyDescent="0.25">
      <c r="A22">
        <v>3</v>
      </c>
      <c r="B22">
        <v>24</v>
      </c>
      <c r="C22" t="str">
        <f t="shared" si="0"/>
        <v/>
      </c>
      <c r="D22" s="7">
        <f>VLOOKUP(E22,'ESO zones'!$D$5:$H$10005,5,FALSE)</f>
        <v>117</v>
      </c>
      <c r="E22" t="s">
        <v>506</v>
      </c>
      <c r="F22" t="s">
        <v>3159</v>
      </c>
      <c r="G22" t="str">
        <f t="shared" si="2"/>
        <v/>
      </c>
      <c r="H22" t="str">
        <f t="shared" si="3"/>
        <v/>
      </c>
      <c r="I22" t="str">
        <f t="shared" si="4"/>
        <v/>
      </c>
      <c r="J22" s="2" t="str">
        <f t="shared" si="1"/>
        <v>{ parentCategory=3, category=24, zoneIds={117}},--Shadowfen</v>
      </c>
    </row>
    <row r="23" spans="1:10" x14ac:dyDescent="0.25">
      <c r="A23">
        <v>3</v>
      </c>
      <c r="B23">
        <v>25</v>
      </c>
      <c r="C23" t="str">
        <f t="shared" si="0"/>
        <v/>
      </c>
      <c r="D23" s="7">
        <f>VLOOKUP(E23,'ESO zones'!$D$5:$H$10005,5,FALSE)</f>
        <v>41</v>
      </c>
      <c r="E23" t="s">
        <v>433</v>
      </c>
      <c r="F23" t="s">
        <v>3150</v>
      </c>
      <c r="G23" t="str">
        <f t="shared" si="2"/>
        <v/>
      </c>
      <c r="H23" t="str">
        <f t="shared" si="3"/>
        <v/>
      </c>
      <c r="I23" t="str">
        <f t="shared" si="4"/>
        <v/>
      </c>
      <c r="J23" s="2" t="str">
        <f t="shared" si="1"/>
        <v>{ parentCategory=3, category=25, zoneIds={41}},--Stonefalls</v>
      </c>
    </row>
    <row r="24" spans="1:10" x14ac:dyDescent="0.25">
      <c r="A24">
        <v>109</v>
      </c>
      <c r="B24">
        <v>109</v>
      </c>
      <c r="C24" t="s">
        <v>1122</v>
      </c>
      <c r="D24" s="61">
        <f>VLOOKUP(E24,'ESO zones'!$D$5:$H$10005,5,FALSE)</f>
        <v>1436</v>
      </c>
      <c r="E24" s="6" t="s">
        <v>1930</v>
      </c>
      <c r="F24" t="s">
        <v>306</v>
      </c>
      <c r="G24" t="str">
        <f t="shared" si="2"/>
        <v/>
      </c>
      <c r="H24" t="str">
        <f t="shared" si="3"/>
        <v/>
      </c>
      <c r="I24" t="str">
        <f t="shared" si="4"/>
        <v/>
      </c>
      <c r="J24" s="2" t="str">
        <f t="shared" si="1"/>
        <v>--Infinite Archive</v>
      </c>
    </row>
    <row r="25" spans="1:10" x14ac:dyDescent="0.25">
      <c r="A25">
        <v>109</v>
      </c>
      <c r="B25">
        <v>117</v>
      </c>
      <c r="D25" s="7" t="s">
        <v>4166</v>
      </c>
      <c r="E25" t="s">
        <v>4167</v>
      </c>
      <c r="F25" t="s">
        <v>4168</v>
      </c>
      <c r="J25" s="2" t="str">
        <f t="shared" si="1"/>
        <v>{ parentCategory=109, category=117, zoneIds={1436}},--All classes</v>
      </c>
    </row>
    <row r="26" spans="1:10" x14ac:dyDescent="0.25">
      <c r="A26">
        <v>4</v>
      </c>
      <c r="B26">
        <v>4</v>
      </c>
      <c r="C26" t="str">
        <f>IF(A26=B26,"X","")</f>
        <v>X</v>
      </c>
      <c r="D26" s="61" t="e">
        <f>VLOOKUP(E26,'ESO zones'!$D$5:$H$10005,5,FALSE)</f>
        <v>#N/A</v>
      </c>
      <c r="E26" s="6" t="s">
        <v>4169</v>
      </c>
      <c r="F26" t="s">
        <v>4170</v>
      </c>
      <c r="G26" t="str">
        <f t="shared" ref="G26:G57" si="5">IF(OR(A26=5,A26=6,),"X","")</f>
        <v/>
      </c>
      <c r="H26" t="str">
        <f t="shared" ref="H26:H57" si="6">IF(OR(A26=7,),"X","")</f>
        <v/>
      </c>
      <c r="I26" t="str">
        <f t="shared" ref="I26:I57" si="7">IF(OR(A26=8,),"X","")</f>
        <v/>
      </c>
      <c r="J26" s="2" t="str">
        <f t="shared" si="1"/>
        <v>--DLC-Regions</v>
      </c>
    </row>
    <row r="27" spans="1:10" x14ac:dyDescent="0.25">
      <c r="A27">
        <v>4</v>
      </c>
      <c r="B27">
        <v>29</v>
      </c>
      <c r="D27" s="7">
        <f>VLOOKUP(E27,'ESO zones'!$D$5:$H$10005,5,FALSE)</f>
        <v>684</v>
      </c>
      <c r="E27" t="s">
        <v>816</v>
      </c>
      <c r="F27" t="s">
        <v>816</v>
      </c>
      <c r="G27" t="str">
        <f t="shared" si="5"/>
        <v/>
      </c>
      <c r="H27" t="str">
        <f t="shared" si="6"/>
        <v/>
      </c>
      <c r="I27" t="str">
        <f t="shared" si="7"/>
        <v/>
      </c>
      <c r="J27" s="2" t="str">
        <f t="shared" si="1"/>
        <v>{ parentCategory=4, category=29, zoneIds={684}},--Wrothgar</v>
      </c>
    </row>
    <row r="28" spans="1:10" x14ac:dyDescent="0.25">
      <c r="A28">
        <v>4</v>
      </c>
      <c r="B28">
        <v>30</v>
      </c>
      <c r="C28" t="str">
        <f t="shared" ref="C28:C45" si="8">IF(A28=B28,"X","")</f>
        <v/>
      </c>
      <c r="D28" s="7">
        <f>VLOOKUP(E28,'ESO zones'!$D$5:$H$10005,5,FALSE)</f>
        <v>816</v>
      </c>
      <c r="E28" t="s">
        <v>841</v>
      </c>
      <c r="F28" t="s">
        <v>3364</v>
      </c>
      <c r="G28" t="str">
        <f t="shared" si="5"/>
        <v/>
      </c>
      <c r="H28" t="str">
        <f t="shared" si="6"/>
        <v/>
      </c>
      <c r="I28" t="str">
        <f t="shared" si="7"/>
        <v/>
      </c>
      <c r="J28" s="2" t="str">
        <f t="shared" si="1"/>
        <v>{ parentCategory=4, category=30, zoneIds={816}},--Hew's Bane</v>
      </c>
    </row>
    <row r="29" spans="1:10" x14ac:dyDescent="0.25">
      <c r="A29">
        <v>4</v>
      </c>
      <c r="B29">
        <v>31</v>
      </c>
      <c r="C29" t="str">
        <f t="shared" si="8"/>
        <v/>
      </c>
      <c r="D29" s="7">
        <f>VLOOKUP(E29,'ESO zones'!$D$5:$H$10005,5,FALSE)</f>
        <v>823</v>
      </c>
      <c r="E29" t="s">
        <v>873</v>
      </c>
      <c r="F29" t="s">
        <v>3358</v>
      </c>
      <c r="G29" t="str">
        <f t="shared" si="5"/>
        <v/>
      </c>
      <c r="H29" t="str">
        <f t="shared" si="6"/>
        <v/>
      </c>
      <c r="I29" t="str">
        <f t="shared" si="7"/>
        <v/>
      </c>
      <c r="J29" s="2" t="str">
        <f t="shared" si="1"/>
        <v>{ parentCategory=4, category=31, zoneIds={823}},--Gold Coast</v>
      </c>
    </row>
    <row r="30" spans="1:10" x14ac:dyDescent="0.25">
      <c r="A30">
        <v>4</v>
      </c>
      <c r="B30">
        <v>32</v>
      </c>
      <c r="C30" t="str">
        <f t="shared" si="8"/>
        <v/>
      </c>
      <c r="D30" s="7">
        <f>VLOOKUP(E30,'ESO zones'!$D$5:$H$10005,5,FALSE)</f>
        <v>849</v>
      </c>
      <c r="E30" t="s">
        <v>1037</v>
      </c>
      <c r="F30" t="s">
        <v>1037</v>
      </c>
      <c r="G30" t="str">
        <f t="shared" si="5"/>
        <v/>
      </c>
      <c r="H30" t="str">
        <f t="shared" si="6"/>
        <v/>
      </c>
      <c r="I30" t="str">
        <f t="shared" si="7"/>
        <v/>
      </c>
      <c r="J30" s="2" t="str">
        <f t="shared" si="1"/>
        <v>{ parentCategory=4, category=32, zoneIds={849}},--Vvardenfell</v>
      </c>
    </row>
    <row r="31" spans="1:10" x14ac:dyDescent="0.25">
      <c r="A31">
        <v>4</v>
      </c>
      <c r="B31">
        <v>33</v>
      </c>
      <c r="C31" t="str">
        <f t="shared" si="8"/>
        <v/>
      </c>
      <c r="D31" s="7">
        <v>980.98100000000011</v>
      </c>
      <c r="E31" t="s">
        <v>4171</v>
      </c>
      <c r="F31" t="s">
        <v>4172</v>
      </c>
      <c r="G31" t="str">
        <f t="shared" si="5"/>
        <v/>
      </c>
      <c r="H31" t="str">
        <f t="shared" si="6"/>
        <v/>
      </c>
      <c r="I31" t="str">
        <f t="shared" si="7"/>
        <v/>
      </c>
      <c r="J31" s="2" t="str">
        <f t="shared" si="1"/>
        <v>{ parentCategory=4, category=33, zoneIds={980,981}},--Clockwork City/Brass Fortress</v>
      </c>
    </row>
    <row r="32" spans="1:10" x14ac:dyDescent="0.25">
      <c r="A32">
        <v>4</v>
      </c>
      <c r="B32">
        <v>34</v>
      </c>
      <c r="C32" t="str">
        <f t="shared" si="8"/>
        <v/>
      </c>
      <c r="D32" s="7">
        <v>1011.1027</v>
      </c>
      <c r="E32" t="s">
        <v>4173</v>
      </c>
      <c r="F32" t="s">
        <v>4174</v>
      </c>
      <c r="G32" t="str">
        <f t="shared" si="5"/>
        <v/>
      </c>
      <c r="H32" t="str">
        <f t="shared" si="6"/>
        <v/>
      </c>
      <c r="I32" t="str">
        <f t="shared" si="7"/>
        <v/>
      </c>
      <c r="J32" s="2" t="str">
        <f t="shared" si="1"/>
        <v>{ parentCategory=4, category=34, zoneIds={1011,1027}},--Summerset/Artaeum</v>
      </c>
    </row>
    <row r="33" spans="1:10" x14ac:dyDescent="0.25">
      <c r="A33">
        <v>4</v>
      </c>
      <c r="B33">
        <v>35</v>
      </c>
      <c r="C33" t="str">
        <f t="shared" si="8"/>
        <v/>
      </c>
      <c r="D33" s="7">
        <f>VLOOKUP(E33,'ESO zones'!$D$5:$H$10005,5,FALSE)</f>
        <v>726</v>
      </c>
      <c r="E33" t="s">
        <v>44</v>
      </c>
      <c r="F33" t="s">
        <v>3479</v>
      </c>
      <c r="G33" t="str">
        <f t="shared" si="5"/>
        <v/>
      </c>
      <c r="H33" t="str">
        <f t="shared" si="6"/>
        <v/>
      </c>
      <c r="I33" t="str">
        <f t="shared" si="7"/>
        <v/>
      </c>
      <c r="J33" s="2" t="str">
        <f t="shared" si="1"/>
        <v>{ parentCategory=4, category=35, zoneIds={726}},--Murkmire</v>
      </c>
    </row>
    <row r="34" spans="1:10" x14ac:dyDescent="0.25">
      <c r="A34">
        <v>4</v>
      </c>
      <c r="B34">
        <v>36</v>
      </c>
      <c r="C34" t="str">
        <f t="shared" si="8"/>
        <v/>
      </c>
      <c r="D34" s="7">
        <f>VLOOKUP(E34,'ESO zones'!$D$5:$H$10005,5,FALSE)</f>
        <v>1086</v>
      </c>
      <c r="E34" t="s">
        <v>1288</v>
      </c>
      <c r="F34" t="s">
        <v>4175</v>
      </c>
      <c r="G34" t="str">
        <f t="shared" si="5"/>
        <v/>
      </c>
      <c r="H34" t="str">
        <f t="shared" si="6"/>
        <v/>
      </c>
      <c r="I34" t="str">
        <f t="shared" si="7"/>
        <v/>
      </c>
      <c r="J34" s="2" t="str">
        <f t="shared" si="1"/>
        <v>{ parentCategory=4, category=36, zoneIds={1086}},--Northern Elsweyr</v>
      </c>
    </row>
    <row r="35" spans="1:10" x14ac:dyDescent="0.25">
      <c r="A35">
        <v>4</v>
      </c>
      <c r="B35">
        <v>37</v>
      </c>
      <c r="C35" t="str">
        <f t="shared" si="8"/>
        <v/>
      </c>
      <c r="D35" s="7">
        <f>VLOOKUP(E35,'ESO zones'!$D$5:$H$10005,5,FALSE)</f>
        <v>1133</v>
      </c>
      <c r="E35" t="s">
        <v>1329</v>
      </c>
      <c r="F35" t="s">
        <v>4176</v>
      </c>
      <c r="G35" t="str">
        <f t="shared" si="5"/>
        <v/>
      </c>
      <c r="H35" t="str">
        <f t="shared" si="6"/>
        <v/>
      </c>
      <c r="I35" t="str">
        <f t="shared" si="7"/>
        <v/>
      </c>
      <c r="J35" s="2" t="str">
        <f t="shared" ref="J35:J66" si="9">IF(C35="X","","{ parentCategory="&amp;A35&amp;", category="&amp;B35&amp;IF(AND(NOT(ISNA(D35)),D35&lt;&gt;"",NOT(ISERROR(D35))),", zoneIds={"&amp;D35&amp;"}","")&amp;IF(G35&lt;&gt;"",", isDungeon=true","")&amp;IF(H35&lt;&gt;"",", isTrial=true","")&amp;IF(I35&lt;&gt;"",", isArena=true","")&amp;"},")&amp;"--"&amp;E35</f>
        <v>{ parentCategory=4, category=37, zoneIds={1133}},--Southern Elsweyr</v>
      </c>
    </row>
    <row r="36" spans="1:10" x14ac:dyDescent="0.25">
      <c r="A36">
        <v>4</v>
      </c>
      <c r="B36">
        <v>38</v>
      </c>
      <c r="C36" t="str">
        <f t="shared" si="8"/>
        <v/>
      </c>
      <c r="D36" s="7">
        <v>1160.1161</v>
      </c>
      <c r="E36" t="s">
        <v>4177</v>
      </c>
      <c r="F36" t="s">
        <v>4178</v>
      </c>
      <c r="G36" t="str">
        <f t="shared" si="5"/>
        <v/>
      </c>
      <c r="H36" t="str">
        <f t="shared" si="6"/>
        <v/>
      </c>
      <c r="I36" t="str">
        <f t="shared" si="7"/>
        <v/>
      </c>
      <c r="J36" s="2" t="str">
        <f t="shared" si="9"/>
        <v>{ parentCategory=4, category=38, zoneIds={1160,1161}},--Western Skyrim/Blackreach: Greymoor Caverns</v>
      </c>
    </row>
    <row r="37" spans="1:10" x14ac:dyDescent="0.25">
      <c r="A37">
        <v>4</v>
      </c>
      <c r="B37">
        <v>89</v>
      </c>
      <c r="C37" t="str">
        <f t="shared" si="8"/>
        <v/>
      </c>
      <c r="D37" s="7">
        <v>1207.1207999999999</v>
      </c>
      <c r="E37" t="s">
        <v>4179</v>
      </c>
      <c r="F37" t="s">
        <v>4180</v>
      </c>
      <c r="G37" t="str">
        <f t="shared" si="5"/>
        <v/>
      </c>
      <c r="H37" t="str">
        <f t="shared" si="6"/>
        <v/>
      </c>
      <c r="I37" t="str">
        <f t="shared" si="7"/>
        <v/>
      </c>
      <c r="J37" s="2" t="str">
        <f t="shared" si="9"/>
        <v>{ parentCategory=4, category=89, zoneIds={1207,1208}},--The Reach/Blackreach: Arkthzand Cavern</v>
      </c>
    </row>
    <row r="38" spans="1:10" x14ac:dyDescent="0.25">
      <c r="A38">
        <v>4</v>
      </c>
      <c r="B38">
        <v>93</v>
      </c>
      <c r="C38" t="str">
        <f t="shared" si="8"/>
        <v/>
      </c>
      <c r="D38" s="7">
        <f>VLOOKUP(E38,'ESO zones'!$D$5:$H$10005,5,FALSE)</f>
        <v>1261</v>
      </c>
      <c r="E38" t="s">
        <v>74</v>
      </c>
      <c r="F38" t="s">
        <v>3561</v>
      </c>
      <c r="G38" t="str">
        <f t="shared" si="5"/>
        <v/>
      </c>
      <c r="H38" t="str">
        <f t="shared" si="6"/>
        <v/>
      </c>
      <c r="I38" t="str">
        <f t="shared" si="7"/>
        <v/>
      </c>
      <c r="J38" s="2" t="str">
        <f t="shared" si="9"/>
        <v>{ parentCategory=4, category=93, zoneIds={1261}},--Blackwood</v>
      </c>
    </row>
    <row r="39" spans="1:10" x14ac:dyDescent="0.25">
      <c r="A39">
        <v>4</v>
      </c>
      <c r="B39">
        <v>97</v>
      </c>
      <c r="C39" t="str">
        <f t="shared" si="8"/>
        <v/>
      </c>
      <c r="D39" s="7" t="s">
        <v>4181</v>
      </c>
      <c r="E39" t="s">
        <v>4182</v>
      </c>
      <c r="F39" t="s">
        <v>4183</v>
      </c>
      <c r="G39" t="str">
        <f t="shared" si="5"/>
        <v/>
      </c>
      <c r="H39" t="str">
        <f t="shared" si="6"/>
        <v/>
      </c>
      <c r="I39" t="str">
        <f t="shared" si="7"/>
        <v/>
      </c>
      <c r="J39" s="2" t="str">
        <f t="shared" si="9"/>
        <v>{ parentCategory=4, category=97, zoneIds={1286,1282,1283}},--The Deadlands/Fargrave/The Shambles</v>
      </c>
    </row>
    <row r="40" spans="1:10" x14ac:dyDescent="0.25">
      <c r="A40">
        <v>4</v>
      </c>
      <c r="B40">
        <v>100</v>
      </c>
      <c r="C40" t="str">
        <f t="shared" si="8"/>
        <v/>
      </c>
      <c r="D40" s="7" t="s">
        <v>4184</v>
      </c>
      <c r="E40" t="s">
        <v>86</v>
      </c>
      <c r="F40" t="s">
        <v>3594</v>
      </c>
      <c r="G40" t="str">
        <f t="shared" si="5"/>
        <v/>
      </c>
      <c r="H40" t="str">
        <f t="shared" si="6"/>
        <v/>
      </c>
      <c r="I40" t="str">
        <f t="shared" si="7"/>
        <v/>
      </c>
      <c r="J40" s="2" t="str">
        <f t="shared" si="9"/>
        <v>{ parentCategory=4, category=100, zoneIds={1318}},--High Isle</v>
      </c>
    </row>
    <row r="41" spans="1:10" x14ac:dyDescent="0.25">
      <c r="A41">
        <v>4</v>
      </c>
      <c r="B41">
        <v>104</v>
      </c>
      <c r="C41" t="str">
        <f t="shared" si="8"/>
        <v/>
      </c>
      <c r="D41" s="7">
        <v>1383</v>
      </c>
      <c r="E41" t="s">
        <v>1813</v>
      </c>
      <c r="F41" t="s">
        <v>1813</v>
      </c>
      <c r="G41" t="str">
        <f t="shared" si="5"/>
        <v/>
      </c>
      <c r="H41" t="str">
        <f t="shared" si="6"/>
        <v/>
      </c>
      <c r="I41" t="str">
        <f t="shared" si="7"/>
        <v/>
      </c>
      <c r="J41" s="2" t="str">
        <f t="shared" si="9"/>
        <v>{ parentCategory=4, category=104, zoneIds={1383}},--Galen</v>
      </c>
    </row>
    <row r="42" spans="1:10" x14ac:dyDescent="0.25">
      <c r="A42">
        <v>4</v>
      </c>
      <c r="B42">
        <v>107</v>
      </c>
      <c r="C42" t="str">
        <f t="shared" si="8"/>
        <v/>
      </c>
      <c r="D42" s="7" t="s">
        <v>4185</v>
      </c>
      <c r="E42" t="s">
        <v>4186</v>
      </c>
      <c r="F42" t="s">
        <v>4187</v>
      </c>
      <c r="G42" t="str">
        <f t="shared" si="5"/>
        <v/>
      </c>
      <c r="H42" t="str">
        <f t="shared" si="6"/>
        <v/>
      </c>
      <c r="I42" t="str">
        <f t="shared" si="7"/>
        <v/>
      </c>
      <c r="J42" s="2" t="str">
        <f t="shared" si="9"/>
        <v>{ parentCategory=4, category=107, zoneIds={1413,1414}},--Apocrypha/Telvanni Peninsula</v>
      </c>
    </row>
    <row r="43" spans="1:10" x14ac:dyDescent="0.25">
      <c r="A43">
        <v>4</v>
      </c>
      <c r="B43">
        <v>130</v>
      </c>
      <c r="C43" t="str">
        <f t="shared" si="8"/>
        <v/>
      </c>
      <c r="D43" s="7" t="s">
        <v>4160</v>
      </c>
      <c r="E43" t="s">
        <v>2036</v>
      </c>
      <c r="F43" t="s">
        <v>3683</v>
      </c>
      <c r="G43" t="str">
        <f t="shared" si="5"/>
        <v/>
      </c>
      <c r="H43" t="str">
        <f t="shared" si="6"/>
        <v/>
      </c>
      <c r="I43" t="str">
        <f t="shared" si="7"/>
        <v/>
      </c>
      <c r="J43" s="2" t="str">
        <f t="shared" si="9"/>
        <v>{ parentCategory=4, category=130, zoneIds={1502}},--Solstice</v>
      </c>
    </row>
    <row r="44" spans="1:10" x14ac:dyDescent="0.25">
      <c r="A44">
        <v>5</v>
      </c>
      <c r="B44">
        <v>5</v>
      </c>
      <c r="C44" t="str">
        <f t="shared" si="8"/>
        <v>X</v>
      </c>
      <c r="D44" s="61" t="e">
        <f>VLOOKUP(E44,'ESO zones'!$D$5:$H$10005,5,FALSE)</f>
        <v>#N/A</v>
      </c>
      <c r="E44" s="6" t="s">
        <v>4188</v>
      </c>
      <c r="F44" t="s">
        <v>4189</v>
      </c>
      <c r="G44" t="str">
        <f t="shared" si="5"/>
        <v>X</v>
      </c>
      <c r="H44" t="str">
        <f t="shared" si="6"/>
        <v/>
      </c>
      <c r="I44" t="str">
        <f t="shared" si="7"/>
        <v/>
      </c>
      <c r="J44" s="2" t="str">
        <f t="shared" si="9"/>
        <v>--Dungeons</v>
      </c>
    </row>
    <row r="45" spans="1:10" x14ac:dyDescent="0.25">
      <c r="A45">
        <v>5</v>
      </c>
      <c r="B45">
        <v>39</v>
      </c>
      <c r="C45" t="str">
        <f t="shared" si="8"/>
        <v/>
      </c>
      <c r="D45" s="7">
        <f>VLOOKUP(E45,'ESO zones'!$D$5:$H$10005,5,FALSE)</f>
        <v>148</v>
      </c>
      <c r="E45" t="s">
        <v>697</v>
      </c>
      <c r="F45" t="s">
        <v>697</v>
      </c>
      <c r="G45" t="str">
        <f t="shared" si="5"/>
        <v>X</v>
      </c>
      <c r="H45" t="str">
        <f t="shared" si="6"/>
        <v/>
      </c>
      <c r="I45" t="str">
        <f t="shared" si="7"/>
        <v/>
      </c>
      <c r="J45" s="2" t="str">
        <f t="shared" si="9"/>
        <v>{ parentCategory=5, category=39, zoneIds={148}, isDungeon=true},--Arx Corinium</v>
      </c>
    </row>
    <row r="46" spans="1:10" x14ac:dyDescent="0.25">
      <c r="A46">
        <v>5</v>
      </c>
      <c r="B46">
        <v>40</v>
      </c>
      <c r="D46" s="7">
        <v>380.935</v>
      </c>
      <c r="E46" t="s">
        <v>611</v>
      </c>
      <c r="F46" t="s">
        <v>4190</v>
      </c>
      <c r="G46" t="str">
        <f t="shared" si="5"/>
        <v>X</v>
      </c>
      <c r="H46" t="str">
        <f t="shared" si="6"/>
        <v/>
      </c>
      <c r="I46" t="str">
        <f t="shared" si="7"/>
        <v/>
      </c>
      <c r="J46" s="2" t="str">
        <f t="shared" si="9"/>
        <v>{ parentCategory=5, category=40, zoneIds={380,935}, isDungeon=true},--The Banished Cells I</v>
      </c>
    </row>
    <row r="47" spans="1:10" x14ac:dyDescent="0.25">
      <c r="A47">
        <v>5</v>
      </c>
      <c r="B47">
        <v>41</v>
      </c>
      <c r="C47" t="str">
        <f t="shared" ref="C47:C58" si="10">IF(A47=B47,"X","")</f>
        <v/>
      </c>
      <c r="D47" s="7">
        <f>VLOOKUP(E47,'ESO zones'!$D$5:$H$10005,5,FALSE)</f>
        <v>38</v>
      </c>
      <c r="E47" t="s">
        <v>700</v>
      </c>
      <c r="F47" t="s">
        <v>4191</v>
      </c>
      <c r="G47" t="str">
        <f t="shared" si="5"/>
        <v>X</v>
      </c>
      <c r="H47" t="str">
        <f t="shared" si="6"/>
        <v/>
      </c>
      <c r="I47" t="str">
        <f t="shared" si="7"/>
        <v/>
      </c>
      <c r="J47" s="2" t="str">
        <f t="shared" si="9"/>
        <v>{ parentCategory=5, category=41, zoneIds={38}, isDungeon=true},--Blackheart Haven</v>
      </c>
    </row>
    <row r="48" spans="1:10" x14ac:dyDescent="0.25">
      <c r="A48">
        <v>5</v>
      </c>
      <c r="B48">
        <v>42</v>
      </c>
      <c r="C48" t="str">
        <f t="shared" si="10"/>
        <v/>
      </c>
      <c r="D48" s="7">
        <f>VLOOKUP(E48,'ESO zones'!$D$5:$H$10005,5,FALSE)</f>
        <v>64</v>
      </c>
      <c r="E48" t="s">
        <v>470</v>
      </c>
      <c r="F48" t="s">
        <v>4192</v>
      </c>
      <c r="G48" t="str">
        <f t="shared" si="5"/>
        <v>X</v>
      </c>
      <c r="H48" t="str">
        <f t="shared" si="6"/>
        <v/>
      </c>
      <c r="I48" t="str">
        <f t="shared" si="7"/>
        <v/>
      </c>
      <c r="J48" s="2" t="str">
        <f t="shared" si="9"/>
        <v>{ parentCategory=5, category=42, zoneIds={64}, isDungeon=true},--Blessed Crucible</v>
      </c>
    </row>
    <row r="49" spans="1:10" x14ac:dyDescent="0.25">
      <c r="A49">
        <v>5</v>
      </c>
      <c r="B49">
        <v>43</v>
      </c>
      <c r="C49" t="str">
        <f t="shared" si="10"/>
        <v/>
      </c>
      <c r="D49" s="7">
        <v>176.68100000000001</v>
      </c>
      <c r="E49" t="s">
        <v>703</v>
      </c>
      <c r="F49" t="s">
        <v>4193</v>
      </c>
      <c r="G49" t="str">
        <f t="shared" si="5"/>
        <v>X</v>
      </c>
      <c r="H49" t="str">
        <f t="shared" si="6"/>
        <v/>
      </c>
      <c r="I49" t="str">
        <f t="shared" si="7"/>
        <v/>
      </c>
      <c r="J49" s="2" t="str">
        <f t="shared" si="9"/>
        <v>{ parentCategory=5, category=43, zoneIds={176,681}, isDungeon=true},--City of Ash I</v>
      </c>
    </row>
    <row r="50" spans="1:10" x14ac:dyDescent="0.25">
      <c r="A50">
        <v>5</v>
      </c>
      <c r="B50">
        <v>44</v>
      </c>
      <c r="C50" t="str">
        <f t="shared" si="10"/>
        <v/>
      </c>
      <c r="D50" s="7">
        <v>130.93199999999999</v>
      </c>
      <c r="E50" t="s">
        <v>634</v>
      </c>
      <c r="F50" t="s">
        <v>4194</v>
      </c>
      <c r="G50" t="str">
        <f t="shared" si="5"/>
        <v>X</v>
      </c>
      <c r="H50" t="str">
        <f t="shared" si="6"/>
        <v/>
      </c>
      <c r="I50" t="str">
        <f t="shared" si="7"/>
        <v/>
      </c>
      <c r="J50" s="2" t="str">
        <f t="shared" si="9"/>
        <v>{ parentCategory=5, category=44, zoneIds={130,932}, isDungeon=true},--Crypt of Hearts I</v>
      </c>
    </row>
    <row r="51" spans="1:10" x14ac:dyDescent="0.25">
      <c r="A51">
        <v>5</v>
      </c>
      <c r="B51">
        <v>45</v>
      </c>
      <c r="C51" t="str">
        <f t="shared" si="10"/>
        <v/>
      </c>
      <c r="D51" s="7" t="s">
        <v>4195</v>
      </c>
      <c r="E51" t="s">
        <v>582</v>
      </c>
      <c r="F51" t="s">
        <v>4196</v>
      </c>
      <c r="G51" t="str">
        <f t="shared" si="5"/>
        <v>X</v>
      </c>
      <c r="H51" t="str">
        <f t="shared" si="6"/>
        <v/>
      </c>
      <c r="I51" t="str">
        <f t="shared" si="7"/>
        <v/>
      </c>
      <c r="J51" s="2" t="str">
        <f t="shared" si="9"/>
        <v>{ parentCategory=5, category=45, zoneIds={63,930}, isDungeon=true},--Darkshade Caverns I</v>
      </c>
    </row>
    <row r="52" spans="1:10" x14ac:dyDescent="0.25">
      <c r="A52">
        <v>5</v>
      </c>
      <c r="B52">
        <v>46</v>
      </c>
      <c r="C52" t="str">
        <f t="shared" si="10"/>
        <v/>
      </c>
      <c r="D52" s="7">
        <f>VLOOKUP(E52,'ESO zones'!$D$5:$H$10005,5,FALSE)</f>
        <v>449</v>
      </c>
      <c r="E52" t="s">
        <v>485</v>
      </c>
      <c r="F52" t="s">
        <v>4197</v>
      </c>
      <c r="G52" t="str">
        <f t="shared" si="5"/>
        <v>X</v>
      </c>
      <c r="H52" t="str">
        <f t="shared" si="6"/>
        <v/>
      </c>
      <c r="I52" t="str">
        <f t="shared" si="7"/>
        <v/>
      </c>
      <c r="J52" s="2" t="str">
        <f t="shared" si="9"/>
        <v>{ parentCategory=5, category=46, zoneIds={449}, isDungeon=true},--Direfrost Keep</v>
      </c>
    </row>
    <row r="53" spans="1:10" x14ac:dyDescent="0.25">
      <c r="A53">
        <v>5</v>
      </c>
      <c r="B53">
        <v>47</v>
      </c>
      <c r="C53" t="str">
        <f t="shared" si="10"/>
        <v/>
      </c>
      <c r="D53" s="7">
        <v>126.931</v>
      </c>
      <c r="E53" t="s">
        <v>428</v>
      </c>
      <c r="F53" t="s">
        <v>4198</v>
      </c>
      <c r="G53" t="str">
        <f t="shared" si="5"/>
        <v>X</v>
      </c>
      <c r="H53" t="str">
        <f t="shared" si="6"/>
        <v/>
      </c>
      <c r="I53" t="str">
        <f t="shared" si="7"/>
        <v/>
      </c>
      <c r="J53" s="2" t="str">
        <f t="shared" si="9"/>
        <v>{ parentCategory=5, category=47, zoneIds={126,931}, isDungeon=true},--Elden Hollow I</v>
      </c>
    </row>
    <row r="54" spans="1:10" x14ac:dyDescent="0.25">
      <c r="A54">
        <v>5</v>
      </c>
      <c r="B54">
        <v>48</v>
      </c>
      <c r="C54" t="str">
        <f t="shared" si="10"/>
        <v/>
      </c>
      <c r="D54" s="7">
        <v>283.93400000000003</v>
      </c>
      <c r="E54" t="s">
        <v>445</v>
      </c>
      <c r="F54" t="s">
        <v>4199</v>
      </c>
      <c r="G54" t="str">
        <f t="shared" si="5"/>
        <v>X</v>
      </c>
      <c r="H54" t="str">
        <f t="shared" si="6"/>
        <v/>
      </c>
      <c r="I54" t="str">
        <f t="shared" si="7"/>
        <v/>
      </c>
      <c r="J54" s="2" t="str">
        <f t="shared" si="9"/>
        <v>{ parentCategory=5, category=48, zoneIds={283,934}, isDungeon=true},--Fungal Grotto I</v>
      </c>
    </row>
    <row r="55" spans="1:10" x14ac:dyDescent="0.25">
      <c r="A55">
        <v>5</v>
      </c>
      <c r="B55">
        <v>49</v>
      </c>
      <c r="C55" t="str">
        <f t="shared" si="10"/>
        <v/>
      </c>
      <c r="D55" s="7">
        <f>VLOOKUP(E55,'ESO zones'!$D$5:$H$10005,5,FALSE)</f>
        <v>31</v>
      </c>
      <c r="E55" t="s">
        <v>402</v>
      </c>
      <c r="F55" t="s">
        <v>4200</v>
      </c>
      <c r="G55" t="str">
        <f t="shared" si="5"/>
        <v>X</v>
      </c>
      <c r="H55" t="str">
        <f t="shared" si="6"/>
        <v/>
      </c>
      <c r="I55" t="str">
        <f t="shared" si="7"/>
        <v/>
      </c>
      <c r="J55" s="2" t="str">
        <f t="shared" si="9"/>
        <v>{ parentCategory=5, category=49, zoneIds={31}, isDungeon=true},--Selene's Web</v>
      </c>
    </row>
    <row r="56" spans="1:10" x14ac:dyDescent="0.25">
      <c r="A56">
        <v>5</v>
      </c>
      <c r="B56">
        <v>50</v>
      </c>
      <c r="C56" t="str">
        <f t="shared" si="10"/>
        <v/>
      </c>
      <c r="D56" s="7">
        <v>144.93600000000001</v>
      </c>
      <c r="E56" t="s">
        <v>450</v>
      </c>
      <c r="F56" t="s">
        <v>4201</v>
      </c>
      <c r="G56" t="str">
        <f t="shared" si="5"/>
        <v>X</v>
      </c>
      <c r="H56" t="str">
        <f t="shared" si="6"/>
        <v/>
      </c>
      <c r="I56" t="str">
        <f t="shared" si="7"/>
        <v/>
      </c>
      <c r="J56" s="2" t="str">
        <f t="shared" si="9"/>
        <v>{ parentCategory=5, category=50, zoneIds={144,936}, isDungeon=true},--Spindleclutch I</v>
      </c>
    </row>
    <row r="57" spans="1:10" x14ac:dyDescent="0.25">
      <c r="A57">
        <v>5</v>
      </c>
      <c r="B57">
        <v>51</v>
      </c>
      <c r="C57" t="str">
        <f t="shared" si="10"/>
        <v/>
      </c>
      <c r="D57" s="7">
        <f>VLOOKUP(E57,'ESO zones'!$D$5:$H$10005,5,FALSE)</f>
        <v>131</v>
      </c>
      <c r="E57" t="s">
        <v>777</v>
      </c>
      <c r="F57" t="s">
        <v>4202</v>
      </c>
      <c r="G57" t="str">
        <f t="shared" si="5"/>
        <v>X</v>
      </c>
      <c r="H57" t="str">
        <f t="shared" si="6"/>
        <v/>
      </c>
      <c r="I57" t="str">
        <f t="shared" si="7"/>
        <v/>
      </c>
      <c r="J57" s="2" t="str">
        <f t="shared" si="9"/>
        <v>{ parentCategory=5, category=51, zoneIds={131}, isDungeon=true},--Tempest Island</v>
      </c>
    </row>
    <row r="58" spans="1:10" x14ac:dyDescent="0.25">
      <c r="A58">
        <v>5</v>
      </c>
      <c r="B58">
        <v>52</v>
      </c>
      <c r="C58" t="str">
        <f t="shared" si="10"/>
        <v/>
      </c>
      <c r="D58" s="7">
        <f>VLOOKUP(E58,'ESO zones'!$D$5:$H$10005,5,FALSE)</f>
        <v>11</v>
      </c>
      <c r="E58" t="s">
        <v>571</v>
      </c>
      <c r="F58" t="s">
        <v>4203</v>
      </c>
      <c r="G58" t="str">
        <f t="shared" ref="G58:G89" si="11">IF(OR(A58=5,A58=6,),"X","")</f>
        <v>X</v>
      </c>
      <c r="H58" t="str">
        <f t="shared" ref="H58:H94" si="12">IF(OR(A58=7,),"X","")</f>
        <v/>
      </c>
      <c r="I58" t="str">
        <f t="shared" ref="I58:I94" si="13">IF(OR(A58=8,),"X","")</f>
        <v/>
      </c>
      <c r="J58" s="2" t="str">
        <f t="shared" si="9"/>
        <v>{ parentCategory=5, category=52, zoneIds={11}, isDungeon=true},--Vaults of Madness</v>
      </c>
    </row>
    <row r="59" spans="1:10" x14ac:dyDescent="0.25">
      <c r="A59">
        <v>5</v>
      </c>
      <c r="B59">
        <v>53</v>
      </c>
      <c r="D59" s="7">
        <f>VLOOKUP(E59,'ESO zones'!$D$5:$H$10005,5,FALSE)</f>
        <v>22</v>
      </c>
      <c r="E59" t="s">
        <v>539</v>
      </c>
      <c r="F59" t="s">
        <v>539</v>
      </c>
      <c r="G59" t="str">
        <f t="shared" si="11"/>
        <v>X</v>
      </c>
      <c r="H59" t="str">
        <f t="shared" si="12"/>
        <v/>
      </c>
      <c r="I59" t="str">
        <f t="shared" si="13"/>
        <v/>
      </c>
      <c r="J59" s="2" t="str">
        <f t="shared" si="9"/>
        <v>{ parentCategory=5, category=53, zoneIds={22}, isDungeon=true},--Volenfell</v>
      </c>
    </row>
    <row r="60" spans="1:10" x14ac:dyDescent="0.25">
      <c r="A60">
        <v>5</v>
      </c>
      <c r="B60">
        <v>54</v>
      </c>
      <c r="C60" t="str">
        <f t="shared" ref="C60:C91" si="14">IF(A60=B60,"X","")</f>
        <v/>
      </c>
      <c r="D60" s="7">
        <v>146.93299999999999</v>
      </c>
      <c r="E60" t="s">
        <v>432</v>
      </c>
      <c r="F60" t="s">
        <v>4204</v>
      </c>
      <c r="G60" t="str">
        <f t="shared" si="11"/>
        <v>X</v>
      </c>
      <c r="H60" t="str">
        <f t="shared" si="12"/>
        <v/>
      </c>
      <c r="I60" t="str">
        <f t="shared" si="13"/>
        <v/>
      </c>
      <c r="J60" s="2" t="str">
        <f t="shared" si="9"/>
        <v>{ parentCategory=5, category=54, zoneIds={146,933}, isDungeon=true},--Wayrest Sewers I</v>
      </c>
    </row>
    <row r="61" spans="1:10" x14ac:dyDescent="0.25">
      <c r="A61">
        <v>6</v>
      </c>
      <c r="B61">
        <v>6</v>
      </c>
      <c r="C61" t="str">
        <f t="shared" si="14"/>
        <v>X</v>
      </c>
      <c r="D61" s="61" t="e">
        <f>VLOOKUP(E61,'ESO zones'!$D$5:$H$10005,5,FALSE)</f>
        <v>#N/A</v>
      </c>
      <c r="E61" s="6" t="s">
        <v>4205</v>
      </c>
      <c r="F61" t="s">
        <v>4206</v>
      </c>
      <c r="G61" t="str">
        <f t="shared" si="11"/>
        <v>X</v>
      </c>
      <c r="H61" t="str">
        <f t="shared" si="12"/>
        <v/>
      </c>
      <c r="I61" t="str">
        <f t="shared" si="13"/>
        <v/>
      </c>
      <c r="J61" s="2" t="str">
        <f t="shared" si="9"/>
        <v>--DLC-Dungeons</v>
      </c>
    </row>
    <row r="62" spans="1:10" x14ac:dyDescent="0.25">
      <c r="A62">
        <v>6</v>
      </c>
      <c r="B62">
        <v>55</v>
      </c>
      <c r="C62" t="str">
        <f t="shared" si="14"/>
        <v/>
      </c>
      <c r="D62" s="7">
        <f>VLOOKUP(E62,'ESO zones'!$D$5:$H$10005,5,FALSE)</f>
        <v>678</v>
      </c>
      <c r="E62" t="s">
        <v>722</v>
      </c>
      <c r="F62" t="s">
        <v>4207</v>
      </c>
      <c r="G62" t="str">
        <f t="shared" si="11"/>
        <v>X</v>
      </c>
      <c r="H62" t="str">
        <f t="shared" si="12"/>
        <v/>
      </c>
      <c r="I62" t="str">
        <f t="shared" si="13"/>
        <v/>
      </c>
      <c r="J62" s="2" t="str">
        <f t="shared" si="9"/>
        <v>{ parentCategory=6, category=55, zoneIds={678}, isDungeon=true},--Imperial City Prison</v>
      </c>
    </row>
    <row r="63" spans="1:10" x14ac:dyDescent="0.25">
      <c r="A63">
        <v>6</v>
      </c>
      <c r="B63">
        <v>56</v>
      </c>
      <c r="C63" t="str">
        <f t="shared" si="14"/>
        <v/>
      </c>
      <c r="D63" s="7">
        <f>VLOOKUP(E63,'ESO zones'!$D$5:$H$10005,5,FALSE)</f>
        <v>688</v>
      </c>
      <c r="E63" t="s">
        <v>770</v>
      </c>
      <c r="F63" t="s">
        <v>4208</v>
      </c>
      <c r="G63" t="str">
        <f t="shared" si="11"/>
        <v>X</v>
      </c>
      <c r="H63" t="str">
        <f t="shared" si="12"/>
        <v/>
      </c>
      <c r="I63" t="str">
        <f t="shared" si="13"/>
        <v/>
      </c>
      <c r="J63" s="2" t="str">
        <f t="shared" si="9"/>
        <v>{ parentCategory=6, category=56, zoneIds={688}, isDungeon=true},--White-Gold Tower</v>
      </c>
    </row>
    <row r="64" spans="1:10" x14ac:dyDescent="0.25">
      <c r="A64">
        <v>6</v>
      </c>
      <c r="B64">
        <v>57</v>
      </c>
      <c r="C64" t="str">
        <f t="shared" si="14"/>
        <v/>
      </c>
      <c r="D64" s="7">
        <f>VLOOKUP(E64,'ESO zones'!$D$5:$H$10005,5,FALSE)</f>
        <v>848</v>
      </c>
      <c r="E64" t="s">
        <v>894</v>
      </c>
      <c r="F64" t="s">
        <v>4209</v>
      </c>
      <c r="G64" t="str">
        <f t="shared" si="11"/>
        <v>X</v>
      </c>
      <c r="H64" t="str">
        <f t="shared" si="12"/>
        <v/>
      </c>
      <c r="I64" t="str">
        <f t="shared" si="13"/>
        <v/>
      </c>
      <c r="J64" s="2" t="str">
        <f t="shared" si="9"/>
        <v>{ parentCategory=6, category=57, zoneIds={848}, isDungeon=true},--Cradle of Shadows</v>
      </c>
    </row>
    <row r="65" spans="1:10" x14ac:dyDescent="0.25">
      <c r="A65">
        <v>6</v>
      </c>
      <c r="B65">
        <v>58</v>
      </c>
      <c r="C65" t="str">
        <f t="shared" si="14"/>
        <v/>
      </c>
      <c r="D65" s="7">
        <f>VLOOKUP(E65,'ESO zones'!$D$5:$H$10005,5,FALSE)</f>
        <v>843</v>
      </c>
      <c r="E65" t="s">
        <v>890</v>
      </c>
      <c r="F65" t="s">
        <v>4210</v>
      </c>
      <c r="G65" t="str">
        <f t="shared" si="11"/>
        <v>X</v>
      </c>
      <c r="H65" t="str">
        <f t="shared" si="12"/>
        <v/>
      </c>
      <c r="I65" t="str">
        <f t="shared" si="13"/>
        <v/>
      </c>
      <c r="J65" s="2" t="str">
        <f t="shared" si="9"/>
        <v>{ parentCategory=6, category=58, zoneIds={843}, isDungeon=true},--Ruins of Mazzatun</v>
      </c>
    </row>
    <row r="66" spans="1:10" x14ac:dyDescent="0.25">
      <c r="A66">
        <v>6</v>
      </c>
      <c r="B66">
        <v>59</v>
      </c>
      <c r="C66" t="str">
        <f t="shared" si="14"/>
        <v/>
      </c>
      <c r="D66" s="7">
        <f>VLOOKUP(E66,'ESO zones'!$D$5:$H$10005,5,FALSE)</f>
        <v>973</v>
      </c>
      <c r="E66" t="s">
        <v>1078</v>
      </c>
      <c r="F66" t="s">
        <v>4211</v>
      </c>
      <c r="G66" t="str">
        <f t="shared" si="11"/>
        <v>X</v>
      </c>
      <c r="H66" t="str">
        <f t="shared" si="12"/>
        <v/>
      </c>
      <c r="I66" t="str">
        <f t="shared" si="13"/>
        <v/>
      </c>
      <c r="J66" s="2" t="str">
        <f t="shared" si="9"/>
        <v>{ parentCategory=6, category=59, zoneIds={973}, isDungeon=true},--Bloodroot Forge</v>
      </c>
    </row>
    <row r="67" spans="1:10" x14ac:dyDescent="0.25">
      <c r="A67">
        <v>6</v>
      </c>
      <c r="B67">
        <v>60</v>
      </c>
      <c r="C67" t="str">
        <f t="shared" si="14"/>
        <v/>
      </c>
      <c r="D67" s="7">
        <f>VLOOKUP(E67,'ESO zones'!$D$5:$H$10005,5,FALSE)</f>
        <v>974</v>
      </c>
      <c r="E67" t="s">
        <v>1071</v>
      </c>
      <c r="F67" t="s">
        <v>4212</v>
      </c>
      <c r="G67" t="str">
        <f t="shared" si="11"/>
        <v>X</v>
      </c>
      <c r="H67" t="str">
        <f t="shared" si="12"/>
        <v/>
      </c>
      <c r="I67" t="str">
        <f t="shared" si="13"/>
        <v/>
      </c>
      <c r="J67" s="2" t="str">
        <f t="shared" ref="J67:J98" si="15">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x14ac:dyDescent="0.25">
      <c r="A68">
        <v>6</v>
      </c>
      <c r="B68">
        <v>61</v>
      </c>
      <c r="C68" t="str">
        <f t="shared" si="14"/>
        <v/>
      </c>
      <c r="D68" s="7">
        <f>VLOOKUP(E68,'ESO zones'!$D$5:$H$10005,5,FALSE)</f>
        <v>1009</v>
      </c>
      <c r="E68" t="s">
        <v>1092</v>
      </c>
      <c r="F68" t="s">
        <v>4213</v>
      </c>
      <c r="G68" t="str">
        <f t="shared" si="11"/>
        <v>X</v>
      </c>
      <c r="H68" t="str">
        <f t="shared" si="12"/>
        <v/>
      </c>
      <c r="I68" t="str">
        <f t="shared" si="13"/>
        <v/>
      </c>
      <c r="J68" s="2" t="str">
        <f t="shared" si="15"/>
        <v>{ parentCategory=6, category=61, zoneIds={1009}, isDungeon=true},--Fang Lair</v>
      </c>
    </row>
    <row r="69" spans="1:10" x14ac:dyDescent="0.25">
      <c r="A69">
        <v>6</v>
      </c>
      <c r="B69">
        <v>62</v>
      </c>
      <c r="C69" t="str">
        <f t="shared" si="14"/>
        <v/>
      </c>
      <c r="D69" s="7">
        <f>VLOOKUP(E69,'ESO zones'!$D$5:$H$10005,5,FALSE)</f>
        <v>1010</v>
      </c>
      <c r="E69" t="s">
        <v>1099</v>
      </c>
      <c r="F69" t="s">
        <v>4214</v>
      </c>
      <c r="G69" t="str">
        <f t="shared" si="11"/>
        <v>X</v>
      </c>
      <c r="H69" t="str">
        <f t="shared" si="12"/>
        <v/>
      </c>
      <c r="I69" t="str">
        <f t="shared" si="13"/>
        <v/>
      </c>
      <c r="J69" s="2" t="str">
        <f t="shared" si="15"/>
        <v>{ parentCategory=6, category=62, zoneIds={1010}, isDungeon=true},--Scalecaller Peak</v>
      </c>
    </row>
    <row r="70" spans="1:10" x14ac:dyDescent="0.25">
      <c r="A70">
        <v>6</v>
      </c>
      <c r="B70">
        <v>63</v>
      </c>
      <c r="C70" t="str">
        <f t="shared" si="14"/>
        <v/>
      </c>
      <c r="D70" s="7">
        <f>VLOOKUP(E70,'ESO zones'!$D$5:$H$10005,5,FALSE)</f>
        <v>1055</v>
      </c>
      <c r="E70" t="s">
        <v>1195</v>
      </c>
      <c r="F70" t="s">
        <v>4215</v>
      </c>
      <c r="G70" t="str">
        <f t="shared" si="11"/>
        <v>X</v>
      </c>
      <c r="H70" t="str">
        <f t="shared" si="12"/>
        <v/>
      </c>
      <c r="I70" t="str">
        <f t="shared" si="13"/>
        <v/>
      </c>
      <c r="J70" s="2" t="str">
        <f t="shared" si="15"/>
        <v>{ parentCategory=6, category=63, zoneIds={1055}, isDungeon=true},--March of Sacrifices</v>
      </c>
    </row>
    <row r="71" spans="1:10" x14ac:dyDescent="0.25">
      <c r="A71">
        <v>6</v>
      </c>
      <c r="B71">
        <v>64</v>
      </c>
      <c r="C71" t="str">
        <f t="shared" si="14"/>
        <v/>
      </c>
      <c r="D71" s="7">
        <f>VLOOKUP(E71,'ESO zones'!$D$5:$H$10005,5,FALSE)</f>
        <v>1052</v>
      </c>
      <c r="E71" t="s">
        <v>1197</v>
      </c>
      <c r="F71" t="s">
        <v>4216</v>
      </c>
      <c r="G71" t="str">
        <f t="shared" si="11"/>
        <v>X</v>
      </c>
      <c r="H71" t="str">
        <f t="shared" si="12"/>
        <v/>
      </c>
      <c r="I71" t="str">
        <f t="shared" si="13"/>
        <v/>
      </c>
      <c r="J71" s="2" t="str">
        <f t="shared" si="15"/>
        <v>{ parentCategory=6, category=64, zoneIds={1052}, isDungeon=true},--Moon Hunter Keep</v>
      </c>
    </row>
    <row r="72" spans="1:10" x14ac:dyDescent="0.25">
      <c r="A72">
        <v>6</v>
      </c>
      <c r="B72">
        <v>65</v>
      </c>
      <c r="C72" t="str">
        <f t="shared" si="14"/>
        <v/>
      </c>
      <c r="D72" s="7">
        <f>VLOOKUP(E72,'ESO zones'!$D$5:$H$10005,5,FALSE)</f>
        <v>1081</v>
      </c>
      <c r="E72" t="s">
        <v>1272</v>
      </c>
      <c r="F72" t="s">
        <v>4217</v>
      </c>
      <c r="G72" t="str">
        <f t="shared" si="11"/>
        <v>X</v>
      </c>
      <c r="H72" t="str">
        <f t="shared" si="12"/>
        <v/>
      </c>
      <c r="I72" t="str">
        <f t="shared" si="13"/>
        <v/>
      </c>
      <c r="J72" s="2" t="str">
        <f t="shared" si="15"/>
        <v>{ parentCategory=6, category=65, zoneIds={1081}, isDungeon=true},--Depths of Malatar</v>
      </c>
    </row>
    <row r="73" spans="1:10" x14ac:dyDescent="0.25">
      <c r="A73">
        <v>6</v>
      </c>
      <c r="B73">
        <v>66</v>
      </c>
      <c r="C73" t="str">
        <f t="shared" si="14"/>
        <v/>
      </c>
      <c r="D73" s="7">
        <f>VLOOKUP(E73,'ESO zones'!$D$5:$H$10005,5,FALSE)</f>
        <v>1080</v>
      </c>
      <c r="E73" t="s">
        <v>1261</v>
      </c>
      <c r="F73" t="s">
        <v>4218</v>
      </c>
      <c r="G73" t="str">
        <f t="shared" si="11"/>
        <v>X</v>
      </c>
      <c r="H73" t="str">
        <f t="shared" si="12"/>
        <v/>
      </c>
      <c r="I73" t="str">
        <f t="shared" si="13"/>
        <v/>
      </c>
      <c r="J73" s="2" t="str">
        <f t="shared" si="15"/>
        <v>{ parentCategory=6, category=66, zoneIds={1080}, isDungeon=true},--Frostvault</v>
      </c>
    </row>
    <row r="74" spans="1:10" x14ac:dyDescent="0.25">
      <c r="A74">
        <v>6</v>
      </c>
      <c r="B74">
        <v>67</v>
      </c>
      <c r="C74" t="str">
        <f t="shared" si="14"/>
        <v/>
      </c>
      <c r="D74" s="7">
        <f>VLOOKUP(E74,'ESO zones'!$D$5:$H$10005,5,FALSE)</f>
        <v>1123</v>
      </c>
      <c r="E74" t="s">
        <v>1320</v>
      </c>
      <c r="F74" t="s">
        <v>4219</v>
      </c>
      <c r="G74" t="str">
        <f t="shared" si="11"/>
        <v>X</v>
      </c>
      <c r="H74" t="str">
        <f t="shared" si="12"/>
        <v/>
      </c>
      <c r="I74" t="str">
        <f t="shared" si="13"/>
        <v/>
      </c>
      <c r="J74" s="2" t="str">
        <f t="shared" si="15"/>
        <v>{ parentCategory=6, category=67, zoneIds={1123}, isDungeon=true},--Lair of Maarselok</v>
      </c>
    </row>
    <row r="75" spans="1:10" x14ac:dyDescent="0.25">
      <c r="A75">
        <v>6</v>
      </c>
      <c r="B75">
        <v>68</v>
      </c>
      <c r="C75" t="str">
        <f t="shared" si="14"/>
        <v/>
      </c>
      <c r="D75" s="7">
        <f>VLOOKUP(E75,'ESO zones'!$D$5:$H$10005,5,FALSE)</f>
        <v>1122</v>
      </c>
      <c r="E75" t="s">
        <v>1313</v>
      </c>
      <c r="F75" t="s">
        <v>4220</v>
      </c>
      <c r="G75" t="str">
        <f t="shared" si="11"/>
        <v>X</v>
      </c>
      <c r="H75" t="str">
        <f t="shared" si="12"/>
        <v/>
      </c>
      <c r="I75" t="str">
        <f t="shared" si="13"/>
        <v/>
      </c>
      <c r="J75" s="2" t="str">
        <f t="shared" si="15"/>
        <v>{ parentCategory=6, category=68, zoneIds={1122}, isDungeon=true},--Moongrave Fane</v>
      </c>
    </row>
    <row r="76" spans="1:10" x14ac:dyDescent="0.25">
      <c r="A76">
        <v>6</v>
      </c>
      <c r="B76">
        <v>69</v>
      </c>
      <c r="C76" t="str">
        <f t="shared" si="14"/>
        <v/>
      </c>
      <c r="D76" s="7">
        <f>VLOOKUP(E76,'ESO zones'!$D$5:$H$10005,5,FALSE)</f>
        <v>1152</v>
      </c>
      <c r="E76" t="s">
        <v>1342</v>
      </c>
      <c r="F76" t="s">
        <v>4221</v>
      </c>
      <c r="G76" t="str">
        <f t="shared" si="11"/>
        <v>X</v>
      </c>
      <c r="H76" t="str">
        <f t="shared" si="12"/>
        <v/>
      </c>
      <c r="I76" t="str">
        <f t="shared" si="13"/>
        <v/>
      </c>
      <c r="J76" s="2" t="str">
        <f t="shared" si="15"/>
        <v>{ parentCategory=6, category=69, zoneIds={1152}, isDungeon=true},--Icereach</v>
      </c>
    </row>
    <row r="77" spans="1:10" x14ac:dyDescent="0.25">
      <c r="A77">
        <v>6</v>
      </c>
      <c r="B77">
        <v>70</v>
      </c>
      <c r="C77" t="str">
        <f t="shared" si="14"/>
        <v/>
      </c>
      <c r="D77" s="7">
        <f>VLOOKUP(E77,'ESO zones'!$D$5:$H$10005,5,FALSE)</f>
        <v>1153</v>
      </c>
      <c r="E77" t="s">
        <v>1349</v>
      </c>
      <c r="F77" t="s">
        <v>4222</v>
      </c>
      <c r="G77" t="str">
        <f t="shared" si="11"/>
        <v>X</v>
      </c>
      <c r="H77" t="str">
        <f t="shared" si="12"/>
        <v/>
      </c>
      <c r="I77" t="str">
        <f t="shared" si="13"/>
        <v/>
      </c>
      <c r="J77" s="2" t="str">
        <f t="shared" si="15"/>
        <v>{ parentCategory=6, category=70, zoneIds={1153}, isDungeon=true},--Unhallowed Grave</v>
      </c>
    </row>
    <row r="78" spans="1:10" x14ac:dyDescent="0.25">
      <c r="A78">
        <v>6</v>
      </c>
      <c r="B78">
        <v>87</v>
      </c>
      <c r="C78" t="str">
        <f t="shared" si="14"/>
        <v/>
      </c>
      <c r="D78" s="7">
        <f>VLOOKUP(E78,'ESO zones'!$D$5:$H$10005,5,FALSE)</f>
        <v>1201</v>
      </c>
      <c r="E78" t="s">
        <v>1429</v>
      </c>
      <c r="F78" t="s">
        <v>4223</v>
      </c>
      <c r="G78" t="str">
        <f t="shared" si="11"/>
        <v>X</v>
      </c>
      <c r="H78" t="str">
        <f t="shared" si="12"/>
        <v/>
      </c>
      <c r="I78" t="str">
        <f t="shared" si="13"/>
        <v/>
      </c>
      <c r="J78" s="2" t="str">
        <f t="shared" si="15"/>
        <v>{ parentCategory=6, category=87, zoneIds={1201}, isDungeon=true},--Castle Thorn</v>
      </c>
    </row>
    <row r="79" spans="1:10" x14ac:dyDescent="0.25">
      <c r="A79">
        <v>6</v>
      </c>
      <c r="B79">
        <v>88</v>
      </c>
      <c r="C79" t="str">
        <f t="shared" si="14"/>
        <v/>
      </c>
      <c r="D79" s="7">
        <f>VLOOKUP(E79,'ESO zones'!$D$5:$H$10005,5,FALSE)</f>
        <v>1197</v>
      </c>
      <c r="E79" t="s">
        <v>1436</v>
      </c>
      <c r="F79" t="s">
        <v>4224</v>
      </c>
      <c r="G79" t="str">
        <f t="shared" si="11"/>
        <v>X</v>
      </c>
      <c r="H79" t="str">
        <f t="shared" si="12"/>
        <v/>
      </c>
      <c r="I79" t="str">
        <f t="shared" si="13"/>
        <v/>
      </c>
      <c r="J79" s="2" t="str">
        <f t="shared" si="15"/>
        <v>{ parentCategory=6, category=88, zoneIds={1197}, isDungeon=true},--Stone Garden</v>
      </c>
    </row>
    <row r="80" spans="1:10" x14ac:dyDescent="0.25">
      <c r="A80">
        <v>6</v>
      </c>
      <c r="B80">
        <v>91</v>
      </c>
      <c r="C80" t="str">
        <f t="shared" si="14"/>
        <v/>
      </c>
      <c r="D80" s="7">
        <f>VLOOKUP(E80,'ESO zones'!$D$5:$H$10005,5,FALSE)</f>
        <v>1228</v>
      </c>
      <c r="E80" t="s">
        <v>1536</v>
      </c>
      <c r="F80" t="s">
        <v>4225</v>
      </c>
      <c r="G80" t="str">
        <f t="shared" si="11"/>
        <v>X</v>
      </c>
      <c r="H80" t="str">
        <f t="shared" si="12"/>
        <v/>
      </c>
      <c r="I80" t="str">
        <f t="shared" si="13"/>
        <v/>
      </c>
      <c r="J80" s="2" t="str">
        <f t="shared" si="15"/>
        <v>{ parentCategory=6, category=91, zoneIds={1228}, isDungeon=true},--Black Drake Villa</v>
      </c>
    </row>
    <row r="81" spans="1:10" x14ac:dyDescent="0.25">
      <c r="A81">
        <v>6</v>
      </c>
      <c r="B81">
        <v>92</v>
      </c>
      <c r="C81" t="str">
        <f t="shared" si="14"/>
        <v/>
      </c>
      <c r="D81" s="7">
        <f>VLOOKUP(E81,'ESO zones'!$D$5:$H$10005,5,FALSE)</f>
        <v>1229</v>
      </c>
      <c r="E81" t="s">
        <v>1543</v>
      </c>
      <c r="F81" t="s">
        <v>4226</v>
      </c>
      <c r="G81" t="str">
        <f t="shared" si="11"/>
        <v>X</v>
      </c>
      <c r="H81" t="str">
        <f t="shared" si="12"/>
        <v/>
      </c>
      <c r="I81" t="str">
        <f t="shared" si="13"/>
        <v/>
      </c>
      <c r="J81" s="2" t="str">
        <f t="shared" si="15"/>
        <v>{ parentCategory=6, category=92, zoneIds={1229}, isDungeon=true},--The Cauldron</v>
      </c>
    </row>
    <row r="82" spans="1:10" x14ac:dyDescent="0.25">
      <c r="A82">
        <v>6</v>
      </c>
      <c r="B82">
        <v>95</v>
      </c>
      <c r="C82" t="str">
        <f t="shared" si="14"/>
        <v/>
      </c>
      <c r="D82" s="7">
        <v>1268</v>
      </c>
      <c r="E82" t="s">
        <v>4227</v>
      </c>
      <c r="F82" t="s">
        <v>4227</v>
      </c>
      <c r="G82" t="str">
        <f t="shared" si="11"/>
        <v>X</v>
      </c>
      <c r="H82" t="str">
        <f t="shared" si="12"/>
        <v/>
      </c>
      <c r="I82" t="str">
        <f t="shared" si="13"/>
        <v/>
      </c>
      <c r="J82" s="2" t="str">
        <f t="shared" si="15"/>
        <v>{ parentCategory=6, category=95, zoneIds={1268}, isDungeon=true},--Dread Cellar</v>
      </c>
    </row>
    <row r="83" spans="1:10" x14ac:dyDescent="0.25">
      <c r="A83">
        <v>6</v>
      </c>
      <c r="B83">
        <v>96</v>
      </c>
      <c r="C83" t="str">
        <f t="shared" si="14"/>
        <v/>
      </c>
      <c r="D83" s="7">
        <v>1267</v>
      </c>
      <c r="E83" t="s">
        <v>1628</v>
      </c>
      <c r="F83" t="s">
        <v>4228</v>
      </c>
      <c r="G83" t="str">
        <f t="shared" si="11"/>
        <v>X</v>
      </c>
      <c r="H83" t="str">
        <f t="shared" si="12"/>
        <v/>
      </c>
      <c r="I83" t="str">
        <f t="shared" si="13"/>
        <v/>
      </c>
      <c r="J83" s="2" t="str">
        <f t="shared" si="15"/>
        <v>{ parentCategory=6, category=96, zoneIds={1267}, isDungeon=true},--Red Petal Bastion</v>
      </c>
    </row>
    <row r="84" spans="1:10" x14ac:dyDescent="0.25">
      <c r="A84">
        <v>6</v>
      </c>
      <c r="B84">
        <v>98</v>
      </c>
      <c r="C84" t="str">
        <f t="shared" si="14"/>
        <v/>
      </c>
      <c r="D84" s="7">
        <f>VLOOKUP(E84,'ESO zones'!$D$5:$H$10005,5,FALSE)</f>
        <v>1301</v>
      </c>
      <c r="E84" t="s">
        <v>1658</v>
      </c>
      <c r="F84" t="s">
        <v>1658</v>
      </c>
      <c r="G84" t="str">
        <f t="shared" si="11"/>
        <v>X</v>
      </c>
      <c r="H84" t="str">
        <f t="shared" si="12"/>
        <v/>
      </c>
      <c r="I84" t="str">
        <f t="shared" si="13"/>
        <v/>
      </c>
      <c r="J84" s="2" t="str">
        <f t="shared" si="15"/>
        <v>{ parentCategory=6, category=98, zoneIds={1301}, isDungeon=true},--Coral Aerie</v>
      </c>
    </row>
    <row r="85" spans="1:10" x14ac:dyDescent="0.25">
      <c r="A85">
        <v>6</v>
      </c>
      <c r="B85">
        <v>99</v>
      </c>
      <c r="C85" t="str">
        <f t="shared" si="14"/>
        <v/>
      </c>
      <c r="D85" s="7">
        <f>VLOOKUP(E85,'ESO zones'!$D$5:$H$10005,5,FALSE)</f>
        <v>1302</v>
      </c>
      <c r="E85" t="s">
        <v>1665</v>
      </c>
      <c r="G85" t="str">
        <f t="shared" si="11"/>
        <v>X</v>
      </c>
      <c r="H85" t="str">
        <f t="shared" si="12"/>
        <v/>
      </c>
      <c r="I85" t="str">
        <f t="shared" si="13"/>
        <v/>
      </c>
      <c r="J85" s="2" t="str">
        <f t="shared" si="15"/>
        <v>{ parentCategory=6, category=99, zoneIds={1302}, isDungeon=true},--Shipwright's Regret</v>
      </c>
    </row>
    <row r="86" spans="1:10" x14ac:dyDescent="0.25">
      <c r="A86">
        <v>6</v>
      </c>
      <c r="B86">
        <v>102</v>
      </c>
      <c r="C86" t="str">
        <f t="shared" si="14"/>
        <v/>
      </c>
      <c r="D86" s="7">
        <f>VLOOKUP(E86,'ESO zones'!$D$5:$H$10005,5,FALSE)</f>
        <v>1360</v>
      </c>
      <c r="E86" t="s">
        <v>1789</v>
      </c>
      <c r="G86" t="str">
        <f t="shared" si="11"/>
        <v>X</v>
      </c>
      <c r="H86" t="str">
        <f t="shared" si="12"/>
        <v/>
      </c>
      <c r="I86" t="str">
        <f t="shared" si="13"/>
        <v/>
      </c>
      <c r="J86" s="2" t="str">
        <f t="shared" si="15"/>
        <v>{ parentCategory=6, category=102, zoneIds={1360}, isDungeon=true},--Earthen Root Enclave</v>
      </c>
    </row>
    <row r="87" spans="1:10" x14ac:dyDescent="0.25">
      <c r="A87">
        <v>6</v>
      </c>
      <c r="B87">
        <v>103</v>
      </c>
      <c r="C87" t="str">
        <f t="shared" si="14"/>
        <v/>
      </c>
      <c r="D87" s="7">
        <f>VLOOKUP(E87,'ESO zones'!$D$5:$H$10005,5,FALSE)</f>
        <v>1361</v>
      </c>
      <c r="E87" t="s">
        <v>1796</v>
      </c>
      <c r="G87" t="str">
        <f t="shared" si="11"/>
        <v>X</v>
      </c>
      <c r="H87" t="str">
        <f t="shared" si="12"/>
        <v/>
      </c>
      <c r="I87" t="str">
        <f t="shared" si="13"/>
        <v/>
      </c>
      <c r="J87" s="2" t="str">
        <f t="shared" si="15"/>
        <v>{ parentCategory=6, category=103, zoneIds={1361}, isDungeon=true},--Graven Deep</v>
      </c>
    </row>
    <row r="88" spans="1:10" x14ac:dyDescent="0.25">
      <c r="A88">
        <v>6</v>
      </c>
      <c r="B88">
        <v>105</v>
      </c>
      <c r="C88" t="str">
        <f t="shared" si="14"/>
        <v/>
      </c>
      <c r="D88" s="7">
        <f>VLOOKUP(E88,'ESO zones'!$D$5:$H$10005,5,FALSE)</f>
        <v>1389</v>
      </c>
      <c r="E88" t="s">
        <v>1854</v>
      </c>
      <c r="F88" t="s">
        <v>1854</v>
      </c>
      <c r="G88" t="str">
        <f t="shared" si="11"/>
        <v>X</v>
      </c>
      <c r="H88" t="str">
        <f t="shared" si="12"/>
        <v/>
      </c>
      <c r="I88" t="str">
        <f t="shared" si="13"/>
        <v/>
      </c>
      <c r="J88" s="2" t="str">
        <f t="shared" si="15"/>
        <v>{ parentCategory=6, category=105, zoneIds={1389}, isDungeon=true},--Bal Sunnar</v>
      </c>
    </row>
    <row r="89" spans="1:10" x14ac:dyDescent="0.25">
      <c r="A89">
        <v>6</v>
      </c>
      <c r="B89">
        <v>106</v>
      </c>
      <c r="C89" t="str">
        <f t="shared" si="14"/>
        <v/>
      </c>
      <c r="D89" s="7">
        <f>VLOOKUP(E89,'ESO zones'!$D$5:$H$10005,5,FALSE)</f>
        <v>1390</v>
      </c>
      <c r="E89" t="s">
        <v>1864</v>
      </c>
      <c r="F89" t="s">
        <v>4229</v>
      </c>
      <c r="G89" t="str">
        <f t="shared" si="11"/>
        <v>X</v>
      </c>
      <c r="H89" t="str">
        <f t="shared" si="12"/>
        <v/>
      </c>
      <c r="I89" t="str">
        <f t="shared" si="13"/>
        <v/>
      </c>
      <c r="J89" s="2" t="str">
        <f t="shared" si="15"/>
        <v>{ parentCategory=6, category=106, zoneIds={1390}, isDungeon=true},--Scrivener's Hall</v>
      </c>
    </row>
    <row r="90" spans="1:10" x14ac:dyDescent="0.25">
      <c r="A90">
        <v>6</v>
      </c>
      <c r="B90">
        <v>110</v>
      </c>
      <c r="C90" t="str">
        <f t="shared" si="14"/>
        <v/>
      </c>
      <c r="D90" s="7">
        <f>VLOOKUP(E90,'ESO zones'!$D$5:$H$10005,5,FALSE)</f>
        <v>1470</v>
      </c>
      <c r="E90" t="s">
        <v>1956</v>
      </c>
      <c r="F90" t="s">
        <v>1956</v>
      </c>
      <c r="G90" t="str">
        <f t="shared" ref="G90:G105" si="16">IF(OR(A90=5,A90=6,),"X","")</f>
        <v>X</v>
      </c>
      <c r="H90" t="str">
        <f t="shared" si="12"/>
        <v/>
      </c>
      <c r="I90" t="str">
        <f t="shared" si="13"/>
        <v/>
      </c>
      <c r="J90" s="2" t="str">
        <f t="shared" si="15"/>
        <v>{ parentCategory=6, category=110, zoneIds={1470}, isDungeon=true},--Oathsworn Pit</v>
      </c>
    </row>
    <row r="91" spans="1:10" x14ac:dyDescent="0.25">
      <c r="A91">
        <v>6</v>
      </c>
      <c r="B91">
        <v>111</v>
      </c>
      <c r="C91" t="str">
        <f t="shared" si="14"/>
        <v/>
      </c>
      <c r="D91" s="7">
        <f>VLOOKUP(E91,'ESO zones'!$D$5:$H$10005,5,FALSE)</f>
        <v>1471</v>
      </c>
      <c r="E91" t="s">
        <v>1962</v>
      </c>
      <c r="F91" t="s">
        <v>1962</v>
      </c>
      <c r="G91" t="str">
        <f t="shared" si="16"/>
        <v>X</v>
      </c>
      <c r="H91" t="str">
        <f t="shared" si="12"/>
        <v/>
      </c>
      <c r="I91" t="str">
        <f t="shared" si="13"/>
        <v/>
      </c>
      <c r="J91" s="2" t="str">
        <f t="shared" si="15"/>
        <v>{ parentCategory=6, category=111, zoneIds={1471}, isDungeon=true},--Bedlam Veil</v>
      </c>
    </row>
    <row r="92" spans="1:10" x14ac:dyDescent="0.25">
      <c r="A92">
        <v>6</v>
      </c>
      <c r="B92">
        <v>127</v>
      </c>
      <c r="C92" t="str">
        <f t="shared" ref="C92:C123" si="17">IF(A92=B92,"X","")</f>
        <v/>
      </c>
      <c r="D92" s="7">
        <f>VLOOKUP(E92,'ESO zones'!$D$5:$H$10005,5,FALSE)</f>
        <v>1496</v>
      </c>
      <c r="E92" t="s">
        <v>2149</v>
      </c>
      <c r="F92" t="s">
        <v>2149</v>
      </c>
      <c r="G92" t="str">
        <f t="shared" si="16"/>
        <v>X</v>
      </c>
      <c r="H92" t="str">
        <f t="shared" si="12"/>
        <v/>
      </c>
      <c r="I92" t="str">
        <f t="shared" si="13"/>
        <v/>
      </c>
      <c r="J92" s="2" t="str">
        <f t="shared" si="15"/>
        <v>{ parentCategory=6, category=127, zoneIds={1496}, isDungeon=true},--Exiled Redoubt</v>
      </c>
    </row>
    <row r="93" spans="1:10" x14ac:dyDescent="0.25">
      <c r="A93">
        <v>6</v>
      </c>
      <c r="B93">
        <v>128</v>
      </c>
      <c r="C93" t="str">
        <f t="shared" si="17"/>
        <v/>
      </c>
      <c r="D93" s="7">
        <f>VLOOKUP(E93,'ESO zones'!$D$5:$H$10005,5,FALSE)</f>
        <v>1497</v>
      </c>
      <c r="E93" t="s">
        <v>2150</v>
      </c>
      <c r="F93" t="s">
        <v>2150</v>
      </c>
      <c r="G93" t="str">
        <f t="shared" si="16"/>
        <v>X</v>
      </c>
      <c r="H93" t="str">
        <f t="shared" si="12"/>
        <v/>
      </c>
      <c r="I93" t="str">
        <f t="shared" si="13"/>
        <v/>
      </c>
      <c r="J93" s="2" t="str">
        <f t="shared" si="15"/>
        <v>{ parentCategory=6, category=128, zoneIds={1497}, isDungeon=true},--Lep Seclusa</v>
      </c>
    </row>
    <row r="94" spans="1:10" x14ac:dyDescent="0.25">
      <c r="A94">
        <v>6</v>
      </c>
      <c r="B94">
        <v>132</v>
      </c>
      <c r="C94" t="str">
        <f t="shared" si="17"/>
        <v/>
      </c>
      <c r="D94" s="7">
        <f>VLOOKUP(E94,'ESO zones'!$D$5:$H$10005,5,FALSE)</f>
        <v>1551</v>
      </c>
      <c r="E94" t="s">
        <v>2077</v>
      </c>
      <c r="F94" t="s">
        <v>2077</v>
      </c>
      <c r="G94" t="str">
        <f t="shared" si="16"/>
        <v>X</v>
      </c>
      <c r="H94" t="str">
        <f t="shared" si="12"/>
        <v/>
      </c>
      <c r="I94" t="str">
        <f t="shared" si="13"/>
        <v/>
      </c>
      <c r="J94" s="2" t="str">
        <f t="shared" si="15"/>
        <v>{ parentCategory=6, category=132, zoneIds={1551}, isDungeon=true},--Naj-Caldeesh</v>
      </c>
    </row>
    <row r="95" spans="1:10" x14ac:dyDescent="0.25">
      <c r="A95">
        <v>6</v>
      </c>
      <c r="B95">
        <v>129</v>
      </c>
      <c r="C95" t="str">
        <f t="shared" si="17"/>
        <v/>
      </c>
      <c r="D95" s="7">
        <f>VLOOKUP(E95,'ESO zones'!$D$5:$H$10005,5,FALSE)</f>
        <v>1552</v>
      </c>
      <c r="E95" t="s">
        <v>2073</v>
      </c>
      <c r="F95" t="s">
        <v>2073</v>
      </c>
      <c r="G95" t="str">
        <f t="shared" si="16"/>
        <v>X</v>
      </c>
      <c r="J95" s="2" t="str">
        <f t="shared" si="15"/>
        <v>{ parentCategory=6, category=129, zoneIds={1552}, isDungeon=true},--Black Gem Foundry</v>
      </c>
    </row>
    <row r="96" spans="1:10" x14ac:dyDescent="0.25">
      <c r="A96">
        <v>7</v>
      </c>
      <c r="B96">
        <v>7</v>
      </c>
      <c r="C96" t="str">
        <f t="shared" si="17"/>
        <v>X</v>
      </c>
      <c r="D96" s="61" t="e">
        <f>VLOOKUP(E96,'ESO zones'!$D$5:$H$10005,5,FALSE)</f>
        <v>#N/A</v>
      </c>
      <c r="E96" s="6" t="s">
        <v>4230</v>
      </c>
      <c r="F96" t="s">
        <v>4231</v>
      </c>
      <c r="G96" t="str">
        <f t="shared" si="16"/>
        <v/>
      </c>
      <c r="H96" t="str">
        <f t="shared" ref="H96:H123" si="18">IF(OR(A96=7,),"X","")</f>
        <v>X</v>
      </c>
      <c r="I96" t="str">
        <f t="shared" ref="I96:I105" si="19">IF(OR(A96=8,),"X","")</f>
        <v/>
      </c>
      <c r="J96" s="2" t="str">
        <f t="shared" si="15"/>
        <v>--Trials</v>
      </c>
    </row>
    <row r="97" spans="1:10" x14ac:dyDescent="0.25">
      <c r="A97">
        <v>7</v>
      </c>
      <c r="B97">
        <v>71</v>
      </c>
      <c r="C97" t="str">
        <f t="shared" si="17"/>
        <v/>
      </c>
      <c r="D97" s="7">
        <f>VLOOKUP(E97,'ESO zones'!$D$5:$H$10005,5,FALSE)</f>
        <v>638</v>
      </c>
      <c r="E97" t="s">
        <v>669</v>
      </c>
      <c r="F97" t="s">
        <v>4232</v>
      </c>
      <c r="G97" t="str">
        <f t="shared" si="16"/>
        <v/>
      </c>
      <c r="H97" t="str">
        <f t="shared" si="18"/>
        <v>X</v>
      </c>
      <c r="I97" t="str">
        <f t="shared" si="19"/>
        <v/>
      </c>
      <c r="J97" s="2" t="str">
        <f t="shared" si="15"/>
        <v>{ parentCategory=7, category=71, zoneIds={638}, isTrial=true},--Aetherian Archive</v>
      </c>
    </row>
    <row r="98" spans="1:10" x14ac:dyDescent="0.25">
      <c r="A98">
        <v>7</v>
      </c>
      <c r="B98">
        <v>72</v>
      </c>
      <c r="C98" t="str">
        <f t="shared" si="17"/>
        <v/>
      </c>
      <c r="D98" s="7">
        <f>VLOOKUP(E98,'ESO zones'!$D$5:$H$10005,5,FALSE)</f>
        <v>636</v>
      </c>
      <c r="E98" t="s">
        <v>666</v>
      </c>
      <c r="F98" t="s">
        <v>4233</v>
      </c>
      <c r="G98" t="str">
        <f t="shared" si="16"/>
        <v/>
      </c>
      <c r="H98" t="str">
        <f t="shared" si="18"/>
        <v>X</v>
      </c>
      <c r="I98" t="str">
        <f t="shared" si="19"/>
        <v/>
      </c>
      <c r="J98" s="2" t="str">
        <f t="shared" si="15"/>
        <v>{ parentCategory=7, category=72, zoneIds={636}, isTrial=true},--Hel Ra Citadel</v>
      </c>
    </row>
    <row r="99" spans="1:10" x14ac:dyDescent="0.25">
      <c r="A99">
        <v>7</v>
      </c>
      <c r="B99">
        <v>73</v>
      </c>
      <c r="C99" t="str">
        <f t="shared" si="17"/>
        <v/>
      </c>
      <c r="D99" s="7">
        <f>VLOOKUP(E99,'ESO zones'!$D$5:$H$10005,5,FALSE)</f>
        <v>639</v>
      </c>
      <c r="E99" t="s">
        <v>663</v>
      </c>
      <c r="F99" t="s">
        <v>663</v>
      </c>
      <c r="G99" t="str">
        <f t="shared" si="16"/>
        <v/>
      </c>
      <c r="H99" t="str">
        <f t="shared" si="18"/>
        <v>X</v>
      </c>
      <c r="I99" t="str">
        <f t="shared" si="19"/>
        <v/>
      </c>
      <c r="J99" s="2" t="str">
        <f t="shared" ref="J99:J123" si="20">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x14ac:dyDescent="0.25">
      <c r="A100">
        <v>7</v>
      </c>
      <c r="B100">
        <v>74</v>
      </c>
      <c r="C100" t="str">
        <f t="shared" si="17"/>
        <v/>
      </c>
      <c r="D100" s="7">
        <f>VLOOKUP(E100,'ESO zones'!$D$5:$H$10005,5,FALSE)</f>
        <v>725</v>
      </c>
      <c r="E100" t="s">
        <v>846</v>
      </c>
      <c r="F100" t="s">
        <v>4234</v>
      </c>
      <c r="G100" t="str">
        <f t="shared" si="16"/>
        <v/>
      </c>
      <c r="H100" t="str">
        <f t="shared" si="18"/>
        <v>X</v>
      </c>
      <c r="I100" t="str">
        <f t="shared" si="19"/>
        <v/>
      </c>
      <c r="J100" s="2" t="str">
        <f t="shared" si="20"/>
        <v>{ parentCategory=7, category=74, zoneIds={725}, isTrial=true},--Maw of Lorkhaj</v>
      </c>
    </row>
    <row r="101" spans="1:10" x14ac:dyDescent="0.25">
      <c r="A101">
        <v>7</v>
      </c>
      <c r="B101">
        <v>75</v>
      </c>
      <c r="C101" t="str">
        <f t="shared" si="17"/>
        <v/>
      </c>
      <c r="D101" s="7">
        <f>VLOOKUP(E101,'ESO zones'!$D$5:$H$10005,5,FALSE)</f>
        <v>975</v>
      </c>
      <c r="E101" t="s">
        <v>1060</v>
      </c>
      <c r="F101" t="s">
        <v>4235</v>
      </c>
      <c r="G101" t="str">
        <f t="shared" si="16"/>
        <v/>
      </c>
      <c r="H101" t="str">
        <f t="shared" si="18"/>
        <v>X</v>
      </c>
      <c r="I101" t="str">
        <f t="shared" si="19"/>
        <v/>
      </c>
      <c r="J101" s="2" t="str">
        <f t="shared" si="20"/>
        <v>{ parentCategory=7, category=75, zoneIds={975}, isTrial=true},--Halls of Fabrication</v>
      </c>
    </row>
    <row r="102" spans="1:10" x14ac:dyDescent="0.25">
      <c r="A102">
        <v>7</v>
      </c>
      <c r="B102">
        <v>76</v>
      </c>
      <c r="C102" t="str">
        <f t="shared" si="17"/>
        <v/>
      </c>
      <c r="D102" s="7">
        <f>VLOOKUP(E102,'ESO zones'!$D$5:$H$10005,5,FALSE)</f>
        <v>1000</v>
      </c>
      <c r="E102" t="s">
        <v>1121</v>
      </c>
      <c r="F102" t="s">
        <v>4236</v>
      </c>
      <c r="G102" t="str">
        <f t="shared" si="16"/>
        <v/>
      </c>
      <c r="H102" t="str">
        <f t="shared" si="18"/>
        <v>X</v>
      </c>
      <c r="I102" t="str">
        <f t="shared" si="19"/>
        <v/>
      </c>
      <c r="J102" s="2" t="str">
        <f t="shared" si="20"/>
        <v>{ parentCategory=7, category=76, zoneIds={1000}, isTrial=true},--Asylum Sanctorium</v>
      </c>
    </row>
    <row r="103" spans="1:10" x14ac:dyDescent="0.25">
      <c r="A103">
        <v>7</v>
      </c>
      <c r="B103">
        <v>77</v>
      </c>
      <c r="C103" t="str">
        <f t="shared" si="17"/>
        <v/>
      </c>
      <c r="D103" s="7">
        <f>VLOOKUP(E103,'ESO zones'!$D$5:$H$10005,5,FALSE)</f>
        <v>1051</v>
      </c>
      <c r="E103" t="s">
        <v>1179</v>
      </c>
      <c r="F103" t="s">
        <v>4237</v>
      </c>
      <c r="G103" t="str">
        <f t="shared" si="16"/>
        <v/>
      </c>
      <c r="H103" t="str">
        <f t="shared" si="18"/>
        <v>X</v>
      </c>
      <c r="I103" t="str">
        <f t="shared" si="19"/>
        <v/>
      </c>
      <c r="J103" s="2" t="str">
        <f t="shared" si="20"/>
        <v>{ parentCategory=7, category=77, zoneIds={1051}, isTrial=true},--Cloudrest</v>
      </c>
    </row>
    <row r="104" spans="1:10" x14ac:dyDescent="0.25">
      <c r="A104">
        <v>7</v>
      </c>
      <c r="B104">
        <v>78</v>
      </c>
      <c r="C104" t="str">
        <f t="shared" si="17"/>
        <v/>
      </c>
      <c r="D104" s="7">
        <f>VLOOKUP(E104,'ESO zones'!$D$5:$H$10005,5,FALSE)</f>
        <v>1121</v>
      </c>
      <c r="E104" t="s">
        <v>1296</v>
      </c>
      <c r="F104" t="s">
        <v>4238</v>
      </c>
      <c r="G104" t="str">
        <f t="shared" si="16"/>
        <v/>
      </c>
      <c r="H104" t="str">
        <f t="shared" si="18"/>
        <v>X</v>
      </c>
      <c r="I104" t="str">
        <f t="shared" si="19"/>
        <v/>
      </c>
      <c r="J104" s="2" t="str">
        <f t="shared" si="20"/>
        <v>{ parentCategory=7, category=78, zoneIds={1121}, isTrial=true},--Sunspire</v>
      </c>
    </row>
    <row r="105" spans="1:10" x14ac:dyDescent="0.25">
      <c r="A105">
        <v>7</v>
      </c>
      <c r="B105">
        <v>79</v>
      </c>
      <c r="C105" t="str">
        <f t="shared" si="17"/>
        <v/>
      </c>
      <c r="D105" s="7">
        <f>VLOOKUP(E105,'ESO zones'!$D$5:$H$10005,5,FALSE)</f>
        <v>1196</v>
      </c>
      <c r="E105" t="s">
        <v>1383</v>
      </c>
      <c r="F105" t="s">
        <v>4239</v>
      </c>
      <c r="G105" t="str">
        <f t="shared" si="16"/>
        <v/>
      </c>
      <c r="H105" t="str">
        <f t="shared" si="18"/>
        <v>X</v>
      </c>
      <c r="I105" t="str">
        <f t="shared" si="19"/>
        <v/>
      </c>
      <c r="J105" s="2" t="str">
        <f t="shared" si="20"/>
        <v>{ parentCategory=7, category=79, zoneIds={1196}, isTrial=true},--Kyne's Aegis</v>
      </c>
    </row>
    <row r="106" spans="1:10" x14ac:dyDescent="0.25">
      <c r="A106">
        <v>7</v>
      </c>
      <c r="B106">
        <v>101</v>
      </c>
      <c r="C106" t="str">
        <f t="shared" si="17"/>
        <v/>
      </c>
      <c r="D106" s="7">
        <f>VLOOKUP(E106,'ESO zones'!$D$5:$H$10005,5,FALSE)</f>
        <v>1344</v>
      </c>
      <c r="E106" t="s">
        <v>1723</v>
      </c>
      <c r="F106" t="s">
        <v>4240</v>
      </c>
      <c r="H106" t="str">
        <f t="shared" si="18"/>
        <v>X</v>
      </c>
      <c r="J106" s="2" t="str">
        <f t="shared" si="20"/>
        <v>{ parentCategory=7, category=101, zoneIds={1344}, isTrial=true},--Dreadsail Reef</v>
      </c>
    </row>
    <row r="107" spans="1:10" x14ac:dyDescent="0.25">
      <c r="A107">
        <v>7</v>
      </c>
      <c r="B107">
        <v>108</v>
      </c>
      <c r="C107" t="str">
        <f t="shared" si="17"/>
        <v/>
      </c>
      <c r="D107" s="7">
        <f>VLOOKUP(E107,'ESO zones'!$D$5:$H$10005,5,FALSE)</f>
        <v>1427</v>
      </c>
      <c r="E107" t="s">
        <v>1915</v>
      </c>
      <c r="H107" t="str">
        <f t="shared" si="18"/>
        <v>X</v>
      </c>
      <c r="J107" s="2" t="str">
        <f t="shared" si="20"/>
        <v>{ parentCategory=7, category=108, zoneIds={1427}, isTrial=true},--Sanity's Edge</v>
      </c>
    </row>
    <row r="108" spans="1:10" x14ac:dyDescent="0.25">
      <c r="A108">
        <v>7</v>
      </c>
      <c r="B108">
        <v>125</v>
      </c>
      <c r="C108" t="str">
        <f t="shared" si="17"/>
        <v/>
      </c>
      <c r="D108" s="7">
        <f>VLOOKUP(E108,'ESO zones'!$D$5:$H$10005,5,FALSE)</f>
        <v>1478</v>
      </c>
      <c r="E108" t="s">
        <v>2002</v>
      </c>
      <c r="F108" t="s">
        <v>2002</v>
      </c>
      <c r="H108" t="str">
        <f t="shared" si="18"/>
        <v>X</v>
      </c>
      <c r="J108" s="2" t="str">
        <f t="shared" si="20"/>
        <v>{ parentCategory=7, category=125, zoneIds={1478}, isTrial=true},--Lucent Citadel</v>
      </c>
    </row>
    <row r="109" spans="1:10" x14ac:dyDescent="0.25">
      <c r="A109">
        <v>7</v>
      </c>
      <c r="B109">
        <v>131</v>
      </c>
      <c r="C109" t="str">
        <f t="shared" si="17"/>
        <v/>
      </c>
      <c r="D109" s="7">
        <f>VLOOKUP(E109,'ESO zones'!$D$5:$H$10005,5,FALSE)</f>
        <v>1548</v>
      </c>
      <c r="E109" t="s">
        <v>2064</v>
      </c>
      <c r="F109" t="s">
        <v>2064</v>
      </c>
      <c r="H109" t="str">
        <f t="shared" si="18"/>
        <v>X</v>
      </c>
      <c r="J109" s="2" t="str">
        <f t="shared" si="20"/>
        <v>{ parentCategory=7, category=131, zoneIds={1548}, isTrial=true},--Ossein Cage</v>
      </c>
    </row>
    <row r="110" spans="1:10" x14ac:dyDescent="0.25">
      <c r="A110">
        <v>8</v>
      </c>
      <c r="B110">
        <v>8</v>
      </c>
      <c r="C110" t="str">
        <f t="shared" si="17"/>
        <v>X</v>
      </c>
      <c r="D110" s="61" t="e">
        <f>VLOOKUP(E110,'ESO zones'!$D$5:$H$10005,5,FALSE)</f>
        <v>#N/A</v>
      </c>
      <c r="E110" s="6" t="s">
        <v>4241</v>
      </c>
      <c r="F110" t="s">
        <v>4242</v>
      </c>
      <c r="G110" t="str">
        <f t="shared" ref="G110:G123" si="21">IF(OR(A110=5,A110=6,),"X","")</f>
        <v/>
      </c>
      <c r="H110" t="str">
        <f t="shared" si="18"/>
        <v/>
      </c>
      <c r="I110" t="str">
        <f t="shared" ref="I110:I123" si="22">IF(OR(A110=8,),"X","")</f>
        <v>X</v>
      </c>
      <c r="J110" s="2" t="str">
        <f t="shared" si="20"/>
        <v>--Arenas</v>
      </c>
    </row>
    <row r="111" spans="1:10" x14ac:dyDescent="0.25">
      <c r="A111">
        <v>8</v>
      </c>
      <c r="B111">
        <v>80</v>
      </c>
      <c r="C111" t="str">
        <f t="shared" si="17"/>
        <v/>
      </c>
      <c r="D111" s="7">
        <f>VLOOKUP(E111,'ESO zones'!$D$5:$H$10005,5,FALSE)</f>
        <v>635</v>
      </c>
      <c r="E111" t="s">
        <v>416</v>
      </c>
      <c r="F111" t="s">
        <v>4243</v>
      </c>
      <c r="G111" t="str">
        <f t="shared" si="21"/>
        <v/>
      </c>
      <c r="H111" t="str">
        <f t="shared" si="18"/>
        <v/>
      </c>
      <c r="I111" t="str">
        <f t="shared" si="22"/>
        <v>X</v>
      </c>
      <c r="J111" s="2" t="str">
        <f t="shared" si="20"/>
        <v>{ parentCategory=8, category=80, zoneIds={635}, isArena=true},--Dragonstar Arena</v>
      </c>
    </row>
    <row r="112" spans="1:10" x14ac:dyDescent="0.25">
      <c r="A112">
        <v>8</v>
      </c>
      <c r="B112">
        <v>81</v>
      </c>
      <c r="C112" t="str">
        <f t="shared" si="17"/>
        <v/>
      </c>
      <c r="D112" s="7">
        <f>VLOOKUP(E112,'ESO zones'!$D$5:$H$10005,5,FALSE)</f>
        <v>677</v>
      </c>
      <c r="E112" t="s">
        <v>818</v>
      </c>
      <c r="F112" t="s">
        <v>4244</v>
      </c>
      <c r="G112" t="str">
        <f t="shared" si="21"/>
        <v/>
      </c>
      <c r="H112" t="str">
        <f t="shared" si="18"/>
        <v/>
      </c>
      <c r="I112" t="str">
        <f t="shared" si="22"/>
        <v>X</v>
      </c>
      <c r="J112" s="2" t="str">
        <f t="shared" si="20"/>
        <v>{ parentCategory=8, category=81, zoneIds={677}, isArena=true},--Maelstrom Arena</v>
      </c>
    </row>
    <row r="113" spans="1:10" x14ac:dyDescent="0.25">
      <c r="A113">
        <v>8</v>
      </c>
      <c r="B113">
        <v>82</v>
      </c>
      <c r="C113" t="str">
        <f t="shared" si="17"/>
        <v/>
      </c>
      <c r="D113" s="7">
        <f>VLOOKUP(E113,'ESO zones'!$D$5:$H$10005,5,FALSE)</f>
        <v>1082</v>
      </c>
      <c r="E113" t="s">
        <v>1224</v>
      </c>
      <c r="F113" t="s">
        <v>4245</v>
      </c>
      <c r="G113" t="str">
        <f t="shared" si="21"/>
        <v/>
      </c>
      <c r="H113" t="str">
        <f t="shared" si="18"/>
        <v/>
      </c>
      <c r="I113" t="str">
        <f t="shared" si="22"/>
        <v>X</v>
      </c>
      <c r="J113" s="2" t="str">
        <f t="shared" si="20"/>
        <v>{ parentCategory=8, category=82, zoneIds={1082}, isArena=true},--Blackrose Prison</v>
      </c>
    </row>
    <row r="114" spans="1:10" x14ac:dyDescent="0.25">
      <c r="A114">
        <v>8</v>
      </c>
      <c r="B114">
        <v>90</v>
      </c>
      <c r="C114" t="str">
        <f t="shared" si="17"/>
        <v/>
      </c>
      <c r="D114" s="7">
        <f>VLOOKUP(E114,'ESO zones'!$D$5:$H$10005,5,FALSE)</f>
        <v>1227</v>
      </c>
      <c r="E114" t="s">
        <v>1511</v>
      </c>
      <c r="F114" t="s">
        <v>4246</v>
      </c>
      <c r="G114" t="str">
        <f t="shared" si="21"/>
        <v/>
      </c>
      <c r="H114" t="str">
        <f t="shared" si="18"/>
        <v/>
      </c>
      <c r="I114" t="str">
        <f t="shared" si="22"/>
        <v>X</v>
      </c>
      <c r="J114" s="2" t="str">
        <f t="shared" si="20"/>
        <v>{ parentCategory=8, category=90, zoneIds={1227}, isArena=true},--Vateshran Hollows</v>
      </c>
    </row>
    <row r="115" spans="1:10" x14ac:dyDescent="0.25">
      <c r="A115">
        <v>9</v>
      </c>
      <c r="B115">
        <v>9</v>
      </c>
      <c r="C115" t="str">
        <f t="shared" si="17"/>
        <v>X</v>
      </c>
      <c r="D115" s="61" t="e">
        <f>VLOOKUP(E115,'ESO zones'!$D$5:$H$10005,5,FALSE)</f>
        <v>#N/A</v>
      </c>
      <c r="E115" s="6" t="s">
        <v>4247</v>
      </c>
      <c r="F115" t="s">
        <v>4247</v>
      </c>
      <c r="G115" t="str">
        <f t="shared" si="21"/>
        <v/>
      </c>
      <c r="H115" t="str">
        <f t="shared" si="18"/>
        <v/>
      </c>
      <c r="I115" t="str">
        <f t="shared" si="22"/>
        <v/>
      </c>
      <c r="J115" s="2" t="str">
        <f t="shared" si="20"/>
        <v>--PVP</v>
      </c>
    </row>
    <row r="116" spans="1:10" x14ac:dyDescent="0.25">
      <c r="A116">
        <v>9</v>
      </c>
      <c r="B116">
        <v>83</v>
      </c>
      <c r="C116" t="str">
        <f t="shared" si="17"/>
        <v/>
      </c>
      <c r="D116" s="7">
        <f>VLOOKUP(E116,'ESO zones'!$D$5:$H$10005,5,FALSE)</f>
        <v>181</v>
      </c>
      <c r="E116" t="s">
        <v>166</v>
      </c>
      <c r="F116" t="s">
        <v>166</v>
      </c>
      <c r="G116" t="str">
        <f t="shared" si="21"/>
        <v/>
      </c>
      <c r="H116" t="str">
        <f t="shared" si="18"/>
        <v/>
      </c>
      <c r="I116" t="str">
        <f t="shared" si="22"/>
        <v/>
      </c>
      <c r="J116" s="2" t="str">
        <f t="shared" si="20"/>
        <v>{ parentCategory=9, category=83, zoneIds={181}},--Cyrodiil</v>
      </c>
    </row>
    <row r="117" spans="1:10" x14ac:dyDescent="0.25">
      <c r="A117">
        <v>9</v>
      </c>
      <c r="B117">
        <v>84</v>
      </c>
      <c r="C117" t="str">
        <f t="shared" si="17"/>
        <v/>
      </c>
      <c r="D117" s="7">
        <f>VLOOKUP(E117,'ESO zones'!$D$5:$H$10005,5,FALSE)</f>
        <v>584</v>
      </c>
      <c r="E117" t="s">
        <v>11</v>
      </c>
      <c r="F117" t="s">
        <v>4248</v>
      </c>
      <c r="G117" t="str">
        <f t="shared" si="21"/>
        <v/>
      </c>
      <c r="H117" t="str">
        <f t="shared" si="18"/>
        <v/>
      </c>
      <c r="I117" t="str">
        <f t="shared" si="22"/>
        <v/>
      </c>
      <c r="J117" s="2" t="str">
        <f t="shared" si="20"/>
        <v>{ parentCategory=9, category=84, zoneIds={584}},--Imperial City</v>
      </c>
    </row>
    <row r="118" spans="1:10" x14ac:dyDescent="0.25">
      <c r="A118">
        <v>9</v>
      </c>
      <c r="B118">
        <v>85</v>
      </c>
      <c r="C118" t="str">
        <f t="shared" si="17"/>
        <v/>
      </c>
      <c r="E118" t="s">
        <v>2201</v>
      </c>
      <c r="F118" t="s">
        <v>4249</v>
      </c>
      <c r="G118" t="str">
        <f t="shared" si="21"/>
        <v/>
      </c>
      <c r="H118" t="str">
        <f t="shared" si="18"/>
        <v/>
      </c>
      <c r="I118" t="str">
        <f t="shared" si="22"/>
        <v/>
      </c>
      <c r="J118" s="2" t="str">
        <f t="shared" si="20"/>
        <v>{ parentCategory=9, category=85},--Battlegrounds</v>
      </c>
    </row>
    <row r="119" spans="1:10" x14ac:dyDescent="0.25">
      <c r="A119">
        <v>10</v>
      </c>
      <c r="B119">
        <v>10</v>
      </c>
      <c r="C119" t="str">
        <f t="shared" si="17"/>
        <v>X</v>
      </c>
      <c r="D119" s="61" t="e">
        <f>VLOOKUP(E119,'ESO zones'!$D$5:$H$10005,5,FALSE)</f>
        <v>#N/A</v>
      </c>
      <c r="E119" s="6" t="s">
        <v>4250</v>
      </c>
      <c r="F119" t="s">
        <v>4251</v>
      </c>
      <c r="G119" t="str">
        <f t="shared" si="21"/>
        <v/>
      </c>
      <c r="H119" t="str">
        <f t="shared" si="18"/>
        <v/>
      </c>
      <c r="I119" t="str">
        <f t="shared" si="22"/>
        <v/>
      </c>
      <c r="J119" s="2" t="str">
        <f t="shared" si="20"/>
        <v>--Miscellaneous</v>
      </c>
    </row>
    <row r="120" spans="1:10" x14ac:dyDescent="0.25">
      <c r="A120">
        <v>10</v>
      </c>
      <c r="B120">
        <v>26</v>
      </c>
      <c r="C120" t="str">
        <f t="shared" si="17"/>
        <v/>
      </c>
      <c r="D120" s="7" t="s">
        <v>4252</v>
      </c>
      <c r="E120" t="s">
        <v>4253</v>
      </c>
      <c r="F120" t="s">
        <v>4254</v>
      </c>
      <c r="G120" t="str">
        <f t="shared" si="21"/>
        <v/>
      </c>
      <c r="H120" t="str">
        <f t="shared" si="18"/>
        <v/>
      </c>
      <c r="I120" t="str">
        <f t="shared" si="22"/>
        <v/>
      </c>
      <c r="J120" s="2" t="str">
        <f t="shared" si="20"/>
        <v>{ parentCategory=10, category=26, zoneIds={280,281,534,535,537}},--Beginner zones</v>
      </c>
    </row>
    <row r="121" spans="1:10" x14ac:dyDescent="0.25">
      <c r="A121">
        <v>10</v>
      </c>
      <c r="B121">
        <v>27</v>
      </c>
      <c r="C121" t="str">
        <f t="shared" si="17"/>
        <v/>
      </c>
      <c r="D121" s="7">
        <f>VLOOKUP(E121,'ESO zones'!$D$5:$H$10005,5,FALSE)</f>
        <v>347</v>
      </c>
      <c r="E121" t="s">
        <v>423</v>
      </c>
      <c r="F121" t="s">
        <v>3241</v>
      </c>
      <c r="G121" t="str">
        <f t="shared" si="21"/>
        <v/>
      </c>
      <c r="H121" t="str">
        <f t="shared" si="18"/>
        <v/>
      </c>
      <c r="I121" t="str">
        <f t="shared" si="22"/>
        <v/>
      </c>
      <c r="J121" s="2" t="str">
        <f t="shared" si="20"/>
        <v>{ parentCategory=10, category=27, zoneIds={347}},--Coldharbour</v>
      </c>
    </row>
    <row r="122" spans="1:10" x14ac:dyDescent="0.25">
      <c r="A122">
        <v>10</v>
      </c>
      <c r="B122">
        <v>28</v>
      </c>
      <c r="C122" t="str">
        <f t="shared" si="17"/>
        <v/>
      </c>
      <c r="D122" s="7">
        <f>VLOOKUP(E122,'ESO zones'!$D$5:$H$10005,5,FALSE)</f>
        <v>888</v>
      </c>
      <c r="E122" t="s">
        <v>686</v>
      </c>
      <c r="F122" t="s">
        <v>3331</v>
      </c>
      <c r="G122" t="str">
        <f t="shared" si="21"/>
        <v/>
      </c>
      <c r="H122" t="str">
        <f t="shared" si="18"/>
        <v/>
      </c>
      <c r="I122" t="str">
        <f t="shared" si="22"/>
        <v/>
      </c>
      <c r="J122" s="2" t="str">
        <f t="shared" si="20"/>
        <v>{ parentCategory=10, category=28, zoneIds={888}},--Craglorn</v>
      </c>
    </row>
    <row r="123" spans="1:10" x14ac:dyDescent="0.25">
      <c r="A123">
        <v>10</v>
      </c>
      <c r="B123">
        <v>86</v>
      </c>
      <c r="C123" t="str">
        <f t="shared" si="17"/>
        <v/>
      </c>
      <c r="E123" t="s">
        <v>4255</v>
      </c>
      <c r="F123" t="s">
        <v>4256</v>
      </c>
      <c r="G123" t="str">
        <f t="shared" si="21"/>
        <v/>
      </c>
      <c r="H123" t="str">
        <f t="shared" si="18"/>
        <v/>
      </c>
      <c r="I123" t="str">
        <f t="shared" si="22"/>
        <v/>
      </c>
      <c r="J123" s="2" t="str">
        <f t="shared" si="20"/>
        <v>{ parentCategory=10, category=86},--Antiquities</v>
      </c>
    </row>
  </sheetData>
  <autoFilter ref="A2:F2" xr:uid="{00000000-0009-0000-0000-000010000000}">
    <sortState xmlns:xlrd2="http://schemas.microsoft.com/office/spreadsheetml/2017/richdata2" ref="B2:B3">
      <sortCondition ref="B2"/>
    </sortState>
  </autoFilter>
  <mergeCells count="1">
    <mergeCell ref="A1:I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0">
    <tabColor rgb="FFFF0000"/>
  </sheetPr>
  <dimension ref="A1:F49"/>
  <sheetViews>
    <sheetView topLeftCell="A36" workbookViewId="0">
      <selection activeCell="B1" sqref="B1:F49"/>
    </sheetView>
  </sheetViews>
  <sheetFormatPr defaultColWidth="10.7109375" defaultRowHeight="15" x14ac:dyDescent="0.25"/>
  <cols>
    <col min="1" max="1" width="56.85546875" bestFit="1" customWidth="1"/>
  </cols>
  <sheetData>
    <row r="1" spans="1:6" x14ac:dyDescent="0.25">
      <c r="A1" t="s">
        <v>4333</v>
      </c>
      <c r="B1">
        <v>108</v>
      </c>
      <c r="C1">
        <v>51</v>
      </c>
      <c r="D1" t="s">
        <v>561</v>
      </c>
      <c r="E1">
        <v>267</v>
      </c>
      <c r="F1" t="s">
        <v>561</v>
      </c>
    </row>
    <row r="2" spans="1:6" x14ac:dyDescent="0.25">
      <c r="A2" t="s">
        <v>4334</v>
      </c>
      <c r="B2">
        <v>660</v>
      </c>
      <c r="C2">
        <v>26</v>
      </c>
      <c r="D2" t="s">
        <v>11</v>
      </c>
      <c r="E2">
        <v>584</v>
      </c>
      <c r="F2" t="s">
        <v>11</v>
      </c>
    </row>
    <row r="3" spans="1:6" x14ac:dyDescent="0.25">
      <c r="A3" t="s">
        <v>4335</v>
      </c>
      <c r="B3">
        <v>667</v>
      </c>
      <c r="C3">
        <v>27</v>
      </c>
      <c r="D3" t="s">
        <v>816</v>
      </c>
      <c r="E3">
        <v>684</v>
      </c>
      <c r="F3" t="s">
        <v>816</v>
      </c>
    </row>
    <row r="4" spans="1:6" x14ac:dyDescent="0.25">
      <c r="A4" t="s">
        <v>4336</v>
      </c>
      <c r="B4">
        <v>994</v>
      </c>
      <c r="C4">
        <v>28</v>
      </c>
      <c r="D4" t="s">
        <v>841</v>
      </c>
      <c r="E4">
        <v>816</v>
      </c>
      <c r="F4" t="s">
        <v>841</v>
      </c>
    </row>
    <row r="5" spans="1:6" x14ac:dyDescent="0.25">
      <c r="A5" t="s">
        <v>4337</v>
      </c>
      <c r="B5">
        <v>1006</v>
      </c>
      <c r="C5">
        <v>29</v>
      </c>
      <c r="D5" t="s">
        <v>873</v>
      </c>
      <c r="E5">
        <v>823</v>
      </c>
      <c r="F5" t="s">
        <v>873</v>
      </c>
    </row>
    <row r="6" spans="1:6" x14ac:dyDescent="0.25">
      <c r="A6" t="s">
        <v>4338</v>
      </c>
      <c r="B6">
        <v>1060</v>
      </c>
      <c r="C6">
        <v>30</v>
      </c>
      <c r="D6" t="s">
        <v>1037</v>
      </c>
      <c r="E6">
        <v>849</v>
      </c>
      <c r="F6" t="s">
        <v>1037</v>
      </c>
    </row>
    <row r="7" spans="1:6" x14ac:dyDescent="0.25">
      <c r="A7" t="s">
        <v>4339</v>
      </c>
      <c r="B7">
        <v>1313</v>
      </c>
      <c r="C7">
        <v>31</v>
      </c>
      <c r="D7" t="s">
        <v>32</v>
      </c>
      <c r="E7">
        <v>980</v>
      </c>
      <c r="F7" t="s">
        <v>32</v>
      </c>
    </row>
    <row r="8" spans="1:6" x14ac:dyDescent="0.25">
      <c r="A8" t="s">
        <v>4340</v>
      </c>
      <c r="B8">
        <v>1349</v>
      </c>
      <c r="C8">
        <v>32</v>
      </c>
      <c r="D8" t="s">
        <v>38</v>
      </c>
      <c r="E8">
        <v>1011</v>
      </c>
      <c r="F8" t="s">
        <v>38</v>
      </c>
    </row>
    <row r="9" spans="1:6" x14ac:dyDescent="0.25">
      <c r="A9" t="s">
        <v>4341</v>
      </c>
      <c r="B9">
        <v>1429</v>
      </c>
      <c r="C9">
        <v>33</v>
      </c>
      <c r="D9" t="s">
        <v>1166</v>
      </c>
      <c r="E9">
        <v>1027</v>
      </c>
      <c r="F9" t="s">
        <v>1166</v>
      </c>
    </row>
    <row r="10" spans="1:6" x14ac:dyDescent="0.25">
      <c r="A10" t="s">
        <v>4342</v>
      </c>
      <c r="B10">
        <v>1484</v>
      </c>
      <c r="C10">
        <v>34</v>
      </c>
      <c r="D10" t="s">
        <v>44</v>
      </c>
      <c r="E10">
        <v>726</v>
      </c>
      <c r="F10" t="s">
        <v>44</v>
      </c>
    </row>
    <row r="11" spans="1:6" x14ac:dyDescent="0.25">
      <c r="A11" t="s">
        <v>4343</v>
      </c>
      <c r="B11">
        <v>1555</v>
      </c>
      <c r="C11">
        <v>35</v>
      </c>
      <c r="D11" t="s">
        <v>1288</v>
      </c>
      <c r="E11">
        <v>1086</v>
      </c>
      <c r="F11" t="s">
        <v>1288</v>
      </c>
    </row>
    <row r="12" spans="1:6" x14ac:dyDescent="0.25">
      <c r="A12" t="s">
        <v>4344</v>
      </c>
      <c r="B12">
        <v>1654</v>
      </c>
      <c r="C12">
        <v>36</v>
      </c>
      <c r="D12" t="s">
        <v>1329</v>
      </c>
      <c r="E12">
        <v>1133</v>
      </c>
      <c r="F12" t="s">
        <v>1329</v>
      </c>
    </row>
    <row r="13" spans="1:6" x14ac:dyDescent="0.25">
      <c r="A13" t="s">
        <v>4345</v>
      </c>
      <c r="B13">
        <v>1719</v>
      </c>
      <c r="C13">
        <v>37</v>
      </c>
      <c r="D13" t="s">
        <v>1372</v>
      </c>
      <c r="E13">
        <v>1160</v>
      </c>
      <c r="F13" t="s">
        <v>1372</v>
      </c>
    </row>
    <row r="14" spans="1:6" x14ac:dyDescent="0.25">
      <c r="A14" t="s">
        <v>4346</v>
      </c>
      <c r="B14">
        <v>1747</v>
      </c>
      <c r="C14">
        <v>38</v>
      </c>
      <c r="D14" t="s">
        <v>2192</v>
      </c>
      <c r="E14">
        <v>1161</v>
      </c>
      <c r="F14" t="s">
        <v>2192</v>
      </c>
    </row>
    <row r="15" spans="1:6" x14ac:dyDescent="0.25">
      <c r="A15" t="s">
        <v>4347</v>
      </c>
      <c r="B15">
        <v>1814</v>
      </c>
      <c r="C15">
        <v>41</v>
      </c>
      <c r="D15" t="s">
        <v>1492</v>
      </c>
      <c r="E15">
        <v>1207</v>
      </c>
      <c r="F15" t="s">
        <v>1492</v>
      </c>
    </row>
    <row r="16" spans="1:6" x14ac:dyDescent="0.25">
      <c r="A16" t="s">
        <v>4348</v>
      </c>
      <c r="B16">
        <v>1850</v>
      </c>
      <c r="C16">
        <v>40</v>
      </c>
      <c r="D16" t="s">
        <v>2850</v>
      </c>
      <c r="E16">
        <v>1208</v>
      </c>
      <c r="F16" t="s">
        <v>2850</v>
      </c>
    </row>
    <row r="17" spans="1:6" x14ac:dyDescent="0.25">
      <c r="A17" t="s">
        <v>4349</v>
      </c>
      <c r="B17">
        <v>1887</v>
      </c>
      <c r="C17">
        <v>42</v>
      </c>
      <c r="D17" t="s">
        <v>74</v>
      </c>
      <c r="E17">
        <v>1261</v>
      </c>
      <c r="F17" t="s">
        <v>74</v>
      </c>
    </row>
    <row r="18" spans="1:6" x14ac:dyDescent="0.25">
      <c r="A18" t="s">
        <v>4350</v>
      </c>
      <c r="B18">
        <v>2021</v>
      </c>
      <c r="C18">
        <v>44</v>
      </c>
      <c r="D18" t="s">
        <v>80</v>
      </c>
      <c r="E18">
        <v>1286</v>
      </c>
      <c r="F18" t="s">
        <v>80</v>
      </c>
    </row>
    <row r="19" spans="1:6" x14ac:dyDescent="0.25">
      <c r="A19" t="s">
        <v>4351</v>
      </c>
      <c r="B19">
        <v>2035</v>
      </c>
      <c r="C19">
        <v>46</v>
      </c>
      <c r="D19" t="s">
        <v>3092</v>
      </c>
      <c r="E19">
        <v>1282</v>
      </c>
      <c r="F19" t="s">
        <v>1674</v>
      </c>
    </row>
    <row r="20" spans="1:6" x14ac:dyDescent="0.25">
      <c r="A20" t="s">
        <v>4352</v>
      </c>
      <c r="B20">
        <v>2114</v>
      </c>
      <c r="C20">
        <v>45</v>
      </c>
      <c r="D20" t="s">
        <v>3093</v>
      </c>
      <c r="E20">
        <v>1318</v>
      </c>
      <c r="F20" t="s">
        <v>86</v>
      </c>
    </row>
    <row r="21" spans="1:6" x14ac:dyDescent="0.25">
      <c r="A21" t="s">
        <v>4353</v>
      </c>
      <c r="B21">
        <v>2119</v>
      </c>
      <c r="C21">
        <v>43</v>
      </c>
      <c r="D21" t="s">
        <v>1674</v>
      </c>
      <c r="E21">
        <v>1283</v>
      </c>
      <c r="F21" t="s">
        <v>1643</v>
      </c>
    </row>
    <row r="22" spans="1:6" x14ac:dyDescent="0.25">
      <c r="A22" t="s">
        <v>4354</v>
      </c>
      <c r="B22">
        <v>2212</v>
      </c>
      <c r="C22">
        <v>47</v>
      </c>
      <c r="D22" t="s">
        <v>3094</v>
      </c>
      <c r="E22">
        <v>1383</v>
      </c>
      <c r="F22" t="s">
        <v>1813</v>
      </c>
    </row>
    <row r="23" spans="1:6" x14ac:dyDescent="0.25">
      <c r="A23" t="s">
        <v>4355</v>
      </c>
      <c r="B23">
        <v>2274</v>
      </c>
      <c r="C23">
        <v>48</v>
      </c>
      <c r="D23" t="s">
        <v>1881</v>
      </c>
      <c r="E23">
        <v>1414</v>
      </c>
      <c r="F23" t="s">
        <v>1881</v>
      </c>
    </row>
    <row r="24" spans="1:6" x14ac:dyDescent="0.25">
      <c r="A24" t="s">
        <v>4356</v>
      </c>
      <c r="B24">
        <v>2275</v>
      </c>
      <c r="C24">
        <v>49</v>
      </c>
      <c r="D24" t="s">
        <v>1897</v>
      </c>
      <c r="E24">
        <v>1413</v>
      </c>
      <c r="F24" t="s">
        <v>1897</v>
      </c>
    </row>
    <row r="25" spans="1:6" x14ac:dyDescent="0.25">
      <c r="A25" t="s">
        <v>4357</v>
      </c>
      <c r="B25">
        <v>2427</v>
      </c>
      <c r="C25">
        <v>50</v>
      </c>
      <c r="D25" t="s">
        <v>1971</v>
      </c>
      <c r="E25">
        <v>1443</v>
      </c>
      <c r="F25" t="s">
        <v>1971</v>
      </c>
    </row>
    <row r="26" spans="1:6" x14ac:dyDescent="0.25">
      <c r="A26" t="s">
        <v>4358</v>
      </c>
      <c r="B26">
        <v>1</v>
      </c>
      <c r="C26">
        <v>2</v>
      </c>
      <c r="D26" t="s">
        <v>496</v>
      </c>
      <c r="E26">
        <v>3</v>
      </c>
      <c r="F26" t="s">
        <v>496</v>
      </c>
    </row>
    <row r="27" spans="1:6" x14ac:dyDescent="0.25">
      <c r="A27" t="s">
        <v>4359</v>
      </c>
      <c r="B27">
        <v>7</v>
      </c>
      <c r="C27">
        <v>11</v>
      </c>
      <c r="D27" t="s">
        <v>433</v>
      </c>
      <c r="E27">
        <v>41</v>
      </c>
      <c r="F27" t="s">
        <v>433</v>
      </c>
    </row>
    <row r="28" spans="1:6" x14ac:dyDescent="0.25">
      <c r="A28" t="s">
        <v>4360</v>
      </c>
      <c r="B28">
        <v>9</v>
      </c>
      <c r="C28">
        <v>7</v>
      </c>
      <c r="D28" t="s">
        <v>451</v>
      </c>
      <c r="E28">
        <v>383</v>
      </c>
      <c r="F28" t="s">
        <v>451</v>
      </c>
    </row>
    <row r="29" spans="1:6" x14ac:dyDescent="0.25">
      <c r="A29" t="s">
        <v>4361</v>
      </c>
      <c r="B29">
        <v>10</v>
      </c>
      <c r="C29">
        <v>3</v>
      </c>
      <c r="D29" t="s">
        <v>501</v>
      </c>
      <c r="E29">
        <v>20</v>
      </c>
      <c r="F29" t="s">
        <v>501</v>
      </c>
    </row>
    <row r="30" spans="1:6" x14ac:dyDescent="0.25">
      <c r="A30" t="s">
        <v>4362</v>
      </c>
      <c r="B30">
        <v>12</v>
      </c>
      <c r="C30">
        <v>4</v>
      </c>
      <c r="D30" t="s">
        <v>413</v>
      </c>
      <c r="E30">
        <v>19</v>
      </c>
      <c r="F30" t="s">
        <v>413</v>
      </c>
    </row>
    <row r="31" spans="1:6" x14ac:dyDescent="0.25">
      <c r="A31" t="s">
        <v>4363</v>
      </c>
      <c r="B31">
        <v>13</v>
      </c>
      <c r="C31">
        <v>10</v>
      </c>
      <c r="D31" t="s">
        <v>436</v>
      </c>
      <c r="E31">
        <v>57</v>
      </c>
      <c r="F31" t="s">
        <v>436</v>
      </c>
    </row>
    <row r="32" spans="1:6" x14ac:dyDescent="0.25">
      <c r="A32" t="s">
        <v>4364</v>
      </c>
      <c r="B32">
        <v>16</v>
      </c>
      <c r="C32">
        <v>14</v>
      </c>
      <c r="D32" t="s">
        <v>166</v>
      </c>
      <c r="E32">
        <v>181</v>
      </c>
      <c r="F32" t="s">
        <v>166</v>
      </c>
    </row>
    <row r="33" spans="1:6" x14ac:dyDescent="0.25">
      <c r="A33" t="s">
        <v>4365</v>
      </c>
      <c r="B33">
        <v>20</v>
      </c>
      <c r="C33">
        <v>6</v>
      </c>
      <c r="D33" t="s">
        <v>524</v>
      </c>
      <c r="E33">
        <v>92</v>
      </c>
      <c r="F33" t="s">
        <v>524</v>
      </c>
    </row>
    <row r="34" spans="1:6" x14ac:dyDescent="0.25">
      <c r="A34" t="s">
        <v>4366</v>
      </c>
      <c r="B34">
        <v>22</v>
      </c>
      <c r="C34">
        <v>8</v>
      </c>
      <c r="D34" t="s">
        <v>429</v>
      </c>
      <c r="E34">
        <v>58</v>
      </c>
      <c r="F34" t="s">
        <v>429</v>
      </c>
    </row>
    <row r="35" spans="1:6" x14ac:dyDescent="0.25">
      <c r="A35" t="s">
        <v>4367</v>
      </c>
      <c r="B35">
        <v>26</v>
      </c>
      <c r="C35">
        <v>9</v>
      </c>
      <c r="D35" t="s">
        <v>506</v>
      </c>
      <c r="E35">
        <v>117</v>
      </c>
      <c r="F35" t="s">
        <v>506</v>
      </c>
    </row>
    <row r="36" spans="1:6" x14ac:dyDescent="0.25">
      <c r="A36" t="s">
        <v>4368</v>
      </c>
      <c r="B36">
        <v>30</v>
      </c>
      <c r="C36">
        <v>5</v>
      </c>
      <c r="D36" t="s">
        <v>442</v>
      </c>
      <c r="E36">
        <v>104</v>
      </c>
      <c r="F36" t="s">
        <v>442</v>
      </c>
    </row>
    <row r="37" spans="1:6" x14ac:dyDescent="0.25">
      <c r="A37" t="s">
        <v>4369</v>
      </c>
      <c r="B37">
        <v>61</v>
      </c>
      <c r="C37">
        <v>13</v>
      </c>
      <c r="D37" t="s">
        <v>409</v>
      </c>
      <c r="E37">
        <v>101</v>
      </c>
      <c r="F37" t="s">
        <v>409</v>
      </c>
    </row>
    <row r="38" spans="1:6" x14ac:dyDescent="0.25">
      <c r="A38" t="s">
        <v>4370</v>
      </c>
      <c r="B38">
        <v>125</v>
      </c>
      <c r="C38">
        <v>12</v>
      </c>
      <c r="D38" t="s">
        <v>406</v>
      </c>
      <c r="E38">
        <v>103</v>
      </c>
      <c r="F38" t="s">
        <v>406</v>
      </c>
    </row>
    <row r="39" spans="1:6" x14ac:dyDescent="0.25">
      <c r="A39" t="s">
        <v>4371</v>
      </c>
      <c r="B39">
        <v>74</v>
      </c>
      <c r="C39">
        <v>22</v>
      </c>
      <c r="D39" t="s">
        <v>964</v>
      </c>
      <c r="E39">
        <v>280</v>
      </c>
      <c r="F39" t="s">
        <v>964</v>
      </c>
    </row>
    <row r="40" spans="1:6" x14ac:dyDescent="0.25">
      <c r="A40" t="s">
        <v>4372</v>
      </c>
      <c r="B40">
        <v>227</v>
      </c>
      <c r="C40">
        <v>20</v>
      </c>
      <c r="D40" t="s">
        <v>1450</v>
      </c>
      <c r="E40">
        <v>535</v>
      </c>
      <c r="F40" t="s">
        <v>1450</v>
      </c>
    </row>
    <row r="41" spans="1:6" x14ac:dyDescent="0.25">
      <c r="A41" t="s">
        <v>4373</v>
      </c>
      <c r="B41">
        <v>255</v>
      </c>
      <c r="C41">
        <v>23</v>
      </c>
      <c r="D41" t="s">
        <v>423</v>
      </c>
      <c r="E41">
        <v>347</v>
      </c>
      <c r="F41" t="s">
        <v>423</v>
      </c>
    </row>
    <row r="42" spans="1:6" x14ac:dyDescent="0.25">
      <c r="A42" t="s">
        <v>4374</v>
      </c>
      <c r="B42">
        <v>258</v>
      </c>
      <c r="C42">
        <v>21</v>
      </c>
      <c r="D42" t="s">
        <v>2453</v>
      </c>
      <c r="E42">
        <v>537</v>
      </c>
      <c r="F42" t="s">
        <v>2453</v>
      </c>
    </row>
    <row r="43" spans="1:6" x14ac:dyDescent="0.25">
      <c r="A43" t="s">
        <v>4375</v>
      </c>
      <c r="B43">
        <v>1126</v>
      </c>
      <c r="C43">
        <v>25</v>
      </c>
      <c r="D43" t="s">
        <v>686</v>
      </c>
      <c r="E43">
        <v>888</v>
      </c>
      <c r="F43" t="s">
        <v>686</v>
      </c>
    </row>
    <row r="44" spans="1:6" x14ac:dyDescent="0.25">
      <c r="A44" t="s">
        <v>4376</v>
      </c>
      <c r="B44">
        <v>75</v>
      </c>
      <c r="C44">
        <v>18</v>
      </c>
      <c r="D44" t="s">
        <v>965</v>
      </c>
      <c r="E44">
        <v>281</v>
      </c>
      <c r="F44" t="s">
        <v>965</v>
      </c>
    </row>
    <row r="45" spans="1:6" x14ac:dyDescent="0.25">
      <c r="A45" t="s">
        <v>4377</v>
      </c>
      <c r="B45">
        <v>143</v>
      </c>
      <c r="C45">
        <v>15</v>
      </c>
      <c r="D45" t="s">
        <v>439</v>
      </c>
      <c r="E45">
        <v>381</v>
      </c>
      <c r="F45" t="s">
        <v>439</v>
      </c>
    </row>
    <row r="46" spans="1:6" x14ac:dyDescent="0.25">
      <c r="A46" t="s">
        <v>4378</v>
      </c>
      <c r="B46">
        <v>201</v>
      </c>
      <c r="C46">
        <v>19</v>
      </c>
      <c r="D46" t="s">
        <v>2452</v>
      </c>
      <c r="E46">
        <v>534</v>
      </c>
      <c r="F46" t="s">
        <v>2452</v>
      </c>
    </row>
    <row r="47" spans="1:6" x14ac:dyDescent="0.25">
      <c r="A47" t="s">
        <v>4379</v>
      </c>
      <c r="B47">
        <v>256</v>
      </c>
      <c r="C47">
        <v>17</v>
      </c>
      <c r="D47" t="s">
        <v>568</v>
      </c>
      <c r="E47">
        <v>382</v>
      </c>
      <c r="F47" t="s">
        <v>568</v>
      </c>
    </row>
    <row r="48" spans="1:6" x14ac:dyDescent="0.25">
      <c r="A48" t="s">
        <v>4380</v>
      </c>
      <c r="B48">
        <v>300</v>
      </c>
      <c r="C48">
        <v>16</v>
      </c>
      <c r="D48" t="s">
        <v>511</v>
      </c>
      <c r="E48">
        <v>108</v>
      </c>
      <c r="F48" t="s">
        <v>511</v>
      </c>
    </row>
    <row r="49" spans="1:6" x14ac:dyDescent="0.25">
      <c r="A49" t="s">
        <v>4381</v>
      </c>
      <c r="B49">
        <v>2603</v>
      </c>
      <c r="C49">
        <v>52</v>
      </c>
      <c r="D49" t="s">
        <v>2036</v>
      </c>
      <c r="E49">
        <v>1502</v>
      </c>
      <c r="F49" t="s">
        <v>2036</v>
      </c>
    </row>
  </sheetData>
  <pageMargins left="0.7" right="0.7" top="0.78749999999999998" bottom="0.78749999999999998" header="0.3" footer="0.3"/>
  <pageSetup paperSize="9" fitToWidth="0" orientation="portrait" r:id="rId1"/>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2">
    <tabColor rgb="FF7030A0"/>
  </sheetPr>
  <dimension ref="A1:G511"/>
  <sheetViews>
    <sheetView workbookViewId="0">
      <pane xSplit="3" ySplit="2" topLeftCell="D438" activePane="bottomRight" state="frozen"/>
      <selection pane="topRight"/>
      <selection pane="bottomLeft"/>
      <selection pane="bottomRight" sqref="A1:C1"/>
    </sheetView>
  </sheetViews>
  <sheetFormatPr defaultColWidth="11.5703125" defaultRowHeight="15" x14ac:dyDescent="0.25"/>
  <cols>
    <col min="1" max="1" width="18.7109375" style="1" customWidth="1"/>
    <col min="2" max="2" width="33.7109375" style="3" customWidth="1"/>
    <col min="3" max="3" width="43.28515625" style="3" customWidth="1"/>
    <col min="4" max="4" width="62.85546875" customWidth="1"/>
    <col min="5" max="5" width="27.7109375" customWidth="1"/>
    <col min="6" max="6" width="20.85546875" customWidth="1"/>
    <col min="7" max="7" width="150.7109375" style="2" customWidth="1"/>
  </cols>
  <sheetData>
    <row r="1" spans="1:7" ht="161.25" customHeight="1" x14ac:dyDescent="0.25">
      <c r="A1" s="104" t="s">
        <v>4257</v>
      </c>
      <c r="B1" s="104"/>
      <c r="C1" s="104"/>
      <c r="D1" s="20" t="s">
        <v>4258</v>
      </c>
      <c r="G1" s="44" t="s">
        <v>4259</v>
      </c>
    </row>
    <row r="2" spans="1:7" x14ac:dyDescent="0.25">
      <c r="A2" s="8" t="s">
        <v>339</v>
      </c>
      <c r="B2" s="3" t="s">
        <v>2116</v>
      </c>
      <c r="C2" s="3" t="s">
        <v>2117</v>
      </c>
      <c r="D2" s="6" t="s">
        <v>4260</v>
      </c>
      <c r="E2" s="6" t="s">
        <v>4261</v>
      </c>
      <c r="F2" s="6" t="s">
        <v>4262</v>
      </c>
      <c r="G2" s="2" t="s">
        <v>4263</v>
      </c>
    </row>
    <row r="3" spans="1:7" x14ac:dyDescent="0.25">
      <c r="A3" s="12">
        <v>19</v>
      </c>
      <c r="B3" s="9" t="str">
        <f>VLOOKUP(A3,'Sets (lua data)'!$A$3:$C$9838,3,FALSE)</f>
        <v>Vestments of the Warlock</v>
      </c>
      <c r="C3" s="9" t="str">
        <f>VLOOKUP(A3,'Sets (lua data)'!$A$3:$C$9838,2,FALSE)</f>
        <v>Gewänder des Hexers</v>
      </c>
      <c r="G3" s="2" t="str">
        <f t="shared" ref="G3:G66" si="0">IF(AND(A3&lt;&gt;"",NOT(ISERROR(A3)),ISNUMBER(A3),D3&lt;&gt;""),CONCATENATE("[",A3,"] = {",D3,"},","     --",B3," -&gt; ",E3," / ",F3),"")</f>
        <v/>
      </c>
    </row>
    <row r="4" spans="1:7" x14ac:dyDescent="0.25">
      <c r="A4" s="12">
        <v>20</v>
      </c>
      <c r="B4" s="9" t="str">
        <f>VLOOKUP(A4,'Sets (lua data)'!$A$3:$C$9838,3,FALSE)</f>
        <v>Witchman Armor</v>
      </c>
      <c r="C4" s="9" t="str">
        <f>VLOOKUP(A4,'Sets (lua data)'!$A$3:$C$9838,2,FALSE)</f>
        <v>Hexenwerk</v>
      </c>
      <c r="G4" s="2" t="str">
        <f t="shared" si="0"/>
        <v/>
      </c>
    </row>
    <row r="5" spans="1:7" x14ac:dyDescent="0.25">
      <c r="A5" s="12">
        <v>21</v>
      </c>
      <c r="B5" s="9" t="str">
        <f>VLOOKUP(A5,'Sets (lua data)'!$A$3:$C$9838,3,FALSE)</f>
        <v>Akaviri Dragonguard</v>
      </c>
      <c r="C5" s="9" t="str">
        <f>VLOOKUP(A5,'Sets (lua data)'!$A$3:$C$9838,2,FALSE)</f>
        <v>Akavirische Drachengarde</v>
      </c>
      <c r="G5" s="2" t="str">
        <f t="shared" si="0"/>
        <v/>
      </c>
    </row>
    <row r="6" spans="1:7" x14ac:dyDescent="0.25">
      <c r="A6" s="12">
        <v>22</v>
      </c>
      <c r="B6" s="9" t="str">
        <f>VLOOKUP(A6,'Sets (lua data)'!$A$3:$C$9838,3,FALSE)</f>
        <v>Dreamer\'s Mantle</v>
      </c>
      <c r="C6" s="9" t="str">
        <f>VLOOKUP(A6,'Sets (lua data)'!$A$3:$C$9838,2,FALSE)</f>
        <v>Mantel des Träumers</v>
      </c>
      <c r="G6" s="2" t="str">
        <f t="shared" si="0"/>
        <v/>
      </c>
    </row>
    <row r="7" spans="1:7" x14ac:dyDescent="0.25">
      <c r="A7" s="12">
        <v>23</v>
      </c>
      <c r="B7" s="9" t="str">
        <f>VLOOKUP(A7,'Sets (lua data)'!$A$3:$C$9838,3,FALSE)</f>
        <v>Archer\'s Mind</v>
      </c>
      <c r="C7" s="9" t="str">
        <f>VLOOKUP(A7,'Sets (lua data)'!$A$3:$C$9838,2,FALSE)</f>
        <v>Schützensinn</v>
      </c>
      <c r="G7" s="2" t="str">
        <f t="shared" si="0"/>
        <v/>
      </c>
    </row>
    <row r="8" spans="1:7" x14ac:dyDescent="0.25">
      <c r="A8" s="12">
        <v>24</v>
      </c>
      <c r="B8" s="9" t="str">
        <f>VLOOKUP(A8,'Sets (lua data)'!$A$3:$C$9838,3,FALSE)</f>
        <v>Footman\'s Fortune</v>
      </c>
      <c r="C8" s="9" t="str">
        <f>VLOOKUP(A8,'Sets (lua data)'!$A$3:$C$9838,2,FALSE)</f>
        <v>Geschick des Fußsoldaten</v>
      </c>
      <c r="G8" s="2" t="str">
        <f t="shared" si="0"/>
        <v/>
      </c>
    </row>
    <row r="9" spans="1:7" x14ac:dyDescent="0.25">
      <c r="A9" s="12">
        <v>25</v>
      </c>
      <c r="B9" s="9" t="str">
        <f>VLOOKUP(A9,'Sets (lua data)'!$A$3:$C$9838,3,FALSE)</f>
        <v>Desert Rose</v>
      </c>
      <c r="C9" s="9" t="str">
        <f>VLOOKUP(A9,'Sets (lua data)'!$A$3:$C$9838,2,FALSE)</f>
        <v>Wüstenrose</v>
      </c>
      <c r="G9" s="2" t="str">
        <f t="shared" si="0"/>
        <v/>
      </c>
    </row>
    <row r="10" spans="1:7" x14ac:dyDescent="0.25">
      <c r="A10" s="12">
        <v>26</v>
      </c>
      <c r="B10" s="9" t="str">
        <f>VLOOKUP(A10,'Sets (lua data)'!$A$3:$C$9838,3,FALSE)</f>
        <v>Prisoner\'s Rags</v>
      </c>
      <c r="C10" s="9" t="str">
        <f>VLOOKUP(A10,'Sets (lua data)'!$A$3:$C$9838,2,FALSE)</f>
        <v>Lumpen des Gefangenen</v>
      </c>
      <c r="G10" s="2" t="str">
        <f t="shared" si="0"/>
        <v/>
      </c>
    </row>
    <row r="11" spans="1:7" x14ac:dyDescent="0.25">
      <c r="A11" s="12">
        <v>27</v>
      </c>
      <c r="B11" s="9" t="str">
        <f>VLOOKUP(A11,'Sets (lua data)'!$A$3:$C$9838,3,FALSE)</f>
        <v>Fiord\'s Legacy</v>
      </c>
      <c r="C11" s="9" t="str">
        <f>VLOOKUP(A11,'Sets (lua data)'!$A$3:$C$9838,2,FALSE)</f>
        <v>Fiords Erbe</v>
      </c>
      <c r="G11" s="2" t="str">
        <f t="shared" si="0"/>
        <v/>
      </c>
    </row>
    <row r="12" spans="1:7" x14ac:dyDescent="0.25">
      <c r="A12" s="12">
        <v>28</v>
      </c>
      <c r="B12" s="9" t="str">
        <f>VLOOKUP(A12,'Sets (lua data)'!$A$3:$C$9838,3,FALSE)</f>
        <v>Barkskin</v>
      </c>
      <c r="C12" s="9" t="str">
        <f>VLOOKUP(A12,'Sets (lua data)'!$A$3:$C$9838,2,FALSE)</f>
        <v>Borkenhaut</v>
      </c>
      <c r="G12" s="2" t="str">
        <f t="shared" si="0"/>
        <v/>
      </c>
    </row>
    <row r="13" spans="1:7" x14ac:dyDescent="0.25">
      <c r="A13" s="12">
        <v>29</v>
      </c>
      <c r="B13" s="9" t="str">
        <f>VLOOKUP(A13,'Sets (lua data)'!$A$3:$C$9838,3,FALSE)</f>
        <v>Sergeant\'s Mail</v>
      </c>
      <c r="C13" s="9" t="str">
        <f>VLOOKUP(A13,'Sets (lua data)'!$A$3:$C$9838,2,FALSE)</f>
        <v>Rüstung des Feldwebels</v>
      </c>
      <c r="G13" s="2" t="str">
        <f t="shared" si="0"/>
        <v/>
      </c>
    </row>
    <row r="14" spans="1:7" x14ac:dyDescent="0.25">
      <c r="A14" s="12">
        <v>30</v>
      </c>
      <c r="B14" s="9" t="str">
        <f>VLOOKUP(A14,'Sets (lua data)'!$A$3:$C$9838,3,FALSE)</f>
        <v>Thunderbug\'s Carapace</v>
      </c>
      <c r="C14" s="9" t="str">
        <f>VLOOKUP(A14,'Sets (lua data)'!$A$3:$C$9838,2,FALSE)</f>
        <v>Donnerkäferpanzer</v>
      </c>
      <c r="G14" s="2" t="str">
        <f t="shared" si="0"/>
        <v/>
      </c>
    </row>
    <row r="15" spans="1:7" x14ac:dyDescent="0.25">
      <c r="A15" s="12">
        <v>31</v>
      </c>
      <c r="B15" s="9" t="str">
        <f>VLOOKUP(A15,'Sets (lua data)'!$A$3:$C$9838,3,FALSE)</f>
        <v>Silks of the Sun</v>
      </c>
      <c r="C15" s="9" t="str">
        <f>VLOOKUP(A15,'Sets (lua data)'!$A$3:$C$9838,2,FALSE)</f>
        <v>Sonnenseide</v>
      </c>
      <c r="G15" s="2" t="str">
        <f t="shared" si="0"/>
        <v/>
      </c>
    </row>
    <row r="16" spans="1:7" x14ac:dyDescent="0.25">
      <c r="A16" s="12">
        <v>32</v>
      </c>
      <c r="B16" s="9" t="str">
        <f>VLOOKUP(A16,'Sets (lua data)'!$A$3:$C$9838,3,FALSE)</f>
        <v>Healer\'s Habit</v>
      </c>
      <c r="C16" s="9" t="str">
        <f>VLOOKUP(A16,'Sets (lua data)'!$A$3:$C$9838,2,FALSE)</f>
        <v>Bräuche des Heilers</v>
      </c>
      <c r="G16" s="2" t="str">
        <f t="shared" si="0"/>
        <v/>
      </c>
    </row>
    <row r="17" spans="1:7" x14ac:dyDescent="0.25">
      <c r="A17" s="12">
        <v>33</v>
      </c>
      <c r="B17" s="9" t="str">
        <f>VLOOKUP(A17,'Sets (lua data)'!$A$3:$C$9838,3,FALSE)</f>
        <v>Viper\'s Sting</v>
      </c>
      <c r="C17" s="9" t="str">
        <f>VLOOKUP(A17,'Sets (lua data)'!$A$3:$C$9838,2,FALSE)</f>
        <v>Vipernbiss</v>
      </c>
      <c r="G17" s="2" t="str">
        <f t="shared" si="0"/>
        <v/>
      </c>
    </row>
    <row r="18" spans="1:7" x14ac:dyDescent="0.25">
      <c r="A18" s="12">
        <v>34</v>
      </c>
      <c r="B18" s="9" t="str">
        <f>VLOOKUP(A18,'Sets (lua data)'!$A$3:$C$9838,3,FALSE)</f>
        <v>Night Mother\'s Embrace</v>
      </c>
      <c r="C18" s="9" t="str">
        <f>VLOOKUP(A18,'Sets (lua data)'!$A$3:$C$9838,2,FALSE)</f>
        <v>Umarmung der Mutter der Nacht</v>
      </c>
      <c r="G18" s="2" t="str">
        <f t="shared" si="0"/>
        <v/>
      </c>
    </row>
    <row r="19" spans="1:7" x14ac:dyDescent="0.25">
      <c r="A19" s="12">
        <v>35</v>
      </c>
      <c r="B19" s="9" t="str">
        <f>VLOOKUP(A19,'Sets (lua data)'!$A$3:$C$9838,3,FALSE)</f>
        <v>Knightmare</v>
      </c>
      <c r="C19" s="9" t="str">
        <f>VLOOKUP(A19,'Sets (lua data)'!$A$3:$C$9838,2,FALSE)</f>
        <v>Albtraumritter</v>
      </c>
      <c r="G19" s="2" t="str">
        <f t="shared" si="0"/>
        <v/>
      </c>
    </row>
    <row r="20" spans="1:7" x14ac:dyDescent="0.25">
      <c r="A20" s="12">
        <v>36</v>
      </c>
      <c r="B20" s="9" t="str">
        <f>VLOOKUP(A20,'Sets (lua data)'!$A$3:$C$9838,3,FALSE)</f>
        <v>Armor of the Veiled Heritance</v>
      </c>
      <c r="C20" s="9" t="str">
        <f>VLOOKUP(A20,'Sets (lua data)'!$A$3:$C$9838,2,FALSE)</f>
        <v>Rüstung des Schleiererbes</v>
      </c>
      <c r="G20" s="2" t="str">
        <f t="shared" si="0"/>
        <v/>
      </c>
    </row>
    <row r="21" spans="1:7" x14ac:dyDescent="0.25">
      <c r="A21" s="1">
        <v>37</v>
      </c>
      <c r="B21" s="9" t="str">
        <f>VLOOKUP(A21,'Sets (lua data)'!$A$3:$C$9838,3,FALSE)</f>
        <v>Death\'s Wind</v>
      </c>
      <c r="C21" s="9" t="str">
        <f>VLOOKUP(A21,'Sets (lua data)'!$A$3:$C$9838,2,FALSE)</f>
        <v>Todeswind</v>
      </c>
      <c r="G21" s="2" t="str">
        <f t="shared" si="0"/>
        <v/>
      </c>
    </row>
    <row r="22" spans="1:7" x14ac:dyDescent="0.25">
      <c r="A22" s="1">
        <v>38</v>
      </c>
      <c r="B22" s="9" t="str">
        <f>VLOOKUP(A22,'Sets (lua data)'!$A$3:$C$9838,3,FALSE)</f>
        <v>Twilight\'s Embrace</v>
      </c>
      <c r="C22" s="9" t="str">
        <f>VLOOKUP(A22,'Sets (lua data)'!$A$3:$C$9838,2,FALSE)</f>
        <v>Zwielichtkuss</v>
      </c>
      <c r="G22" s="2" t="str">
        <f t="shared" si="0"/>
        <v/>
      </c>
    </row>
    <row r="23" spans="1:7" x14ac:dyDescent="0.25">
      <c r="A23" s="12">
        <v>39</v>
      </c>
      <c r="B23" s="9" t="str">
        <f>VLOOKUP(A23,'Sets (lua data)'!$A$3:$C$9838,3,FALSE)</f>
        <v>Alessian Order</v>
      </c>
      <c r="C23" s="9" t="str">
        <f>VLOOKUP(A23,'Sets (lua data)'!$A$3:$C$9838,2,FALSE)</f>
        <v>Alessianischer Orden</v>
      </c>
      <c r="G23" s="2" t="str">
        <f t="shared" si="0"/>
        <v/>
      </c>
    </row>
    <row r="24" spans="1:7" x14ac:dyDescent="0.25">
      <c r="A24" s="1">
        <v>40</v>
      </c>
      <c r="B24" s="9" t="str">
        <f>VLOOKUP(A24,'Sets (lua data)'!$A$3:$C$9838,3,FALSE)</f>
        <v>Night\'s Silence</v>
      </c>
      <c r="C24" s="9" t="str">
        <f>VLOOKUP(A24,'Sets (lua data)'!$A$3:$C$9838,2,FALSE)</f>
        <v>Stille der Nacht</v>
      </c>
      <c r="G24" s="2" t="str">
        <f t="shared" si="0"/>
        <v/>
      </c>
    </row>
    <row r="25" spans="1:7" x14ac:dyDescent="0.25">
      <c r="A25" s="1">
        <v>41</v>
      </c>
      <c r="B25" s="9" t="str">
        <f>VLOOKUP(A25,'Sets (lua data)'!$A$3:$C$9838,3,FALSE)</f>
        <v>Whitestrake\'s Retribution</v>
      </c>
      <c r="C25" s="9" t="str">
        <f>VLOOKUP(A25,'Sets (lua data)'!$A$3:$C$9838,2,FALSE)</f>
        <v>Weißplankes Vergeltung</v>
      </c>
      <c r="G25" s="2" t="str">
        <f t="shared" si="0"/>
        <v/>
      </c>
    </row>
    <row r="26" spans="1:7" x14ac:dyDescent="0.25">
      <c r="A26" s="1">
        <v>43</v>
      </c>
      <c r="B26" s="9" t="str">
        <f>VLOOKUP(A26,'Sets (lua data)'!$A$3:$C$9838,3,FALSE)</f>
        <v>Armor of the Seducer</v>
      </c>
      <c r="C26" s="9" t="str">
        <f>VLOOKUP(A26,'Sets (lua data)'!$A$3:$C$9838,2,FALSE)</f>
        <v>Rüstung der Verführung</v>
      </c>
      <c r="G26" s="2" t="str">
        <f t="shared" si="0"/>
        <v/>
      </c>
    </row>
    <row r="27" spans="1:7" x14ac:dyDescent="0.25">
      <c r="A27" s="1">
        <v>44</v>
      </c>
      <c r="B27" s="9" t="str">
        <f>VLOOKUP(A27,'Sets (lua data)'!$A$3:$C$9838,3,FALSE)</f>
        <v>Vampire\'s Kiss</v>
      </c>
      <c r="C27" s="9" t="str">
        <f>VLOOKUP(A27,'Sets (lua data)'!$A$3:$C$9838,2,FALSE)</f>
        <v>Kuss des Vampirs</v>
      </c>
      <c r="G27" s="2" t="str">
        <f t="shared" si="0"/>
        <v/>
      </c>
    </row>
    <row r="28" spans="1:7" x14ac:dyDescent="0.25">
      <c r="A28" s="12">
        <v>46</v>
      </c>
      <c r="B28" s="9" t="str">
        <f>VLOOKUP(A28,'Sets (lua data)'!$A$3:$C$9838,3,FALSE)</f>
        <v>Noble Duelist\'s Silks</v>
      </c>
      <c r="C28" s="9" t="str">
        <f>VLOOKUP(A28,'Sets (lua data)'!$A$3:$C$9838,2,FALSE)</f>
        <v>Seide des edlen Duellanten</v>
      </c>
      <c r="G28" s="2" t="str">
        <f t="shared" si="0"/>
        <v/>
      </c>
    </row>
    <row r="29" spans="1:7" x14ac:dyDescent="0.25">
      <c r="A29" s="12">
        <v>47</v>
      </c>
      <c r="B29" s="9" t="str">
        <f>VLOOKUP(A29,'Sets (lua data)'!$A$3:$C$9838,3,FALSE)</f>
        <v>Robes of the Withered Hand</v>
      </c>
      <c r="C29" s="9" t="str">
        <f>VLOOKUP(A29,'Sets (lua data)'!$A$3:$C$9838,2,FALSE)</f>
        <v>Roben der Verdorrten Hand</v>
      </c>
      <c r="G29" s="2" t="str">
        <f t="shared" si="0"/>
        <v/>
      </c>
    </row>
    <row r="30" spans="1:7" x14ac:dyDescent="0.25">
      <c r="A30" s="1">
        <v>48</v>
      </c>
      <c r="B30" s="9" t="str">
        <f>VLOOKUP(A30,'Sets (lua data)'!$A$3:$C$9838,3,FALSE)</f>
        <v>Magnus\' Gift</v>
      </c>
      <c r="C30" s="9" t="str">
        <f>VLOOKUP(A30,'Sets (lua data)'!$A$3:$C$9838,2,FALSE)</f>
        <v>Magnus' Gabe</v>
      </c>
      <c r="G30" s="2" t="str">
        <f t="shared" si="0"/>
        <v/>
      </c>
    </row>
    <row r="31" spans="1:7" x14ac:dyDescent="0.25">
      <c r="A31" s="12">
        <v>49</v>
      </c>
      <c r="B31" s="9" t="str">
        <f>VLOOKUP(A31,'Sets (lua data)'!$A$3:$C$9838,3,FALSE)</f>
        <v>Shadow of the Red Mountain</v>
      </c>
      <c r="C31" s="9" t="str">
        <f>VLOOKUP(A31,'Sets (lua data)'!$A$3:$C$9838,2,FALSE)</f>
        <v>Schatten des Roten Berges</v>
      </c>
      <c r="G31" s="2" t="str">
        <f t="shared" si="0"/>
        <v/>
      </c>
    </row>
    <row r="32" spans="1:7" x14ac:dyDescent="0.25">
      <c r="A32" s="12">
        <v>50</v>
      </c>
      <c r="B32" s="9" t="str">
        <f>VLOOKUP(A32,'Sets (lua data)'!$A$3:$C$9838,3,FALSE)</f>
        <v>The Morag Tong</v>
      </c>
      <c r="C32" s="9" t="str">
        <f>VLOOKUP(A32,'Sets (lua data)'!$A$3:$C$9838,2,FALSE)</f>
        <v>Morag Tong</v>
      </c>
      <c r="G32" s="2" t="str">
        <f t="shared" si="0"/>
        <v/>
      </c>
    </row>
    <row r="33" spans="1:7" x14ac:dyDescent="0.25">
      <c r="A33" s="1">
        <v>51</v>
      </c>
      <c r="B33" s="9" t="str">
        <f>VLOOKUP(A33,'Sets (lua data)'!$A$3:$C$9838,3,FALSE)</f>
        <v>Night Mother\'s Gaze</v>
      </c>
      <c r="C33" s="9" t="str">
        <f>VLOOKUP(A33,'Sets (lua data)'!$A$3:$C$9838,2,FALSE)</f>
        <v>Blick der Mutter der Nacht</v>
      </c>
      <c r="G33" s="2" t="str">
        <f t="shared" si="0"/>
        <v/>
      </c>
    </row>
    <row r="34" spans="1:7" x14ac:dyDescent="0.25">
      <c r="A34" s="12">
        <v>52</v>
      </c>
      <c r="B34" s="9" t="str">
        <f>VLOOKUP(A34,'Sets (lua data)'!$A$3:$C$9838,3,FALSE)</f>
        <v>Beckoning Steel</v>
      </c>
      <c r="C34" s="9" t="str">
        <f>VLOOKUP(A34,'Sets (lua data)'!$A$3:$C$9838,2,FALSE)</f>
        <v>Klingender Stahl</v>
      </c>
      <c r="G34" s="2" t="str">
        <f t="shared" si="0"/>
        <v/>
      </c>
    </row>
    <row r="35" spans="1:7" x14ac:dyDescent="0.25">
      <c r="A35" s="12">
        <v>53</v>
      </c>
      <c r="B35" s="9" t="str">
        <f>VLOOKUP(A35,'Sets (lua data)'!$A$3:$C$9838,3,FALSE)</f>
        <v>The Ice Furnace</v>
      </c>
      <c r="C35" s="9" t="str">
        <f>VLOOKUP(A35,'Sets (lua data)'!$A$3:$C$9838,2,FALSE)</f>
        <v>Eisschmiede</v>
      </c>
      <c r="G35" s="2" t="str">
        <f t="shared" si="0"/>
        <v/>
      </c>
    </row>
    <row r="36" spans="1:7" x14ac:dyDescent="0.25">
      <c r="A36" s="1">
        <v>54</v>
      </c>
      <c r="B36" s="9" t="str">
        <f>VLOOKUP(A36,'Sets (lua data)'!$A$3:$C$9838,3,FALSE)</f>
        <v>Ashen Grip</v>
      </c>
      <c r="C36" s="9" t="str">
        <f>VLOOKUP(A36,'Sets (lua data)'!$A$3:$C$9838,2,FALSE)</f>
        <v>Aschengriff</v>
      </c>
      <c r="G36" s="2" t="str">
        <f t="shared" si="0"/>
        <v/>
      </c>
    </row>
    <row r="37" spans="1:7" x14ac:dyDescent="0.25">
      <c r="A37" s="12">
        <v>55</v>
      </c>
      <c r="B37" s="9" t="str">
        <f>VLOOKUP(A37,'Sets (lua data)'!$A$3:$C$9838,3,FALSE)</f>
        <v>Prayer Shawl</v>
      </c>
      <c r="C37" s="9" t="str">
        <f>VLOOKUP(A37,'Sets (lua data)'!$A$3:$C$9838,2,FALSE)</f>
        <v>Gebetstuch</v>
      </c>
      <c r="G37" s="2" t="str">
        <f t="shared" si="0"/>
        <v/>
      </c>
    </row>
    <row r="38" spans="1:7" x14ac:dyDescent="0.25">
      <c r="A38" s="12">
        <v>56</v>
      </c>
      <c r="B38" s="9" t="str">
        <f>VLOOKUP(A38,'Sets (lua data)'!$A$3:$C$9838,3,FALSE)</f>
        <v>Stendarr\'s Embrace</v>
      </c>
      <c r="C38" s="9" t="str">
        <f>VLOOKUP(A38,'Sets (lua data)'!$A$3:$C$9838,2,FALSE)</f>
        <v>Stendarrs Umarmung</v>
      </c>
      <c r="G38" s="2" t="str">
        <f t="shared" si="0"/>
        <v/>
      </c>
    </row>
    <row r="39" spans="1:7" x14ac:dyDescent="0.25">
      <c r="A39" s="12">
        <v>57</v>
      </c>
      <c r="B39" s="9" t="str">
        <f>VLOOKUP(A39,'Sets (lua data)'!$A$3:$C$9838,3,FALSE)</f>
        <v>Syrabane\'s Grip</v>
      </c>
      <c r="C39" s="9" t="str">
        <f>VLOOKUP(A39,'Sets (lua data)'!$A$3:$C$9838,2,FALSE)</f>
        <v>Syrabanns Griff</v>
      </c>
      <c r="G39" s="2" t="str">
        <f t="shared" si="0"/>
        <v/>
      </c>
    </row>
    <row r="40" spans="1:7" x14ac:dyDescent="0.25">
      <c r="A40" s="12">
        <v>58</v>
      </c>
      <c r="B40" s="9" t="str">
        <f>VLOOKUP(A40,'Sets (lua data)'!$A$3:$C$9838,3,FALSE)</f>
        <v>Hide of the Werewolf</v>
      </c>
      <c r="C40" s="9" t="str">
        <f>VLOOKUP(A40,'Sets (lua data)'!$A$3:$C$9838,2,FALSE)</f>
        <v>Fell des Werwolfs</v>
      </c>
      <c r="G40" s="2" t="str">
        <f t="shared" si="0"/>
        <v/>
      </c>
    </row>
    <row r="41" spans="1:7" x14ac:dyDescent="0.25">
      <c r="A41" s="12">
        <v>59</v>
      </c>
      <c r="B41" s="9" t="str">
        <f>VLOOKUP(A41,'Sets (lua data)'!$A$3:$C$9838,3,FALSE)</f>
        <v>Kyne\'s Kiss</v>
      </c>
      <c r="C41" s="9" t="str">
        <f>VLOOKUP(A41,'Sets (lua data)'!$A$3:$C$9838,2,FALSE)</f>
        <v>Kynes Kuss</v>
      </c>
      <c r="G41" s="2" t="str">
        <f t="shared" si="0"/>
        <v/>
      </c>
    </row>
    <row r="42" spans="1:7" x14ac:dyDescent="0.25">
      <c r="A42" s="12">
        <v>60</v>
      </c>
      <c r="B42" s="9" t="str">
        <f>VLOOKUP(A42,'Sets (lua data)'!$A$3:$C$9838,3,FALSE)</f>
        <v>Darkstride</v>
      </c>
      <c r="C42" s="9" t="str">
        <f>VLOOKUP(A42,'Sets (lua data)'!$A$3:$C$9838,2,FALSE)</f>
        <v>Dunkelschritt</v>
      </c>
      <c r="G42" s="2" t="str">
        <f t="shared" si="0"/>
        <v/>
      </c>
    </row>
    <row r="43" spans="1:7" x14ac:dyDescent="0.25">
      <c r="A43" s="12">
        <v>61</v>
      </c>
      <c r="B43" s="9" t="str">
        <f>VLOOKUP(A43,'Sets (lua data)'!$A$3:$C$9838,3,FALSE)</f>
        <v>Dreugh King Slayer</v>
      </c>
      <c r="C43" s="9" t="str">
        <f>VLOOKUP(A43,'Sets (lua data)'!$A$3:$C$9838,2,FALSE)</f>
        <v>Dreughkönigsschlächter</v>
      </c>
      <c r="G43" s="2" t="str">
        <f t="shared" si="0"/>
        <v/>
      </c>
    </row>
    <row r="44" spans="1:7" x14ac:dyDescent="0.25">
      <c r="A44" s="12">
        <v>62</v>
      </c>
      <c r="B44" s="9" t="str">
        <f>VLOOKUP(A44,'Sets (lua data)'!$A$3:$C$9838,3,FALSE)</f>
        <v>Hatchling\'s Shell</v>
      </c>
      <c r="C44" s="9" t="str">
        <f>VLOOKUP(A44,'Sets (lua data)'!$A$3:$C$9838,2,FALSE)</f>
        <v>Schlüpflingspanzer</v>
      </c>
      <c r="G44" s="2" t="str">
        <f t="shared" si="0"/>
        <v/>
      </c>
    </row>
    <row r="45" spans="1:7" x14ac:dyDescent="0.25">
      <c r="A45" s="12">
        <v>63</v>
      </c>
      <c r="B45" s="9" t="str">
        <f>VLOOKUP(A45,'Sets (lua data)'!$A$3:$C$9838,3,FALSE)</f>
        <v>The Juggernaut</v>
      </c>
      <c r="C45" s="9" t="str">
        <f>VLOOKUP(A45,'Sets (lua data)'!$A$3:$C$9838,2,FALSE)</f>
        <v>Koloss</v>
      </c>
      <c r="G45" s="2" t="str">
        <f t="shared" si="0"/>
        <v/>
      </c>
    </row>
    <row r="46" spans="1:7" x14ac:dyDescent="0.25">
      <c r="A46" s="12">
        <v>64</v>
      </c>
      <c r="B46" s="9" t="str">
        <f>VLOOKUP(A46,'Sets (lua data)'!$A$3:$C$9838,3,FALSE)</f>
        <v>Shadow Dancer\'s Raiment</v>
      </c>
      <c r="C46" s="9" t="str">
        <f>VLOOKUP(A46,'Sets (lua data)'!$A$3:$C$9838,2,FALSE)</f>
        <v>Kleidung des Schattentänzers</v>
      </c>
      <c r="G46" s="2" t="str">
        <f t="shared" si="0"/>
        <v/>
      </c>
    </row>
    <row r="47" spans="1:7" x14ac:dyDescent="0.25">
      <c r="A47" s="12">
        <v>65</v>
      </c>
      <c r="B47" s="9" t="str">
        <f>VLOOKUP(A47,'Sets (lua data)'!$A$3:$C$9838,3,FALSE)</f>
        <v>Bloodthorn\'s Touch</v>
      </c>
      <c r="C47" s="9" t="str">
        <f>VLOOKUP(A47,'Sets (lua data)'!$A$3:$C$9838,2,FALSE)</f>
        <v>Spur eines Blutdorns</v>
      </c>
      <c r="G47" s="2" t="str">
        <f t="shared" si="0"/>
        <v/>
      </c>
    </row>
    <row r="48" spans="1:7" x14ac:dyDescent="0.25">
      <c r="A48" s="12">
        <v>66</v>
      </c>
      <c r="B48" s="9" t="str">
        <f>VLOOKUP(A48,'Sets (lua data)'!$A$3:$C$9838,3,FALSE)</f>
        <v>Robes of the Hist</v>
      </c>
      <c r="C48" s="9" t="str">
        <f>VLOOKUP(A48,'Sets (lua data)'!$A$3:$C$9838,2,FALSE)</f>
        <v>Roben des Hist</v>
      </c>
      <c r="G48" s="2" t="str">
        <f t="shared" si="0"/>
        <v/>
      </c>
    </row>
    <row r="49" spans="1:7" x14ac:dyDescent="0.25">
      <c r="A49" s="12">
        <v>67</v>
      </c>
      <c r="B49" s="9" t="str">
        <f>VLOOKUP(A49,'Sets (lua data)'!$A$3:$C$9838,3,FALSE)</f>
        <v>Shadow Walker</v>
      </c>
      <c r="C49" s="9" t="str">
        <f>VLOOKUP(A49,'Sets (lua data)'!$A$3:$C$9838,2,FALSE)</f>
        <v>Schattengänger</v>
      </c>
      <c r="G49" s="2" t="str">
        <f t="shared" si="0"/>
        <v/>
      </c>
    </row>
    <row r="50" spans="1:7" x14ac:dyDescent="0.25">
      <c r="A50" s="12">
        <v>68</v>
      </c>
      <c r="B50" s="9" t="str">
        <f>VLOOKUP(A50,'Sets (lua data)'!$A$3:$C$9838,3,FALSE)</f>
        <v>Stygian</v>
      </c>
      <c r="C50" s="9" t="str">
        <f>VLOOKUP(A50,'Sets (lua data)'!$A$3:$C$9838,2,FALSE)</f>
        <v>Stygier</v>
      </c>
      <c r="G50" s="2" t="str">
        <f t="shared" si="0"/>
        <v/>
      </c>
    </row>
    <row r="51" spans="1:7" x14ac:dyDescent="0.25">
      <c r="A51" s="12">
        <v>69</v>
      </c>
      <c r="B51" s="9" t="str">
        <f>VLOOKUP(A51,'Sets (lua data)'!$A$3:$C$9838,3,FALSE)</f>
        <v>Ranger\'s Gait</v>
      </c>
      <c r="C51" s="9" t="str">
        <f>VLOOKUP(A51,'Sets (lua data)'!$A$3:$C$9838,2,FALSE)</f>
        <v>Laufstil des Waldläufers</v>
      </c>
      <c r="G51" s="2" t="str">
        <f t="shared" si="0"/>
        <v/>
      </c>
    </row>
    <row r="52" spans="1:7" x14ac:dyDescent="0.25">
      <c r="A52" s="12">
        <v>70</v>
      </c>
      <c r="B52" s="9" t="str">
        <f>VLOOKUP(A52,'Sets (lua data)'!$A$3:$C$9838,3,FALSE)</f>
        <v>Seventh Legion Brute</v>
      </c>
      <c r="C52" s="9" t="str">
        <f>VLOOKUP(A52,'Sets (lua data)'!$A$3:$C$9838,2,FALSE)</f>
        <v>Rohling der siebten Legion</v>
      </c>
      <c r="G52" s="2" t="str">
        <f t="shared" si="0"/>
        <v/>
      </c>
    </row>
    <row r="53" spans="1:7" x14ac:dyDescent="0.25">
      <c r="A53" s="12">
        <v>71</v>
      </c>
      <c r="B53" s="9" t="str">
        <f>VLOOKUP(A53,'Sets (lua data)'!$A$3:$C$9838,3,FALSE)</f>
        <v>Durok\'s Bane</v>
      </c>
      <c r="C53" s="9" t="str">
        <f>VLOOKUP(A53,'Sets (lua data)'!$A$3:$C$9838,2,FALSE)</f>
        <v>Duroks Fluch</v>
      </c>
      <c r="G53" s="2" t="str">
        <f t="shared" si="0"/>
        <v/>
      </c>
    </row>
    <row r="54" spans="1:7" x14ac:dyDescent="0.25">
      <c r="A54" s="12">
        <v>72</v>
      </c>
      <c r="B54" s="9" t="str">
        <f>VLOOKUP(A54,'Sets (lua data)'!$A$3:$C$9838,3,FALSE)</f>
        <v>Nikulas\' Heavy Armor</v>
      </c>
      <c r="C54" s="9" t="str">
        <f>VLOOKUP(A54,'Sets (lua data)'!$A$3:$C$9838,2,FALSE)</f>
        <v>Nikulas' schwere Rüstung</v>
      </c>
      <c r="G54" s="2" t="str">
        <f t="shared" si="0"/>
        <v/>
      </c>
    </row>
    <row r="55" spans="1:7" x14ac:dyDescent="0.25">
      <c r="A55" s="1">
        <v>73</v>
      </c>
      <c r="B55" s="9" t="str">
        <f>VLOOKUP(A55,'Sets (lua data)'!$A$3:$C$9838,3,FALSE)</f>
        <v>Oblivion\'s Foe</v>
      </c>
      <c r="C55" s="9" t="str">
        <f>VLOOKUP(A55,'Sets (lua data)'!$A$3:$C$9838,2,FALSE)</f>
        <v>Erinnerung</v>
      </c>
      <c r="G55" s="2" t="str">
        <f t="shared" si="0"/>
        <v/>
      </c>
    </row>
    <row r="56" spans="1:7" x14ac:dyDescent="0.25">
      <c r="A56" s="1">
        <v>74</v>
      </c>
      <c r="B56" s="9" t="str">
        <f>VLOOKUP(A56,'Sets (lua data)'!$A$3:$C$9838,3,FALSE)</f>
        <v>Spectre\'s Eye</v>
      </c>
      <c r="C56" s="9" t="str">
        <f>VLOOKUP(A56,'Sets (lua data)'!$A$3:$C$9838,2,FALSE)</f>
        <v>Schemenauge</v>
      </c>
      <c r="G56" s="2" t="str">
        <f t="shared" si="0"/>
        <v/>
      </c>
    </row>
    <row r="57" spans="1:7" x14ac:dyDescent="0.25">
      <c r="A57" s="1">
        <v>75</v>
      </c>
      <c r="B57" s="9" t="str">
        <f>VLOOKUP(A57,'Sets (lua data)'!$A$3:$C$9838,3,FALSE)</f>
        <v>Torug\'s Pact</v>
      </c>
      <c r="C57" s="9" t="str">
        <f>VLOOKUP(A57,'Sets (lua data)'!$A$3:$C$9838,2,FALSE)</f>
        <v>Torugs Pakt</v>
      </c>
      <c r="G57" s="2" t="str">
        <f t="shared" si="0"/>
        <v/>
      </c>
    </row>
    <row r="58" spans="1:7" x14ac:dyDescent="0.25">
      <c r="A58" s="12">
        <v>76</v>
      </c>
      <c r="B58" s="9" t="str">
        <f>VLOOKUP(A58,'Sets (lua data)'!$A$3:$C$9838,3,FALSE)</f>
        <v>Robes of Alteration Mastery</v>
      </c>
      <c r="C58" s="9" t="str">
        <f>VLOOKUP(A58,'Sets (lua data)'!$A$3:$C$9838,2,FALSE)</f>
        <v>Roben der Veränderungsbeherrschung</v>
      </c>
      <c r="G58" s="2" t="str">
        <f t="shared" si="0"/>
        <v/>
      </c>
    </row>
    <row r="59" spans="1:7" x14ac:dyDescent="0.25">
      <c r="A59" s="12">
        <v>77</v>
      </c>
      <c r="B59" s="9" t="str">
        <f>VLOOKUP(A59,'Sets (lua data)'!$A$3:$C$9838,3,FALSE)</f>
        <v>Crusader</v>
      </c>
      <c r="C59" s="9" t="str">
        <f>VLOOKUP(A59,'Sets (lua data)'!$A$3:$C$9838,2,FALSE)</f>
        <v>Glaubenskrieger</v>
      </c>
      <c r="G59" s="2" t="str">
        <f t="shared" si="0"/>
        <v/>
      </c>
    </row>
    <row r="60" spans="1:7" x14ac:dyDescent="0.25">
      <c r="A60" s="1">
        <v>78</v>
      </c>
      <c r="B60" s="9" t="str">
        <f>VLOOKUP(A60,'Sets (lua data)'!$A$3:$C$9838,3,FALSE)</f>
        <v>Hist Bark</v>
      </c>
      <c r="C60" s="9" t="str">
        <f>VLOOKUP(A60,'Sets (lua data)'!$A$3:$C$9838,2,FALSE)</f>
        <v>Histrinde</v>
      </c>
      <c r="G60" s="2" t="str">
        <f t="shared" si="0"/>
        <v/>
      </c>
    </row>
    <row r="61" spans="1:7" x14ac:dyDescent="0.25">
      <c r="A61" s="1">
        <v>79</v>
      </c>
      <c r="B61" s="9" t="str">
        <f>VLOOKUP(A61,'Sets (lua data)'!$A$3:$C$9838,3,FALSE)</f>
        <v>Willow\'s Path</v>
      </c>
      <c r="C61" s="9" t="str">
        <f>VLOOKUP(A61,'Sets (lua data)'!$A$3:$C$9838,2,FALSE)</f>
        <v>Weidenpfad</v>
      </c>
      <c r="G61" s="2" t="str">
        <f t="shared" si="0"/>
        <v/>
      </c>
    </row>
    <row r="62" spans="1:7" x14ac:dyDescent="0.25">
      <c r="A62" s="1">
        <v>80</v>
      </c>
      <c r="B62" s="9" t="str">
        <f>VLOOKUP(A62,'Sets (lua data)'!$A$3:$C$9838,3,FALSE)</f>
        <v>Hunding\'s Rage</v>
      </c>
      <c r="C62" s="9" t="str">
        <f>VLOOKUP(A62,'Sets (lua data)'!$A$3:$C$9838,2,FALSE)</f>
        <v>Hundings Zorn</v>
      </c>
      <c r="G62" s="2" t="str">
        <f t="shared" si="0"/>
        <v/>
      </c>
    </row>
    <row r="63" spans="1:7" x14ac:dyDescent="0.25">
      <c r="A63" s="1">
        <v>81</v>
      </c>
      <c r="B63" s="9" t="str">
        <f>VLOOKUP(A63,'Sets (lua data)'!$A$3:$C$9838,3,FALSE)</f>
        <v>Song of Lamae</v>
      </c>
      <c r="C63" s="9" t="str">
        <f>VLOOKUP(A63,'Sets (lua data)'!$A$3:$C$9838,2,FALSE)</f>
        <v>Lied der Lamien</v>
      </c>
      <c r="G63" s="2" t="str">
        <f t="shared" si="0"/>
        <v/>
      </c>
    </row>
    <row r="64" spans="1:7" x14ac:dyDescent="0.25">
      <c r="A64" s="1">
        <v>82</v>
      </c>
      <c r="B64" s="9" t="str">
        <f>VLOOKUP(A64,'Sets (lua data)'!$A$3:$C$9838,3,FALSE)</f>
        <v>Alessia\'s Bulwark</v>
      </c>
      <c r="C64" s="9" t="str">
        <f>VLOOKUP(A64,'Sets (lua data)'!$A$3:$C$9838,2,FALSE)</f>
        <v>Alessias Bollwerk</v>
      </c>
      <c r="G64" s="2" t="str">
        <f t="shared" si="0"/>
        <v/>
      </c>
    </row>
    <row r="65" spans="1:7" x14ac:dyDescent="0.25">
      <c r="A65" s="12">
        <v>83</v>
      </c>
      <c r="B65" s="9" t="str">
        <f>VLOOKUP(A65,'Sets (lua data)'!$A$3:$C$9838,3,FALSE)</f>
        <v>Elf Bane</v>
      </c>
      <c r="C65" s="9" t="str">
        <f>VLOOKUP(A65,'Sets (lua data)'!$A$3:$C$9838,2,FALSE)</f>
        <v>Elfenfluch</v>
      </c>
      <c r="G65" s="2" t="str">
        <f t="shared" si="0"/>
        <v/>
      </c>
    </row>
    <row r="66" spans="1:7" x14ac:dyDescent="0.25">
      <c r="A66" s="1">
        <v>84</v>
      </c>
      <c r="B66" s="9" t="str">
        <f>VLOOKUP(A66,'Sets (lua data)'!$A$3:$C$9838,3,FALSE)</f>
        <v>Orgnum\'s Scales</v>
      </c>
      <c r="C66" s="9" t="str">
        <f>VLOOKUP(A66,'Sets (lua data)'!$A$3:$C$9838,2,FALSE)</f>
        <v>Orgnums Schuppen</v>
      </c>
      <c r="G66" s="2" t="str">
        <f t="shared" si="0"/>
        <v/>
      </c>
    </row>
    <row r="67" spans="1:7" x14ac:dyDescent="0.25">
      <c r="A67" s="12">
        <v>85</v>
      </c>
      <c r="B67" s="9" t="str">
        <f>VLOOKUP(A67,'Sets (lua data)'!$A$3:$C$9838,3,FALSE)</f>
        <v>Almalexia\'s Mercy</v>
      </c>
      <c r="C67" s="9" t="str">
        <f>VLOOKUP(A67,'Sets (lua data)'!$A$3:$C$9838,2,FALSE)</f>
        <v>Almalexias Gnade</v>
      </c>
      <c r="G67" s="2" t="str">
        <f t="shared" ref="G67:G130" si="1">IF(AND(A67&lt;&gt;"",NOT(ISERROR(A67)),ISNUMBER(A67),D67&lt;&gt;""),CONCATENATE("[",A67,"] = {",D67,"},","     --",B67," -&gt; ",E67," / ",F67),"")</f>
        <v/>
      </c>
    </row>
    <row r="68" spans="1:7" x14ac:dyDescent="0.25">
      <c r="A68" s="12">
        <v>86</v>
      </c>
      <c r="B68" s="9" t="str">
        <f>VLOOKUP(A68,'Sets (lua data)'!$A$3:$C$9838,3,FALSE)</f>
        <v>Queen\'s Elegance</v>
      </c>
      <c r="C68" s="9" t="str">
        <f>VLOOKUP(A68,'Sets (lua data)'!$A$3:$C$9838,2,FALSE)</f>
        <v>Eleganz der Königin</v>
      </c>
      <c r="G68" s="2" t="str">
        <f t="shared" si="1"/>
        <v/>
      </c>
    </row>
    <row r="69" spans="1:7" x14ac:dyDescent="0.25">
      <c r="A69" s="1">
        <v>87</v>
      </c>
      <c r="B69" s="9" t="str">
        <f>VLOOKUP(A69,'Sets (lua data)'!$A$3:$C$9838,3,FALSE)</f>
        <v>Eyes of Mara</v>
      </c>
      <c r="C69" s="9" t="str">
        <f>VLOOKUP(A69,'Sets (lua data)'!$A$3:$C$9838,2,FALSE)</f>
        <v>Augen von Mara</v>
      </c>
      <c r="G69" s="2" t="str">
        <f t="shared" si="1"/>
        <v/>
      </c>
    </row>
    <row r="70" spans="1:7" x14ac:dyDescent="0.25">
      <c r="A70" s="12">
        <v>88</v>
      </c>
      <c r="B70" s="9" t="str">
        <f>VLOOKUP(A70,'Sets (lua data)'!$A$3:$C$9838,3,FALSE)</f>
        <v>Robes of Destruction Mastery</v>
      </c>
      <c r="C70" s="9" t="str">
        <f>VLOOKUP(A70,'Sets (lua data)'!$A$3:$C$9838,2,FALSE)</f>
        <v>Roben der Zerstörungsbeherrschung</v>
      </c>
      <c r="G70" s="2" t="str">
        <f t="shared" si="1"/>
        <v/>
      </c>
    </row>
    <row r="71" spans="1:7" x14ac:dyDescent="0.25">
      <c r="A71" s="12">
        <v>89</v>
      </c>
      <c r="B71" s="9" t="str">
        <f>VLOOKUP(A71,'Sets (lua data)'!$A$3:$C$9838,3,FALSE)</f>
        <v>Sentry</v>
      </c>
      <c r="C71" s="9" t="str">
        <f>VLOOKUP(A71,'Sets (lua data)'!$A$3:$C$9838,2,FALSE)</f>
        <v>Wachposten</v>
      </c>
      <c r="G71" s="2" t="str">
        <f t="shared" si="1"/>
        <v/>
      </c>
    </row>
    <row r="72" spans="1:7" x14ac:dyDescent="0.25">
      <c r="A72" s="12">
        <v>90</v>
      </c>
      <c r="B72" s="9" t="str">
        <f>VLOOKUP(A72,'Sets (lua data)'!$A$3:$C$9838,3,FALSE)</f>
        <v>Senche\'s Bite</v>
      </c>
      <c r="C72" s="9" t="str">
        <f>VLOOKUP(A72,'Sets (lua data)'!$A$3:$C$9838,2,FALSE)</f>
        <v>Biss des Senche</v>
      </c>
      <c r="G72" s="2" t="str">
        <f t="shared" si="1"/>
        <v/>
      </c>
    </row>
    <row r="73" spans="1:7" x14ac:dyDescent="0.25">
      <c r="A73" s="12">
        <v>91</v>
      </c>
      <c r="B73" s="9" t="str">
        <f>VLOOKUP(A73,'Sets (lua data)'!$A$3:$C$9838,3,FALSE)</f>
        <v>Oblivion\'s Edge</v>
      </c>
      <c r="C73" s="9" t="str">
        <f>VLOOKUP(A73,'Sets (lua data)'!$A$3:$C$9838,2,FALSE)</f>
        <v>Vorteil des Vergessens</v>
      </c>
      <c r="G73" s="2" t="str">
        <f t="shared" si="1"/>
        <v/>
      </c>
    </row>
    <row r="74" spans="1:7" x14ac:dyDescent="0.25">
      <c r="A74" s="1">
        <v>92</v>
      </c>
      <c r="B74" s="9" t="str">
        <f>VLOOKUP(A74,'Sets (lua data)'!$A$3:$C$9838,3,FALSE)</f>
        <v>Kagrenac\'s Hope</v>
      </c>
      <c r="C74" s="9" t="str">
        <f>VLOOKUP(A74,'Sets (lua data)'!$A$3:$C$9838,2,FALSE)</f>
        <v>Kagrenacs Hoffnung</v>
      </c>
      <c r="G74" s="2" t="str">
        <f t="shared" si="1"/>
        <v/>
      </c>
    </row>
    <row r="75" spans="1:7" x14ac:dyDescent="0.25">
      <c r="A75" s="12">
        <v>93</v>
      </c>
      <c r="B75" s="9" t="str">
        <f>VLOOKUP(A75,'Sets (lua data)'!$A$3:$C$9838,3,FALSE)</f>
        <v>Storm Knight\'s Plate</v>
      </c>
      <c r="C75" s="9" t="str">
        <f>VLOOKUP(A75,'Sets (lua data)'!$A$3:$C$9838,2,FALSE)</f>
        <v>Wut des Sturmritters</v>
      </c>
      <c r="G75" s="2" t="str">
        <f t="shared" si="1"/>
        <v/>
      </c>
    </row>
    <row r="76" spans="1:7" x14ac:dyDescent="0.25">
      <c r="A76" s="12">
        <v>94</v>
      </c>
      <c r="B76" s="9" t="str">
        <f>VLOOKUP(A76,'Sets (lua data)'!$A$3:$C$9838,3,FALSE)</f>
        <v>Meridia\'s Blessed Armor</v>
      </c>
      <c r="C76" s="9" t="str">
        <f>VLOOKUP(A76,'Sets (lua data)'!$A$3:$C$9838,2,FALSE)</f>
        <v>Meridias gesegnete Rüstung</v>
      </c>
      <c r="G76" s="2" t="str">
        <f t="shared" si="1"/>
        <v/>
      </c>
    </row>
    <row r="77" spans="1:7" x14ac:dyDescent="0.25">
      <c r="A77" s="1">
        <v>95</v>
      </c>
      <c r="B77" s="9" t="str">
        <f>VLOOKUP(A77,'Sets (lua data)'!$A$3:$C$9838,3,FALSE)</f>
        <v>Shalidor\'s Curse</v>
      </c>
      <c r="C77" s="9" t="str">
        <f>VLOOKUP(A77,'Sets (lua data)'!$A$3:$C$9838,2,FALSE)</f>
        <v>Shalidors Fluch</v>
      </c>
      <c r="G77" s="2" t="str">
        <f t="shared" si="1"/>
        <v/>
      </c>
    </row>
    <row r="78" spans="1:7" x14ac:dyDescent="0.25">
      <c r="A78" s="12">
        <v>96</v>
      </c>
      <c r="B78" s="9" t="str">
        <f>VLOOKUP(A78,'Sets (lua data)'!$A$3:$C$9838,3,FALSE)</f>
        <v>Armor of Truth</v>
      </c>
      <c r="C78" s="9" t="str">
        <f>VLOOKUP(A78,'Sets (lua data)'!$A$3:$C$9838,2,FALSE)</f>
        <v>Rüstung der Wahrheit</v>
      </c>
      <c r="G78" s="2" t="str">
        <f t="shared" si="1"/>
        <v/>
      </c>
    </row>
    <row r="79" spans="1:7" x14ac:dyDescent="0.25">
      <c r="A79" s="12">
        <v>97</v>
      </c>
      <c r="B79" s="9" t="str">
        <f>VLOOKUP(A79,'Sets (lua data)'!$A$3:$C$9838,3,FALSE)</f>
        <v>The Arch-Mage</v>
      </c>
      <c r="C79" s="9" t="str">
        <f>VLOOKUP(A79,'Sets (lua data)'!$A$3:$C$9838,2,FALSE)</f>
        <v>Erzmagier</v>
      </c>
      <c r="G79" s="2" t="str">
        <f t="shared" si="1"/>
        <v/>
      </c>
    </row>
    <row r="80" spans="1:7" x14ac:dyDescent="0.25">
      <c r="A80" s="12">
        <v>98</v>
      </c>
      <c r="B80" s="9" t="str">
        <f>VLOOKUP(A80,'Sets (lua data)'!$A$3:$C$9838,3,FALSE)</f>
        <v>Necropotence</v>
      </c>
      <c r="C80" s="9" t="str">
        <f>VLOOKUP(A80,'Sets (lua data)'!$A$3:$C$9838,2,FALSE)</f>
        <v>Nekropotenz</v>
      </c>
      <c r="G80" s="2" t="str">
        <f t="shared" si="1"/>
        <v/>
      </c>
    </row>
    <row r="81" spans="1:7" x14ac:dyDescent="0.25">
      <c r="A81" s="12">
        <v>99</v>
      </c>
      <c r="B81" s="9" t="str">
        <f>VLOOKUP(A81,'Sets (lua data)'!$A$3:$C$9838,3,FALSE)</f>
        <v>Salvation</v>
      </c>
      <c r="C81" s="9" t="str">
        <f>VLOOKUP(A81,'Sets (lua data)'!$A$3:$C$9838,2,FALSE)</f>
        <v>Erlösung</v>
      </c>
      <c r="G81" s="2" t="str">
        <f t="shared" si="1"/>
        <v/>
      </c>
    </row>
    <row r="82" spans="1:7" x14ac:dyDescent="0.25">
      <c r="A82" s="12">
        <v>100</v>
      </c>
      <c r="B82" s="9" t="str">
        <f>VLOOKUP(A82,'Sets (lua data)'!$A$3:$C$9838,3,FALSE)</f>
        <v>Hawk\'s Eye</v>
      </c>
      <c r="C82" s="9" t="str">
        <f>VLOOKUP(A82,'Sets (lua data)'!$A$3:$C$9838,2,FALSE)</f>
        <v>Falkenauge</v>
      </c>
      <c r="G82" s="2" t="str">
        <f t="shared" si="1"/>
        <v/>
      </c>
    </row>
    <row r="83" spans="1:7" x14ac:dyDescent="0.25">
      <c r="A83" s="12">
        <v>101</v>
      </c>
      <c r="B83" s="9" t="str">
        <f>VLOOKUP(A83,'Sets (lua data)'!$A$3:$C$9838,3,FALSE)</f>
        <v>Affliction</v>
      </c>
      <c r="C83" s="9" t="str">
        <f>VLOOKUP(A83,'Sets (lua data)'!$A$3:$C$9838,2,FALSE)</f>
        <v>Elend (Befallen)</v>
      </c>
      <c r="G83" s="2" t="str">
        <f t="shared" si="1"/>
        <v/>
      </c>
    </row>
    <row r="84" spans="1:7" x14ac:dyDescent="0.25">
      <c r="A84" s="12">
        <v>102</v>
      </c>
      <c r="B84" s="9" t="str">
        <f>VLOOKUP(A84,'Sets (lua data)'!$A$3:$C$9838,3,FALSE)</f>
        <v>Duneripper\'s Scales</v>
      </c>
      <c r="C84" s="9" t="str">
        <f>VLOOKUP(A84,'Sets (lua data)'!$A$3:$C$9838,2,FALSE)</f>
        <v>Schuppen des Dünenbrechers</v>
      </c>
      <c r="G84" s="2" t="str">
        <f t="shared" si="1"/>
        <v/>
      </c>
    </row>
    <row r="85" spans="1:7" x14ac:dyDescent="0.25">
      <c r="A85" s="12">
        <v>103</v>
      </c>
      <c r="B85" s="9" t="str">
        <f>VLOOKUP(A85,'Sets (lua data)'!$A$3:$C$9838,3,FALSE)</f>
        <v>Magicka Furnace</v>
      </c>
      <c r="C85" s="9" t="str">
        <f>VLOOKUP(A85,'Sets (lua data)'!$A$3:$C$9838,2,FALSE)</f>
        <v>Magickaschmiede</v>
      </c>
      <c r="G85" s="2" t="str">
        <f t="shared" si="1"/>
        <v/>
      </c>
    </row>
    <row r="86" spans="1:7" x14ac:dyDescent="0.25">
      <c r="A86" s="12">
        <v>104</v>
      </c>
      <c r="B86" s="9" t="str">
        <f>VLOOKUP(A86,'Sets (lua data)'!$A$3:$C$9838,3,FALSE)</f>
        <v>Curse Eater</v>
      </c>
      <c r="C86" s="9" t="str">
        <f>VLOOKUP(A86,'Sets (lua data)'!$A$3:$C$9838,2,FALSE)</f>
        <v>Fluchfresser</v>
      </c>
      <c r="G86" s="2" t="str">
        <f t="shared" si="1"/>
        <v/>
      </c>
    </row>
    <row r="87" spans="1:7" x14ac:dyDescent="0.25">
      <c r="A87" s="12">
        <v>105</v>
      </c>
      <c r="B87" s="9" t="str">
        <f>VLOOKUP(A87,'Sets (lua data)'!$A$3:$C$9838,3,FALSE)</f>
        <v>Twin Sisters</v>
      </c>
      <c r="C87" s="9" t="str">
        <f>VLOOKUP(A87,'Sets (lua data)'!$A$3:$C$9838,2,FALSE)</f>
        <v>Zwillingsschwestern</v>
      </c>
      <c r="G87" s="2" t="str">
        <f t="shared" si="1"/>
        <v/>
      </c>
    </row>
    <row r="88" spans="1:7" x14ac:dyDescent="0.25">
      <c r="A88" s="12">
        <v>106</v>
      </c>
      <c r="B88" s="9" t="str">
        <f>VLOOKUP(A88,'Sets (lua data)'!$A$3:$C$9838,3,FALSE)</f>
        <v>Wilderqueen\'s Arch</v>
      </c>
      <c r="C88" s="9" t="str">
        <f>VLOOKUP(A88,'Sets (lua data)'!$A$3:$C$9838,2,FALSE)</f>
        <v>Bogen der Wildkönigin</v>
      </c>
      <c r="G88" s="2" t="str">
        <f t="shared" si="1"/>
        <v/>
      </c>
    </row>
    <row r="89" spans="1:7" x14ac:dyDescent="0.25">
      <c r="A89" s="12">
        <v>107</v>
      </c>
      <c r="B89" s="9" t="str">
        <f>VLOOKUP(A89,'Sets (lua data)'!$A$3:$C$9838,3,FALSE)</f>
        <v>Wyrd Tree\'s Blessing</v>
      </c>
      <c r="C89" s="9" t="str">
        <f>VLOOKUP(A89,'Sets (lua data)'!$A$3:$C$9838,2,FALSE)</f>
        <v>Segen des Wyrdbaums</v>
      </c>
      <c r="G89" s="2" t="str">
        <f t="shared" si="1"/>
        <v/>
      </c>
    </row>
    <row r="90" spans="1:7" x14ac:dyDescent="0.25">
      <c r="A90" s="12">
        <v>108</v>
      </c>
      <c r="B90" s="9" t="str">
        <f>VLOOKUP(A90,'Sets (lua data)'!$A$3:$C$9838,3,FALSE)</f>
        <v>Ravager</v>
      </c>
      <c r="C90" s="9" t="str">
        <f>VLOOKUP(A90,'Sets (lua data)'!$A$3:$C$9838,2,FALSE)</f>
        <v>Verwüster</v>
      </c>
      <c r="G90" s="2" t="str">
        <f t="shared" si="1"/>
        <v/>
      </c>
    </row>
    <row r="91" spans="1:7" x14ac:dyDescent="0.25">
      <c r="A91" s="12">
        <v>109</v>
      </c>
      <c r="B91" s="9" t="str">
        <f>VLOOKUP(A91,'Sets (lua data)'!$A$3:$C$9838,3,FALSE)</f>
        <v>Light of Cyrodiil</v>
      </c>
      <c r="C91" s="9" t="str">
        <f>VLOOKUP(A91,'Sets (lua data)'!$A$3:$C$9838,2,FALSE)</f>
        <v>Licht von Cyrodiil</v>
      </c>
      <c r="G91" s="2" t="str">
        <f t="shared" si="1"/>
        <v/>
      </c>
    </row>
    <row r="92" spans="1:7" x14ac:dyDescent="0.25">
      <c r="A92" s="12">
        <v>110</v>
      </c>
      <c r="B92" s="9" t="str">
        <f>VLOOKUP(A92,'Sets (lua data)'!$A$3:$C$9838,3,FALSE)</f>
        <v>Sanctuary</v>
      </c>
      <c r="C92" s="9" t="str">
        <f>VLOOKUP(A92,'Sets (lua data)'!$A$3:$C$9838,2,FALSE)</f>
        <v>Heiligtum</v>
      </c>
      <c r="G92" s="2" t="str">
        <f t="shared" si="1"/>
        <v/>
      </c>
    </row>
    <row r="93" spans="1:7" x14ac:dyDescent="0.25">
      <c r="A93" s="12">
        <v>111</v>
      </c>
      <c r="B93" s="9" t="str">
        <f>VLOOKUP(A93,'Sets (lua data)'!$A$3:$C$9838,3,FALSE)</f>
        <v>Ward of Cyrodiil</v>
      </c>
      <c r="C93" s="9" t="str">
        <f>VLOOKUP(A93,'Sets (lua data)'!$A$3:$C$9838,2,FALSE)</f>
        <v>Schutz von Cyrodiil</v>
      </c>
      <c r="G93" s="2" t="str">
        <f t="shared" si="1"/>
        <v/>
      </c>
    </row>
    <row r="94" spans="1:7" x14ac:dyDescent="0.25">
      <c r="A94" s="12">
        <v>112</v>
      </c>
      <c r="B94" s="9" t="str">
        <f>VLOOKUP(A94,'Sets (lua data)'!$A$3:$C$9838,3,FALSE)</f>
        <v>Night Terror</v>
      </c>
      <c r="C94" s="9" t="str">
        <f>VLOOKUP(A94,'Sets (lua data)'!$A$3:$C$9838,2,FALSE)</f>
        <v>Nachtschrecken</v>
      </c>
      <c r="G94" s="2" t="str">
        <f t="shared" si="1"/>
        <v/>
      </c>
    </row>
    <row r="95" spans="1:7" x14ac:dyDescent="0.25">
      <c r="A95" s="12">
        <v>113</v>
      </c>
      <c r="B95" s="9" t="str">
        <f>VLOOKUP(A95,'Sets (lua data)'!$A$3:$C$9838,3,FALSE)</f>
        <v>Crest of Cyrodiil</v>
      </c>
      <c r="C95" s="9" t="str">
        <f>VLOOKUP(A95,'Sets (lua data)'!$A$3:$C$9838,2,FALSE)</f>
        <v>Wappen von Cyrodiil</v>
      </c>
      <c r="G95" s="2" t="str">
        <f t="shared" si="1"/>
        <v/>
      </c>
    </row>
    <row r="96" spans="1:7" x14ac:dyDescent="0.25">
      <c r="A96" s="12">
        <v>114</v>
      </c>
      <c r="B96" s="9" t="str">
        <f>VLOOKUP(A96,'Sets (lua data)'!$A$3:$C$9838,3,FALSE)</f>
        <v>Soulshine</v>
      </c>
      <c r="C96" s="9" t="str">
        <f>VLOOKUP(A96,'Sets (lua data)'!$A$3:$C$9838,2,FALSE)</f>
        <v>Seelenschein</v>
      </c>
      <c r="G96" s="2" t="str">
        <f t="shared" si="1"/>
        <v/>
      </c>
    </row>
    <row r="97" spans="1:7" x14ac:dyDescent="0.25">
      <c r="A97" s="12">
        <v>116</v>
      </c>
      <c r="B97" s="9" t="str">
        <f>VLOOKUP(A97,'Sets (lua data)'!$A$3:$C$9838,3,FALSE)</f>
        <v>The Destruction Suite</v>
      </c>
      <c r="C97" s="9" t="str">
        <f>VLOOKUP(A97,'Sets (lua data)'!$A$3:$C$9838,2,FALSE)</f>
        <v>Garnitur der Zerstörung</v>
      </c>
      <c r="G97" s="2" t="str">
        <f t="shared" si="1"/>
        <v/>
      </c>
    </row>
    <row r="98" spans="1:7" x14ac:dyDescent="0.25">
      <c r="A98" s="12">
        <v>117</v>
      </c>
      <c r="B98" s="9" t="str">
        <f>VLOOKUP(A98,'Sets (lua data)'!$A$3:$C$9838,3,FALSE)</f>
        <v>Relics of the Physician, Ansur</v>
      </c>
      <c r="C98" s="9" t="str">
        <f>VLOOKUP(A98,'Sets (lua data)'!$A$3:$C$9838,2,FALSE)</f>
        <v>Relikte des Mediziners Ansur</v>
      </c>
      <c r="G98" s="2" t="str">
        <f t="shared" si="1"/>
        <v/>
      </c>
    </row>
    <row r="99" spans="1:7" x14ac:dyDescent="0.25">
      <c r="A99" s="12">
        <v>118</v>
      </c>
      <c r="B99" s="9" t="str">
        <f>VLOOKUP(A99,'Sets (lua data)'!$A$3:$C$9838,3,FALSE)</f>
        <v>Treasures of the Earthforge</v>
      </c>
      <c r="C99" s="9" t="str">
        <f>VLOOKUP(A99,'Sets (lua data)'!$A$3:$C$9838,2,FALSE)</f>
        <v>Schätze der Erdenschmiede</v>
      </c>
      <c r="G99" s="2" t="str">
        <f t="shared" si="1"/>
        <v/>
      </c>
    </row>
    <row r="100" spans="1:7" x14ac:dyDescent="0.25">
      <c r="A100" s="12">
        <v>119</v>
      </c>
      <c r="B100" s="9" t="str">
        <f>VLOOKUP(A100,'Sets (lua data)'!$A$3:$C$9838,3,FALSE)</f>
        <v>Relics of the Rebellion</v>
      </c>
      <c r="C100" s="9" t="str">
        <f>VLOOKUP(A100,'Sets (lua data)'!$A$3:$C$9838,2,FALSE)</f>
        <v>Relikte der Rebellion</v>
      </c>
      <c r="G100" s="2" t="str">
        <f t="shared" si="1"/>
        <v/>
      </c>
    </row>
    <row r="101" spans="1:7" x14ac:dyDescent="0.25">
      <c r="A101" s="12">
        <v>120</v>
      </c>
      <c r="B101" s="9" t="str">
        <f>VLOOKUP(A101,'Sets (lua data)'!$A$3:$C$9838,3,FALSE)</f>
        <v>Arms of Infernace</v>
      </c>
      <c r="C101" s="9" t="str">
        <f>VLOOKUP(A101,'Sets (lua data)'!$A$3:$C$9838,2,FALSE)</f>
        <v>Waffen Infernals</v>
      </c>
      <c r="G101" s="2" t="str">
        <f t="shared" si="1"/>
        <v/>
      </c>
    </row>
    <row r="102" spans="1:7" x14ac:dyDescent="0.25">
      <c r="A102" s="12">
        <v>121</v>
      </c>
      <c r="B102" s="9" t="str">
        <f>VLOOKUP(A102,'Sets (lua data)'!$A$3:$C$9838,3,FALSE)</f>
        <v>Arms of the Ancestors</v>
      </c>
      <c r="C102" s="9" t="str">
        <f>VLOOKUP(A102,'Sets (lua data)'!$A$3:$C$9838,2,FALSE)</f>
        <v>Waffen der Ahnen</v>
      </c>
      <c r="G102" s="2" t="str">
        <f t="shared" si="1"/>
        <v/>
      </c>
    </row>
    <row r="103" spans="1:7" x14ac:dyDescent="0.25">
      <c r="A103" s="12">
        <v>122</v>
      </c>
      <c r="B103" s="9" t="str">
        <f>VLOOKUP(A103,'Sets (lua data)'!$A$3:$C$9838,3,FALSE)</f>
        <v>Ebon Armory</v>
      </c>
      <c r="C103" s="9" t="str">
        <f>VLOOKUP(A103,'Sets (lua data)'!$A$3:$C$9838,2,FALSE)</f>
        <v>Ebenerzarsenal</v>
      </c>
      <c r="G103" s="2" t="str">
        <f t="shared" si="1"/>
        <v/>
      </c>
    </row>
    <row r="104" spans="1:7" x14ac:dyDescent="0.25">
      <c r="A104" s="12">
        <v>123</v>
      </c>
      <c r="B104" s="9" t="str">
        <f>VLOOKUP(A104,'Sets (lua data)'!$A$3:$C$9838,3,FALSE)</f>
        <v>Hircine\'s Veneer</v>
      </c>
      <c r="C104" s="9" t="str">
        <f>VLOOKUP(A104,'Sets (lua data)'!$A$3:$C$9838,2,FALSE)</f>
        <v>Hircines Schein</v>
      </c>
      <c r="G104" s="2" t="str">
        <f t="shared" si="1"/>
        <v/>
      </c>
    </row>
    <row r="105" spans="1:7" x14ac:dyDescent="0.25">
      <c r="A105" s="12">
        <v>124</v>
      </c>
      <c r="B105" s="9" t="str">
        <f>VLOOKUP(A105,'Sets (lua data)'!$A$3:$C$9838,3,FALSE)</f>
        <v>The Worm\'s Raiment</v>
      </c>
      <c r="C105" s="9" t="str">
        <f>VLOOKUP(A105,'Sets (lua data)'!$A$3:$C$9838,2,FALSE)</f>
        <v>Garderobe des Wurms</v>
      </c>
      <c r="G105" s="2" t="str">
        <f t="shared" si="1"/>
        <v/>
      </c>
    </row>
    <row r="106" spans="1:7" x14ac:dyDescent="0.25">
      <c r="A106" s="12">
        <v>125</v>
      </c>
      <c r="B106" s="9" t="str">
        <f>VLOOKUP(A106,'Sets (lua data)'!$A$3:$C$9838,3,FALSE)</f>
        <v>Wrath of the Imperium</v>
      </c>
      <c r="C106" s="9" t="str">
        <f>VLOOKUP(A106,'Sets (lua data)'!$A$3:$C$9838,2,FALSE)</f>
        <v>Zorn des Kaiserreichs</v>
      </c>
      <c r="G106" s="2" t="str">
        <f t="shared" si="1"/>
        <v/>
      </c>
    </row>
    <row r="107" spans="1:7" x14ac:dyDescent="0.25">
      <c r="A107" s="12">
        <v>126</v>
      </c>
      <c r="B107" s="9" t="str">
        <f>VLOOKUP(A107,'Sets (lua data)'!$A$3:$C$9838,3,FALSE)</f>
        <v>Grace of the Ancients</v>
      </c>
      <c r="C107" s="9" t="str">
        <f>VLOOKUP(A107,'Sets (lua data)'!$A$3:$C$9838,2,FALSE)</f>
        <v>Anmut der Ahnen</v>
      </c>
      <c r="G107" s="2" t="str">
        <f t="shared" si="1"/>
        <v/>
      </c>
    </row>
    <row r="108" spans="1:7" x14ac:dyDescent="0.25">
      <c r="A108" s="12">
        <v>127</v>
      </c>
      <c r="B108" s="9" t="str">
        <f>VLOOKUP(A108,'Sets (lua data)'!$A$3:$C$9838,3,FALSE)</f>
        <v>Deadly Strike</v>
      </c>
      <c r="C108" s="9" t="str">
        <f>VLOOKUP(A108,'Sets (lua data)'!$A$3:$C$9838,2,FALSE)</f>
        <v>Tödlicher Stoß</v>
      </c>
      <c r="G108" s="2" t="str">
        <f t="shared" si="1"/>
        <v/>
      </c>
    </row>
    <row r="109" spans="1:7" x14ac:dyDescent="0.25">
      <c r="A109" s="12">
        <v>128</v>
      </c>
      <c r="B109" s="9" t="str">
        <f>VLOOKUP(A109,'Sets (lua data)'!$A$3:$C$9838,3,FALSE)</f>
        <v>Blessing of the Potentates</v>
      </c>
      <c r="C109" s="9" t="str">
        <f>VLOOKUP(A109,'Sets (lua data)'!$A$3:$C$9838,2,FALSE)</f>
        <v>Segen des Potentaten</v>
      </c>
      <c r="G109" s="2" t="str">
        <f t="shared" si="1"/>
        <v/>
      </c>
    </row>
    <row r="110" spans="1:7" x14ac:dyDescent="0.25">
      <c r="A110" s="12">
        <v>129</v>
      </c>
      <c r="B110" s="9" t="str">
        <f>VLOOKUP(A110,'Sets (lua data)'!$A$3:$C$9838,3,FALSE)</f>
        <v>Vengeance Leech</v>
      </c>
      <c r="C110" s="9" t="str">
        <f>VLOOKUP(A110,'Sets (lua data)'!$A$3:$C$9838,2,FALSE)</f>
        <v>Saugende Vergeltung</v>
      </c>
      <c r="G110" s="2" t="str">
        <f t="shared" si="1"/>
        <v/>
      </c>
    </row>
    <row r="111" spans="1:7" x14ac:dyDescent="0.25">
      <c r="A111" s="12">
        <v>130</v>
      </c>
      <c r="B111" s="9" t="str">
        <f>VLOOKUP(A111,'Sets (lua data)'!$A$3:$C$9838,3,FALSE)</f>
        <v>Eagle Eye</v>
      </c>
      <c r="C111" s="9" t="str">
        <f>VLOOKUP(A111,'Sets (lua data)'!$A$3:$C$9838,2,FALSE)</f>
        <v>Adlerauge</v>
      </c>
      <c r="G111" s="2" t="str">
        <f t="shared" si="1"/>
        <v/>
      </c>
    </row>
    <row r="112" spans="1:7" x14ac:dyDescent="0.25">
      <c r="A112" s="12">
        <v>131</v>
      </c>
      <c r="B112" s="9" t="str">
        <f>VLOOKUP(A112,'Sets (lua data)'!$A$3:$C$9838,3,FALSE)</f>
        <v>Bastion of the Heartland</v>
      </c>
      <c r="C112" s="9" t="str">
        <f>VLOOKUP(A112,'Sets (lua data)'!$A$3:$C$9838,2,FALSE)</f>
        <v>Bastion des Herzlandes</v>
      </c>
      <c r="G112" s="2" t="str">
        <f t="shared" si="1"/>
        <v/>
      </c>
    </row>
    <row r="113" spans="1:7" x14ac:dyDescent="0.25">
      <c r="A113" s="12">
        <v>132</v>
      </c>
      <c r="B113" s="9" t="str">
        <f>VLOOKUP(A113,'Sets (lua data)'!$A$3:$C$9838,3,FALSE)</f>
        <v>Shield of the Valiant</v>
      </c>
      <c r="C113" s="9" t="str">
        <f>VLOOKUP(A113,'Sets (lua data)'!$A$3:$C$9838,2,FALSE)</f>
        <v>Schild des Tapferen</v>
      </c>
      <c r="G113" s="2" t="str">
        <f t="shared" si="1"/>
        <v/>
      </c>
    </row>
    <row r="114" spans="1:7" x14ac:dyDescent="0.25">
      <c r="A114" s="12">
        <v>133</v>
      </c>
      <c r="B114" s="9" t="str">
        <f>VLOOKUP(A114,'Sets (lua data)'!$A$3:$C$9838,3,FALSE)</f>
        <v>Buffer of the Swift</v>
      </c>
      <c r="C114" s="9" t="str">
        <f>VLOOKUP(A114,'Sets (lua data)'!$A$3:$C$9838,2,FALSE)</f>
        <v>Dämpfer des Geschwinden</v>
      </c>
      <c r="G114" s="2" t="str">
        <f t="shared" si="1"/>
        <v/>
      </c>
    </row>
    <row r="115" spans="1:7" x14ac:dyDescent="0.25">
      <c r="A115" s="12">
        <v>134</v>
      </c>
      <c r="B115" s="9" t="str">
        <f>VLOOKUP(A115,'Sets (lua data)'!$A$3:$C$9838,3,FALSE)</f>
        <v>Shroud of the Lich</v>
      </c>
      <c r="C115" s="9" t="str">
        <f>VLOOKUP(A115,'Sets (lua data)'!$A$3:$C$9838,2,FALSE)</f>
        <v>Tuch des Lich</v>
      </c>
      <c r="G115" s="2" t="str">
        <f t="shared" si="1"/>
        <v/>
      </c>
    </row>
    <row r="116" spans="1:7" x14ac:dyDescent="0.25">
      <c r="A116" s="12">
        <v>135</v>
      </c>
      <c r="B116" s="9" t="str">
        <f>VLOOKUP(A116,'Sets (lua data)'!$A$3:$C$9838,3,FALSE)</f>
        <v>Draugr\'s Heritage</v>
      </c>
      <c r="C116" s="9" t="str">
        <f>VLOOKUP(A116,'Sets (lua data)'!$A$3:$C$9838,2,FALSE)</f>
        <v>Erbe des Draugrs</v>
      </c>
      <c r="G116" s="2" t="str">
        <f t="shared" si="1"/>
        <v/>
      </c>
    </row>
    <row r="117" spans="1:7" x14ac:dyDescent="0.25">
      <c r="A117" s="12">
        <v>136</v>
      </c>
      <c r="B117" s="9" t="str">
        <f>VLOOKUP(A117,'Sets (lua data)'!$A$3:$C$9838,3,FALSE)</f>
        <v>Immortal Warrior</v>
      </c>
      <c r="C117" s="9" t="str">
        <f>VLOOKUP(A117,'Sets (lua data)'!$A$3:$C$9838,2,FALSE)</f>
        <v>Unsterblicher Krieger</v>
      </c>
      <c r="G117" s="2" t="str">
        <f t="shared" si="1"/>
        <v/>
      </c>
    </row>
    <row r="118" spans="1:7" x14ac:dyDescent="0.25">
      <c r="A118" s="12">
        <v>137</v>
      </c>
      <c r="B118" s="9" t="str">
        <f>VLOOKUP(A118,'Sets (lua data)'!$A$3:$C$9838,3,FALSE)</f>
        <v>Berserking Warrior</v>
      </c>
      <c r="C118" s="9" t="str">
        <f>VLOOKUP(A118,'Sets (lua data)'!$A$3:$C$9838,2,FALSE)</f>
        <v>Tobender Krieger</v>
      </c>
      <c r="G118" s="2" t="str">
        <f t="shared" si="1"/>
        <v/>
      </c>
    </row>
    <row r="119" spans="1:7" x14ac:dyDescent="0.25">
      <c r="A119" s="12">
        <v>138</v>
      </c>
      <c r="B119" s="9" t="str">
        <f>VLOOKUP(A119,'Sets (lua data)'!$A$3:$C$9838,3,FALSE)</f>
        <v>Defending Warrior</v>
      </c>
      <c r="C119" s="9" t="str">
        <f>VLOOKUP(A119,'Sets (lua data)'!$A$3:$C$9838,2,FALSE)</f>
        <v>Verteidigender Krieger</v>
      </c>
      <c r="G119" s="2" t="str">
        <f t="shared" si="1"/>
        <v/>
      </c>
    </row>
    <row r="120" spans="1:7" x14ac:dyDescent="0.25">
      <c r="A120" s="12">
        <v>139</v>
      </c>
      <c r="B120" s="9" t="str">
        <f>VLOOKUP(A120,'Sets (lua data)'!$A$3:$C$9838,3,FALSE)</f>
        <v>Wise Mage</v>
      </c>
      <c r="C120" s="9" t="str">
        <f>VLOOKUP(A120,'Sets (lua data)'!$A$3:$C$9838,2,FALSE)</f>
        <v>Weiser Magier</v>
      </c>
      <c r="G120" s="2" t="str">
        <f t="shared" si="1"/>
        <v/>
      </c>
    </row>
    <row r="121" spans="1:7" x14ac:dyDescent="0.25">
      <c r="A121" s="12">
        <v>140</v>
      </c>
      <c r="B121" s="9" t="str">
        <f>VLOOKUP(A121,'Sets (lua data)'!$A$3:$C$9838,3,FALSE)</f>
        <v>Destructive Mage</v>
      </c>
      <c r="C121" s="9" t="str">
        <f>VLOOKUP(A121,'Sets (lua data)'!$A$3:$C$9838,2,FALSE)</f>
        <v>Zerstörerischer Magier</v>
      </c>
      <c r="G121" s="2" t="str">
        <f t="shared" si="1"/>
        <v/>
      </c>
    </row>
    <row r="122" spans="1:7" x14ac:dyDescent="0.25">
      <c r="A122" s="12">
        <v>141</v>
      </c>
      <c r="B122" s="9" t="str">
        <f>VLOOKUP(A122,'Sets (lua data)'!$A$3:$C$9838,3,FALSE)</f>
        <v>Healing Mage</v>
      </c>
      <c r="C122" s="9" t="str">
        <f>VLOOKUP(A122,'Sets (lua data)'!$A$3:$C$9838,2,FALSE)</f>
        <v>Heilender Magier</v>
      </c>
      <c r="G122" s="2" t="str">
        <f t="shared" si="1"/>
        <v/>
      </c>
    </row>
    <row r="123" spans="1:7" x14ac:dyDescent="0.25">
      <c r="A123" s="12">
        <v>142</v>
      </c>
      <c r="B123" s="9" t="str">
        <f>VLOOKUP(A123,'Sets (lua data)'!$A$3:$C$9838,3,FALSE)</f>
        <v>Quick Serpent</v>
      </c>
      <c r="C123" s="9" t="str">
        <f>VLOOKUP(A123,'Sets (lua data)'!$A$3:$C$9838,2,FALSE)</f>
        <v>Flinke Schlange</v>
      </c>
      <c r="G123" s="2" t="str">
        <f t="shared" si="1"/>
        <v/>
      </c>
    </row>
    <row r="124" spans="1:7" x14ac:dyDescent="0.25">
      <c r="A124" s="12">
        <v>143</v>
      </c>
      <c r="B124" s="9" t="str">
        <f>VLOOKUP(A124,'Sets (lua data)'!$A$3:$C$9838,3,FALSE)</f>
        <v>Poisonous Serpent</v>
      </c>
      <c r="C124" s="9" t="str">
        <f>VLOOKUP(A124,'Sets (lua data)'!$A$3:$C$9838,2,FALSE)</f>
        <v>Giftschlange</v>
      </c>
      <c r="G124" s="2" t="str">
        <f t="shared" si="1"/>
        <v/>
      </c>
    </row>
    <row r="125" spans="1:7" x14ac:dyDescent="0.25">
      <c r="A125" s="12">
        <v>144</v>
      </c>
      <c r="B125" s="9" t="str">
        <f>VLOOKUP(A125,'Sets (lua data)'!$A$3:$C$9838,3,FALSE)</f>
        <v>Twice-Fanged Serpent</v>
      </c>
      <c r="C125" s="9" t="str">
        <f>VLOOKUP(A125,'Sets (lua data)'!$A$3:$C$9838,2,FALSE)</f>
        <v>Doppelzüngige Schlange</v>
      </c>
      <c r="G125" s="2" t="str">
        <f t="shared" si="1"/>
        <v/>
      </c>
    </row>
    <row r="126" spans="1:7" x14ac:dyDescent="0.25">
      <c r="A126" s="12">
        <v>145</v>
      </c>
      <c r="B126" s="9" t="str">
        <f>VLOOKUP(A126,'Sets (lua data)'!$A$3:$C$9838,3,FALSE)</f>
        <v>Way of Fire</v>
      </c>
      <c r="C126" s="9" t="str">
        <f>VLOOKUP(A126,'Sets (lua data)'!$A$3:$C$9838,2,FALSE)</f>
        <v>Weg des Feuers</v>
      </c>
      <c r="G126" s="2" t="str">
        <f t="shared" si="1"/>
        <v/>
      </c>
    </row>
    <row r="127" spans="1:7" x14ac:dyDescent="0.25">
      <c r="A127" s="12">
        <v>146</v>
      </c>
      <c r="B127" s="9" t="str">
        <f>VLOOKUP(A127,'Sets (lua data)'!$A$3:$C$9838,3,FALSE)</f>
        <v>Way of Air</v>
      </c>
      <c r="C127" s="9" t="str">
        <f>VLOOKUP(A127,'Sets (lua data)'!$A$3:$C$9838,2,FALSE)</f>
        <v>Weg der Luft</v>
      </c>
      <c r="G127" s="2" t="str">
        <f t="shared" si="1"/>
        <v/>
      </c>
    </row>
    <row r="128" spans="1:7" ht="240" x14ac:dyDescent="0.25">
      <c r="A128" s="12">
        <v>147</v>
      </c>
      <c r="B128" s="9" t="str">
        <f>VLOOKUP(A128,'Sets (lua data)'!$A$3:$C$9838,3,FALSE)</f>
        <v>Way of Martial Knowledge</v>
      </c>
      <c r="C128" s="9" t="str">
        <f>VLOOKUP(A128,'Sets (lua data)'!$A$3:$C$9838,2,FALSE)</f>
        <v>Weg der Kampfkunst</v>
      </c>
      <c r="D128" s="20" t="s">
        <v>4264</v>
      </c>
      <c r="G128" s="2" t="str">
        <f t="shared" si="1"/>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1">
        <v>148</v>
      </c>
      <c r="B129" s="9" t="str">
        <f>VLOOKUP(A129,'Sets (lua data)'!$A$3:$C$9838,3,FALSE)</f>
        <v>Way of the Arena</v>
      </c>
      <c r="C129" s="9" t="str">
        <f>VLOOKUP(A129,'Sets (lua data)'!$A$3:$C$9838,2,FALSE)</f>
        <v>Weg der Arena</v>
      </c>
      <c r="G129" s="2" t="str">
        <f t="shared" si="1"/>
        <v/>
      </c>
    </row>
    <row r="130" spans="1:7" x14ac:dyDescent="0.25">
      <c r="A130" s="12">
        <v>155</v>
      </c>
      <c r="B130" s="9" t="str">
        <f>VLOOKUP(A130,'Sets (lua data)'!$A$3:$C$9838,3,FALSE)</f>
        <v>Undaunted Bastion</v>
      </c>
      <c r="C130" s="9" t="str">
        <f>VLOOKUP(A130,'Sets (lua data)'!$A$3:$C$9838,2,FALSE)</f>
        <v>Unerschrockenen-Bastion</v>
      </c>
      <c r="G130" s="2" t="str">
        <f t="shared" si="1"/>
        <v/>
      </c>
    </row>
    <row r="131" spans="1:7" x14ac:dyDescent="0.25">
      <c r="A131" s="12">
        <v>156</v>
      </c>
      <c r="B131" s="9" t="str">
        <f>VLOOKUP(A131,'Sets (lua data)'!$A$3:$C$9838,3,FALSE)</f>
        <v>Undaunted Infiltrator</v>
      </c>
      <c r="C131" s="9" t="str">
        <f>VLOOKUP(A131,'Sets (lua data)'!$A$3:$C$9838,2,FALSE)</f>
        <v>Unerschrockener Infiltrator</v>
      </c>
      <c r="G131" s="2" t="str">
        <f t="shared" ref="G131:G194" si="2">IF(AND(A131&lt;&gt;"",NOT(ISERROR(A131)),ISNUMBER(A131),D131&lt;&gt;""),CONCATENATE("[",A131,"] = {",D131,"},","     --",B131," -&gt; ",E131," / ",F131),"")</f>
        <v/>
      </c>
    </row>
    <row r="132" spans="1:7" x14ac:dyDescent="0.25">
      <c r="A132" s="12">
        <v>157</v>
      </c>
      <c r="B132" s="9" t="str">
        <f>VLOOKUP(A132,'Sets (lua data)'!$A$3:$C$9838,3,FALSE)</f>
        <v>Undaunted Unweaver</v>
      </c>
      <c r="C132" s="9" t="str">
        <f>VLOOKUP(A132,'Sets (lua data)'!$A$3:$C$9838,2,FALSE)</f>
        <v>Unerschrockener Entflechter</v>
      </c>
      <c r="G132" s="2" t="str">
        <f t="shared" si="2"/>
        <v/>
      </c>
    </row>
    <row r="133" spans="1:7" x14ac:dyDescent="0.25">
      <c r="A133" s="12">
        <v>158</v>
      </c>
      <c r="B133" s="9" t="str">
        <f>VLOOKUP(A133,'Sets (lua data)'!$A$3:$C$9838,3,FALSE)</f>
        <v>Embershield</v>
      </c>
      <c r="C133" s="9" t="str">
        <f>VLOOKUP(A133,'Sets (lua data)'!$A$3:$C$9838,2,FALSE)</f>
        <v>Glutschild</v>
      </c>
      <c r="G133" s="2" t="str">
        <f t="shared" si="2"/>
        <v/>
      </c>
    </row>
    <row r="134" spans="1:7" x14ac:dyDescent="0.25">
      <c r="A134" s="12">
        <v>159</v>
      </c>
      <c r="B134" s="9" t="str">
        <f>VLOOKUP(A134,'Sets (lua data)'!$A$3:$C$9838,3,FALSE)</f>
        <v>Sunderflame</v>
      </c>
      <c r="C134" s="9" t="str">
        <f>VLOOKUP(A134,'Sets (lua data)'!$A$3:$C$9838,2,FALSE)</f>
        <v>Trennflamme</v>
      </c>
      <c r="G134" s="2" t="str">
        <f t="shared" si="2"/>
        <v/>
      </c>
    </row>
    <row r="135" spans="1:7" ht="105" x14ac:dyDescent="0.25">
      <c r="A135" s="12">
        <v>160</v>
      </c>
      <c r="B135" s="9" t="str">
        <f>VLOOKUP(A135,'Sets (lua data)'!$A$3:$C$9838,3,FALSE)</f>
        <v>Burning Spellweave</v>
      </c>
      <c r="C135" s="9" t="str">
        <f>VLOOKUP(A135,'Sets (lua data)'!$A$3:$C$9838,2,FALSE)</f>
        <v>Branntzauberweber</v>
      </c>
      <c r="D135" s="20" t="s">
        <v>4265</v>
      </c>
      <c r="G135" s="2" t="str">
        <f t="shared" si="2"/>
        <v xml:space="preserve">[160] = {[LIBSETS_SETPROC_CHECKTYPE_ABILITY_EVENT_COMBAT_EVENT] = {
    [1] = {
      ["abilityIds"] = {61459},
      ["source"] = COMBAT_UNIT_TYPE_PLAYER,
      ["cooldown"] = {12000},
          },
  },},     --Burning Spellweave -&gt;  / </v>
      </c>
    </row>
    <row r="136" spans="1:7" x14ac:dyDescent="0.25">
      <c r="A136" s="1">
        <v>161</v>
      </c>
      <c r="B136" s="9" t="str">
        <f>VLOOKUP(A136,'Sets (lua data)'!$A$3:$C$9838,3,FALSE)</f>
        <v>Twice-Born Star</v>
      </c>
      <c r="C136" s="9" t="str">
        <f>VLOOKUP(A136,'Sets (lua data)'!$A$3:$C$9838,2,FALSE)</f>
        <v>Doppelstern</v>
      </c>
      <c r="G136" s="2" t="str">
        <f t="shared" si="2"/>
        <v/>
      </c>
    </row>
    <row r="137" spans="1:7" x14ac:dyDescent="0.25">
      <c r="A137" s="1">
        <v>162</v>
      </c>
      <c r="B137" s="9" t="str">
        <f>VLOOKUP(A137,'Sets (lua data)'!$A$3:$C$9838,3,FALSE)</f>
        <v>Spawn of Mephala</v>
      </c>
      <c r="C137" s="9" t="str">
        <f>VLOOKUP(A137,'Sets (lua data)'!$A$3:$C$9838,2,FALSE)</f>
        <v>Mephalas Brut</v>
      </c>
      <c r="G137" s="2" t="str">
        <f t="shared" si="2"/>
        <v/>
      </c>
    </row>
    <row r="138" spans="1:7" x14ac:dyDescent="0.25">
      <c r="A138" s="1">
        <v>163</v>
      </c>
      <c r="B138" s="9" t="str">
        <f>VLOOKUP(A138,'Sets (lua data)'!$A$3:$C$9838,3,FALSE)</f>
        <v>Blood Spawn</v>
      </c>
      <c r="C138" s="9" t="str">
        <f>VLOOKUP(A138,'Sets (lua data)'!$A$3:$C$9838,2,FALSE)</f>
        <v>Blutbrut</v>
      </c>
      <c r="G138" s="2" t="str">
        <f t="shared" si="2"/>
        <v/>
      </c>
    </row>
    <row r="139" spans="1:7" x14ac:dyDescent="0.25">
      <c r="A139" s="1">
        <v>164</v>
      </c>
      <c r="B139" s="9" t="str">
        <f>VLOOKUP(A139,'Sets (lua data)'!$A$3:$C$9838,3,FALSE)</f>
        <v>Lord Warden</v>
      </c>
      <c r="C139" s="9" t="str">
        <f>VLOOKUP(A139,'Sets (lua data)'!$A$3:$C$9838,2,FALSE)</f>
        <v>Hochwärter</v>
      </c>
      <c r="G139" s="2" t="str">
        <f t="shared" si="2"/>
        <v/>
      </c>
    </row>
    <row r="140" spans="1:7" x14ac:dyDescent="0.25">
      <c r="A140" s="1">
        <v>165</v>
      </c>
      <c r="B140" s="9" t="str">
        <f>VLOOKUP(A140,'Sets (lua data)'!$A$3:$C$9838,3,FALSE)</f>
        <v>Scourge Harvester</v>
      </c>
      <c r="C140" s="9" t="str">
        <f>VLOOKUP(A140,'Sets (lua data)'!$A$3:$C$9838,2,FALSE)</f>
        <v>Geißelernter</v>
      </c>
      <c r="G140" s="2" t="str">
        <f t="shared" si="2"/>
        <v/>
      </c>
    </row>
    <row r="141" spans="1:7" x14ac:dyDescent="0.25">
      <c r="A141" s="1">
        <v>166</v>
      </c>
      <c r="B141" s="9" t="str">
        <f>VLOOKUP(A141,'Sets (lua data)'!$A$3:$C$9838,3,FALSE)</f>
        <v>Engine Guardian</v>
      </c>
      <c r="C141" s="9" t="str">
        <f>VLOOKUP(A141,'Sets (lua data)'!$A$3:$C$9838,2,FALSE)</f>
        <v>Maschinenwächter</v>
      </c>
      <c r="G141" s="2" t="str">
        <f t="shared" si="2"/>
        <v/>
      </c>
    </row>
    <row r="142" spans="1:7" ht="105" x14ac:dyDescent="0.25">
      <c r="A142" s="1">
        <v>167</v>
      </c>
      <c r="B142" s="9" t="str">
        <f>VLOOKUP(A142,'Sets (lua data)'!$A$3:$C$9838,3,FALSE)</f>
        <v>Nightflame</v>
      </c>
      <c r="C142" s="9" t="str">
        <f>VLOOKUP(A142,'Sets (lua data)'!$A$3:$C$9838,2,FALSE)</f>
        <v>Nachtflamme</v>
      </c>
      <c r="D142" s="20" t="s">
        <v>4266</v>
      </c>
      <c r="G142" s="2" t="str">
        <f t="shared" si="2"/>
        <v xml:space="preserve">[167] = {[LIBSETS_SETPROC_CHECKTYPE_ABILITY_EVENT_COMBAT_EVENT] = {
[1] = {
      ["abilityIds"] = {59590},
      ["cooldown"] = {10000},
      ["source"] = COMBAT_UNIT_TYPE_PLAYER,
    },
},},     --Nightflame -&gt;  / </v>
      </c>
    </row>
    <row r="143" spans="1:7" x14ac:dyDescent="0.25">
      <c r="A143" s="1">
        <v>168</v>
      </c>
      <c r="B143" s="9" t="str">
        <f>VLOOKUP(A143,'Sets (lua data)'!$A$3:$C$9838,3,FALSE)</f>
        <v>Nerien\'eth</v>
      </c>
      <c r="C143" s="9" t="str">
        <f>VLOOKUP(A143,'Sets (lua data)'!$A$3:$C$9838,2,FALSE)</f>
        <v>Nerien'eth</v>
      </c>
      <c r="G143" s="2" t="str">
        <f t="shared" si="2"/>
        <v/>
      </c>
    </row>
    <row r="144" spans="1:7" x14ac:dyDescent="0.25">
      <c r="A144" s="1">
        <v>169</v>
      </c>
      <c r="B144" s="9" t="str">
        <f>VLOOKUP(A144,'Sets (lua data)'!$A$3:$C$9838,3,FALSE)</f>
        <v>Valkyn Skoria</v>
      </c>
      <c r="C144" s="9" t="str">
        <f>VLOOKUP(A144,'Sets (lua data)'!$A$3:$C$9838,2,FALSE)</f>
        <v>Valkyn Skoria</v>
      </c>
      <c r="G144" s="2" t="str">
        <f t="shared" si="2"/>
        <v/>
      </c>
    </row>
    <row r="145" spans="1:7" x14ac:dyDescent="0.25">
      <c r="A145" s="1">
        <v>170</v>
      </c>
      <c r="B145" s="9" t="str">
        <f>VLOOKUP(A145,'Sets (lua data)'!$A$3:$C$9838,3,FALSE)</f>
        <v>Maw of the Infernal</v>
      </c>
      <c r="C145" s="9" t="str">
        <f>VLOOKUP(A145,'Sets (lua data)'!$A$3:$C$9838,2,FALSE)</f>
        <v>Schlund des Infernalen</v>
      </c>
      <c r="G145" s="2" t="str">
        <f t="shared" si="2"/>
        <v/>
      </c>
    </row>
    <row r="146" spans="1:7" x14ac:dyDescent="0.25">
      <c r="A146" s="12">
        <v>171</v>
      </c>
      <c r="B146" s="9" t="str">
        <f>VLOOKUP(A146,'Sets (lua data)'!$A$3:$C$9838,3,FALSE)</f>
        <v>Eternal Warrior</v>
      </c>
      <c r="C146" s="9" t="str">
        <f>VLOOKUP(A146,'Sets (lua data)'!$A$3:$C$9838,2,FALSE)</f>
        <v>Ewiger Krieger</v>
      </c>
      <c r="G146" s="2" t="str">
        <f t="shared" si="2"/>
        <v/>
      </c>
    </row>
    <row r="147" spans="1:7" x14ac:dyDescent="0.25">
      <c r="A147" s="12">
        <v>172</v>
      </c>
      <c r="B147" s="9" t="str">
        <f>VLOOKUP(A147,'Sets (lua data)'!$A$3:$C$9838,3,FALSE)</f>
        <v>Infallible Mage</v>
      </c>
      <c r="C147" s="9" t="str">
        <f>VLOOKUP(A147,'Sets (lua data)'!$A$3:$C$9838,2,FALSE)</f>
        <v>Unfehlbare Magierin</v>
      </c>
      <c r="G147" s="2" t="str">
        <f t="shared" si="2"/>
        <v/>
      </c>
    </row>
    <row r="148" spans="1:7" x14ac:dyDescent="0.25">
      <c r="A148" s="12">
        <v>173</v>
      </c>
      <c r="B148" s="9" t="str">
        <f>VLOOKUP(A148,'Sets (lua data)'!$A$3:$C$9838,3,FALSE)</f>
        <v>Vicious Serpent</v>
      </c>
      <c r="C148" s="9" t="str">
        <f>VLOOKUP(A148,'Sets (lua data)'!$A$3:$C$9838,2,FALSE)</f>
        <v>Boshafte Schlange</v>
      </c>
      <c r="G148" s="2" t="str">
        <f t="shared" si="2"/>
        <v/>
      </c>
    </row>
    <row r="149" spans="1:7" x14ac:dyDescent="0.25">
      <c r="A149" s="1">
        <v>176</v>
      </c>
      <c r="B149" s="9" t="str">
        <f>VLOOKUP(A149,'Sets (lua data)'!$A$3:$C$9838,3,FALSE)</f>
        <v>Noble\'s Conquest</v>
      </c>
      <c r="C149" s="9" t="str">
        <f>VLOOKUP(A149,'Sets (lua data)'!$A$3:$C$9838,2,FALSE)</f>
        <v>Adelssieg</v>
      </c>
      <c r="G149" s="2" t="str">
        <f t="shared" si="2"/>
        <v/>
      </c>
    </row>
    <row r="150" spans="1:7" x14ac:dyDescent="0.25">
      <c r="A150" s="1">
        <v>177</v>
      </c>
      <c r="B150" s="9" t="str">
        <f>VLOOKUP(A150,'Sets (lua data)'!$A$3:$C$9838,3,FALSE)</f>
        <v>Redistributor</v>
      </c>
      <c r="C150" s="9" t="str">
        <f>VLOOKUP(A150,'Sets (lua data)'!$A$3:$C$9838,2,FALSE)</f>
        <v>Umverteilung</v>
      </c>
      <c r="G150" s="2" t="str">
        <f t="shared" si="2"/>
        <v/>
      </c>
    </row>
    <row r="151" spans="1:7" x14ac:dyDescent="0.25">
      <c r="A151" s="1">
        <v>178</v>
      </c>
      <c r="B151" s="9" t="str">
        <f>VLOOKUP(A151,'Sets (lua data)'!$A$3:$C$9838,3,FALSE)</f>
        <v>Armor Master</v>
      </c>
      <c r="C151" s="9" t="str">
        <f>VLOOKUP(A151,'Sets (lua data)'!$A$3:$C$9838,2,FALSE)</f>
        <v>Rüstungsmeister</v>
      </c>
      <c r="G151" s="2" t="str">
        <f t="shared" si="2"/>
        <v/>
      </c>
    </row>
    <row r="152" spans="1:7" x14ac:dyDescent="0.25">
      <c r="A152" s="12">
        <v>179</v>
      </c>
      <c r="B152" s="9" t="str">
        <f>VLOOKUP(A152,'Sets (lua data)'!$A$3:$C$9838,3,FALSE)</f>
        <v>Black Rose</v>
      </c>
      <c r="C152" s="9" t="str">
        <f>VLOOKUP(A152,'Sets (lua data)'!$A$3:$C$9838,2,FALSE)</f>
        <v>Schwarze Rose</v>
      </c>
      <c r="G152" s="2" t="str">
        <f t="shared" si="2"/>
        <v/>
      </c>
    </row>
    <row r="153" spans="1:7" ht="90" x14ac:dyDescent="0.25">
      <c r="A153" s="12">
        <v>180</v>
      </c>
      <c r="B153" s="9" t="str">
        <f>VLOOKUP(A153,'Sets (lua data)'!$A$3:$C$9838,3,FALSE)</f>
        <v>Powerful Assault</v>
      </c>
      <c r="C153" s="9" t="str">
        <f>VLOOKUP(A153,'Sets (lua data)'!$A$3:$C$9838,2,FALSE)</f>
        <v>Kraftvoller Ansturm</v>
      </c>
      <c r="D153" s="20" t="s">
        <v>4267</v>
      </c>
      <c r="G153" s="2" t="str">
        <f t="shared" si="2"/>
        <v xml:space="preserve">[180] = {[LIBSETS_SETPROC_CHECKTYPE_ABILITY_EVENT_COMBAT_EVENT] = {
    [1] = {
      ["abilityIds"] = {61771},
      ["source"] = COMBAT_UNIT_TYPE_PLAYER,
          },
  },},     --Powerful Assault -&gt;  / </v>
      </c>
    </row>
    <row r="154" spans="1:7" ht="90" x14ac:dyDescent="0.25">
      <c r="A154" s="12">
        <v>181</v>
      </c>
      <c r="B154" s="9" t="str">
        <f>VLOOKUP(A154,'Sets (lua data)'!$A$3:$C$9838,3,FALSE)</f>
        <v>Meritorious Service</v>
      </c>
      <c r="C154" s="9" t="str">
        <f>VLOOKUP(A154,'Sets (lua data)'!$A$3:$C$9838,2,FALSE)</f>
        <v>Meritorischer Dienst</v>
      </c>
      <c r="D154" s="20" t="s">
        <v>4268</v>
      </c>
      <c r="G154" s="2" t="str">
        <f t="shared" si="2"/>
        <v xml:space="preserve">[181] = {[LIBSETS_SETPROC_CHECKTYPE_ABILITY_EVENT_COMBAT_EVENT] = {
    [1] = {
      ["abilityIds"] = {65706},
      ["source"] = COMBAT_UNIT_TYPE_PLAYER,
          },
  },},     --Meritorious Service -&gt;  / </v>
      </c>
    </row>
    <row r="155" spans="1:7" x14ac:dyDescent="0.25">
      <c r="A155" s="1">
        <v>183</v>
      </c>
      <c r="B155" s="9" t="str">
        <f>VLOOKUP(A155,'Sets (lua data)'!$A$3:$C$9838,3,FALSE)</f>
        <v>Molag Kena</v>
      </c>
      <c r="C155" s="9" t="str">
        <f>VLOOKUP(A155,'Sets (lua data)'!$A$3:$C$9838,2,FALSE)</f>
        <v>Molag Kena</v>
      </c>
      <c r="G155" s="2" t="str">
        <f t="shared" si="2"/>
        <v/>
      </c>
    </row>
    <row r="156" spans="1:7" x14ac:dyDescent="0.25">
      <c r="A156" s="12">
        <v>184</v>
      </c>
      <c r="B156" s="9" t="str">
        <f>VLOOKUP(A156,'Sets (lua data)'!$A$3:$C$9838,3,FALSE)</f>
        <v>Brands of Imperium</v>
      </c>
      <c r="C156" s="9" t="str">
        <f>VLOOKUP(A156,'Sets (lua data)'!$A$3:$C$9838,2,FALSE)</f>
        <v>Male des Kaiserreichs</v>
      </c>
      <c r="G156" s="2" t="str">
        <f t="shared" si="2"/>
        <v/>
      </c>
    </row>
    <row r="157" spans="1:7" ht="105" x14ac:dyDescent="0.25">
      <c r="A157" s="12">
        <v>185</v>
      </c>
      <c r="B157" s="9" t="str">
        <f>VLOOKUP(A157,'Sets (lua data)'!$A$3:$C$9838,3,FALSE)</f>
        <v>Spell Power Cure</v>
      </c>
      <c r="C157" s="9" t="str">
        <f>VLOOKUP(A157,'Sets (lua data)'!$A$3:$C$9838,2,FALSE)</f>
        <v>Magiekraftheilung</v>
      </c>
      <c r="D157" s="20" t="s">
        <v>4269</v>
      </c>
      <c r="G157" s="2" t="str">
        <f t="shared" si="2"/>
        <v xml:space="preserve">[185] = {[LIBSETS_SETPROC_CHECKTYPE_ABILITY_EVENT_COMBAT_EVENT] = {
    [1] = {
      ["abilityIds"] = {66902},
      ["cooldown"] = {5000},
    --Attention: No source COMBAT_UNIT_TYPE_PLAYER here!
          },
  },},     --Spell Power Cure -&gt;  / </v>
      </c>
    </row>
    <row r="158" spans="1:7" x14ac:dyDescent="0.25">
      <c r="A158" s="12">
        <v>186</v>
      </c>
      <c r="B158" s="9" t="str">
        <f>VLOOKUP(A158,'Sets (lua data)'!$A$3:$C$9838,3,FALSE)</f>
        <v>Jolting Arms</v>
      </c>
      <c r="C158" s="9" t="str">
        <f>VLOOKUP(A158,'Sets (lua data)'!$A$3:$C$9838,2,FALSE)</f>
        <v>Rüttelnde Rüstung</v>
      </c>
      <c r="G158" s="2" t="str">
        <f t="shared" si="2"/>
        <v/>
      </c>
    </row>
    <row r="159" spans="1:7" x14ac:dyDescent="0.25">
      <c r="A159" s="12">
        <v>187</v>
      </c>
      <c r="B159" s="9" t="str">
        <f>VLOOKUP(A159,'Sets (lua data)'!$A$3:$C$9838,3,FALSE)</f>
        <v>Swamp Raider</v>
      </c>
      <c r="C159" s="9" t="str">
        <f>VLOOKUP(A159,'Sets (lua data)'!$A$3:$C$9838,2,FALSE)</f>
        <v>Sumpfräuber</v>
      </c>
      <c r="G159" s="2" t="str">
        <f t="shared" si="2"/>
        <v/>
      </c>
    </row>
    <row r="160" spans="1:7" x14ac:dyDescent="0.25">
      <c r="A160" s="12">
        <v>188</v>
      </c>
      <c r="B160" s="9" t="str">
        <f>VLOOKUP(A160,'Sets (lua data)'!$A$3:$C$9838,3,FALSE)</f>
        <v>Storm Master</v>
      </c>
      <c r="C160" s="9" t="str">
        <f>VLOOKUP(A160,'Sets (lua data)'!$A$3:$C$9838,2,FALSE)</f>
        <v>Sturmmeister</v>
      </c>
      <c r="G160" s="2" t="str">
        <f t="shared" si="2"/>
        <v/>
      </c>
    </row>
    <row r="161" spans="1:7" x14ac:dyDescent="0.25">
      <c r="A161" s="12">
        <v>190</v>
      </c>
      <c r="B161" s="9" t="str">
        <f>VLOOKUP(A161,'Sets (lua data)'!$A$3:$C$9838,3,FALSE)</f>
        <v>Scathing Mage</v>
      </c>
      <c r="C161" s="9" t="str">
        <f>VLOOKUP(A161,'Sets (lua data)'!$A$3:$C$9838,2,FALSE)</f>
        <v>Verletzender Magier</v>
      </c>
      <c r="G161" s="2" t="str">
        <f t="shared" si="2"/>
        <v/>
      </c>
    </row>
    <row r="162" spans="1:7" x14ac:dyDescent="0.25">
      <c r="A162" s="12">
        <v>193</v>
      </c>
      <c r="B162" s="9" t="str">
        <f>VLOOKUP(A162,'Sets (lua data)'!$A$3:$C$9838,3,FALSE)</f>
        <v>Overwhelming Surge</v>
      </c>
      <c r="C162" s="9" t="str">
        <f>VLOOKUP(A162,'Sets (lua data)'!$A$3:$C$9838,2,FALSE)</f>
        <v>Überwältigende Woge</v>
      </c>
      <c r="G162" s="2" t="str">
        <f t="shared" si="2"/>
        <v/>
      </c>
    </row>
    <row r="163" spans="1:7" x14ac:dyDescent="0.25">
      <c r="A163" s="12">
        <v>194</v>
      </c>
      <c r="B163" s="9" t="str">
        <f>VLOOKUP(A163,'Sets (lua data)'!$A$3:$C$9838,3,FALSE)</f>
        <v>Combat Physician</v>
      </c>
      <c r="C163" s="9" t="str">
        <f>VLOOKUP(A163,'Sets (lua data)'!$A$3:$C$9838,2,FALSE)</f>
        <v>Feldarzt</v>
      </c>
      <c r="G163" s="2" t="str">
        <f t="shared" si="2"/>
        <v/>
      </c>
    </row>
    <row r="164" spans="1:7" x14ac:dyDescent="0.25">
      <c r="A164" s="12">
        <v>195</v>
      </c>
      <c r="B164" s="9" t="str">
        <f>VLOOKUP(A164,'Sets (lua data)'!$A$3:$C$9838,3,FALSE)</f>
        <v>Sheer Venom</v>
      </c>
      <c r="C164" s="9" t="str">
        <f>VLOOKUP(A164,'Sets (lua data)'!$A$3:$C$9838,2,FALSE)</f>
        <v>Reingift</v>
      </c>
      <c r="G164" s="2" t="str">
        <f t="shared" si="2"/>
        <v/>
      </c>
    </row>
    <row r="165" spans="1:7" x14ac:dyDescent="0.25">
      <c r="A165" s="12">
        <v>196</v>
      </c>
      <c r="B165" s="9" t="str">
        <f>VLOOKUP(A165,'Sets (lua data)'!$A$3:$C$9838,3,FALSE)</f>
        <v>Leeching Plate</v>
      </c>
      <c r="C165" s="9" t="str">
        <f>VLOOKUP(A165,'Sets (lua data)'!$A$3:$C$9838,2,FALSE)</f>
        <v>Auslaugende Rüstung</v>
      </c>
      <c r="G165" s="2" t="str">
        <f t="shared" si="2"/>
        <v/>
      </c>
    </row>
    <row r="166" spans="1:7" x14ac:dyDescent="0.25">
      <c r="A166" s="12">
        <v>197</v>
      </c>
      <c r="B166" s="9" t="str">
        <f>VLOOKUP(A166,'Sets (lua data)'!$A$3:$C$9838,3,FALSE)</f>
        <v>Tormentor</v>
      </c>
      <c r="C166" s="9" t="str">
        <f>VLOOKUP(A166,'Sets (lua data)'!$A$3:$C$9838,2,FALSE)</f>
        <v>Quälender</v>
      </c>
      <c r="G166" s="2" t="str">
        <f t="shared" si="2"/>
        <v/>
      </c>
    </row>
    <row r="167" spans="1:7" x14ac:dyDescent="0.25">
      <c r="A167" s="12">
        <v>198</v>
      </c>
      <c r="B167" s="9" t="str">
        <f>VLOOKUP(A167,'Sets (lua data)'!$A$3:$C$9838,3,FALSE)</f>
        <v>Essence Thief</v>
      </c>
      <c r="C167" s="9" t="str">
        <f>VLOOKUP(A167,'Sets (lua data)'!$A$3:$C$9838,2,FALSE)</f>
        <v>Essenzdieb</v>
      </c>
      <c r="G167" s="2" t="str">
        <f t="shared" si="2"/>
        <v/>
      </c>
    </row>
    <row r="168" spans="1:7" x14ac:dyDescent="0.25">
      <c r="A168" s="12">
        <v>199</v>
      </c>
      <c r="B168" s="9" t="str">
        <f>VLOOKUP(A168,'Sets (lua data)'!$A$3:$C$9838,3,FALSE)</f>
        <v>Shield Breaker</v>
      </c>
      <c r="C168" s="9" t="str">
        <f>VLOOKUP(A168,'Sets (lua data)'!$A$3:$C$9838,2,FALSE)</f>
        <v>Schildbrecher</v>
      </c>
      <c r="G168" s="2" t="str">
        <f t="shared" si="2"/>
        <v/>
      </c>
    </row>
    <row r="169" spans="1:7" x14ac:dyDescent="0.25">
      <c r="A169" s="12">
        <v>200</v>
      </c>
      <c r="B169" s="9" t="str">
        <f>VLOOKUP(A169,'Sets (lua data)'!$A$3:$C$9838,3,FALSE)</f>
        <v>Phoenix</v>
      </c>
      <c r="C169" s="9" t="str">
        <f>VLOOKUP(A169,'Sets (lua data)'!$A$3:$C$9838,2,FALSE)</f>
        <v>Phönix</v>
      </c>
      <c r="G169" s="2" t="str">
        <f t="shared" si="2"/>
        <v/>
      </c>
    </row>
    <row r="170" spans="1:7" x14ac:dyDescent="0.25">
      <c r="A170" s="12">
        <v>201</v>
      </c>
      <c r="B170" s="9" t="str">
        <f>VLOOKUP(A170,'Sets (lua data)'!$A$3:$C$9838,3,FALSE)</f>
        <v>Reactive Armor</v>
      </c>
      <c r="C170" s="9" t="str">
        <f>VLOOKUP(A170,'Sets (lua data)'!$A$3:$C$9838,2,FALSE)</f>
        <v>Reaktive Rüstung</v>
      </c>
      <c r="G170" s="2" t="str">
        <f t="shared" si="2"/>
        <v/>
      </c>
    </row>
    <row r="171" spans="1:7" x14ac:dyDescent="0.25">
      <c r="A171" s="12">
        <v>204</v>
      </c>
      <c r="B171" s="9" t="str">
        <f>VLOOKUP(A171,'Sets (lua data)'!$A$3:$C$9838,3,FALSE)</f>
        <v>Endurance</v>
      </c>
      <c r="C171" s="9" t="str">
        <f>VLOOKUP(A171,'Sets (lua data)'!$A$3:$C$9838,2,FALSE)</f>
        <v>Beständigkeit</v>
      </c>
      <c r="G171" s="2" t="str">
        <f t="shared" si="2"/>
        <v/>
      </c>
    </row>
    <row r="172" spans="1:7" x14ac:dyDescent="0.25">
      <c r="A172" s="12">
        <v>205</v>
      </c>
      <c r="B172" s="9" t="str">
        <f>VLOOKUP(A172,'Sets (lua data)'!$A$3:$C$9838,3,FALSE)</f>
        <v>Willpower</v>
      </c>
      <c r="C172" s="9" t="str">
        <f>VLOOKUP(A172,'Sets (lua data)'!$A$3:$C$9838,2,FALSE)</f>
        <v>Willenskraft</v>
      </c>
      <c r="G172" s="2" t="str">
        <f t="shared" si="2"/>
        <v/>
      </c>
    </row>
    <row r="173" spans="1:7" x14ac:dyDescent="0.25">
      <c r="A173" s="12">
        <v>206</v>
      </c>
      <c r="B173" s="9" t="str">
        <f>VLOOKUP(A173,'Sets (lua data)'!$A$3:$C$9838,3,FALSE)</f>
        <v>Agility</v>
      </c>
      <c r="C173" s="9" t="str">
        <f>VLOOKUP(A173,'Sets (lua data)'!$A$3:$C$9838,2,FALSE)</f>
        <v>Agilität</v>
      </c>
      <c r="G173" s="2" t="str">
        <f t="shared" si="2"/>
        <v/>
      </c>
    </row>
    <row r="174" spans="1:7" x14ac:dyDescent="0.25">
      <c r="A174" s="1">
        <v>207</v>
      </c>
      <c r="B174" s="9" t="str">
        <f>VLOOKUP(A174,'Sets (lua data)'!$A$3:$C$9838,3,FALSE)</f>
        <v>Law of Julianos</v>
      </c>
      <c r="C174" s="9" t="str">
        <f>VLOOKUP(A174,'Sets (lua data)'!$A$3:$C$9838,2,FALSE)</f>
        <v>Gesetz von Julianos</v>
      </c>
      <c r="G174" s="2" t="str">
        <f t="shared" si="2"/>
        <v/>
      </c>
    </row>
    <row r="175" spans="1:7" x14ac:dyDescent="0.25">
      <c r="A175" s="1">
        <v>208</v>
      </c>
      <c r="B175" s="9" t="str">
        <f>VLOOKUP(A175,'Sets (lua data)'!$A$3:$C$9838,3,FALSE)</f>
        <v>Trial by Fire</v>
      </c>
      <c r="C175" s="9" t="str">
        <f>VLOOKUP(A175,'Sets (lua data)'!$A$3:$C$9838,2,FALSE)</f>
        <v>Feuertaufe</v>
      </c>
      <c r="G175" s="2" t="str">
        <f t="shared" si="2"/>
        <v/>
      </c>
    </row>
    <row r="176" spans="1:7" x14ac:dyDescent="0.25">
      <c r="A176" s="21">
        <v>209</v>
      </c>
      <c r="B176" s="9" t="str">
        <f>VLOOKUP(A176,'Sets (lua data)'!$A$3:$C$9838,3,FALSE)</f>
        <v>Armor of the Code</v>
      </c>
      <c r="C176" s="9" t="str">
        <f>VLOOKUP(A176,'Sets (lua data)'!$A$3:$C$9838,2,FALSE)</f>
        <v>Armor of the Code</v>
      </c>
      <c r="G176" s="2" t="str">
        <f t="shared" si="2"/>
        <v/>
      </c>
    </row>
    <row r="177" spans="1:7" x14ac:dyDescent="0.25">
      <c r="A177" s="12">
        <v>210</v>
      </c>
      <c r="B177" s="9" t="str">
        <f>VLOOKUP(A177,'Sets (lua data)'!$A$3:$C$9838,3,FALSE)</f>
        <v>Mark of the Pariah</v>
      </c>
      <c r="C177" s="9" t="str">
        <f>VLOOKUP(A177,'Sets (lua data)'!$A$3:$C$9838,2,FALSE)</f>
        <v>Zeichen des Ausgestoßenen</v>
      </c>
      <c r="G177" s="2" t="str">
        <f t="shared" si="2"/>
        <v/>
      </c>
    </row>
    <row r="178" spans="1:7" ht="105" x14ac:dyDescent="0.25">
      <c r="A178" s="12">
        <v>211</v>
      </c>
      <c r="B178" s="9" t="str">
        <f>VLOOKUP(A178,'Sets (lua data)'!$A$3:$C$9838,3,FALSE)</f>
        <v>Permafrost</v>
      </c>
      <c r="C178" s="9" t="str">
        <f>VLOOKUP(A178,'Sets (lua data)'!$A$3:$C$9838,2,FALSE)</f>
        <v>Permafrost</v>
      </c>
      <c r="D178" s="20" t="s">
        <v>4270</v>
      </c>
      <c r="G178" s="2" t="str">
        <f t="shared" si="2"/>
        <v xml:space="preserve">[211] = {[LIBSETS_SETPROC_CHECKTYPE_ABILITY_EVENT_COMBAT_EVENT] = {
    [1] = {
      ["abilityIds"] = {71107},
      ["cooldown"] = {15000},
      ["source"] = COMBAT_UNIT_TYPE_PLAYER,
    },
  },},     --Permafrost -&gt;  / </v>
      </c>
    </row>
    <row r="179" spans="1:7" x14ac:dyDescent="0.25">
      <c r="A179" s="12">
        <v>212</v>
      </c>
      <c r="B179" s="9" t="str">
        <f>VLOOKUP(A179,'Sets (lua data)'!$A$3:$C$9838,3,FALSE)</f>
        <v>Briarheart</v>
      </c>
      <c r="C179" s="9" t="str">
        <f>VLOOKUP(A179,'Sets (lua data)'!$A$3:$C$9838,2,FALSE)</f>
        <v>Dornenherz</v>
      </c>
      <c r="G179" s="2" t="str">
        <f t="shared" si="2"/>
        <v/>
      </c>
    </row>
    <row r="180" spans="1:7" x14ac:dyDescent="0.25">
      <c r="A180" s="12">
        <v>213</v>
      </c>
      <c r="B180" s="9" t="str">
        <f>VLOOKUP(A180,'Sets (lua data)'!$A$3:$C$9838,3,FALSE)</f>
        <v>Glorious Defender</v>
      </c>
      <c r="C180" s="9" t="str">
        <f>VLOOKUP(A180,'Sets (lua data)'!$A$3:$C$9838,2,FALSE)</f>
        <v>Ruhmreicher Verteidiger</v>
      </c>
      <c r="G180" s="2" t="str">
        <f t="shared" si="2"/>
        <v/>
      </c>
    </row>
    <row r="181" spans="1:7" x14ac:dyDescent="0.25">
      <c r="A181" s="12">
        <v>214</v>
      </c>
      <c r="B181" s="9" t="str">
        <f>VLOOKUP(A181,'Sets (lua data)'!$A$3:$C$9838,3,FALSE)</f>
        <v>Para Bellum</v>
      </c>
      <c r="C181" s="9" t="str">
        <f>VLOOKUP(A181,'Sets (lua data)'!$A$3:$C$9838,2,FALSE)</f>
        <v>Para Bellum</v>
      </c>
      <c r="G181" s="2" t="str">
        <f t="shared" si="2"/>
        <v/>
      </c>
    </row>
    <row r="182" spans="1:7" x14ac:dyDescent="0.25">
      <c r="A182" s="12">
        <v>215</v>
      </c>
      <c r="B182" s="9" t="str">
        <f>VLOOKUP(A182,'Sets (lua data)'!$A$3:$C$9838,3,FALSE)</f>
        <v>Elemental Succession</v>
      </c>
      <c r="C182" s="9" t="str">
        <f>VLOOKUP(A182,'Sets (lua data)'!$A$3:$C$9838,2,FALSE)</f>
        <v>Elementarfolge</v>
      </c>
      <c r="G182" s="2" t="str">
        <f t="shared" si="2"/>
        <v/>
      </c>
    </row>
    <row r="183" spans="1:7" x14ac:dyDescent="0.25">
      <c r="A183" s="12">
        <v>216</v>
      </c>
      <c r="B183" s="9" t="str">
        <f>VLOOKUP(A183,'Sets (lua data)'!$A$3:$C$9838,3,FALSE)</f>
        <v>Hunt Leader</v>
      </c>
      <c r="C183" s="9" t="str">
        <f>VLOOKUP(A183,'Sets (lua data)'!$A$3:$C$9838,2,FALSE)</f>
        <v>Jagdleiter</v>
      </c>
      <c r="G183" s="2" t="str">
        <f t="shared" si="2"/>
        <v/>
      </c>
    </row>
    <row r="184" spans="1:7" x14ac:dyDescent="0.25">
      <c r="A184" s="12">
        <v>217</v>
      </c>
      <c r="B184" s="9" t="str">
        <f>VLOOKUP(A184,'Sets (lua data)'!$A$3:$C$9838,3,FALSE)</f>
        <v>Winterborn</v>
      </c>
      <c r="C184" s="9" t="str">
        <f>VLOOKUP(A184,'Sets (lua data)'!$A$3:$C$9838,2,FALSE)</f>
        <v>Winterkind</v>
      </c>
      <c r="G184" s="2" t="str">
        <f t="shared" si="2"/>
        <v/>
      </c>
    </row>
    <row r="185" spans="1:7" x14ac:dyDescent="0.25">
      <c r="A185" s="12">
        <v>218</v>
      </c>
      <c r="B185" s="9" t="str">
        <f>VLOOKUP(A185,'Sets (lua data)'!$A$3:$C$9838,3,FALSE)</f>
        <v>Trinimac\'s Valor</v>
      </c>
      <c r="C185" s="9" t="str">
        <f>VLOOKUP(A185,'Sets (lua data)'!$A$3:$C$9838,2,FALSE)</f>
        <v>Trinimacs Heldenmut</v>
      </c>
      <c r="G185" s="2" t="str">
        <f t="shared" si="2"/>
        <v/>
      </c>
    </row>
    <row r="186" spans="1:7" x14ac:dyDescent="0.25">
      <c r="A186" s="1">
        <v>219</v>
      </c>
      <c r="B186" s="9" t="str">
        <f>VLOOKUP(A186,'Sets (lua data)'!$A$3:$C$9838,3,FALSE)</f>
        <v>Morkuldin</v>
      </c>
      <c r="C186" s="9" t="str">
        <f>VLOOKUP(A186,'Sets (lua data)'!$A$3:$C$9838,2,FALSE)</f>
        <v>Morkuldin</v>
      </c>
      <c r="G186" s="2" t="str">
        <f t="shared" si="2"/>
        <v/>
      </c>
    </row>
    <row r="187" spans="1:7" x14ac:dyDescent="0.25">
      <c r="A187" s="1">
        <v>224</v>
      </c>
      <c r="B187" s="9" t="str">
        <f>VLOOKUP(A187,'Sets (lua data)'!$A$3:$C$9838,3,FALSE)</f>
        <v>Tava\'s Favor</v>
      </c>
      <c r="C187" s="9" t="str">
        <f>VLOOKUP(A187,'Sets (lua data)'!$A$3:$C$9838,2,FALSE)</f>
        <v>Tavas Gunst</v>
      </c>
      <c r="G187" s="2" t="str">
        <f t="shared" si="2"/>
        <v/>
      </c>
    </row>
    <row r="188" spans="1:7" ht="90" x14ac:dyDescent="0.25">
      <c r="A188" s="1">
        <v>225</v>
      </c>
      <c r="B188" s="9" t="str">
        <f>VLOOKUP(A188,'Sets (lua data)'!$A$3:$C$9838,3,FALSE)</f>
        <v>Clever Alchemist</v>
      </c>
      <c r="C188" s="9" t="str">
        <f>VLOOKUP(A188,'Sets (lua data)'!$A$3:$C$9838,2,FALSE)</f>
        <v>Schlauer Alchemist</v>
      </c>
      <c r="D188" s="20" t="s">
        <v>4271</v>
      </c>
      <c r="G188" s="2" t="str">
        <f t="shared" si="2"/>
        <v xml:space="preserve">[225] = {[LIBSETS_SETPROC_CHECKTYPE_ABILITY_EVENT_COMBAT_EVENT] = {
    [1] = {
      ["abilityIds"] = {75746},
      ["source"] = COMBAT_UNIT_TYPE_PLAYER,
          },
  },},     --Clever Alchemist -&gt;  / </v>
      </c>
    </row>
    <row r="189" spans="1:7" x14ac:dyDescent="0.25">
      <c r="A189" s="1">
        <v>226</v>
      </c>
      <c r="B189" s="9" t="str">
        <f>VLOOKUP(A189,'Sets (lua data)'!$A$3:$C$9838,3,FALSE)</f>
        <v>Eternal Hunt</v>
      </c>
      <c r="C189" s="9" t="str">
        <f>VLOOKUP(A189,'Sets (lua data)'!$A$3:$C$9838,2,FALSE)</f>
        <v>Ewige Jagd</v>
      </c>
      <c r="G189" s="2" t="str">
        <f t="shared" si="2"/>
        <v/>
      </c>
    </row>
    <row r="190" spans="1:7" x14ac:dyDescent="0.25">
      <c r="A190" s="12">
        <v>227</v>
      </c>
      <c r="B190" s="9" t="str">
        <f>VLOOKUP(A190,'Sets (lua data)'!$A$3:$C$9838,3,FALSE)</f>
        <v>Bahraha\'s Curse</v>
      </c>
      <c r="C190" s="9" t="str">
        <f>VLOOKUP(A190,'Sets (lua data)'!$A$3:$C$9838,2,FALSE)</f>
        <v>Bahrahas Fluch</v>
      </c>
      <c r="G190" s="2" t="str">
        <f t="shared" si="2"/>
        <v/>
      </c>
    </row>
    <row r="191" spans="1:7" x14ac:dyDescent="0.25">
      <c r="A191" s="12">
        <v>228</v>
      </c>
      <c r="B191" s="9" t="str">
        <f>VLOOKUP(A191,'Sets (lua data)'!$A$3:$C$9838,3,FALSE)</f>
        <v>Syvarra\'s Scales</v>
      </c>
      <c r="C191" s="9" t="str">
        <f>VLOOKUP(A191,'Sets (lua data)'!$A$3:$C$9838,2,FALSE)</f>
        <v>Syvarras Schuppen</v>
      </c>
      <c r="G191" s="2" t="str">
        <f t="shared" si="2"/>
        <v/>
      </c>
    </row>
    <row r="192" spans="1:7" x14ac:dyDescent="0.25">
      <c r="A192" s="12">
        <v>229</v>
      </c>
      <c r="B192" s="9" t="str">
        <f>VLOOKUP(A192,'Sets (lua data)'!$A$3:$C$9838,3,FALSE)</f>
        <v>Twilight Remedy</v>
      </c>
      <c r="C192" s="9" t="str">
        <f>VLOOKUP(A192,'Sets (lua data)'!$A$3:$C$9838,2,FALSE)</f>
        <v>Zwielichtgenesung</v>
      </c>
      <c r="G192" s="2" t="str">
        <f t="shared" si="2"/>
        <v/>
      </c>
    </row>
    <row r="193" spans="1:7" ht="90" x14ac:dyDescent="0.25">
      <c r="A193" s="12">
        <v>230</v>
      </c>
      <c r="B193" s="9" t="str">
        <f>VLOOKUP(A193,'Sets (lua data)'!$A$3:$C$9838,3,FALSE)</f>
        <v>Moondancer</v>
      </c>
      <c r="C193" s="9" t="str">
        <f>VLOOKUP(A193,'Sets (lua data)'!$A$3:$C$9838,2,FALSE)</f>
        <v>Mondtänzer</v>
      </c>
      <c r="D193" s="20" t="s">
        <v>4272</v>
      </c>
      <c r="E193" t="s">
        <v>4273</v>
      </c>
      <c r="G193" s="2" t="str">
        <f t="shared" si="2"/>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9" t="str">
        <f>VLOOKUP(A194,'Sets (lua data)'!$A$3:$C$9838,3,FALSE)</f>
        <v>Lunar Bastion</v>
      </c>
      <c r="C194" s="9" t="str">
        <f>VLOOKUP(A194,'Sets (lua data)'!$A$3:$C$9838,2,FALSE)</f>
        <v>Mondbastion</v>
      </c>
      <c r="G194" s="2" t="str">
        <f t="shared" si="2"/>
        <v/>
      </c>
    </row>
    <row r="195" spans="1:7" x14ac:dyDescent="0.25">
      <c r="A195" s="12">
        <v>232</v>
      </c>
      <c r="B195" s="9" t="str">
        <f>VLOOKUP(A195,'Sets (lua data)'!$A$3:$C$9838,3,FALSE)</f>
        <v>Roar of Alkosh</v>
      </c>
      <c r="C195" s="9" t="str">
        <f>VLOOKUP(A195,'Sets (lua data)'!$A$3:$C$9838,2,FALSE)</f>
        <v>Brüllen von Alkosh</v>
      </c>
      <c r="G195" s="2" t="str">
        <f t="shared" ref="G195:G258" si="3">IF(AND(A195&lt;&gt;"",NOT(ISERROR(A195)),ISNUMBER(A195),D195&lt;&gt;""),CONCATENATE("[",A195,"] = {",D195,"},","     --",B195," -&gt; ",E195," / ",F195),"")</f>
        <v/>
      </c>
    </row>
    <row r="196" spans="1:7" x14ac:dyDescent="0.25">
      <c r="A196" s="12">
        <v>234</v>
      </c>
      <c r="B196" s="9" t="str">
        <f>VLOOKUP(A196,'Sets (lua data)'!$A$3:$C$9838,3,FALSE)</f>
        <v>Marksman\'s Crest</v>
      </c>
      <c r="C196" s="9" t="str">
        <f>VLOOKUP(A196,'Sets (lua data)'!$A$3:$C$9838,2,FALSE)</f>
        <v>Wappen des Meisterschützen</v>
      </c>
      <c r="G196" s="2" t="str">
        <f t="shared" si="3"/>
        <v/>
      </c>
    </row>
    <row r="197" spans="1:7" x14ac:dyDescent="0.25">
      <c r="A197" s="12">
        <v>235</v>
      </c>
      <c r="B197" s="9" t="str">
        <f>VLOOKUP(A197,'Sets (lua data)'!$A$3:$C$9838,3,FALSE)</f>
        <v>Robes of Transmutation</v>
      </c>
      <c r="C197" s="9" t="str">
        <f>VLOOKUP(A197,'Sets (lua data)'!$A$3:$C$9838,2,FALSE)</f>
        <v>Roben der Transmutation</v>
      </c>
      <c r="G197" s="2" t="str">
        <f t="shared" si="3"/>
        <v/>
      </c>
    </row>
    <row r="198" spans="1:7" x14ac:dyDescent="0.25">
      <c r="A198" s="12">
        <v>236</v>
      </c>
      <c r="B198" s="9" t="str">
        <f>VLOOKUP(A198,'Sets (lua data)'!$A$3:$C$9838,3,FALSE)</f>
        <v>Vicious Death</v>
      </c>
      <c r="C198" s="9" t="str">
        <f>VLOOKUP(A198,'Sets (lua data)'!$A$3:$C$9838,2,FALSE)</f>
        <v>Grausamer Tod</v>
      </c>
      <c r="G198" s="2" t="str">
        <f t="shared" si="3"/>
        <v/>
      </c>
    </row>
    <row r="199" spans="1:7" x14ac:dyDescent="0.25">
      <c r="A199" s="12">
        <v>237</v>
      </c>
      <c r="B199" s="9" t="str">
        <f>VLOOKUP(A199,'Sets (lua data)'!$A$3:$C$9838,3,FALSE)</f>
        <v>Leki\'s Focus</v>
      </c>
      <c r="C199" s="9" t="str">
        <f>VLOOKUP(A199,'Sets (lua data)'!$A$3:$C$9838,2,FALSE)</f>
        <v>Lekis Fokus</v>
      </c>
      <c r="G199" s="2" t="str">
        <f t="shared" si="3"/>
        <v/>
      </c>
    </row>
    <row r="200" spans="1:7" x14ac:dyDescent="0.25">
      <c r="A200" s="12">
        <v>238</v>
      </c>
      <c r="B200" s="9" t="str">
        <f>VLOOKUP(A200,'Sets (lua data)'!$A$3:$C$9838,3,FALSE)</f>
        <v>Fasalla\'s Guile</v>
      </c>
      <c r="C200" s="9" t="str">
        <f>VLOOKUP(A200,'Sets (lua data)'!$A$3:$C$9838,2,FALSE)</f>
        <v>Fasallas List</v>
      </c>
      <c r="G200" s="2" t="str">
        <f t="shared" si="3"/>
        <v/>
      </c>
    </row>
    <row r="201" spans="1:7" x14ac:dyDescent="0.25">
      <c r="A201" s="12">
        <v>239</v>
      </c>
      <c r="B201" s="9" t="str">
        <f>VLOOKUP(A201,'Sets (lua data)'!$A$3:$C$9838,3,FALSE)</f>
        <v>Warrior\'s Fury</v>
      </c>
      <c r="C201" s="9" t="str">
        <f>VLOOKUP(A201,'Sets (lua data)'!$A$3:$C$9838,2,FALSE)</f>
        <v>Raserei des Kriegers</v>
      </c>
      <c r="G201" s="2" t="str">
        <f t="shared" si="3"/>
        <v/>
      </c>
    </row>
    <row r="202" spans="1:7" x14ac:dyDescent="0.25">
      <c r="A202" s="1">
        <v>240</v>
      </c>
      <c r="B202" s="9" t="str">
        <f>VLOOKUP(A202,'Sets (lua data)'!$A$3:$C$9838,3,FALSE)</f>
        <v>Kvatch Gladiator</v>
      </c>
      <c r="C202" s="9" t="str">
        <f>VLOOKUP(A202,'Sets (lua data)'!$A$3:$C$9838,2,FALSE)</f>
        <v>Gladiator von Kvatch</v>
      </c>
      <c r="G202" s="2" t="str">
        <f t="shared" si="3"/>
        <v/>
      </c>
    </row>
    <row r="203" spans="1:7" x14ac:dyDescent="0.25">
      <c r="A203" s="1">
        <v>241</v>
      </c>
      <c r="B203" s="9" t="str">
        <f>VLOOKUP(A203,'Sets (lua data)'!$A$3:$C$9838,3,FALSE)</f>
        <v>Varen\'s Legacy</v>
      </c>
      <c r="C203" s="9" t="str">
        <f>VLOOKUP(A203,'Sets (lua data)'!$A$3:$C$9838,2,FALSE)</f>
        <v>Varens Erbe</v>
      </c>
      <c r="G203" s="2" t="str">
        <f t="shared" si="3"/>
        <v/>
      </c>
    </row>
    <row r="204" spans="1:7" x14ac:dyDescent="0.25">
      <c r="A204" s="1">
        <v>242</v>
      </c>
      <c r="B204" s="9" t="str">
        <f>VLOOKUP(A204,'Sets (lua data)'!$A$3:$C$9838,3,FALSE)</f>
        <v>Pelinal\'s Wrath</v>
      </c>
      <c r="C204" s="9" t="str">
        <f>VLOOKUP(A204,'Sets (lua data)'!$A$3:$C$9838,2,FALSE)</f>
        <v>Pelinals Talent</v>
      </c>
      <c r="G204" s="2" t="str">
        <f t="shared" si="3"/>
        <v/>
      </c>
    </row>
    <row r="205" spans="1:7" x14ac:dyDescent="0.25">
      <c r="A205" s="12">
        <v>243</v>
      </c>
      <c r="B205" s="9" t="str">
        <f>VLOOKUP(A205,'Sets (lua data)'!$A$3:$C$9838,3,FALSE)</f>
        <v>Hide of Morihaus</v>
      </c>
      <c r="C205" s="9" t="str">
        <f>VLOOKUP(A205,'Sets (lua data)'!$A$3:$C$9838,2,FALSE)</f>
        <v>Haut von Morihaus</v>
      </c>
      <c r="G205" s="2" t="str">
        <f t="shared" si="3"/>
        <v/>
      </c>
    </row>
    <row r="206" spans="1:7" x14ac:dyDescent="0.25">
      <c r="A206" s="12">
        <v>244</v>
      </c>
      <c r="B206" s="9" t="str">
        <f>VLOOKUP(A206,'Sets (lua data)'!$A$3:$C$9838,3,FALSE)</f>
        <v>Flanking Strategist</v>
      </c>
      <c r="C206" s="9" t="str">
        <f>VLOOKUP(A206,'Sets (lua data)'!$A$3:$C$9838,2,FALSE)</f>
        <v>Flankierender Stratege</v>
      </c>
      <c r="G206" s="2" t="str">
        <f t="shared" si="3"/>
        <v/>
      </c>
    </row>
    <row r="207" spans="1:7" x14ac:dyDescent="0.25">
      <c r="A207" s="12">
        <v>245</v>
      </c>
      <c r="B207" s="9" t="str">
        <f>VLOOKUP(A207,'Sets (lua data)'!$A$3:$C$9838,3,FALSE)</f>
        <v>Sithis\' Touch</v>
      </c>
      <c r="C207" s="9" t="str">
        <f>VLOOKUP(A207,'Sets (lua data)'!$A$3:$C$9838,2,FALSE)</f>
        <v>Sithis' Berührung</v>
      </c>
      <c r="G207" s="2" t="str">
        <f t="shared" si="3"/>
        <v/>
      </c>
    </row>
    <row r="208" spans="1:7" x14ac:dyDescent="0.25">
      <c r="A208" s="12">
        <v>246</v>
      </c>
      <c r="B208" s="9" t="str">
        <f>VLOOKUP(A208,'Sets (lua data)'!$A$3:$C$9838,3,FALSE)</f>
        <v>Galerion\'s Revenge</v>
      </c>
      <c r="C208" s="9" t="str">
        <f>VLOOKUP(A208,'Sets (lua data)'!$A$3:$C$9838,2,FALSE)</f>
        <v>Galerions Revanche</v>
      </c>
      <c r="G208" s="2" t="str">
        <f t="shared" si="3"/>
        <v/>
      </c>
    </row>
    <row r="209" spans="1:7" x14ac:dyDescent="0.25">
      <c r="A209" s="12">
        <v>247</v>
      </c>
      <c r="B209" s="9" t="str">
        <f>VLOOKUP(A209,'Sets (lua data)'!$A$3:$C$9838,3,FALSE)</f>
        <v>Vicecanon of Venom</v>
      </c>
      <c r="C209" s="9" t="str">
        <f>VLOOKUP(A209,'Sets (lua data)'!$A$3:$C$9838,2,FALSE)</f>
        <v>Vizekanoniker des Gifts</v>
      </c>
      <c r="G209" s="2" t="str">
        <f t="shared" si="3"/>
        <v/>
      </c>
    </row>
    <row r="210" spans="1:7" x14ac:dyDescent="0.25">
      <c r="A210" s="12">
        <v>248</v>
      </c>
      <c r="B210" s="9" t="str">
        <f>VLOOKUP(A210,'Sets (lua data)'!$A$3:$C$9838,3,FALSE)</f>
        <v>Thews of the Harbinger</v>
      </c>
      <c r="C210" s="9" t="str">
        <f>VLOOKUP(A210,'Sets (lua data)'!$A$3:$C$9838,2,FALSE)</f>
        <v>Muskeln des Vorboten</v>
      </c>
      <c r="G210" s="2" t="str">
        <f t="shared" si="3"/>
        <v/>
      </c>
    </row>
    <row r="211" spans="1:7" x14ac:dyDescent="0.25">
      <c r="A211" s="12">
        <v>253</v>
      </c>
      <c r="B211" s="9" t="str">
        <f>VLOOKUP(A211,'Sets (lua data)'!$A$3:$C$9838,3,FALSE)</f>
        <v>Imperial Physique</v>
      </c>
      <c r="C211" s="9" t="str">
        <f>VLOOKUP(A211,'Sets (lua data)'!$A$3:$C$9838,2,FALSE)</f>
        <v>Kaiserliche Physis</v>
      </c>
      <c r="G211" s="2" t="str">
        <f t="shared" si="3"/>
        <v/>
      </c>
    </row>
    <row r="212" spans="1:7" x14ac:dyDescent="0.25">
      <c r="A212" s="1">
        <v>256</v>
      </c>
      <c r="B212" s="9" t="str">
        <f>VLOOKUP(A212,'Sets (lua data)'!$A$3:$C$9838,3,FALSE)</f>
        <v>Mighty Chudan</v>
      </c>
      <c r="C212" s="9" t="str">
        <f>VLOOKUP(A212,'Sets (lua data)'!$A$3:$C$9838,2,FALSE)</f>
        <v>Mächtiger Chudan</v>
      </c>
      <c r="G212" s="2" t="str">
        <f t="shared" si="3"/>
        <v/>
      </c>
    </row>
    <row r="213" spans="1:7" x14ac:dyDescent="0.25">
      <c r="A213" s="1">
        <v>257</v>
      </c>
      <c r="B213" s="9" t="str">
        <f>VLOOKUP(A213,'Sets (lua data)'!$A$3:$C$9838,3,FALSE)</f>
        <v>Velidreth</v>
      </c>
      <c r="C213" s="9" t="str">
        <f>VLOOKUP(A213,'Sets (lua data)'!$A$3:$C$9838,2,FALSE)</f>
        <v>Velidreth</v>
      </c>
      <c r="G213" s="2" t="str">
        <f t="shared" si="3"/>
        <v/>
      </c>
    </row>
    <row r="214" spans="1:7" x14ac:dyDescent="0.25">
      <c r="A214" s="12">
        <v>258</v>
      </c>
      <c r="B214" s="9" t="str">
        <f>VLOOKUP(A214,'Sets (lua data)'!$A$3:$C$9838,3,FALSE)</f>
        <v>Amber Plasm</v>
      </c>
      <c r="C214" s="9" t="str">
        <f>VLOOKUP(A214,'Sets (lua data)'!$A$3:$C$9838,2,FALSE)</f>
        <v>Bernsteinplasma</v>
      </c>
      <c r="G214" s="2" t="str">
        <f t="shared" si="3"/>
        <v/>
      </c>
    </row>
    <row r="215" spans="1:7" x14ac:dyDescent="0.25">
      <c r="A215" s="12">
        <v>259</v>
      </c>
      <c r="B215" s="9" t="str">
        <f>VLOOKUP(A215,'Sets (lua data)'!$A$3:$C$9838,3,FALSE)</f>
        <v>Heem-Jas\' Retribution</v>
      </c>
      <c r="C215" s="9" t="str">
        <f>VLOOKUP(A215,'Sets (lua data)'!$A$3:$C$9838,2,FALSE)</f>
        <v>Heem-Jas' Vergeltung</v>
      </c>
      <c r="G215" s="2" t="str">
        <f t="shared" si="3"/>
        <v/>
      </c>
    </row>
    <row r="216" spans="1:7" x14ac:dyDescent="0.25">
      <c r="A216" s="12">
        <v>260</v>
      </c>
      <c r="B216" s="9" t="str">
        <f>VLOOKUP(A216,'Sets (lua data)'!$A$3:$C$9838,3,FALSE)</f>
        <v>Aspect of Mazzatun</v>
      </c>
      <c r="C216" s="9" t="str">
        <f>VLOOKUP(A216,'Sets (lua data)'!$A$3:$C$9838,2,FALSE)</f>
        <v>Aspekt von Mazzatun</v>
      </c>
      <c r="G216" s="2" t="str">
        <f t="shared" si="3"/>
        <v/>
      </c>
    </row>
    <row r="217" spans="1:7" x14ac:dyDescent="0.25">
      <c r="A217" s="12">
        <v>261</v>
      </c>
      <c r="B217" s="9" t="str">
        <f>VLOOKUP(A217,'Sets (lua data)'!$A$3:$C$9838,3,FALSE)</f>
        <v>Gossamer</v>
      </c>
      <c r="C217" s="9" t="str">
        <f>VLOOKUP(A217,'Sets (lua data)'!$A$3:$C$9838,2,FALSE)</f>
        <v>Gespinst</v>
      </c>
      <c r="G217" s="2" t="str">
        <f t="shared" si="3"/>
        <v/>
      </c>
    </row>
    <row r="218" spans="1:7" x14ac:dyDescent="0.25">
      <c r="A218" s="12">
        <v>262</v>
      </c>
      <c r="B218" s="9" t="str">
        <f>VLOOKUP(A218,'Sets (lua data)'!$A$3:$C$9838,3,FALSE)</f>
        <v>Widowmaker</v>
      </c>
      <c r="C218" s="9" t="str">
        <f>VLOOKUP(A218,'Sets (lua data)'!$A$3:$C$9838,2,FALSE)</f>
        <v>Witwenmacher</v>
      </c>
      <c r="G218" s="2" t="str">
        <f t="shared" si="3"/>
        <v/>
      </c>
    </row>
    <row r="219" spans="1:7" x14ac:dyDescent="0.25">
      <c r="A219" s="12">
        <v>263</v>
      </c>
      <c r="B219" s="9" t="str">
        <f>VLOOKUP(A219,'Sets (lua data)'!$A$3:$C$9838,3,FALSE)</f>
        <v>Hand of Mephala</v>
      </c>
      <c r="C219" s="9" t="str">
        <f>VLOOKUP(A219,'Sets (lua data)'!$A$3:$C$9838,2,FALSE)</f>
        <v>Hand von Mephala</v>
      </c>
      <c r="G219" s="2" t="str">
        <f t="shared" si="3"/>
        <v/>
      </c>
    </row>
    <row r="220" spans="1:7" x14ac:dyDescent="0.25">
      <c r="A220" s="15">
        <v>264</v>
      </c>
      <c r="B220" s="9" t="str">
        <f>VLOOKUP(A220,'Sets (lua data)'!$A$3:$C$9838,3,FALSE)</f>
        <v>Giant Spider</v>
      </c>
      <c r="C220" s="9" t="str">
        <f>VLOOKUP(A220,'Sets (lua data)'!$A$3:$C$9838,2,FALSE)</f>
        <v>Riesenspinne</v>
      </c>
      <c r="G220" s="2" t="str">
        <f t="shared" si="3"/>
        <v/>
      </c>
    </row>
    <row r="221" spans="1:7" x14ac:dyDescent="0.25">
      <c r="A221" s="1">
        <v>265</v>
      </c>
      <c r="B221" s="9" t="str">
        <f>VLOOKUP(A221,'Sets (lua data)'!$A$3:$C$9838,3,FALSE)</f>
        <v>Shadowrend</v>
      </c>
      <c r="C221" s="9" t="str">
        <f>VLOOKUP(A221,'Sets (lua data)'!$A$3:$C$9838,2,FALSE)</f>
        <v>Schattenriss</v>
      </c>
      <c r="G221" s="2" t="str">
        <f t="shared" si="3"/>
        <v/>
      </c>
    </row>
    <row r="222" spans="1:7" x14ac:dyDescent="0.25">
      <c r="A222" s="1">
        <v>266</v>
      </c>
      <c r="B222" s="9" t="str">
        <f>VLOOKUP(A222,'Sets (lua data)'!$A$3:$C$9838,3,FALSE)</f>
        <v>Kra\'gh</v>
      </c>
      <c r="C222" s="9" t="str">
        <f>VLOOKUP(A222,'Sets (lua data)'!$A$3:$C$9838,2,FALSE)</f>
        <v>Kra'gh</v>
      </c>
      <c r="G222" s="2" t="str">
        <f t="shared" si="3"/>
        <v/>
      </c>
    </row>
    <row r="223" spans="1:7" x14ac:dyDescent="0.25">
      <c r="A223" s="1">
        <v>267</v>
      </c>
      <c r="B223" s="9" t="str">
        <f>VLOOKUP(A223,'Sets (lua data)'!$A$3:$C$9838,3,FALSE)</f>
        <v>Swarm Mother</v>
      </c>
      <c r="C223" s="9" t="str">
        <f>VLOOKUP(A223,'Sets (lua data)'!$A$3:$C$9838,2,FALSE)</f>
        <v>Schwarmmutter</v>
      </c>
      <c r="G223" s="2" t="str">
        <f t="shared" si="3"/>
        <v/>
      </c>
    </row>
    <row r="224" spans="1:7" ht="105" x14ac:dyDescent="0.25">
      <c r="A224" s="1">
        <v>268</v>
      </c>
      <c r="B224" s="9" t="str">
        <f>VLOOKUP(A224,'Sets (lua data)'!$A$3:$C$9838,3,FALSE)</f>
        <v>Sentinel of Rkugamz</v>
      </c>
      <c r="C224" s="9" t="str">
        <f>VLOOKUP(A224,'Sets (lua data)'!$A$3:$C$9838,2,FALSE)</f>
        <v>Wachposten von Rkugamz</v>
      </c>
      <c r="D224" s="20" t="s">
        <v>4274</v>
      </c>
      <c r="G224" s="2" t="str">
        <f t="shared" si="3"/>
        <v xml:space="preserve">[268] = {[LIBSETS_SETPROC_CHECKTYPE_ABILITY_EVENT_COMBAT_EVENT] = {
    [1] = {
      ["abilityIds"] = {81036},
      ["source"] = COMBAT_UNIT_TYPE_PLAYER,
      ["cooldown"] = {15000},
    },
  },},     --Sentinel of Rkugamz -&gt;  / </v>
      </c>
    </row>
    <row r="225" spans="1:7" x14ac:dyDescent="0.25">
      <c r="A225" s="1">
        <v>269</v>
      </c>
      <c r="B225" s="9" t="str">
        <f>VLOOKUP(A225,'Sets (lua data)'!$A$3:$C$9838,3,FALSE)</f>
        <v>Chokethorn</v>
      </c>
      <c r="C225" s="9" t="str">
        <f>VLOOKUP(A225,'Sets (lua data)'!$A$3:$C$9838,2,FALSE)</f>
        <v>Würgedorn</v>
      </c>
      <c r="G225" s="2" t="str">
        <f t="shared" si="3"/>
        <v/>
      </c>
    </row>
    <row r="226" spans="1:7" x14ac:dyDescent="0.25">
      <c r="A226" s="1">
        <v>270</v>
      </c>
      <c r="B226" s="9" t="str">
        <f>VLOOKUP(A226,'Sets (lua data)'!$A$3:$C$9838,3,FALSE)</f>
        <v>Slimecraw</v>
      </c>
      <c r="C226" s="9" t="str">
        <f>VLOOKUP(A226,'Sets (lua data)'!$A$3:$C$9838,2,FALSE)</f>
        <v>Schleimkropf</v>
      </c>
      <c r="G226" s="2" t="str">
        <f t="shared" si="3"/>
        <v/>
      </c>
    </row>
    <row r="227" spans="1:7" ht="105" x14ac:dyDescent="0.25">
      <c r="A227" s="1">
        <v>271</v>
      </c>
      <c r="B227" s="9" t="str">
        <f>VLOOKUP(A227,'Sets (lua data)'!$A$3:$C$9838,3,FALSE)</f>
        <v>Sellistrix</v>
      </c>
      <c r="C227" s="9" t="str">
        <f>VLOOKUP(A227,'Sets (lua data)'!$A$3:$C$9838,2,FALSE)</f>
        <v>Sellistrix</v>
      </c>
      <c r="D227" s="20" t="s">
        <v>4275</v>
      </c>
      <c r="G227" s="2" t="str">
        <f t="shared" si="3"/>
        <v xml:space="preserve">[271] = {[LIBSETS_SETPROC_CHECKTYPE_ABILITY_EVENT_COMBAT_EVENT] = {
[1] = {
      ["abilityIds"] = {80545},
      ["cooldown"] = {6000},
      ["source"] = COMBAT_UNIT_TYPE_PLAYER,
    },
}},     --Sellistrix -&gt;  / </v>
      </c>
    </row>
    <row r="228" spans="1:7" x14ac:dyDescent="0.25">
      <c r="A228" s="1">
        <v>272</v>
      </c>
      <c r="B228" s="9" t="str">
        <f>VLOOKUP(A228,'Sets (lua data)'!$A$3:$C$9838,3,FALSE)</f>
        <v>Infernal Guardian</v>
      </c>
      <c r="C228" s="9" t="str">
        <f>VLOOKUP(A228,'Sets (lua data)'!$A$3:$C$9838,2,FALSE)</f>
        <v>Infernaler Wächter</v>
      </c>
      <c r="G228" s="2" t="str">
        <f t="shared" si="3"/>
        <v/>
      </c>
    </row>
    <row r="229" spans="1:7" x14ac:dyDescent="0.25">
      <c r="A229" s="1">
        <v>273</v>
      </c>
      <c r="B229" s="9" t="str">
        <f>VLOOKUP(A229,'Sets (lua data)'!$A$3:$C$9838,3,FALSE)</f>
        <v>Ilambris</v>
      </c>
      <c r="C229" s="9" t="str">
        <f>VLOOKUP(A229,'Sets (lua data)'!$A$3:$C$9838,2,FALSE)</f>
        <v>Ilambris</v>
      </c>
      <c r="G229" s="2" t="str">
        <f t="shared" si="3"/>
        <v/>
      </c>
    </row>
    <row r="230" spans="1:7" x14ac:dyDescent="0.25">
      <c r="A230" s="1">
        <v>274</v>
      </c>
      <c r="B230" s="9" t="str">
        <f>VLOOKUP(A230,'Sets (lua data)'!$A$3:$C$9838,3,FALSE)</f>
        <v>Iceheart</v>
      </c>
      <c r="C230" s="9" t="str">
        <f>VLOOKUP(A230,'Sets (lua data)'!$A$3:$C$9838,2,FALSE)</f>
        <v>Eisherz</v>
      </c>
      <c r="G230" s="2" t="str">
        <f t="shared" si="3"/>
        <v/>
      </c>
    </row>
    <row r="231" spans="1:7" x14ac:dyDescent="0.25">
      <c r="A231" s="1">
        <v>275</v>
      </c>
      <c r="B231" s="9" t="str">
        <f>VLOOKUP(A231,'Sets (lua data)'!$A$3:$C$9838,3,FALSE)</f>
        <v>Stormfist</v>
      </c>
      <c r="C231" s="9" t="str">
        <f>VLOOKUP(A231,'Sets (lua data)'!$A$3:$C$9838,2,FALSE)</f>
        <v>Sturmfaust</v>
      </c>
      <c r="G231" s="2" t="str">
        <f t="shared" si="3"/>
        <v/>
      </c>
    </row>
    <row r="232" spans="1:7" ht="105" x14ac:dyDescent="0.25">
      <c r="A232" s="1">
        <v>276</v>
      </c>
      <c r="B232" s="9" t="str">
        <f>VLOOKUP(A232,'Sets (lua data)'!$A$3:$C$9838,3,FALSE)</f>
        <v>Tremorscale</v>
      </c>
      <c r="C232" s="9" t="str">
        <f>VLOOKUP(A232,'Sets (lua data)'!$A$3:$C$9838,2,FALSE)</f>
        <v>Bebenschuppe</v>
      </c>
      <c r="D232" s="20" t="s">
        <v>4276</v>
      </c>
      <c r="G232" s="2" t="str">
        <f t="shared" si="3"/>
        <v xml:space="preserve">[276] = {[LIBSETS_SETPROC_CHECKTYPE_ABILITY_EVENT_COMBAT_EVENT] = {
[1] = {
      ["abilityIds"] = {80865},
      ["cooldown"] = {7000},
      ["source"] = COMBAT_UNIT_TYPE_PLAYER,
    },
}},     --Tremorscale -&gt;  / </v>
      </c>
    </row>
    <row r="233" spans="1:7" x14ac:dyDescent="0.25">
      <c r="A233" s="1">
        <v>277</v>
      </c>
      <c r="B233" s="9" t="str">
        <f>VLOOKUP(A233,'Sets (lua data)'!$A$3:$C$9838,3,FALSE)</f>
        <v>Pirate Skeleton</v>
      </c>
      <c r="C233" s="9" t="str">
        <f>VLOOKUP(A233,'Sets (lua data)'!$A$3:$C$9838,2,FALSE)</f>
        <v>Piratenskelett</v>
      </c>
      <c r="G233" s="2" t="str">
        <f t="shared" si="3"/>
        <v/>
      </c>
    </row>
    <row r="234" spans="1:7" x14ac:dyDescent="0.25">
      <c r="A234" s="1">
        <v>278</v>
      </c>
      <c r="B234" s="9" t="str">
        <f>VLOOKUP(A234,'Sets (lua data)'!$A$3:$C$9838,3,FALSE)</f>
        <v>The Troll King</v>
      </c>
      <c r="C234" s="9" t="str">
        <f>VLOOKUP(A234,'Sets (lua data)'!$A$3:$C$9838,2,FALSE)</f>
        <v>Trollkönig</v>
      </c>
      <c r="G234" s="2" t="str">
        <f t="shared" si="3"/>
        <v/>
      </c>
    </row>
    <row r="235" spans="1:7" x14ac:dyDescent="0.25">
      <c r="A235" s="1">
        <v>279</v>
      </c>
      <c r="B235" s="9" t="str">
        <f>VLOOKUP(A235,'Sets (lua data)'!$A$3:$C$9838,3,FALSE)</f>
        <v>Selene</v>
      </c>
      <c r="C235" s="9" t="str">
        <f>VLOOKUP(A235,'Sets (lua data)'!$A$3:$C$9838,2,FALSE)</f>
        <v>Selene</v>
      </c>
      <c r="G235" s="2" t="str">
        <f t="shared" si="3"/>
        <v/>
      </c>
    </row>
    <row r="236" spans="1:7" ht="105" x14ac:dyDescent="0.25">
      <c r="A236" s="1">
        <v>280</v>
      </c>
      <c r="B236" s="9" t="str">
        <f>VLOOKUP(A236,'Sets (lua data)'!$A$3:$C$9838,3,FALSE)</f>
        <v>Grothdarr</v>
      </c>
      <c r="C236" s="9" t="str">
        <f>VLOOKUP(A236,'Sets (lua data)'!$A$3:$C$9838,2,FALSE)</f>
        <v>Grothdarr</v>
      </c>
      <c r="D236" s="20" t="s">
        <v>4277</v>
      </c>
      <c r="E236" t="s">
        <v>4278</v>
      </c>
      <c r="G236" s="2" t="str">
        <f t="shared" si="3"/>
        <v xml:space="preserve">[280] = {[LIBSETS_SETPROC_CHECKTYPE_ABILITY_EVENT_COMBAT_EVENT] = {
[1] = {
      ["abilityIds"] = {84504},
      ["cooldown"] = {10000},
      ["source"] = COMBAT_UNIT_TYPE_PLAYER,
    },
}},     --Grothdarr -&gt; Grothdarr proc 1 / </v>
      </c>
    </row>
    <row r="237" spans="1:7" x14ac:dyDescent="0.25">
      <c r="A237" s="12">
        <v>281</v>
      </c>
      <c r="B237" s="9" t="str">
        <f>VLOOKUP(A237,'Sets (lua data)'!$A$3:$C$9838,3,FALSE)</f>
        <v>Armor of the Trainee</v>
      </c>
      <c r="C237" s="9" t="str">
        <f>VLOOKUP(A237,'Sets (lua data)'!$A$3:$C$9838,2,FALSE)</f>
        <v>Rüstung des Auszubildenden</v>
      </c>
      <c r="G237" s="2" t="str">
        <f t="shared" si="3"/>
        <v/>
      </c>
    </row>
    <row r="238" spans="1:7" x14ac:dyDescent="0.25">
      <c r="A238" s="12">
        <v>282</v>
      </c>
      <c r="B238" s="9" t="str">
        <f>VLOOKUP(A238,'Sets (lua data)'!$A$3:$C$9838,3,FALSE)</f>
        <v>Vampire Cloak</v>
      </c>
      <c r="C238" s="9" t="str">
        <f>VLOOKUP(A238,'Sets (lua data)'!$A$3:$C$9838,2,FALSE)</f>
        <v>Vampirumhang</v>
      </c>
      <c r="G238" s="2" t="str">
        <f t="shared" si="3"/>
        <v/>
      </c>
    </row>
    <row r="239" spans="1:7" x14ac:dyDescent="0.25">
      <c r="A239" s="12">
        <v>283</v>
      </c>
      <c r="B239" s="9" t="str">
        <f>VLOOKUP(A239,'Sets (lua data)'!$A$3:$C$9838,3,FALSE)</f>
        <v>Sword-Singer</v>
      </c>
      <c r="C239" s="9" t="str">
        <f>VLOOKUP(A239,'Sets (lua data)'!$A$3:$C$9838,2,FALSE)</f>
        <v>Schwertsänger</v>
      </c>
      <c r="G239" s="2" t="str">
        <f t="shared" si="3"/>
        <v/>
      </c>
    </row>
    <row r="240" spans="1:7" x14ac:dyDescent="0.25">
      <c r="A240" s="12">
        <v>284</v>
      </c>
      <c r="B240" s="9" t="str">
        <f>VLOOKUP(A240,'Sets (lua data)'!$A$3:$C$9838,3,FALSE)</f>
        <v>Order of Diagna</v>
      </c>
      <c r="C240" s="9" t="str">
        <f>VLOOKUP(A240,'Sets (lua data)'!$A$3:$C$9838,2,FALSE)</f>
        <v>Orden von Diagna</v>
      </c>
      <c r="G240" s="2" t="str">
        <f t="shared" si="3"/>
        <v/>
      </c>
    </row>
    <row r="241" spans="1:7" x14ac:dyDescent="0.25">
      <c r="A241" s="12">
        <v>285</v>
      </c>
      <c r="B241" s="9" t="str">
        <f>VLOOKUP(A241,'Sets (lua data)'!$A$3:$C$9838,3,FALSE)</f>
        <v>Vampire Lord</v>
      </c>
      <c r="C241" s="9" t="str">
        <f>VLOOKUP(A241,'Sets (lua data)'!$A$3:$C$9838,2,FALSE)</f>
        <v>Vampirfürst</v>
      </c>
      <c r="G241" s="2" t="str">
        <f t="shared" si="3"/>
        <v/>
      </c>
    </row>
    <row r="242" spans="1:7" x14ac:dyDescent="0.25">
      <c r="A242" s="12">
        <v>286</v>
      </c>
      <c r="B242" s="9" t="str">
        <f>VLOOKUP(A242,'Sets (lua data)'!$A$3:$C$9838,3,FALSE)</f>
        <v>Spriggan\'s Thorns</v>
      </c>
      <c r="C242" s="9" t="str">
        <f>VLOOKUP(A242,'Sets (lua data)'!$A$3:$C$9838,2,FALSE)</f>
        <v>Dornen des Zweiglings</v>
      </c>
      <c r="G242" s="2" t="str">
        <f t="shared" si="3"/>
        <v/>
      </c>
    </row>
    <row r="243" spans="1:7" x14ac:dyDescent="0.25">
      <c r="A243" s="12">
        <v>287</v>
      </c>
      <c r="B243" s="9" t="str">
        <f>VLOOKUP(A243,'Sets (lua data)'!$A$3:$C$9838,3,FALSE)</f>
        <v>Green Pact</v>
      </c>
      <c r="C243" s="9" t="str">
        <f>VLOOKUP(A243,'Sets (lua data)'!$A$3:$C$9838,2,FALSE)</f>
        <v>Der Grüne Pakt</v>
      </c>
      <c r="G243" s="2" t="str">
        <f t="shared" si="3"/>
        <v/>
      </c>
    </row>
    <row r="244" spans="1:7" x14ac:dyDescent="0.25">
      <c r="A244" s="12">
        <v>288</v>
      </c>
      <c r="B244" s="9" t="str">
        <f>VLOOKUP(A244,'Sets (lua data)'!$A$3:$C$9838,3,FALSE)</f>
        <v>Beekeeper\'s Gear</v>
      </c>
      <c r="C244" s="9" t="str">
        <f>VLOOKUP(A244,'Sets (lua data)'!$A$3:$C$9838,2,FALSE)</f>
        <v>Werkzeug des Bienenhüters</v>
      </c>
      <c r="G244" s="2" t="str">
        <f t="shared" si="3"/>
        <v/>
      </c>
    </row>
    <row r="245" spans="1:7" x14ac:dyDescent="0.25">
      <c r="A245" s="12">
        <v>289</v>
      </c>
      <c r="B245" s="9" t="str">
        <f>VLOOKUP(A245,'Sets (lua data)'!$A$3:$C$9838,3,FALSE)</f>
        <v>Spinner\'s Garments</v>
      </c>
      <c r="C245" s="9" t="str">
        <f>VLOOKUP(A245,'Sets (lua data)'!$A$3:$C$9838,2,FALSE)</f>
        <v>Gewänder des Webers</v>
      </c>
      <c r="G245" s="2" t="str">
        <f t="shared" si="3"/>
        <v/>
      </c>
    </row>
    <row r="246" spans="1:7" x14ac:dyDescent="0.25">
      <c r="A246" s="12">
        <v>290</v>
      </c>
      <c r="B246" s="9" t="str">
        <f>VLOOKUP(A246,'Sets (lua data)'!$A$3:$C$9838,3,FALSE)</f>
        <v>Skooma Smuggler</v>
      </c>
      <c r="C246" s="9" t="str">
        <f>VLOOKUP(A246,'Sets (lua data)'!$A$3:$C$9838,2,FALSE)</f>
        <v>Skoomaschmuggler</v>
      </c>
      <c r="G246" s="2" t="str">
        <f t="shared" si="3"/>
        <v/>
      </c>
    </row>
    <row r="247" spans="1:7" x14ac:dyDescent="0.25">
      <c r="A247" s="12">
        <v>291</v>
      </c>
      <c r="B247" s="9" t="str">
        <f>VLOOKUP(A247,'Sets (lua data)'!$A$3:$C$9838,3,FALSE)</f>
        <v>Shalk Exoskeleton</v>
      </c>
      <c r="C247" s="9" t="str">
        <f>VLOOKUP(A247,'Sets (lua data)'!$A$3:$C$9838,2,FALSE)</f>
        <v>Schröterpanzer</v>
      </c>
      <c r="G247" s="2" t="str">
        <f t="shared" si="3"/>
        <v/>
      </c>
    </row>
    <row r="248" spans="1:7" x14ac:dyDescent="0.25">
      <c r="A248" s="12">
        <v>292</v>
      </c>
      <c r="B248" s="9" t="str">
        <f>VLOOKUP(A248,'Sets (lua data)'!$A$3:$C$9838,3,FALSE)</f>
        <v>Mother\'s Sorrow</v>
      </c>
      <c r="C248" s="9" t="str">
        <f>VLOOKUP(A248,'Sets (lua data)'!$A$3:$C$9838,2,FALSE)</f>
        <v>Muttertränen</v>
      </c>
      <c r="G248" s="2" t="str">
        <f t="shared" si="3"/>
        <v/>
      </c>
    </row>
    <row r="249" spans="1:7" x14ac:dyDescent="0.25">
      <c r="A249" s="12">
        <v>293</v>
      </c>
      <c r="B249" s="9" t="str">
        <f>VLOOKUP(A249,'Sets (lua data)'!$A$3:$C$9838,3,FALSE)</f>
        <v>Plague Doctor</v>
      </c>
      <c r="C249" s="9" t="str">
        <f>VLOOKUP(A249,'Sets (lua data)'!$A$3:$C$9838,2,FALSE)</f>
        <v>Seuchendoktor</v>
      </c>
      <c r="G249" s="2" t="str">
        <f t="shared" si="3"/>
        <v/>
      </c>
    </row>
    <row r="250" spans="1:7" x14ac:dyDescent="0.25">
      <c r="A250" s="12">
        <v>294</v>
      </c>
      <c r="B250" s="9" t="str">
        <f>VLOOKUP(A250,'Sets (lua data)'!$A$3:$C$9838,3,FALSE)</f>
        <v>Ysgramor\'s Birthright</v>
      </c>
      <c r="C250" s="9" t="str">
        <f>VLOOKUP(A250,'Sets (lua data)'!$A$3:$C$9838,2,FALSE)</f>
        <v>Ysgramors Geburtsrecht</v>
      </c>
      <c r="G250" s="2" t="str">
        <f t="shared" si="3"/>
        <v/>
      </c>
    </row>
    <row r="251" spans="1:7" x14ac:dyDescent="0.25">
      <c r="A251" s="12">
        <v>295</v>
      </c>
      <c r="B251" s="9" t="str">
        <f>VLOOKUP(A251,'Sets (lua data)'!$A$3:$C$9838,3,FALSE)</f>
        <v>Jailbreaker</v>
      </c>
      <c r="C251" s="9" t="str">
        <f>VLOOKUP(A251,'Sets (lua data)'!$A$3:$C$9838,2,FALSE)</f>
        <v>Ausbrecher</v>
      </c>
      <c r="G251" s="2" t="str">
        <f t="shared" si="3"/>
        <v/>
      </c>
    </row>
    <row r="252" spans="1:7" x14ac:dyDescent="0.25">
      <c r="A252" s="12">
        <v>296</v>
      </c>
      <c r="B252" s="9" t="str">
        <f>VLOOKUP(A252,'Sets (lua data)'!$A$3:$C$9838,3,FALSE)</f>
        <v>Spelunker</v>
      </c>
      <c r="C252" s="9" t="str">
        <f>VLOOKUP(A252,'Sets (lua data)'!$A$3:$C$9838,2,FALSE)</f>
        <v>Höhlenforscher</v>
      </c>
      <c r="G252" s="2" t="str">
        <f t="shared" si="3"/>
        <v/>
      </c>
    </row>
    <row r="253" spans="1:7" x14ac:dyDescent="0.25">
      <c r="A253" s="12">
        <v>297</v>
      </c>
      <c r="B253" s="9" t="str">
        <f>VLOOKUP(A253,'Sets (lua data)'!$A$3:$C$9838,3,FALSE)</f>
        <v>Spider Cultist Cowl</v>
      </c>
      <c r="C253" s="9" t="str">
        <f>VLOOKUP(A253,'Sets (lua data)'!$A$3:$C$9838,2,FALSE)</f>
        <v>Spinnenkultistenkutte</v>
      </c>
      <c r="G253" s="2" t="str">
        <f t="shared" si="3"/>
        <v/>
      </c>
    </row>
    <row r="254" spans="1:7" x14ac:dyDescent="0.25">
      <c r="A254" s="12">
        <v>298</v>
      </c>
      <c r="B254" s="9" t="str">
        <f>VLOOKUP(A254,'Sets (lua data)'!$A$3:$C$9838,3,FALSE)</f>
        <v>Light Speaker</v>
      </c>
      <c r="C254" s="9" t="str">
        <f>VLOOKUP(A254,'Sets (lua data)'!$A$3:$C$9838,2,FALSE)</f>
        <v>Lichtsprecher</v>
      </c>
      <c r="G254" s="2" t="str">
        <f t="shared" si="3"/>
        <v/>
      </c>
    </row>
    <row r="255" spans="1:7" x14ac:dyDescent="0.25">
      <c r="A255" s="12">
        <v>299</v>
      </c>
      <c r="B255" s="9" t="str">
        <f>VLOOKUP(A255,'Sets (lua data)'!$A$3:$C$9838,3,FALSE)</f>
        <v>Toothrow</v>
      </c>
      <c r="C255" s="9" t="str">
        <f>VLOOKUP(A255,'Sets (lua data)'!$A$3:$C$9838,2,FALSE)</f>
        <v>Zahnreihe</v>
      </c>
      <c r="G255" s="2" t="str">
        <f t="shared" si="3"/>
        <v/>
      </c>
    </row>
    <row r="256" spans="1:7" x14ac:dyDescent="0.25">
      <c r="A256" s="12">
        <v>300</v>
      </c>
      <c r="B256" s="9" t="str">
        <f>VLOOKUP(A256,'Sets (lua data)'!$A$3:$C$9838,3,FALSE)</f>
        <v>Netch\'s Touch</v>
      </c>
      <c r="C256" s="9" t="str">
        <f>VLOOKUP(A256,'Sets (lua data)'!$A$3:$C$9838,2,FALSE)</f>
        <v>Berührung des Netch</v>
      </c>
      <c r="G256" s="2" t="str">
        <f t="shared" si="3"/>
        <v/>
      </c>
    </row>
    <row r="257" spans="1:7" x14ac:dyDescent="0.25">
      <c r="A257" s="12">
        <v>301</v>
      </c>
      <c r="B257" s="9" t="str">
        <f>VLOOKUP(A257,'Sets (lua data)'!$A$3:$C$9838,3,FALSE)</f>
        <v>Strength of the Automaton</v>
      </c>
      <c r="C257" s="9" t="str">
        <f>VLOOKUP(A257,'Sets (lua data)'!$A$3:$C$9838,2,FALSE)</f>
        <v>Stärke des Automaten</v>
      </c>
      <c r="G257" s="2" t="str">
        <f t="shared" si="3"/>
        <v/>
      </c>
    </row>
    <row r="258" spans="1:7" x14ac:dyDescent="0.25">
      <c r="A258" s="12">
        <v>302</v>
      </c>
      <c r="B258" s="9" t="str">
        <f>VLOOKUP(A258,'Sets (lua data)'!$A$3:$C$9838,3,FALSE)</f>
        <v>Leviathan</v>
      </c>
      <c r="C258" s="9" t="str">
        <f>VLOOKUP(A258,'Sets (lua data)'!$A$3:$C$9838,2,FALSE)</f>
        <v>Leviathan</v>
      </c>
      <c r="G258" s="2" t="str">
        <f t="shared" si="3"/>
        <v/>
      </c>
    </row>
    <row r="259" spans="1:7" x14ac:dyDescent="0.25">
      <c r="A259" s="12">
        <v>303</v>
      </c>
      <c r="B259" s="9" t="str">
        <f>VLOOKUP(A259,'Sets (lua data)'!$A$3:$C$9838,3,FALSE)</f>
        <v>Lamia\'s Song</v>
      </c>
      <c r="C259" s="9" t="str">
        <f>VLOOKUP(A259,'Sets (lua data)'!$A$3:$C$9838,2,FALSE)</f>
        <v>Lied der Lamie</v>
      </c>
      <c r="G259" s="2" t="str">
        <f t="shared" ref="G259:G322" si="4">IF(AND(A259&lt;&gt;"",NOT(ISERROR(A259)),ISNUMBER(A259),D259&lt;&gt;""),CONCATENATE("[",A259,"] = {",D259,"},","     --",B259," -&gt; ",E259," / ",F259),"")</f>
        <v/>
      </c>
    </row>
    <row r="260" spans="1:7" x14ac:dyDescent="0.25">
      <c r="A260" s="12">
        <v>304</v>
      </c>
      <c r="B260" s="9" t="str">
        <f>VLOOKUP(A260,'Sets (lua data)'!$A$3:$C$9838,3,FALSE)</f>
        <v>Medusa</v>
      </c>
      <c r="C260" s="9" t="str">
        <f>VLOOKUP(A260,'Sets (lua data)'!$A$3:$C$9838,2,FALSE)</f>
        <v>Versteinernder Blick</v>
      </c>
      <c r="G260" s="2" t="str">
        <f t="shared" si="4"/>
        <v/>
      </c>
    </row>
    <row r="261" spans="1:7" x14ac:dyDescent="0.25">
      <c r="A261" s="12">
        <v>305</v>
      </c>
      <c r="B261" s="9" t="str">
        <f>VLOOKUP(A261,'Sets (lua data)'!$A$3:$C$9838,3,FALSE)</f>
        <v>Treasure Hunter</v>
      </c>
      <c r="C261" s="9" t="str">
        <f>VLOOKUP(A261,'Sets (lua data)'!$A$3:$C$9838,2,FALSE)</f>
        <v>Schatzjäger</v>
      </c>
      <c r="G261" s="2" t="str">
        <f t="shared" si="4"/>
        <v/>
      </c>
    </row>
    <row r="262" spans="1:7" x14ac:dyDescent="0.25">
      <c r="A262" s="12">
        <v>307</v>
      </c>
      <c r="B262" s="9" t="str">
        <f>VLOOKUP(A262,'Sets (lua data)'!$A$3:$C$9838,3,FALSE)</f>
        <v>Draugr Hulk</v>
      </c>
      <c r="C262" s="9" t="str">
        <f>VLOOKUP(A262,'Sets (lua data)'!$A$3:$C$9838,2,FALSE)</f>
        <v>Schwerfälliger Draugr</v>
      </c>
      <c r="G262" s="2" t="str">
        <f t="shared" si="4"/>
        <v/>
      </c>
    </row>
    <row r="263" spans="1:7" x14ac:dyDescent="0.25">
      <c r="A263" s="12">
        <v>308</v>
      </c>
      <c r="B263" s="9" t="str">
        <f>VLOOKUP(A263,'Sets (lua data)'!$A$3:$C$9838,3,FALSE)</f>
        <v>Bone Pirate\'s Tatters</v>
      </c>
      <c r="C263" s="9" t="str">
        <f>VLOOKUP(A263,'Sets (lua data)'!$A$3:$C$9838,2,FALSE)</f>
        <v>Lumpen des Knochenpiraten</v>
      </c>
      <c r="G263" s="2" t="str">
        <f t="shared" si="4"/>
        <v/>
      </c>
    </row>
    <row r="264" spans="1:7" x14ac:dyDescent="0.25">
      <c r="A264" s="12">
        <v>309</v>
      </c>
      <c r="B264" s="9" t="str">
        <f>VLOOKUP(A264,'Sets (lua data)'!$A$3:$C$9838,3,FALSE)</f>
        <v>Knight-errant\'s Mail</v>
      </c>
      <c r="C264" s="9" t="str">
        <f>VLOOKUP(A264,'Sets (lua data)'!$A$3:$C$9838,2,FALSE)</f>
        <v>Platten des Wanderritters</v>
      </c>
      <c r="G264" s="2" t="str">
        <f t="shared" si="4"/>
        <v/>
      </c>
    </row>
    <row r="265" spans="1:7" x14ac:dyDescent="0.25">
      <c r="A265" s="12">
        <v>310</v>
      </c>
      <c r="B265" s="9" t="str">
        <f>VLOOKUP(A265,'Sets (lua data)'!$A$3:$C$9838,3,FALSE)</f>
        <v>Sword Dancer</v>
      </c>
      <c r="C265" s="9" t="str">
        <f>VLOOKUP(A265,'Sets (lua data)'!$A$3:$C$9838,2,FALSE)</f>
        <v>Schwerttänzer</v>
      </c>
      <c r="G265" s="2" t="str">
        <f t="shared" si="4"/>
        <v/>
      </c>
    </row>
    <row r="266" spans="1:7" x14ac:dyDescent="0.25">
      <c r="A266" s="12">
        <v>311</v>
      </c>
      <c r="B266" s="9" t="str">
        <f>VLOOKUP(A266,'Sets (lua data)'!$A$3:$C$9838,3,FALSE)</f>
        <v>Rattlecage</v>
      </c>
      <c r="C266" s="9" t="str">
        <f>VLOOKUP(A266,'Sets (lua data)'!$A$3:$C$9838,2,FALSE)</f>
        <v>Klapperkäfig</v>
      </c>
      <c r="G266" s="2" t="str">
        <f t="shared" si="4"/>
        <v/>
      </c>
    </row>
    <row r="267" spans="1:7" x14ac:dyDescent="0.25">
      <c r="A267" s="12">
        <v>313</v>
      </c>
      <c r="B267" s="9" t="str">
        <f>VLOOKUP(A267,'Sets (lua data)'!$A$3:$C$9838,3,FALSE)</f>
        <v>Titanic Cleave</v>
      </c>
      <c r="C267" s="9" t="str">
        <f>VLOOKUP(A267,'Sets (lua data)'!$A$3:$C$9838,2,FALSE)</f>
        <v>Titanisches Trennen</v>
      </c>
      <c r="G267" s="2" t="str">
        <f t="shared" si="4"/>
        <v/>
      </c>
    </row>
    <row r="268" spans="1:7" x14ac:dyDescent="0.25">
      <c r="A268" s="12">
        <v>314</v>
      </c>
      <c r="B268" s="9" t="str">
        <f>VLOOKUP(A268,'Sets (lua data)'!$A$3:$C$9838,3,FALSE)</f>
        <v>Puncturing Remedy</v>
      </c>
      <c r="C268" s="9" t="str">
        <f>VLOOKUP(A268,'Sets (lua data)'!$A$3:$C$9838,2,FALSE)</f>
        <v>Durchschlagende Genesung</v>
      </c>
      <c r="G268" s="2" t="str">
        <f t="shared" si="4"/>
        <v/>
      </c>
    </row>
    <row r="269" spans="1:7" x14ac:dyDescent="0.25">
      <c r="A269" s="12">
        <v>315</v>
      </c>
      <c r="B269" s="9" t="str">
        <f>VLOOKUP(A269,'Sets (lua data)'!$A$3:$C$9838,3,FALSE)</f>
        <v>Stinging Slashes</v>
      </c>
      <c r="C269" s="9" t="str">
        <f>VLOOKUP(A269,'Sets (lua data)'!$A$3:$C$9838,2,FALSE)</f>
        <v>Stechende Schnitte</v>
      </c>
      <c r="G269" s="2" t="str">
        <f t="shared" si="4"/>
        <v/>
      </c>
    </row>
    <row r="270" spans="1:7" x14ac:dyDescent="0.25">
      <c r="A270" s="12">
        <v>316</v>
      </c>
      <c r="B270" s="9" t="str">
        <f>VLOOKUP(A270,'Sets (lua data)'!$A$3:$C$9838,3,FALSE)</f>
        <v>Caustic Arrow</v>
      </c>
      <c r="C270" s="9" t="str">
        <f>VLOOKUP(A270,'Sets (lua data)'!$A$3:$C$9838,2,FALSE)</f>
        <v>Beißender Pfeil</v>
      </c>
      <c r="G270" s="2" t="str">
        <f t="shared" si="4"/>
        <v/>
      </c>
    </row>
    <row r="271" spans="1:7" x14ac:dyDescent="0.25">
      <c r="A271" s="12">
        <v>317</v>
      </c>
      <c r="B271" s="9" t="str">
        <f>VLOOKUP(A271,'Sets (lua data)'!$A$3:$C$9838,3,FALSE)</f>
        <v>Destructive Impact</v>
      </c>
      <c r="C271" s="9" t="str">
        <f>VLOOKUP(A271,'Sets (lua data)'!$A$3:$C$9838,2,FALSE)</f>
        <v>Zerstörerischer Einschlag</v>
      </c>
      <c r="G271" s="2" t="str">
        <f t="shared" si="4"/>
        <v/>
      </c>
    </row>
    <row r="272" spans="1:7" x14ac:dyDescent="0.25">
      <c r="A272" s="12">
        <v>318</v>
      </c>
      <c r="B272" s="9" t="str">
        <f>VLOOKUP(A272,'Sets (lua data)'!$A$3:$C$9838,3,FALSE)</f>
        <v>Grand Rejuvenation</v>
      </c>
      <c r="C272" s="9" t="str">
        <f>VLOOKUP(A272,'Sets (lua data)'!$A$3:$C$9838,2,FALSE)</f>
        <v>Große Verjüngung</v>
      </c>
      <c r="G272" s="2" t="str">
        <f t="shared" si="4"/>
        <v/>
      </c>
    </row>
    <row r="273" spans="1:7" x14ac:dyDescent="0.25">
      <c r="A273" s="12">
        <v>320</v>
      </c>
      <c r="B273" s="9" t="str">
        <f>VLOOKUP(A273,'Sets (lua data)'!$A$3:$C$9838,3,FALSE)</f>
        <v>War Maiden</v>
      </c>
      <c r="C273" s="9" t="str">
        <f>VLOOKUP(A273,'Sets (lua data)'!$A$3:$C$9838,2,FALSE)</f>
        <v>Kriegsjungfer</v>
      </c>
      <c r="G273" s="2" t="str">
        <f t="shared" si="4"/>
        <v/>
      </c>
    </row>
    <row r="274" spans="1:7" x14ac:dyDescent="0.25">
      <c r="A274" s="12">
        <v>321</v>
      </c>
      <c r="B274" s="9" t="str">
        <f>VLOOKUP(A274,'Sets (lua data)'!$A$3:$C$9838,3,FALSE)</f>
        <v>Defiler</v>
      </c>
      <c r="C274" s="9" t="str">
        <f>VLOOKUP(A274,'Sets (lua data)'!$A$3:$C$9838,2,FALSE)</f>
        <v>Schänder</v>
      </c>
      <c r="G274" s="2" t="str">
        <f t="shared" si="4"/>
        <v/>
      </c>
    </row>
    <row r="275" spans="1:7" x14ac:dyDescent="0.25">
      <c r="A275" s="12">
        <v>322</v>
      </c>
      <c r="B275" s="9" t="str">
        <f>VLOOKUP(A275,'Sets (lua data)'!$A$3:$C$9838,3,FALSE)</f>
        <v>Warrior-Poet</v>
      </c>
      <c r="C275" s="9" t="str">
        <f>VLOOKUP(A275,'Sets (lua data)'!$A$3:$C$9838,2,FALSE)</f>
        <v>Kriegerpoet</v>
      </c>
      <c r="G275" s="2" t="str">
        <f t="shared" si="4"/>
        <v/>
      </c>
    </row>
    <row r="276" spans="1:7" x14ac:dyDescent="0.25">
      <c r="A276" s="1">
        <v>323</v>
      </c>
      <c r="B276" s="9" t="str">
        <f>VLOOKUP(A276,'Sets (lua data)'!$A$3:$C$9838,3,FALSE)</f>
        <v>Assassin\'s Guile</v>
      </c>
      <c r="C276" s="9" t="str">
        <f>VLOOKUP(A276,'Sets (lua data)'!$A$3:$C$9838,2,FALSE)</f>
        <v>Assassinenlist</v>
      </c>
      <c r="G276" s="2" t="str">
        <f t="shared" si="4"/>
        <v/>
      </c>
    </row>
    <row r="277" spans="1:7" x14ac:dyDescent="0.25">
      <c r="A277" s="1">
        <v>324</v>
      </c>
      <c r="B277" s="9" t="str">
        <f>VLOOKUP(A277,'Sets (lua data)'!$A$3:$C$9838,3,FALSE)</f>
        <v>Daedric Trickery</v>
      </c>
      <c r="C277" s="9" t="str">
        <f>VLOOKUP(A277,'Sets (lua data)'!$A$3:$C$9838,2,FALSE)</f>
        <v>Daedrische Gaunerei</v>
      </c>
      <c r="G277" s="2" t="str">
        <f t="shared" si="4"/>
        <v/>
      </c>
    </row>
    <row r="278" spans="1:7" x14ac:dyDescent="0.25">
      <c r="A278" s="1">
        <v>325</v>
      </c>
      <c r="B278" s="9" t="str">
        <f>VLOOKUP(A278,'Sets (lua data)'!$A$3:$C$9838,3,FALSE)</f>
        <v>Shacklebreaker</v>
      </c>
      <c r="C278" s="9" t="str">
        <f>VLOOKUP(A278,'Sets (lua data)'!$A$3:$C$9838,2,FALSE)</f>
        <v>Kettensprenger</v>
      </c>
      <c r="G278" s="2" t="str">
        <f t="shared" si="4"/>
        <v/>
      </c>
    </row>
    <row r="279" spans="1:7" x14ac:dyDescent="0.25">
      <c r="A279" s="12">
        <v>326</v>
      </c>
      <c r="B279" s="9" t="str">
        <f>VLOOKUP(A279,'Sets (lua data)'!$A$3:$C$9838,3,FALSE)</f>
        <v>Vanguard\'s Challenge</v>
      </c>
      <c r="C279" s="9" t="str">
        <f>VLOOKUP(A279,'Sets (lua data)'!$A$3:$C$9838,2,FALSE)</f>
        <v>Vorhutdisput</v>
      </c>
      <c r="G279" s="2" t="str">
        <f t="shared" si="4"/>
        <v/>
      </c>
    </row>
    <row r="280" spans="1:7" x14ac:dyDescent="0.25">
      <c r="A280" s="12">
        <v>327</v>
      </c>
      <c r="B280" s="9" t="str">
        <f>VLOOKUP(A280,'Sets (lua data)'!$A$3:$C$9838,3,FALSE)</f>
        <v>Coward\'s Gear</v>
      </c>
      <c r="C280" s="9" t="str">
        <f>VLOOKUP(A280,'Sets (lua data)'!$A$3:$C$9838,2,FALSE)</f>
        <v>Feiglingstracht</v>
      </c>
      <c r="G280" s="2" t="str">
        <f t="shared" si="4"/>
        <v/>
      </c>
    </row>
    <row r="281" spans="1:7" x14ac:dyDescent="0.25">
      <c r="A281" s="12">
        <v>328</v>
      </c>
      <c r="B281" s="9" t="str">
        <f>VLOOKUP(A281,'Sets (lua data)'!$A$3:$C$9838,3,FALSE)</f>
        <v>Knight Slayer</v>
      </c>
      <c r="C281" s="9" t="str">
        <f>VLOOKUP(A281,'Sets (lua data)'!$A$3:$C$9838,2,FALSE)</f>
        <v>Ritterschlächter</v>
      </c>
      <c r="G281" s="2" t="str">
        <f t="shared" si="4"/>
        <v/>
      </c>
    </row>
    <row r="282" spans="1:7" x14ac:dyDescent="0.25">
      <c r="A282" s="12">
        <v>329</v>
      </c>
      <c r="B282" s="9" t="str">
        <f>VLOOKUP(A282,'Sets (lua data)'!$A$3:$C$9838,3,FALSE)</f>
        <v>Wizard\'s Riposte</v>
      </c>
      <c r="C282" s="9" t="str">
        <f>VLOOKUP(A282,'Sets (lua data)'!$A$3:$C$9838,2,FALSE)</f>
        <v>Zaubererreplik</v>
      </c>
      <c r="G282" s="2" t="str">
        <f t="shared" si="4"/>
        <v/>
      </c>
    </row>
    <row r="283" spans="1:7" x14ac:dyDescent="0.25">
      <c r="A283" s="12">
        <v>330</v>
      </c>
      <c r="B283" s="9" t="str">
        <f>VLOOKUP(A283,'Sets (lua data)'!$A$3:$C$9838,3,FALSE)</f>
        <v>Automated Defense</v>
      </c>
      <c r="C283" s="9" t="str">
        <f>VLOOKUP(A283,'Sets (lua data)'!$A$3:$C$9838,2,FALSE)</f>
        <v>Automatisierte Verteidigung</v>
      </c>
      <c r="G283" s="2" t="str">
        <f t="shared" si="4"/>
        <v/>
      </c>
    </row>
    <row r="284" spans="1:7" x14ac:dyDescent="0.25">
      <c r="A284" s="12">
        <v>331</v>
      </c>
      <c r="B284" s="9" t="str">
        <f>VLOOKUP(A284,'Sets (lua data)'!$A$3:$C$9838,3,FALSE)</f>
        <v>War Machine</v>
      </c>
      <c r="C284" s="9" t="str">
        <f>VLOOKUP(A284,'Sets (lua data)'!$A$3:$C$9838,2,FALSE)</f>
        <v>Kriegsmaschine</v>
      </c>
      <c r="G284" s="2" t="str">
        <f t="shared" si="4"/>
        <v/>
      </c>
    </row>
    <row r="285" spans="1:7" x14ac:dyDescent="0.25">
      <c r="A285" s="12">
        <v>332</v>
      </c>
      <c r="B285" s="9" t="str">
        <f>VLOOKUP(A285,'Sets (lua data)'!$A$3:$C$9838,3,FALSE)</f>
        <v>Master Architect</v>
      </c>
      <c r="C285" s="9" t="str">
        <f>VLOOKUP(A285,'Sets (lua data)'!$A$3:$C$9838,2,FALSE)</f>
        <v>Meisterarchitekt</v>
      </c>
      <c r="G285" s="2" t="str">
        <f t="shared" si="4"/>
        <v/>
      </c>
    </row>
    <row r="286" spans="1:7" x14ac:dyDescent="0.25">
      <c r="A286" s="12">
        <v>333</v>
      </c>
      <c r="B286" s="9" t="str">
        <f>VLOOKUP(A286,'Sets (lua data)'!$A$3:$C$9838,3,FALSE)</f>
        <v>Inventor\'s Guard</v>
      </c>
      <c r="C286" s="9" t="str">
        <f>VLOOKUP(A286,'Sets (lua data)'!$A$3:$C$9838,2,FALSE)</f>
        <v>Erfindergarde</v>
      </c>
      <c r="G286" s="2" t="str">
        <f t="shared" si="4"/>
        <v/>
      </c>
    </row>
    <row r="287" spans="1:7" x14ac:dyDescent="0.25">
      <c r="A287" s="12">
        <v>334</v>
      </c>
      <c r="B287" s="9" t="str">
        <f>VLOOKUP(A287,'Sets (lua data)'!$A$3:$C$9838,3,FALSE)</f>
        <v>Impregnable Armor</v>
      </c>
      <c r="C287" s="9" t="str">
        <f>VLOOKUP(A287,'Sets (lua data)'!$A$3:$C$9838,2,FALSE)</f>
        <v>Unüberwindliche Rüstung</v>
      </c>
      <c r="G287" s="2" t="str">
        <f t="shared" si="4"/>
        <v/>
      </c>
    </row>
    <row r="288" spans="1:7" x14ac:dyDescent="0.25">
      <c r="A288" s="12">
        <v>335</v>
      </c>
      <c r="B288" s="9" t="str">
        <f>VLOOKUP(A288,'Sets (lua data)'!$A$3:$C$9838,3,FALSE)</f>
        <v>Draugr\'s Rest</v>
      </c>
      <c r="C288" s="9" t="str">
        <f>VLOOKUP(A288,'Sets (lua data)'!$A$3:$C$9838,2,FALSE)</f>
        <v>Draugrruhe</v>
      </c>
      <c r="G288" s="2" t="str">
        <f t="shared" si="4"/>
        <v/>
      </c>
    </row>
    <row r="289" spans="1:7" x14ac:dyDescent="0.25">
      <c r="A289" s="12">
        <v>336</v>
      </c>
      <c r="B289" s="9" t="str">
        <f>VLOOKUP(A289,'Sets (lua data)'!$A$3:$C$9838,3,FALSE)</f>
        <v>Pillar of Nirn</v>
      </c>
      <c r="C289" s="9" t="str">
        <f>VLOOKUP(A289,'Sets (lua data)'!$A$3:$C$9838,2,FALSE)</f>
        <v>Säulen von Nirn</v>
      </c>
      <c r="G289" s="2" t="str">
        <f t="shared" si="4"/>
        <v/>
      </c>
    </row>
    <row r="290" spans="1:7" x14ac:dyDescent="0.25">
      <c r="A290" s="12">
        <v>337</v>
      </c>
      <c r="B290" s="9" t="str">
        <f>VLOOKUP(A290,'Sets (lua data)'!$A$3:$C$9838,3,FALSE)</f>
        <v>Ironblood</v>
      </c>
      <c r="C290" s="9" t="str">
        <f>VLOOKUP(A290,'Sets (lua data)'!$A$3:$C$9838,2,FALSE)</f>
        <v>Eisenblut</v>
      </c>
      <c r="G290" s="2" t="str">
        <f t="shared" si="4"/>
        <v/>
      </c>
    </row>
    <row r="291" spans="1:7" x14ac:dyDescent="0.25">
      <c r="A291" s="12">
        <v>338</v>
      </c>
      <c r="B291" s="9" t="str">
        <f>VLOOKUP(A291,'Sets (lua data)'!$A$3:$C$9838,3,FALSE)</f>
        <v>Flame Blossom</v>
      </c>
      <c r="C291" s="9" t="str">
        <f>VLOOKUP(A291,'Sets (lua data)'!$A$3:$C$9838,2,FALSE)</f>
        <v>Flammenblüte</v>
      </c>
      <c r="G291" s="2" t="str">
        <f t="shared" si="4"/>
        <v/>
      </c>
    </row>
    <row r="292" spans="1:7" x14ac:dyDescent="0.25">
      <c r="A292" s="12">
        <v>339</v>
      </c>
      <c r="B292" s="9" t="str">
        <f>VLOOKUP(A292,'Sets (lua data)'!$A$3:$C$9838,3,FALSE)</f>
        <v>Blooddrinker</v>
      </c>
      <c r="C292" s="9" t="str">
        <f>VLOOKUP(A292,'Sets (lua data)'!$A$3:$C$9838,2,FALSE)</f>
        <v>Bluttrinker</v>
      </c>
      <c r="G292" s="2" t="str">
        <f t="shared" si="4"/>
        <v/>
      </c>
    </row>
    <row r="293" spans="1:7" x14ac:dyDescent="0.25">
      <c r="A293" s="12">
        <v>340</v>
      </c>
      <c r="B293" s="9" t="str">
        <f>VLOOKUP(A293,'Sets (lua data)'!$A$3:$C$9838,3,FALSE)</f>
        <v>Hagraven\'s Garden</v>
      </c>
      <c r="C293" s="9" t="str">
        <f>VLOOKUP(A293,'Sets (lua data)'!$A$3:$C$9838,2,FALSE)</f>
        <v>Vettelgarten</v>
      </c>
      <c r="G293" s="2" t="str">
        <f t="shared" si="4"/>
        <v/>
      </c>
    </row>
    <row r="294" spans="1:7" ht="105" x14ac:dyDescent="0.25">
      <c r="A294" s="1">
        <v>341</v>
      </c>
      <c r="B294" s="9" t="str">
        <f>VLOOKUP(A294,'Sets (lua data)'!$A$3:$C$9838,3,FALSE)</f>
        <v>Earthgore</v>
      </c>
      <c r="C294" s="9" t="str">
        <f>VLOOKUP(A294,'Sets (lua data)'!$A$3:$C$9838,2,FALSE)</f>
        <v>Erdbluter</v>
      </c>
      <c r="D294" s="20" t="s">
        <v>4279</v>
      </c>
      <c r="G294" s="2" t="str">
        <f t="shared" si="4"/>
        <v xml:space="preserve">[341] = {[LIBSETS_SETPROC_CHECKTYPE_ABILITY_EVENT_COMBAT_EVENT] = {
    [1] = {
      ["abilityIds"] = {97855},
      ["cooldown"] = {20000},
      ["source"] = COMBAT_UNIT_TYPE_PLAYER,
          },
  },},     --Earthgore -&gt;  / </v>
      </c>
    </row>
    <row r="295" spans="1:7" x14ac:dyDescent="0.25">
      <c r="A295" s="1">
        <v>342</v>
      </c>
      <c r="B295" s="9" t="str">
        <f>VLOOKUP(A295,'Sets (lua data)'!$A$3:$C$9838,3,FALSE)</f>
        <v>Domihaus</v>
      </c>
      <c r="C295" s="9" t="str">
        <f>VLOOKUP(A295,'Sets (lua data)'!$A$3:$C$9838,2,FALSE)</f>
        <v>Domihaus</v>
      </c>
      <c r="G295" s="2" t="str">
        <f t="shared" si="4"/>
        <v/>
      </c>
    </row>
    <row r="296" spans="1:7" x14ac:dyDescent="0.25">
      <c r="A296" s="12">
        <v>343</v>
      </c>
      <c r="B296" s="9" t="str">
        <f>VLOOKUP(A296,'Sets (lua data)'!$A$3:$C$9838,3,FALSE)</f>
        <v>Caluurion\'s Legacy</v>
      </c>
      <c r="C296" s="9" t="str">
        <f>VLOOKUP(A296,'Sets (lua data)'!$A$3:$C$9838,2,FALSE)</f>
        <v>Caluurions Erbe</v>
      </c>
      <c r="G296" s="2" t="str">
        <f t="shared" si="4"/>
        <v/>
      </c>
    </row>
    <row r="297" spans="1:7" x14ac:dyDescent="0.25">
      <c r="A297" s="12">
        <v>344</v>
      </c>
      <c r="B297" s="9" t="str">
        <f>VLOOKUP(A297,'Sets (lua data)'!$A$3:$C$9838,3,FALSE)</f>
        <v>Trappings of Invigoration</v>
      </c>
      <c r="C297" s="9" t="str">
        <f>VLOOKUP(A297,'Sets (lua data)'!$A$3:$C$9838,2,FALSE)</f>
        <v>Stärkungsprunk</v>
      </c>
      <c r="G297" s="2" t="str">
        <f t="shared" si="4"/>
        <v/>
      </c>
    </row>
    <row r="298" spans="1:7" x14ac:dyDescent="0.25">
      <c r="A298" s="12">
        <v>345</v>
      </c>
      <c r="B298" s="9" t="str">
        <f>VLOOKUP(A298,'Sets (lua data)'!$A$3:$C$9838,3,FALSE)</f>
        <v>Ulfnor\'s Favor</v>
      </c>
      <c r="C298" s="9" t="str">
        <f>VLOOKUP(A298,'Sets (lua data)'!$A$3:$C$9838,2,FALSE)</f>
        <v>Ulfnors Gunst</v>
      </c>
      <c r="G298" s="2" t="str">
        <f t="shared" si="4"/>
        <v/>
      </c>
    </row>
    <row r="299" spans="1:7" x14ac:dyDescent="0.25">
      <c r="A299" s="12">
        <v>346</v>
      </c>
      <c r="B299" s="9" t="str">
        <f>VLOOKUP(A299,'Sets (lua data)'!$A$3:$C$9838,3,FALSE)</f>
        <v>Jorvuld\'s Guidance</v>
      </c>
      <c r="C299" s="9" t="str">
        <f>VLOOKUP(A299,'Sets (lua data)'!$A$3:$C$9838,2,FALSE)</f>
        <v>Jorvulds Führung</v>
      </c>
      <c r="G299" s="2" t="str">
        <f t="shared" si="4"/>
        <v/>
      </c>
    </row>
    <row r="300" spans="1:7" x14ac:dyDescent="0.25">
      <c r="A300" s="12">
        <v>347</v>
      </c>
      <c r="B300" s="9" t="str">
        <f>VLOOKUP(A300,'Sets (lua data)'!$A$3:$C$9838,3,FALSE)</f>
        <v>Plague Slinger</v>
      </c>
      <c r="C300" s="9" t="str">
        <f>VLOOKUP(A300,'Sets (lua data)'!$A$3:$C$9838,2,FALSE)</f>
        <v>Seuchenschleuder</v>
      </c>
      <c r="G300" s="2" t="str">
        <f t="shared" si="4"/>
        <v/>
      </c>
    </row>
    <row r="301" spans="1:7" x14ac:dyDescent="0.25">
      <c r="A301" s="12">
        <v>348</v>
      </c>
      <c r="B301" s="9" t="str">
        <f>VLOOKUP(A301,'Sets (lua data)'!$A$3:$C$9838,3,FALSE)</f>
        <v>Curse of Doylemish</v>
      </c>
      <c r="C301" s="9" t="str">
        <f>VLOOKUP(A301,'Sets (lua data)'!$A$3:$C$9838,2,FALSE)</f>
        <v>Fluch von Doylemish</v>
      </c>
      <c r="G301" s="2" t="str">
        <f t="shared" si="4"/>
        <v/>
      </c>
    </row>
    <row r="302" spans="1:7" x14ac:dyDescent="0.25">
      <c r="A302" s="1">
        <v>349</v>
      </c>
      <c r="B302" s="9" t="str">
        <f>VLOOKUP(A302,'Sets (lua data)'!$A$3:$C$9838,3,FALSE)</f>
        <v>Thurvokun</v>
      </c>
      <c r="C302" s="9" t="str">
        <f>VLOOKUP(A302,'Sets (lua data)'!$A$3:$C$9838,2,FALSE)</f>
        <v>Thurvokun</v>
      </c>
      <c r="G302" s="2" t="str">
        <f t="shared" si="4"/>
        <v/>
      </c>
    </row>
    <row r="303" spans="1:7" x14ac:dyDescent="0.25">
      <c r="A303" s="1">
        <v>350</v>
      </c>
      <c r="B303" s="9" t="str">
        <f>VLOOKUP(A303,'Sets (lua data)'!$A$3:$C$9838,3,FALSE)</f>
        <v>Zaan</v>
      </c>
      <c r="C303" s="9" t="str">
        <f>VLOOKUP(A303,'Sets (lua data)'!$A$3:$C$9838,2,FALSE)</f>
        <v>Zaan</v>
      </c>
      <c r="G303" s="2" t="str">
        <f t="shared" si="4"/>
        <v/>
      </c>
    </row>
    <row r="304" spans="1:7" x14ac:dyDescent="0.25">
      <c r="A304" s="1">
        <v>351</v>
      </c>
      <c r="B304" s="9" t="str">
        <f>VLOOKUP(A304,'Sets (lua data)'!$A$3:$C$9838,3,FALSE)</f>
        <v>Innate Axiom</v>
      </c>
      <c r="C304" s="9" t="str">
        <f>VLOOKUP(A304,'Sets (lua data)'!$A$3:$C$9838,2,FALSE)</f>
        <v>Kernaxiom</v>
      </c>
      <c r="G304" s="2" t="str">
        <f t="shared" si="4"/>
        <v/>
      </c>
    </row>
    <row r="305" spans="1:7" x14ac:dyDescent="0.25">
      <c r="A305" s="1">
        <v>352</v>
      </c>
      <c r="B305" s="9" t="str">
        <f>VLOOKUP(A305,'Sets (lua data)'!$A$3:$C$9838,3,FALSE)</f>
        <v>Fortified Brass</v>
      </c>
      <c r="C305" s="9" t="str">
        <f>VLOOKUP(A305,'Sets (lua data)'!$A$3:$C$9838,2,FALSE)</f>
        <v>Messingpanzer</v>
      </c>
      <c r="G305" s="2" t="str">
        <f t="shared" si="4"/>
        <v/>
      </c>
    </row>
    <row r="306" spans="1:7" ht="105" x14ac:dyDescent="0.25">
      <c r="A306" s="1">
        <v>353</v>
      </c>
      <c r="B306" s="9" t="str">
        <f>VLOOKUP(A306,'Sets (lua data)'!$A$3:$C$9838,3,FALSE)</f>
        <v>Mechanical Acuity</v>
      </c>
      <c r="C306" s="9" t="str">
        <f>VLOOKUP(A306,'Sets (lua data)'!$A$3:$C$9838,2,FALSE)</f>
        <v>Mechanikblick</v>
      </c>
      <c r="D306" s="20" t="s">
        <v>4280</v>
      </c>
      <c r="G306" s="2" t="str">
        <f t="shared" si="4"/>
        <v xml:space="preserve">[353] = {[LIBSETS_SETPROC_CHECKTYPE_ABILITY_EVENT_COMBAT_EVENT] = {
    [1] = {
      ["abilityIds"] = {99204},
      ["cooldown"] = {18000},
      ["source"] = COMBAT_UNIT_TYPE_PLAYER,
    },
  },},     --Mechanical Acuity -&gt;  / </v>
      </c>
    </row>
    <row r="307" spans="1:7" x14ac:dyDescent="0.25">
      <c r="A307" s="12">
        <v>354</v>
      </c>
      <c r="B307" s="9" t="str">
        <f>VLOOKUP(A307,'Sets (lua data)'!$A$3:$C$9838,3,FALSE)</f>
        <v>Mad Tinkerer</v>
      </c>
      <c r="C307" s="9" t="str">
        <f>VLOOKUP(A307,'Sets (lua data)'!$A$3:$C$9838,2,FALSE)</f>
        <v>Wahntüftler</v>
      </c>
      <c r="G307" s="2" t="str">
        <f t="shared" si="4"/>
        <v/>
      </c>
    </row>
    <row r="308" spans="1:7" x14ac:dyDescent="0.25">
      <c r="A308" s="12">
        <v>355</v>
      </c>
      <c r="B308" s="9" t="str">
        <f>VLOOKUP(A308,'Sets (lua data)'!$A$3:$C$9838,3,FALSE)</f>
        <v>Unfathomable Darkness</v>
      </c>
      <c r="C308" s="9" t="str">
        <f>VLOOKUP(A308,'Sets (lua data)'!$A$3:$C$9838,2,FALSE)</f>
        <v>Unermessliche Dunkelheit</v>
      </c>
      <c r="G308" s="2" t="str">
        <f t="shared" si="4"/>
        <v/>
      </c>
    </row>
    <row r="309" spans="1:7" x14ac:dyDescent="0.25">
      <c r="A309" s="12">
        <v>356</v>
      </c>
      <c r="B309" s="9" t="str">
        <f>VLOOKUP(A309,'Sets (lua data)'!$A$3:$C$9838,3,FALSE)</f>
        <v>Livewire</v>
      </c>
      <c r="C309" s="9" t="str">
        <f>VLOOKUP(A309,'Sets (lua data)'!$A$3:$C$9838,2,FALSE)</f>
        <v>Stromschlag</v>
      </c>
      <c r="G309" s="2" t="str">
        <f t="shared" si="4"/>
        <v/>
      </c>
    </row>
    <row r="310" spans="1:7" x14ac:dyDescent="0.25">
      <c r="A310" s="12">
        <v>357</v>
      </c>
      <c r="B310" s="9" t="str">
        <f>VLOOKUP(A310,'Sets (lua data)'!$A$3:$C$9838,3,FALSE)</f>
        <v>Perfected Disciplined Slash</v>
      </c>
      <c r="C310" s="9" t="str">
        <f>VLOOKUP(A310,'Sets (lua data)'!$A$3:$C$9838,2,FALSE)</f>
        <v>Vollendeter Disziplinierter Schnitt</v>
      </c>
      <c r="G310" s="2" t="str">
        <f t="shared" si="4"/>
        <v/>
      </c>
    </row>
    <row r="311" spans="1:7" x14ac:dyDescent="0.25">
      <c r="A311" s="12">
        <v>358</v>
      </c>
      <c r="B311" s="9" t="str">
        <f>VLOOKUP(A311,'Sets (lua data)'!$A$3:$C$9838,3,FALSE)</f>
        <v>Perfected Defensive Position</v>
      </c>
      <c r="C311" s="9" t="str">
        <f>VLOOKUP(A311,'Sets (lua data)'!$A$3:$C$9838,2,FALSE)</f>
        <v>Vollendete Defensive Position</v>
      </c>
      <c r="G311" s="2" t="str">
        <f t="shared" si="4"/>
        <v/>
      </c>
    </row>
    <row r="312" spans="1:7" x14ac:dyDescent="0.25">
      <c r="A312" s="12">
        <v>359</v>
      </c>
      <c r="B312" s="9" t="str">
        <f>VLOOKUP(A312,'Sets (lua data)'!$A$3:$C$9838,3,FALSE)</f>
        <v>Perfected Chaotic Whirlwind</v>
      </c>
      <c r="C312" s="9" t="str">
        <f>VLOOKUP(A312,'Sets (lua data)'!$A$3:$C$9838,2,FALSE)</f>
        <v>Vollendeter Chaotischer Wirbelwind</v>
      </c>
      <c r="G312" s="2" t="str">
        <f t="shared" si="4"/>
        <v/>
      </c>
    </row>
    <row r="313" spans="1:7" x14ac:dyDescent="0.25">
      <c r="A313" s="12">
        <v>360</v>
      </c>
      <c r="B313" s="9" t="str">
        <f>VLOOKUP(A313,'Sets (lua data)'!$A$3:$C$9838,3,FALSE)</f>
        <v>Perfected Piercing Spray</v>
      </c>
      <c r="C313" s="9" t="str">
        <f>VLOOKUP(A313,'Sets (lua data)'!$A$3:$C$9838,2,FALSE)</f>
        <v>Vollendete Durchdringende Salve</v>
      </c>
      <c r="G313" s="2" t="str">
        <f t="shared" si="4"/>
        <v/>
      </c>
    </row>
    <row r="314" spans="1:7" x14ac:dyDescent="0.25">
      <c r="A314" s="12">
        <v>361</v>
      </c>
      <c r="B314" s="9" t="str">
        <f>VLOOKUP(A314,'Sets (lua data)'!$A$3:$C$9838,3,FALSE)</f>
        <v>Perfected Concentrated Force</v>
      </c>
      <c r="C314" s="9" t="str">
        <f>VLOOKUP(A314,'Sets (lua data)'!$A$3:$C$9838,2,FALSE)</f>
        <v>Vollendete Konzentrierte Kraft</v>
      </c>
      <c r="G314" s="2" t="str">
        <f t="shared" si="4"/>
        <v/>
      </c>
    </row>
    <row r="315" spans="1:7" x14ac:dyDescent="0.25">
      <c r="A315" s="12">
        <v>362</v>
      </c>
      <c r="B315" s="9" t="str">
        <f>VLOOKUP(A315,'Sets (lua data)'!$A$3:$C$9838,3,FALSE)</f>
        <v>Perfected Timeless Blessing</v>
      </c>
      <c r="C315" s="9" t="str">
        <f>VLOOKUP(A315,'Sets (lua data)'!$A$3:$C$9838,2,FALSE)</f>
        <v>Vollendeter Zeitloser Segen</v>
      </c>
      <c r="G315" s="2" t="str">
        <f t="shared" si="4"/>
        <v/>
      </c>
    </row>
    <row r="316" spans="1:7" x14ac:dyDescent="0.25">
      <c r="A316" s="12">
        <v>363</v>
      </c>
      <c r="B316" s="9" t="str">
        <f>VLOOKUP(A316,'Sets (lua data)'!$A$3:$C$9838,3,FALSE)</f>
        <v>Disciplined Slash</v>
      </c>
      <c r="C316" s="9" t="str">
        <f>VLOOKUP(A316,'Sets (lua data)'!$A$3:$C$9838,2,FALSE)</f>
        <v>Disziplinierter Schnitt</v>
      </c>
      <c r="G316" s="2" t="str">
        <f t="shared" si="4"/>
        <v/>
      </c>
    </row>
    <row r="317" spans="1:7" x14ac:dyDescent="0.25">
      <c r="A317" s="12">
        <v>364</v>
      </c>
      <c r="B317" s="9" t="str">
        <f>VLOOKUP(A317,'Sets (lua data)'!$A$3:$C$9838,3,FALSE)</f>
        <v>Defensive Position</v>
      </c>
      <c r="C317" s="9" t="str">
        <f>VLOOKUP(A317,'Sets (lua data)'!$A$3:$C$9838,2,FALSE)</f>
        <v>Defensive Position</v>
      </c>
      <c r="G317" s="2" t="str">
        <f t="shared" si="4"/>
        <v/>
      </c>
    </row>
    <row r="318" spans="1:7" x14ac:dyDescent="0.25">
      <c r="A318" s="12">
        <v>365</v>
      </c>
      <c r="B318" s="9" t="str">
        <f>VLOOKUP(A318,'Sets (lua data)'!$A$3:$C$9838,3,FALSE)</f>
        <v>Chaotic Whirlwind</v>
      </c>
      <c r="C318" s="9" t="str">
        <f>VLOOKUP(A318,'Sets (lua data)'!$A$3:$C$9838,2,FALSE)</f>
        <v>Chaotischer Wirbelwind</v>
      </c>
      <c r="G318" s="2" t="str">
        <f t="shared" si="4"/>
        <v/>
      </c>
    </row>
    <row r="319" spans="1:7" x14ac:dyDescent="0.25">
      <c r="A319" s="12">
        <v>366</v>
      </c>
      <c r="B319" s="9" t="str">
        <f>VLOOKUP(A319,'Sets (lua data)'!$A$3:$C$9838,3,FALSE)</f>
        <v>Piercing Spray</v>
      </c>
      <c r="C319" s="9" t="str">
        <f>VLOOKUP(A319,'Sets (lua data)'!$A$3:$C$9838,2,FALSE)</f>
        <v>Durchdringende Salve</v>
      </c>
      <c r="G319" s="2" t="str">
        <f t="shared" si="4"/>
        <v/>
      </c>
    </row>
    <row r="320" spans="1:7" x14ac:dyDescent="0.25">
      <c r="A320" s="12">
        <v>367</v>
      </c>
      <c r="B320" s="9" t="str">
        <f>VLOOKUP(A320,'Sets (lua data)'!$A$3:$C$9838,3,FALSE)</f>
        <v>Concentrated Force</v>
      </c>
      <c r="C320" s="9" t="str">
        <f>VLOOKUP(A320,'Sets (lua data)'!$A$3:$C$9838,2,FALSE)</f>
        <v>Konzentrierte Kraft</v>
      </c>
      <c r="G320" s="2" t="str">
        <f t="shared" si="4"/>
        <v/>
      </c>
    </row>
    <row r="321" spans="1:7" x14ac:dyDescent="0.25">
      <c r="A321" s="12">
        <v>368</v>
      </c>
      <c r="B321" s="9" t="str">
        <f>VLOOKUP(A321,'Sets (lua data)'!$A$3:$C$9838,3,FALSE)</f>
        <v>Timeless Blessing</v>
      </c>
      <c r="C321" s="9" t="str">
        <f>VLOOKUP(A321,'Sets (lua data)'!$A$3:$C$9838,2,FALSE)</f>
        <v>Zeitloser Segen</v>
      </c>
      <c r="G321" s="2" t="str">
        <f t="shared" si="4"/>
        <v/>
      </c>
    </row>
    <row r="322" spans="1:7" x14ac:dyDescent="0.25">
      <c r="A322" s="12">
        <v>369</v>
      </c>
      <c r="B322" s="9" t="str">
        <f>VLOOKUP(A322,'Sets (lua data)'!$A$3:$C$9838,3,FALSE)</f>
        <v>Merciless Charge</v>
      </c>
      <c r="C322" s="9" t="str">
        <f>VLOOKUP(A322,'Sets (lua data)'!$A$3:$C$9838,2,FALSE)</f>
        <v>Gnadenloser Ansturm</v>
      </c>
      <c r="G322" s="2" t="str">
        <f t="shared" si="4"/>
        <v/>
      </c>
    </row>
    <row r="323" spans="1:7" x14ac:dyDescent="0.25">
      <c r="A323" s="12">
        <v>370</v>
      </c>
      <c r="B323" s="9" t="str">
        <f>VLOOKUP(A323,'Sets (lua data)'!$A$3:$C$9838,3,FALSE)</f>
        <v>Rampaging Slash</v>
      </c>
      <c r="C323" s="9" t="str">
        <f>VLOOKUP(A323,'Sets (lua data)'!$A$3:$C$9838,2,FALSE)</f>
        <v>Tobender Schnitt</v>
      </c>
      <c r="G323" s="2" t="str">
        <f t="shared" ref="G323:G386" si="5">IF(AND(A323&lt;&gt;"",NOT(ISERROR(A323)),ISNUMBER(A323),D323&lt;&gt;""),CONCATENATE("[",A323,"] = {",D323,"},","     --",B323," -&gt; ",E323," / ",F323),"")</f>
        <v/>
      </c>
    </row>
    <row r="324" spans="1:7" x14ac:dyDescent="0.25">
      <c r="A324" s="12">
        <v>371</v>
      </c>
      <c r="B324" s="9" t="str">
        <f>VLOOKUP(A324,'Sets (lua data)'!$A$3:$C$9838,3,FALSE)</f>
        <v>Cruel Flurry</v>
      </c>
      <c r="C324" s="9" t="str">
        <f>VLOOKUP(A324,'Sets (lua data)'!$A$3:$C$9838,2,FALSE)</f>
        <v>Grausamer Schlaghagel</v>
      </c>
      <c r="G324" s="2" t="str">
        <f t="shared" si="5"/>
        <v/>
      </c>
    </row>
    <row r="325" spans="1:7" x14ac:dyDescent="0.25">
      <c r="A325" s="12">
        <v>372</v>
      </c>
      <c r="B325" s="9" t="str">
        <f>VLOOKUP(A325,'Sets (lua data)'!$A$3:$C$9838,3,FALSE)</f>
        <v>Thunderous Volley</v>
      </c>
      <c r="C325" s="9" t="str">
        <f>VLOOKUP(A325,'Sets (lua data)'!$A$3:$C$9838,2,FALSE)</f>
        <v>Donnernde Salve</v>
      </c>
      <c r="G325" s="2" t="str">
        <f t="shared" si="5"/>
        <v/>
      </c>
    </row>
    <row r="326" spans="1:7" x14ac:dyDescent="0.25">
      <c r="A326" s="12">
        <v>373</v>
      </c>
      <c r="B326" s="9" t="str">
        <f>VLOOKUP(A326,'Sets (lua data)'!$A$3:$C$9838,3,FALSE)</f>
        <v>Crushing Wall</v>
      </c>
      <c r="C326" s="9" t="str">
        <f>VLOOKUP(A326,'Sets (lua data)'!$A$3:$C$9838,2,FALSE)</f>
        <v>Zermalmende Mauer</v>
      </c>
      <c r="G326" s="2" t="str">
        <f t="shared" si="5"/>
        <v/>
      </c>
    </row>
    <row r="327" spans="1:7" x14ac:dyDescent="0.25">
      <c r="A327" s="12">
        <v>374</v>
      </c>
      <c r="B327" s="9" t="str">
        <f>VLOOKUP(A327,'Sets (lua data)'!$A$3:$C$9838,3,FALSE)</f>
        <v>Precise Regeneration</v>
      </c>
      <c r="C327" s="9" t="str">
        <f>VLOOKUP(A327,'Sets (lua data)'!$A$3:$C$9838,2,FALSE)</f>
        <v>Präzise Regeneration</v>
      </c>
      <c r="G327" s="2" t="str">
        <f t="shared" si="5"/>
        <v/>
      </c>
    </row>
    <row r="328" spans="1:7" x14ac:dyDescent="0.25">
      <c r="A328" s="12">
        <v>380</v>
      </c>
      <c r="B328" s="9" t="str">
        <f>VLOOKUP(A328,'Sets (lua data)'!$A$3:$C$9838,3,FALSE)</f>
        <v>Prophet\'s</v>
      </c>
      <c r="C328" s="9" t="str">
        <f>VLOOKUP(A328,'Sets (lua data)'!$A$3:$C$9838,2,FALSE)</f>
        <v>Prophet</v>
      </c>
      <c r="G328" s="2" t="str">
        <f t="shared" si="5"/>
        <v/>
      </c>
    </row>
    <row r="329" spans="1:7" x14ac:dyDescent="0.25">
      <c r="A329" s="12">
        <v>381</v>
      </c>
      <c r="B329" s="9" t="str">
        <f>VLOOKUP(A329,'Sets (lua data)'!$A$3:$C$9838,3,FALSE)</f>
        <v>Broken Soul</v>
      </c>
      <c r="C329" s="9" t="str">
        <f>VLOOKUP(A329,'Sets (lua data)'!$A$3:$C$9838,2,FALSE)</f>
        <v>Zerbrochene Seele</v>
      </c>
      <c r="G329" s="2" t="str">
        <f t="shared" si="5"/>
        <v/>
      </c>
    </row>
    <row r="330" spans="1:7" x14ac:dyDescent="0.25">
      <c r="A330" s="12">
        <v>382</v>
      </c>
      <c r="B330" s="9" t="str">
        <f>VLOOKUP(A330,'Sets (lua data)'!$A$3:$C$9838,3,FALSE)</f>
        <v>Grace of Gloom</v>
      </c>
      <c r="C330" s="9" t="str">
        <f>VLOOKUP(A330,'Sets (lua data)'!$A$3:$C$9838,2,FALSE)</f>
        <v>Anmut der Gräue</v>
      </c>
      <c r="G330" s="2" t="str">
        <f t="shared" si="5"/>
        <v/>
      </c>
    </row>
    <row r="331" spans="1:7" x14ac:dyDescent="0.25">
      <c r="A331" s="12">
        <v>383</v>
      </c>
      <c r="B331" s="9" t="str">
        <f>VLOOKUP(A331,'Sets (lua data)'!$A$3:$C$9838,3,FALSE)</f>
        <v>Gryphon\'s Ferocity</v>
      </c>
      <c r="C331" s="9" t="str">
        <f>VLOOKUP(A331,'Sets (lua data)'!$A$3:$C$9838,2,FALSE)</f>
        <v>Wildheit des Greifen</v>
      </c>
      <c r="G331" s="2" t="str">
        <f t="shared" si="5"/>
        <v/>
      </c>
    </row>
    <row r="332" spans="1:7" x14ac:dyDescent="0.25">
      <c r="A332" s="12">
        <v>384</v>
      </c>
      <c r="B332" s="9" t="str">
        <f>VLOOKUP(A332,'Sets (lua data)'!$A$3:$C$9838,3,FALSE)</f>
        <v>Wisdom of Vanus</v>
      </c>
      <c r="C332" s="9" t="str">
        <f>VLOOKUP(A332,'Sets (lua data)'!$A$3:$C$9838,2,FALSE)</f>
        <v>Weisheit von Vanus</v>
      </c>
      <c r="G332" s="2" t="str">
        <f t="shared" si="5"/>
        <v/>
      </c>
    </row>
    <row r="333" spans="1:7" x14ac:dyDescent="0.25">
      <c r="A333" s="1">
        <v>385</v>
      </c>
      <c r="B333" s="9" t="str">
        <f>VLOOKUP(A333,'Sets (lua data)'!$A$3:$C$9838,3,FALSE)</f>
        <v>Adept Rider</v>
      </c>
      <c r="C333" s="9" t="str">
        <f>VLOOKUP(A333,'Sets (lua data)'!$A$3:$C$9838,2,FALSE)</f>
        <v>Versierter Reiter</v>
      </c>
      <c r="G333" s="2" t="str">
        <f t="shared" si="5"/>
        <v/>
      </c>
    </row>
    <row r="334" spans="1:7" x14ac:dyDescent="0.25">
      <c r="A334" s="1">
        <v>386</v>
      </c>
      <c r="B334" s="9" t="str">
        <f>VLOOKUP(A334,'Sets (lua data)'!$A$3:$C$9838,3,FALSE)</f>
        <v>Sload\'s Semblance</v>
      </c>
      <c r="C334" s="9" t="str">
        <f>VLOOKUP(A334,'Sets (lua data)'!$A$3:$C$9838,2,FALSE)</f>
        <v>Kreckenantlitz</v>
      </c>
      <c r="G334" s="2" t="str">
        <f t="shared" si="5"/>
        <v/>
      </c>
    </row>
    <row r="335" spans="1:7" x14ac:dyDescent="0.25">
      <c r="A335" s="1">
        <v>387</v>
      </c>
      <c r="B335" s="9" t="str">
        <f>VLOOKUP(A335,'Sets (lua data)'!$A$3:$C$9838,3,FALSE)</f>
        <v>Nocturnal\'s Favor</v>
      </c>
      <c r="C335" s="9" t="str">
        <f>VLOOKUP(A335,'Sets (lua data)'!$A$3:$C$9838,2,FALSE)</f>
        <v>Nocturnals Gunst</v>
      </c>
      <c r="G335" s="2" t="str">
        <f t="shared" si="5"/>
        <v/>
      </c>
    </row>
    <row r="336" spans="1:7" x14ac:dyDescent="0.25">
      <c r="A336" s="12">
        <v>388</v>
      </c>
      <c r="B336" s="9" t="str">
        <f>VLOOKUP(A336,'Sets (lua data)'!$A$3:$C$9838,3,FALSE)</f>
        <v>Aegis of Galenwe</v>
      </c>
      <c r="C336" s="9" t="str">
        <f>VLOOKUP(A336,'Sets (lua data)'!$A$3:$C$9838,2,FALSE)</f>
        <v>Ägis von Galenwe</v>
      </c>
      <c r="G336" s="2" t="str">
        <f t="shared" si="5"/>
        <v/>
      </c>
    </row>
    <row r="337" spans="1:7" x14ac:dyDescent="0.25">
      <c r="A337" s="12">
        <v>389</v>
      </c>
      <c r="B337" s="9" t="str">
        <f>VLOOKUP(A337,'Sets (lua data)'!$A$3:$C$9838,3,FALSE)</f>
        <v>Arms of Relequen</v>
      </c>
      <c r="C337" s="9" t="str">
        <f>VLOOKUP(A337,'Sets (lua data)'!$A$3:$C$9838,2,FALSE)</f>
        <v>Waffen von Relequen</v>
      </c>
      <c r="G337" s="2" t="str">
        <f t="shared" si="5"/>
        <v/>
      </c>
    </row>
    <row r="338" spans="1:7" x14ac:dyDescent="0.25">
      <c r="A338" s="12">
        <v>390</v>
      </c>
      <c r="B338" s="9" t="str">
        <f>VLOOKUP(A338,'Sets (lua data)'!$A$3:$C$9838,3,FALSE)</f>
        <v>Mantle of Siroria</v>
      </c>
      <c r="C338" s="9" t="str">
        <f>VLOOKUP(A338,'Sets (lua data)'!$A$3:$C$9838,2,FALSE)</f>
        <v>Mantel von Siroria</v>
      </c>
      <c r="G338" s="2" t="str">
        <f t="shared" si="5"/>
        <v/>
      </c>
    </row>
    <row r="339" spans="1:7" ht="105" x14ac:dyDescent="0.25">
      <c r="A339" s="12">
        <v>391</v>
      </c>
      <c r="B339" s="9" t="str">
        <f>VLOOKUP(A339,'Sets (lua data)'!$A$3:$C$9838,3,FALSE)</f>
        <v>Vestment of Olorime</v>
      </c>
      <c r="C339" s="9" t="str">
        <f>VLOOKUP(A339,'Sets (lua data)'!$A$3:$C$9838,2,FALSE)</f>
        <v>Gewandung von Olorime</v>
      </c>
      <c r="D339" s="20" t="s">
        <v>4281</v>
      </c>
      <c r="G339" s="2" t="str">
        <f t="shared" si="5"/>
        <v xml:space="preserve">[391] = {[LIBSETS_SETPROC_CHECKTYPE_ABILITY_EVENT_COMBAT_EVENT] = {
    [1] = {
      ["abilityIds"] = {107141},
      ["cooldown"] = {10000},
      ["source"] = COMBAT_UNIT_TYPE_PLAYER,
    },
  },},     --Vestment of Olorime -&gt;  / </v>
      </c>
    </row>
    <row r="340" spans="1:7" x14ac:dyDescent="0.25">
      <c r="A340" s="12">
        <v>392</v>
      </c>
      <c r="B340" s="9" t="str">
        <f>VLOOKUP(A340,'Sets (lua data)'!$A$3:$C$9838,3,FALSE)</f>
        <v>Perfect Aegis of Galenwe</v>
      </c>
      <c r="C340" s="9" t="str">
        <f>VLOOKUP(A340,'Sets (lua data)'!$A$3:$C$9838,2,FALSE)</f>
        <v>Perfekte Ägis von Galenwe</v>
      </c>
      <c r="G340" s="2" t="str">
        <f t="shared" si="5"/>
        <v/>
      </c>
    </row>
    <row r="341" spans="1:7" x14ac:dyDescent="0.25">
      <c r="A341" s="12">
        <v>393</v>
      </c>
      <c r="B341" s="9" t="str">
        <f>VLOOKUP(A341,'Sets (lua data)'!$A$3:$C$9838,3,FALSE)</f>
        <v>Perfect Arms of Relequen</v>
      </c>
      <c r="C341" s="9" t="str">
        <f>VLOOKUP(A341,'Sets (lua data)'!$A$3:$C$9838,2,FALSE)</f>
        <v>Perfekte Waffen von Relequen</v>
      </c>
      <c r="G341" s="2" t="str">
        <f t="shared" si="5"/>
        <v/>
      </c>
    </row>
    <row r="342" spans="1:7" x14ac:dyDescent="0.25">
      <c r="A342" s="12">
        <v>394</v>
      </c>
      <c r="B342" s="9" t="str">
        <f>VLOOKUP(A342,'Sets (lua data)'!$A$3:$C$9838,3,FALSE)</f>
        <v>Perfect Mantle of Siroria</v>
      </c>
      <c r="C342" s="9" t="str">
        <f>VLOOKUP(A342,'Sets (lua data)'!$A$3:$C$9838,2,FALSE)</f>
        <v>Perfekter Mantel von Siroria</v>
      </c>
      <c r="G342" s="2" t="str">
        <f t="shared" si="5"/>
        <v/>
      </c>
    </row>
    <row r="343" spans="1:7" ht="105" x14ac:dyDescent="0.25">
      <c r="A343" s="12">
        <v>395</v>
      </c>
      <c r="B343" s="9" t="str">
        <f>VLOOKUP(A343,'Sets (lua data)'!$A$3:$C$9838,3,FALSE)</f>
        <v>Perfect Vestment of Olorime</v>
      </c>
      <c r="C343" s="9" t="str">
        <f>VLOOKUP(A343,'Sets (lua data)'!$A$3:$C$9838,2,FALSE)</f>
        <v>Perfekte Gewandung von Olorime</v>
      </c>
      <c r="D343" s="20" t="s">
        <v>4282</v>
      </c>
      <c r="G343" s="2" t="str">
        <f t="shared" si="5"/>
        <v xml:space="preserve">[395] = {[LIBSETS_SETPROC_CHECKTYPE_ABILITY_EVENT_COMBAT_EVENT] = {
    [1] = {
      ["abilityIds"] = {109084},
      ["cooldown"] = {10000},
      ["source"] = COMBAT_UNIT_TYPE_PLAYER,
    },
  },},     --Perfect Vestment of Olorime -&gt;  / </v>
      </c>
    </row>
    <row r="344" spans="1:7" x14ac:dyDescent="0.25">
      <c r="A344" s="1">
        <v>397</v>
      </c>
      <c r="B344" s="9" t="str">
        <f>VLOOKUP(A344,'Sets (lua data)'!$A$3:$C$9838,3,FALSE)</f>
        <v>Balorgh</v>
      </c>
      <c r="C344" s="9" t="str">
        <f>VLOOKUP(A344,'Sets (lua data)'!$A$3:$C$9838,2,FALSE)</f>
        <v>Balorgh</v>
      </c>
      <c r="G344" s="2" t="str">
        <f t="shared" si="5"/>
        <v/>
      </c>
    </row>
    <row r="345" spans="1:7" x14ac:dyDescent="0.25">
      <c r="A345" s="1">
        <v>398</v>
      </c>
      <c r="B345" s="9" t="str">
        <f>VLOOKUP(A345,'Sets (lua data)'!$A$3:$C$9838,3,FALSE)</f>
        <v>Vykosa</v>
      </c>
      <c r="C345" s="9" t="str">
        <f>VLOOKUP(A345,'Sets (lua data)'!$A$3:$C$9838,2,FALSE)</f>
        <v>Vykosa</v>
      </c>
      <c r="G345" s="2" t="str">
        <f t="shared" si="5"/>
        <v/>
      </c>
    </row>
    <row r="346" spans="1:7" x14ac:dyDescent="0.25">
      <c r="A346" s="12">
        <v>399</v>
      </c>
      <c r="B346" s="9" t="str">
        <f>VLOOKUP(A346,'Sets (lua data)'!$A$3:$C$9838,3,FALSE)</f>
        <v>Hanu\'s Compassion</v>
      </c>
      <c r="C346" s="9" t="str">
        <f>VLOOKUP(A346,'Sets (lua data)'!$A$3:$C$9838,2,FALSE)</f>
        <v>Hanus Mitgefühl</v>
      </c>
      <c r="G346" s="2" t="str">
        <f t="shared" si="5"/>
        <v/>
      </c>
    </row>
    <row r="347" spans="1:7" x14ac:dyDescent="0.25">
      <c r="A347" s="12">
        <v>400</v>
      </c>
      <c r="B347" s="9" t="str">
        <f>VLOOKUP(A347,'Sets (lua data)'!$A$3:$C$9838,3,FALSE)</f>
        <v>Blood Moon</v>
      </c>
      <c r="C347" s="9" t="str">
        <f>VLOOKUP(A347,'Sets (lua data)'!$A$3:$C$9838,2,FALSE)</f>
        <v>Blutmond</v>
      </c>
      <c r="G347" s="2" t="str">
        <f t="shared" si="5"/>
        <v/>
      </c>
    </row>
    <row r="348" spans="1:7" x14ac:dyDescent="0.25">
      <c r="A348" s="12">
        <v>401</v>
      </c>
      <c r="B348" s="9" t="str">
        <f>VLOOKUP(A348,'Sets (lua data)'!$A$3:$C$9838,3,FALSE)</f>
        <v>Haven of Ursus</v>
      </c>
      <c r="C348" s="9" t="str">
        <f>VLOOKUP(A348,'Sets (lua data)'!$A$3:$C$9838,2,FALSE)</f>
        <v>Zuflucht von Ursus</v>
      </c>
      <c r="G348" s="2" t="str">
        <f t="shared" si="5"/>
        <v/>
      </c>
    </row>
    <row r="349" spans="1:7" x14ac:dyDescent="0.25">
      <c r="A349" s="12">
        <v>402</v>
      </c>
      <c r="B349" s="9" t="str">
        <f>VLOOKUP(A349,'Sets (lua data)'!$A$3:$C$9838,3,FALSE)</f>
        <v>Moon Hunter</v>
      </c>
      <c r="C349" s="9" t="str">
        <f>VLOOKUP(A349,'Sets (lua data)'!$A$3:$C$9838,2,FALSE)</f>
        <v>Mondjäger</v>
      </c>
      <c r="G349" s="2" t="str">
        <f t="shared" si="5"/>
        <v/>
      </c>
    </row>
    <row r="350" spans="1:7" x14ac:dyDescent="0.25">
      <c r="A350" s="12">
        <v>403</v>
      </c>
      <c r="B350" s="9" t="str">
        <f>VLOOKUP(A350,'Sets (lua data)'!$A$3:$C$9838,3,FALSE)</f>
        <v>Savage Werewolf</v>
      </c>
      <c r="C350" s="9" t="str">
        <f>VLOOKUP(A350,'Sets (lua data)'!$A$3:$C$9838,2,FALSE)</f>
        <v>Wilder Werwolf</v>
      </c>
      <c r="G350" s="2" t="str">
        <f t="shared" si="5"/>
        <v/>
      </c>
    </row>
    <row r="351" spans="1:7" x14ac:dyDescent="0.25">
      <c r="A351" s="12">
        <v>404</v>
      </c>
      <c r="B351" s="9" t="str">
        <f>VLOOKUP(A351,'Sets (lua data)'!$A$3:$C$9838,3,FALSE)</f>
        <v>Jailer\'s Tenacity</v>
      </c>
      <c r="C351" s="9" t="str">
        <f>VLOOKUP(A351,'Sets (lua data)'!$A$3:$C$9838,2,FALSE)</f>
        <v>Tenazität des Kerkermeisters</v>
      </c>
      <c r="G351" s="2" t="str">
        <f t="shared" si="5"/>
        <v/>
      </c>
    </row>
    <row r="352" spans="1:7" x14ac:dyDescent="0.25">
      <c r="A352" s="12">
        <v>405</v>
      </c>
      <c r="B352" s="9" t="str">
        <f>VLOOKUP(A352,'Sets (lua data)'!$A$3:$C$9838,3,FALSE)</f>
        <v>Bright-Throat\'s Boast</v>
      </c>
      <c r="C352" s="9" t="str">
        <f>VLOOKUP(A352,'Sets (lua data)'!$A$3:$C$9838,2,FALSE)</f>
        <v>Hellhalsstolz</v>
      </c>
      <c r="G352" s="2" t="str">
        <f t="shared" si="5"/>
        <v/>
      </c>
    </row>
    <row r="353" spans="1:7" x14ac:dyDescent="0.25">
      <c r="A353" s="12">
        <v>406</v>
      </c>
      <c r="B353" s="9" t="str">
        <f>VLOOKUP(A353,'Sets (lua data)'!$A$3:$C$9838,3,FALSE)</f>
        <v>Dead-Water\'s Guile</v>
      </c>
      <c r="C353" s="9" t="str">
        <f>VLOOKUP(A353,'Sets (lua data)'!$A$3:$C$9838,2,FALSE)</f>
        <v>Totwassertücke</v>
      </c>
      <c r="G353" s="2" t="str">
        <f t="shared" si="5"/>
        <v/>
      </c>
    </row>
    <row r="354" spans="1:7" x14ac:dyDescent="0.25">
      <c r="A354" s="12">
        <v>407</v>
      </c>
      <c r="B354" s="9" t="str">
        <f>VLOOKUP(A354,'Sets (lua data)'!$A$3:$C$9838,3,FALSE)</f>
        <v>Champion of the Hist</v>
      </c>
      <c r="C354" s="9" t="str">
        <f>VLOOKUP(A354,'Sets (lua data)'!$A$3:$C$9838,2,FALSE)</f>
        <v>Histchampion</v>
      </c>
      <c r="G354" s="2" t="str">
        <f t="shared" si="5"/>
        <v/>
      </c>
    </row>
    <row r="355" spans="1:7" x14ac:dyDescent="0.25">
      <c r="A355" s="1">
        <v>408</v>
      </c>
      <c r="B355" s="9" t="str">
        <f>VLOOKUP(A355,'Sets (lua data)'!$A$3:$C$9838,3,FALSE)</f>
        <v>Grave-Stake Collector</v>
      </c>
      <c r="C355" s="9" t="str">
        <f>VLOOKUP(A355,'Sets (lua data)'!$A$3:$C$9838,2,FALSE)</f>
        <v>Grabpflocksammler</v>
      </c>
      <c r="G355" s="2" t="str">
        <f t="shared" si="5"/>
        <v/>
      </c>
    </row>
    <row r="356" spans="1:7" x14ac:dyDescent="0.25">
      <c r="A356" s="1">
        <v>409</v>
      </c>
      <c r="B356" s="9" t="str">
        <f>VLOOKUP(A356,'Sets (lua data)'!$A$3:$C$9838,3,FALSE)</f>
        <v>Naga Shaman</v>
      </c>
      <c r="C356" s="9" t="str">
        <f>VLOOKUP(A356,'Sets (lua data)'!$A$3:$C$9838,2,FALSE)</f>
        <v>Nagaschamane</v>
      </c>
      <c r="G356" s="2" t="str">
        <f t="shared" si="5"/>
        <v/>
      </c>
    </row>
    <row r="357" spans="1:7" x14ac:dyDescent="0.25">
      <c r="A357" s="1">
        <v>410</v>
      </c>
      <c r="B357" s="9" t="str">
        <f>VLOOKUP(A357,'Sets (lua data)'!$A$3:$C$9838,3,FALSE)</f>
        <v>Might of the Lost Legion</v>
      </c>
      <c r="C357" s="9" t="str">
        <f>VLOOKUP(A357,'Sets (lua data)'!$A$3:$C$9838,2,FALSE)</f>
        <v>Macht der Verlorenen Legion</v>
      </c>
      <c r="G357" s="2" t="str">
        <f t="shared" si="5"/>
        <v/>
      </c>
    </row>
    <row r="358" spans="1:7" x14ac:dyDescent="0.25">
      <c r="A358" s="12">
        <v>411</v>
      </c>
      <c r="B358" s="9" t="str">
        <f>VLOOKUP(A358,'Sets (lua data)'!$A$3:$C$9838,3,FALSE)</f>
        <v>Gallant Charge</v>
      </c>
      <c r="C358" s="9" t="str">
        <f>VLOOKUP(A358,'Sets (lua data)'!$A$3:$C$9838,2,FALSE)</f>
        <v>Galanter Ansturm</v>
      </c>
      <c r="G358" s="2" t="str">
        <f t="shared" si="5"/>
        <v/>
      </c>
    </row>
    <row r="359" spans="1:7" x14ac:dyDescent="0.25">
      <c r="A359" s="12">
        <v>412</v>
      </c>
      <c r="B359" s="9" t="str">
        <f>VLOOKUP(A359,'Sets (lua data)'!$A$3:$C$9838,3,FALSE)</f>
        <v>Radial Uppercut</v>
      </c>
      <c r="C359" s="9" t="str">
        <f>VLOOKUP(A359,'Sets (lua data)'!$A$3:$C$9838,2,FALSE)</f>
        <v>Rundum-Aufwärtsschnitt</v>
      </c>
      <c r="G359" s="2" t="str">
        <f t="shared" si="5"/>
        <v/>
      </c>
    </row>
    <row r="360" spans="1:7" x14ac:dyDescent="0.25">
      <c r="A360" s="12">
        <v>413</v>
      </c>
      <c r="B360" s="9" t="str">
        <f>VLOOKUP(A360,'Sets (lua data)'!$A$3:$C$9838,3,FALSE)</f>
        <v>Spectral Cloak</v>
      </c>
      <c r="C360" s="9" t="str">
        <f>VLOOKUP(A360,'Sets (lua data)'!$A$3:$C$9838,2,FALSE)</f>
        <v>Spektraler Mantel</v>
      </c>
      <c r="G360" s="2" t="str">
        <f t="shared" si="5"/>
        <v/>
      </c>
    </row>
    <row r="361" spans="1:7" x14ac:dyDescent="0.25">
      <c r="A361" s="12">
        <v>414</v>
      </c>
      <c r="B361" s="9" t="str">
        <f>VLOOKUP(A361,'Sets (lua data)'!$A$3:$C$9838,3,FALSE)</f>
        <v>Virulent Shot</v>
      </c>
      <c r="C361" s="9" t="str">
        <f>VLOOKUP(A361,'Sets (lua data)'!$A$3:$C$9838,2,FALSE)</f>
        <v>Virulenter Schuss</v>
      </c>
      <c r="G361" s="2" t="str">
        <f t="shared" si="5"/>
        <v/>
      </c>
    </row>
    <row r="362" spans="1:7" x14ac:dyDescent="0.25">
      <c r="A362" s="12">
        <v>415</v>
      </c>
      <c r="B362" s="9" t="str">
        <f>VLOOKUP(A362,'Sets (lua data)'!$A$3:$C$9838,3,FALSE)</f>
        <v>Wild Impulse</v>
      </c>
      <c r="C362" s="9" t="str">
        <f>VLOOKUP(A362,'Sets (lua data)'!$A$3:$C$9838,2,FALSE)</f>
        <v>Wilder Impuls</v>
      </c>
      <c r="G362" s="2" t="str">
        <f t="shared" si="5"/>
        <v/>
      </c>
    </row>
    <row r="363" spans="1:7" x14ac:dyDescent="0.25">
      <c r="A363" s="12">
        <v>416</v>
      </c>
      <c r="B363" s="9" t="str">
        <f>VLOOKUP(A363,'Sets (lua data)'!$A$3:$C$9838,3,FALSE)</f>
        <v>Mender\'s Ward</v>
      </c>
      <c r="C363" s="9" t="str">
        <f>VLOOKUP(A363,'Sets (lua data)'!$A$3:$C$9838,2,FALSE)</f>
        <v>Schutz des Pflegers</v>
      </c>
      <c r="G363" s="2" t="str">
        <f t="shared" si="5"/>
        <v/>
      </c>
    </row>
    <row r="364" spans="1:7" x14ac:dyDescent="0.25">
      <c r="A364" s="12">
        <v>417</v>
      </c>
      <c r="B364" s="9" t="str">
        <f>VLOOKUP(A364,'Sets (lua data)'!$A$3:$C$9838,3,FALSE)</f>
        <v>Indomitable Fury</v>
      </c>
      <c r="C364" s="9" t="str">
        <f>VLOOKUP(A364,'Sets (lua data)'!$A$3:$C$9838,2,FALSE)</f>
        <v>Unbeugsamer Zorn</v>
      </c>
      <c r="G364" s="2" t="str">
        <f t="shared" si="5"/>
        <v/>
      </c>
    </row>
    <row r="365" spans="1:7" x14ac:dyDescent="0.25">
      <c r="A365" s="12">
        <v>418</v>
      </c>
      <c r="B365" s="9" t="str">
        <f>VLOOKUP(A365,'Sets (lua data)'!$A$3:$C$9838,3,FALSE)</f>
        <v>Spell Strategist</v>
      </c>
      <c r="C365" s="9" t="str">
        <f>VLOOKUP(A365,'Sets (lua data)'!$A$3:$C$9838,2,FALSE)</f>
        <v>Zauberstratege</v>
      </c>
      <c r="G365" s="2" t="str">
        <f t="shared" si="5"/>
        <v/>
      </c>
    </row>
    <row r="366" spans="1:7" x14ac:dyDescent="0.25">
      <c r="A366" s="12">
        <v>419</v>
      </c>
      <c r="B366" s="9" t="str">
        <f>VLOOKUP(A366,'Sets (lua data)'!$A$3:$C$9838,3,FALSE)</f>
        <v>Battlefield Acrobat</v>
      </c>
      <c r="C366" s="9" t="str">
        <f>VLOOKUP(A366,'Sets (lua data)'!$A$3:$C$9838,2,FALSE)</f>
        <v>Schlachtfeldakrobat</v>
      </c>
      <c r="G366" s="2" t="str">
        <f t="shared" si="5"/>
        <v/>
      </c>
    </row>
    <row r="367" spans="1:7" x14ac:dyDescent="0.25">
      <c r="A367" s="12">
        <v>420</v>
      </c>
      <c r="B367" s="9" t="str">
        <f>VLOOKUP(A367,'Sets (lua data)'!$A$3:$C$9838,3,FALSE)</f>
        <v>Soldier of Anguish</v>
      </c>
      <c r="C367" s="9" t="str">
        <f>VLOOKUP(A367,'Sets (lua data)'!$A$3:$C$9838,2,FALSE)</f>
        <v>Soldat der Pein</v>
      </c>
      <c r="G367" s="2" t="str">
        <f t="shared" si="5"/>
        <v/>
      </c>
    </row>
    <row r="368" spans="1:7" x14ac:dyDescent="0.25">
      <c r="A368" s="12">
        <v>421</v>
      </c>
      <c r="B368" s="9" t="str">
        <f>VLOOKUP(A368,'Sets (lua data)'!$A$3:$C$9838,3,FALSE)</f>
        <v>Steadfast Hero</v>
      </c>
      <c r="C368" s="9" t="str">
        <f>VLOOKUP(A368,'Sets (lua data)'!$A$3:$C$9838,2,FALSE)</f>
        <v>Standhafter Held</v>
      </c>
      <c r="G368" s="2" t="str">
        <f t="shared" si="5"/>
        <v/>
      </c>
    </row>
    <row r="369" spans="1:7" x14ac:dyDescent="0.25">
      <c r="A369" s="12">
        <v>422</v>
      </c>
      <c r="B369" s="9" t="str">
        <f>VLOOKUP(A369,'Sets (lua data)'!$A$3:$C$9838,3,FALSE)</f>
        <v>Battalion Defender</v>
      </c>
      <c r="C369" s="9" t="str">
        <f>VLOOKUP(A369,'Sets (lua data)'!$A$3:$C$9838,2,FALSE)</f>
        <v>Bataillonsverteidiger</v>
      </c>
      <c r="G369" s="2" t="str">
        <f t="shared" si="5"/>
        <v/>
      </c>
    </row>
    <row r="370" spans="1:7" x14ac:dyDescent="0.25">
      <c r="A370" s="12">
        <v>423</v>
      </c>
      <c r="B370" s="9" t="str">
        <f>VLOOKUP(A370,'Sets (lua data)'!$A$3:$C$9838,3,FALSE)</f>
        <v>Perfect Gallant Charge</v>
      </c>
      <c r="C370" s="9" t="str">
        <f>VLOOKUP(A370,'Sets (lua data)'!$A$3:$C$9838,2,FALSE)</f>
        <v>Perfekter galanter Ansturm</v>
      </c>
      <c r="G370" s="2" t="str">
        <f t="shared" si="5"/>
        <v/>
      </c>
    </row>
    <row r="371" spans="1:7" x14ac:dyDescent="0.25">
      <c r="A371" s="12">
        <v>424</v>
      </c>
      <c r="B371" s="9" t="str">
        <f>VLOOKUP(A371,'Sets (lua data)'!$A$3:$C$9838,3,FALSE)</f>
        <v>Perfect Radial Uppercut</v>
      </c>
      <c r="C371" s="9" t="str">
        <f>VLOOKUP(A371,'Sets (lua data)'!$A$3:$C$9838,2,FALSE)</f>
        <v>Perfekter Rundum-Aufwärtsschnitt</v>
      </c>
      <c r="G371" s="2" t="str">
        <f t="shared" si="5"/>
        <v/>
      </c>
    </row>
    <row r="372" spans="1:7" x14ac:dyDescent="0.25">
      <c r="A372" s="12">
        <v>425</v>
      </c>
      <c r="B372" s="9" t="str">
        <f>VLOOKUP(A372,'Sets (lua data)'!$A$3:$C$9838,3,FALSE)</f>
        <v>Perfect Spectral Cloak</v>
      </c>
      <c r="C372" s="9" t="str">
        <f>VLOOKUP(A372,'Sets (lua data)'!$A$3:$C$9838,2,FALSE)</f>
        <v>Perfekter spektraler Mantel</v>
      </c>
      <c r="G372" s="2" t="str">
        <f t="shared" si="5"/>
        <v/>
      </c>
    </row>
    <row r="373" spans="1:7" x14ac:dyDescent="0.25">
      <c r="A373" s="12">
        <v>426</v>
      </c>
      <c r="B373" s="9" t="str">
        <f>VLOOKUP(A373,'Sets (lua data)'!$A$3:$C$9838,3,FALSE)</f>
        <v>Perfect Virulent Shot</v>
      </c>
      <c r="C373" s="9" t="str">
        <f>VLOOKUP(A373,'Sets (lua data)'!$A$3:$C$9838,2,FALSE)</f>
        <v>Perfekter virulenter Schuss</v>
      </c>
      <c r="G373" s="2" t="str">
        <f t="shared" si="5"/>
        <v/>
      </c>
    </row>
    <row r="374" spans="1:7" x14ac:dyDescent="0.25">
      <c r="A374" s="12">
        <v>427</v>
      </c>
      <c r="B374" s="9" t="str">
        <f>VLOOKUP(A374,'Sets (lua data)'!$A$3:$C$9838,3,FALSE)</f>
        <v>Perfect Wild Impulse</v>
      </c>
      <c r="C374" s="9" t="str">
        <f>VLOOKUP(A374,'Sets (lua data)'!$A$3:$C$9838,2,FALSE)</f>
        <v>Perfekter wilder Impuls</v>
      </c>
      <c r="G374" s="2" t="str">
        <f t="shared" si="5"/>
        <v/>
      </c>
    </row>
    <row r="375" spans="1:7" x14ac:dyDescent="0.25">
      <c r="A375" s="12">
        <v>428</v>
      </c>
      <c r="B375" s="9" t="str">
        <f>VLOOKUP(A375,'Sets (lua data)'!$A$3:$C$9838,3,FALSE)</f>
        <v>Perfect Mender\'s Ward</v>
      </c>
      <c r="C375" s="9" t="str">
        <f>VLOOKUP(A375,'Sets (lua data)'!$A$3:$C$9838,2,FALSE)</f>
        <v>Perfekter Schutz des Pflegers</v>
      </c>
      <c r="G375" s="2" t="str">
        <f t="shared" si="5"/>
        <v/>
      </c>
    </row>
    <row r="376" spans="1:7" x14ac:dyDescent="0.25">
      <c r="A376" s="12">
        <v>429</v>
      </c>
      <c r="B376" s="9" t="str">
        <f>VLOOKUP(A376,'Sets (lua data)'!$A$3:$C$9838,3,FALSE)</f>
        <v>Mighty Glacier</v>
      </c>
      <c r="C376" s="9" t="str">
        <f>VLOOKUP(A376,'Sets (lua data)'!$A$3:$C$9838,2,FALSE)</f>
        <v>Mächtiger Gletscher</v>
      </c>
      <c r="G376" s="2" t="str">
        <f t="shared" si="5"/>
        <v/>
      </c>
    </row>
    <row r="377" spans="1:7" x14ac:dyDescent="0.25">
      <c r="A377" s="12">
        <v>430</v>
      </c>
      <c r="B377" s="9" t="str">
        <f>VLOOKUP(A377,'Sets (lua data)'!$A$3:$C$9838,3,FALSE)</f>
        <v>Tzogvin\'s Warband</v>
      </c>
      <c r="C377" s="9" t="str">
        <f>VLOOKUP(A377,'Sets (lua data)'!$A$3:$C$9838,2,FALSE)</f>
        <v>Tzogvins Kriegstrupp</v>
      </c>
      <c r="G377" s="2" t="str">
        <f t="shared" si="5"/>
        <v/>
      </c>
    </row>
    <row r="378" spans="1:7" x14ac:dyDescent="0.25">
      <c r="A378" s="12">
        <v>431</v>
      </c>
      <c r="B378" s="9" t="str">
        <f>VLOOKUP(A378,'Sets (lua data)'!$A$3:$C$9838,3,FALSE)</f>
        <v>Icy Conjuror</v>
      </c>
      <c r="C378" s="9" t="str">
        <f>VLOOKUP(A378,'Sets (lua data)'!$A$3:$C$9838,2,FALSE)</f>
        <v>Eisiger Anrufer</v>
      </c>
      <c r="G378" s="2" t="str">
        <f t="shared" si="5"/>
        <v/>
      </c>
    </row>
    <row r="379" spans="1:7" x14ac:dyDescent="0.25">
      <c r="A379" s="1">
        <v>432</v>
      </c>
      <c r="B379" s="9" t="str">
        <f>VLOOKUP(A379,'Sets (lua data)'!$A$3:$C$9838,3,FALSE)</f>
        <v>Stonekeeper</v>
      </c>
      <c r="C379" s="9" t="str">
        <f>VLOOKUP(A379,'Sets (lua data)'!$A$3:$C$9838,2,FALSE)</f>
        <v>Steinwahrer</v>
      </c>
      <c r="G379" s="2" t="str">
        <f t="shared" si="5"/>
        <v/>
      </c>
    </row>
    <row r="380" spans="1:7" x14ac:dyDescent="0.25">
      <c r="A380" s="12">
        <v>433</v>
      </c>
      <c r="B380" s="9" t="str">
        <f>VLOOKUP(A380,'Sets (lua data)'!$A$3:$C$9838,3,FALSE)</f>
        <v>Frozen Watcher</v>
      </c>
      <c r="C380" s="9" t="str">
        <f>VLOOKUP(A380,'Sets (lua data)'!$A$3:$C$9838,2,FALSE)</f>
        <v>Gefrorener Beobachter</v>
      </c>
      <c r="G380" s="2" t="str">
        <f t="shared" si="5"/>
        <v/>
      </c>
    </row>
    <row r="381" spans="1:7" x14ac:dyDescent="0.25">
      <c r="A381" s="12">
        <v>434</v>
      </c>
      <c r="B381" s="9" t="str">
        <f>VLOOKUP(A381,'Sets (lua data)'!$A$3:$C$9838,3,FALSE)</f>
        <v>Scavenging Demise</v>
      </c>
      <c r="C381" s="9" t="str">
        <f>VLOOKUP(A381,'Sets (lua data)'!$A$3:$C$9838,2,FALSE)</f>
        <v>Ausbeutender Niedergang</v>
      </c>
      <c r="G381" s="2" t="str">
        <f t="shared" si="5"/>
        <v/>
      </c>
    </row>
    <row r="382" spans="1:7" x14ac:dyDescent="0.25">
      <c r="A382" s="12">
        <v>435</v>
      </c>
      <c r="B382" s="9" t="str">
        <f>VLOOKUP(A382,'Sets (lua data)'!$A$3:$C$9838,3,FALSE)</f>
        <v>Auroran\'s Thunder</v>
      </c>
      <c r="C382" s="9" t="str">
        <f>VLOOKUP(A382,'Sets (lua data)'!$A$3:$C$9838,2,FALSE)</f>
        <v>Donner des Auroraners</v>
      </c>
      <c r="G382" s="2" t="str">
        <f t="shared" si="5"/>
        <v/>
      </c>
    </row>
    <row r="383" spans="1:7" x14ac:dyDescent="0.25">
      <c r="A383" s="1">
        <v>436</v>
      </c>
      <c r="B383" s="9" t="str">
        <f>VLOOKUP(A383,'Sets (lua data)'!$A$3:$C$9838,3,FALSE)</f>
        <v>Symphony of Blades</v>
      </c>
      <c r="C383" s="9" t="str">
        <f>VLOOKUP(A383,'Sets (lua data)'!$A$3:$C$9838,2,FALSE)</f>
        <v>Sinfonie der Klingen</v>
      </c>
      <c r="G383" s="2" t="str">
        <f t="shared" si="5"/>
        <v/>
      </c>
    </row>
    <row r="384" spans="1:7" x14ac:dyDescent="0.25">
      <c r="A384" s="12">
        <v>437</v>
      </c>
      <c r="B384" s="9" t="str">
        <f>VLOOKUP(A384,'Sets (lua data)'!$A$3:$C$9838,3,FALSE)</f>
        <v>Coldharbour\'s Favorite</v>
      </c>
      <c r="C384" s="9" t="str">
        <f>VLOOKUP(A384,'Sets (lua data)'!$A$3:$C$9838,2,FALSE)</f>
        <v>Kalthafens Günstling</v>
      </c>
      <c r="G384" s="2" t="str">
        <f t="shared" si="5"/>
        <v/>
      </c>
    </row>
    <row r="385" spans="1:7" x14ac:dyDescent="0.25">
      <c r="A385" s="12">
        <v>438</v>
      </c>
      <c r="B385" s="9" t="str">
        <f>VLOOKUP(A385,'Sets (lua data)'!$A$3:$C$9838,3,FALSE)</f>
        <v>Senche-raht\'s Grit</v>
      </c>
      <c r="C385" s="9" t="str">
        <f>VLOOKUP(A385,'Sets (lua data)'!$A$3:$C$9838,2,FALSE)</f>
        <v>Mut des Senche-raht</v>
      </c>
      <c r="G385" s="2" t="str">
        <f t="shared" si="5"/>
        <v/>
      </c>
    </row>
    <row r="386" spans="1:7" x14ac:dyDescent="0.25">
      <c r="A386" s="1">
        <v>439</v>
      </c>
      <c r="B386" s="9" t="str">
        <f>VLOOKUP(A386,'Sets (lua data)'!$A$3:$C$9838,3,FALSE)</f>
        <v>Vastarie\'s Tutelage</v>
      </c>
      <c r="C386" s="9" t="str">
        <f>VLOOKUP(A386,'Sets (lua data)'!$A$3:$C$9838,2,FALSE)</f>
        <v>Vastaries Vormundschaft</v>
      </c>
      <c r="G386" s="2" t="str">
        <f t="shared" si="5"/>
        <v/>
      </c>
    </row>
    <row r="387" spans="1:7" x14ac:dyDescent="0.25">
      <c r="A387" s="1">
        <v>440</v>
      </c>
      <c r="B387" s="9" t="str">
        <f>VLOOKUP(A387,'Sets (lua data)'!$A$3:$C$9838,3,FALSE)</f>
        <v>Crafty Alfiq</v>
      </c>
      <c r="C387" s="9" t="str">
        <f>VLOOKUP(A387,'Sets (lua data)'!$A$3:$C$9838,2,FALSE)</f>
        <v>Listiger Alfiq</v>
      </c>
      <c r="G387" s="2" t="str">
        <f t="shared" ref="G387:G450" si="6">IF(AND(A387&lt;&gt;"",NOT(ISERROR(A387)),ISNUMBER(A387),D387&lt;&gt;""),CONCATENATE("[",A387,"] = {",D387,"},","     --",B387," -&gt; ",E387," / ",F387),"")</f>
        <v/>
      </c>
    </row>
    <row r="388" spans="1:7" x14ac:dyDescent="0.25">
      <c r="A388" s="1">
        <v>441</v>
      </c>
      <c r="B388" s="9" t="str">
        <f>VLOOKUP(A388,'Sets (lua data)'!$A$3:$C$9838,3,FALSE)</f>
        <v>Vesture of Darloc Brae</v>
      </c>
      <c r="C388" s="9" t="str">
        <f>VLOOKUP(A388,'Sets (lua data)'!$A$3:$C$9838,2,FALSE)</f>
        <v>Gewandung von Darloc Brae</v>
      </c>
      <c r="G388" s="2" t="str">
        <f t="shared" si="6"/>
        <v/>
      </c>
    </row>
    <row r="389" spans="1:7" x14ac:dyDescent="0.25">
      <c r="A389" s="1">
        <v>442</v>
      </c>
      <c r="B389" s="9" t="str">
        <f>VLOOKUP(A389,'Sets (lua data)'!$A$3:$C$9838,3,FALSE)</f>
        <v>Call of the Undertaker</v>
      </c>
      <c r="C389" s="9" t="str">
        <f>VLOOKUP(A389,'Sets (lua data)'!$A$3:$C$9838,2,FALSE)</f>
        <v>Ruf des Totengräbers</v>
      </c>
      <c r="G389" s="2" t="str">
        <f t="shared" si="6"/>
        <v/>
      </c>
    </row>
    <row r="390" spans="1:7" x14ac:dyDescent="0.25">
      <c r="A390" s="1">
        <v>443</v>
      </c>
      <c r="B390" s="9" t="str">
        <f>VLOOKUP(A390,'Sets (lua data)'!$A$3:$C$9838,3,FALSE)</f>
        <v>Eye of Nahviintaas</v>
      </c>
      <c r="C390" s="9" t="str">
        <f>VLOOKUP(A390,'Sets (lua data)'!$A$3:$C$9838,2,FALSE)</f>
        <v>Auge von Nahviintaas</v>
      </c>
      <c r="G390" s="2" t="str">
        <f t="shared" si="6"/>
        <v/>
      </c>
    </row>
    <row r="391" spans="1:7" x14ac:dyDescent="0.25">
      <c r="A391" s="1">
        <v>444</v>
      </c>
      <c r="B391" s="9" t="str">
        <f>VLOOKUP(A391,'Sets (lua data)'!$A$3:$C$9838,3,FALSE)</f>
        <v>False God\'s Devotion</v>
      </c>
      <c r="C391" s="9" t="str">
        <f>VLOOKUP(A391,'Sets (lua data)'!$A$3:$C$9838,2,FALSE)</f>
        <v>Ergebenheit des falschen Gottes</v>
      </c>
      <c r="G391" s="2" t="str">
        <f t="shared" si="6"/>
        <v/>
      </c>
    </row>
    <row r="392" spans="1:7" x14ac:dyDescent="0.25">
      <c r="A392" s="1">
        <v>445</v>
      </c>
      <c r="B392" s="9" t="str">
        <f>VLOOKUP(A392,'Sets (lua data)'!$A$3:$C$9838,3,FALSE)</f>
        <v>Tooth of Lokkestiiz</v>
      </c>
      <c r="C392" s="9" t="str">
        <f>VLOOKUP(A392,'Sets (lua data)'!$A$3:$C$9838,2,FALSE)</f>
        <v>Zahn von Lokkestiiz</v>
      </c>
      <c r="G392" s="2" t="str">
        <f t="shared" si="6"/>
        <v/>
      </c>
    </row>
    <row r="393" spans="1:7" ht="105" x14ac:dyDescent="0.25">
      <c r="A393" s="12">
        <v>446</v>
      </c>
      <c r="B393" s="9" t="str">
        <f>VLOOKUP(A393,'Sets (lua data)'!$A$3:$C$9838,3,FALSE)</f>
        <v>Claw of Yolnakhriin</v>
      </c>
      <c r="C393" s="9" t="str">
        <f>VLOOKUP(A393,'Sets (lua data)'!$A$3:$C$9838,2,FALSE)</f>
        <v>Kralle von Yolnahkriin</v>
      </c>
      <c r="D393" s="20" t="s">
        <v>4283</v>
      </c>
      <c r="G393" s="2" t="str">
        <f t="shared" si="6"/>
        <v xml:space="preserve">[446] = {[LIBSETS_SETPROC_CHECKTYPE_ABILITY_EVENT_COMBAT_EVENT] = {
[1] = {
      ["abilityIds"] = {121878},
      ["cooldown"] = {8000},
      ["source"] = COMBAT_UNIT_TYPE_PLAYER,
    },
}},     --Claw of Yolnakhriin -&gt;  / </v>
      </c>
    </row>
    <row r="394" spans="1:7" x14ac:dyDescent="0.25">
      <c r="A394" s="1">
        <v>448</v>
      </c>
      <c r="B394" s="9" t="str">
        <f>VLOOKUP(A394,'Sets (lua data)'!$A$3:$C$9838,3,FALSE)</f>
        <v>Perfected Eye of Nahviintaas</v>
      </c>
      <c r="C394" s="9" t="str">
        <f>VLOOKUP(A394,'Sets (lua data)'!$A$3:$C$9838,2,FALSE)</f>
        <v>Perfektioniertes Auge von Nahviintaas</v>
      </c>
      <c r="G394" s="2" t="str">
        <f t="shared" si="6"/>
        <v/>
      </c>
    </row>
    <row r="395" spans="1:7" x14ac:dyDescent="0.25">
      <c r="A395" s="1">
        <v>449</v>
      </c>
      <c r="B395" s="9" t="str">
        <f>VLOOKUP(A395,'Sets (lua data)'!$A$3:$C$9838,3,FALSE)</f>
        <v>Perfected False God\'s Devotion</v>
      </c>
      <c r="C395" s="9" t="str">
        <f>VLOOKUP(A395,'Sets (lua data)'!$A$3:$C$9838,2,FALSE)</f>
        <v>Perfektionierte Ergebenheit zum falschen Gott</v>
      </c>
      <c r="G395" s="2" t="str">
        <f t="shared" si="6"/>
        <v/>
      </c>
    </row>
    <row r="396" spans="1:7" x14ac:dyDescent="0.25">
      <c r="A396" s="1">
        <v>450</v>
      </c>
      <c r="B396" s="9" t="str">
        <f>VLOOKUP(A396,'Sets (lua data)'!$A$3:$C$9838,3,FALSE)</f>
        <v>Perfected Tooth of Lokkestiiz</v>
      </c>
      <c r="C396" s="9" t="str">
        <f>VLOOKUP(A396,'Sets (lua data)'!$A$3:$C$9838,2,FALSE)</f>
        <v>Perfektionierter Zahn von Lokkestiiz</v>
      </c>
      <c r="G396" s="2" t="str">
        <f t="shared" si="6"/>
        <v/>
      </c>
    </row>
    <row r="397" spans="1:7" ht="105" x14ac:dyDescent="0.25">
      <c r="A397" s="1">
        <v>451</v>
      </c>
      <c r="B397" s="9" t="str">
        <f>VLOOKUP(A397,'Sets (lua data)'!$A$3:$C$9838,3,FALSE)</f>
        <v>Perfected Claw of Yolnakhriin</v>
      </c>
      <c r="C397" s="9" t="str">
        <f>VLOOKUP(A397,'Sets (lua data)'!$A$3:$C$9838,2,FALSE)</f>
        <v>Perfektionierte Kralle von Yolnahkriin</v>
      </c>
      <c r="D397" s="20" t="s">
        <v>4283</v>
      </c>
      <c r="G397" s="2" t="str">
        <f t="shared" si="6"/>
        <v xml:space="preserve">[451] = {[LIBSETS_SETPROC_CHECKTYPE_ABILITY_EVENT_COMBAT_EVENT] = {
[1] = {
      ["abilityIds"] = {121878},
      ["cooldown"] = {8000},
      ["source"] = COMBAT_UNIT_TYPE_PLAYER,
    },
}},     --Perfected Claw of Yolnakhriin -&gt;  / </v>
      </c>
    </row>
    <row r="398" spans="1:7" ht="105" x14ac:dyDescent="0.25">
      <c r="A398" s="1">
        <v>452</v>
      </c>
      <c r="B398" s="9" t="str">
        <f>VLOOKUP(A398,'Sets (lua data)'!$A$3:$C$9838,3,FALSE)</f>
        <v>Hollowfang Thirst</v>
      </c>
      <c r="C398" s="9" t="str">
        <f>VLOOKUP(A398,'Sets (lua data)'!$A$3:$C$9838,2,FALSE)</f>
        <v>Hohlzahndurst</v>
      </c>
      <c r="D398" s="20" t="s">
        <v>4284</v>
      </c>
      <c r="G398" s="2" t="str">
        <f t="shared" si="6"/>
        <v xml:space="preserve">[452] = {[LIBSETS_SETPROC_CHECKTYPE_ABILITY_EVENT_COMBAT_EVENT] = {
    [1] = {
      ["abilityIds"] = {126924},
      ["cooldown"] = {9000},
      ["source"] = COMBAT_UNIT_TYPE_PLAYER,
          },
  },},     --Hollowfang Thirst -&gt;  / </v>
      </c>
    </row>
    <row r="399" spans="1:7" x14ac:dyDescent="0.25">
      <c r="A399" s="1">
        <v>453</v>
      </c>
      <c r="B399" s="9" t="str">
        <f>VLOOKUP(A399,'Sets (lua data)'!$A$3:$C$9838,3,FALSE)</f>
        <v>Dro\'Zakar\'s Claws</v>
      </c>
      <c r="C399" s="9" t="str">
        <f>VLOOKUP(A399,'Sets (lua data)'!$A$3:$C$9838,2,FALSE)</f>
        <v>Dro'Zakars Krallen</v>
      </c>
      <c r="G399" s="2" t="str">
        <f t="shared" si="6"/>
        <v/>
      </c>
    </row>
    <row r="400" spans="1:7" x14ac:dyDescent="0.25">
      <c r="A400" s="1">
        <v>454</v>
      </c>
      <c r="B400" s="9" t="str">
        <f>VLOOKUP(A400,'Sets (lua data)'!$A$3:$C$9838,3,FALSE)</f>
        <v>Renald\'s Resolve</v>
      </c>
      <c r="C400" s="9" t="str">
        <f>VLOOKUP(A400,'Sets (lua data)'!$A$3:$C$9838,2,FALSE)</f>
        <v>Renalds Entschlossenheit</v>
      </c>
      <c r="G400" s="2" t="str">
        <f t="shared" si="6"/>
        <v/>
      </c>
    </row>
    <row r="401" spans="1:7" ht="135" x14ac:dyDescent="0.25">
      <c r="A401" s="1">
        <v>455</v>
      </c>
      <c r="B401" s="9" t="str">
        <f>VLOOKUP(A401,'Sets (lua data)'!$A$3:$C$9838,3,FALSE)</f>
        <v>Z\'en\'s Redress</v>
      </c>
      <c r="C401" s="9" t="str">
        <f>VLOOKUP(A401,'Sets (lua data)'!$A$3:$C$9838,2,FALSE)</f>
        <v>Z'ens Wiedergutmachung</v>
      </c>
      <c r="D401" s="20" t="s">
        <v>4285</v>
      </c>
      <c r="G401" s="2" t="str">
        <f t="shared" si="6"/>
        <v xml:space="preserve">[455] = {[LIBSETS_SETPROC_CHECKTYPE_EVENT_BOSSES_CHANGED] = {
    [1] = {
      ["abilityIds"] = {126597},
      ["cooldown"] = {22000},
          },
  },
[LIBSETS_SETPROC_CHECKTYPE_SPECIAL] = {
    [1] = true,
},},     --Z\'en\'s Redress -&gt;  / </v>
      </c>
    </row>
    <row r="402" spans="1:7" x14ac:dyDescent="0.25">
      <c r="A402" s="1">
        <v>456</v>
      </c>
      <c r="B402" s="9" t="str">
        <f>VLOOKUP(A402,'Sets (lua data)'!$A$3:$C$9838,3,FALSE)</f>
        <v>Azureblight Reaper</v>
      </c>
      <c r="C402" s="9" t="str">
        <f>VLOOKUP(A402,'Sets (lua data)'!$A$3:$C$9838,2,FALSE)</f>
        <v>Azurfäuleschnitter</v>
      </c>
      <c r="G402" s="2" t="str">
        <f t="shared" si="6"/>
        <v/>
      </c>
    </row>
    <row r="403" spans="1:7" x14ac:dyDescent="0.25">
      <c r="A403" s="1">
        <v>457</v>
      </c>
      <c r="B403" s="9" t="str">
        <f>VLOOKUP(A403,'Sets (lua data)'!$A$3:$C$9838,3,FALSE)</f>
        <v>Dragon\'s Defilement</v>
      </c>
      <c r="C403" s="9" t="str">
        <f>VLOOKUP(A403,'Sets (lua data)'!$A$3:$C$9838,2,FALSE)</f>
        <v>Drachenschändung</v>
      </c>
      <c r="G403" s="2" t="str">
        <f t="shared" si="6"/>
        <v/>
      </c>
    </row>
    <row r="404" spans="1:7" x14ac:dyDescent="0.25">
      <c r="A404" s="1">
        <v>458</v>
      </c>
      <c r="B404" s="9" t="str">
        <f>VLOOKUP(A404,'Sets (lua data)'!$A$3:$C$9838,3,FALSE)</f>
        <v>Grundwulf</v>
      </c>
      <c r="C404" s="9" t="str">
        <f>VLOOKUP(A404,'Sets (lua data)'!$A$3:$C$9838,2,FALSE)</f>
        <v>Grundwulf</v>
      </c>
      <c r="G404" s="2" t="str">
        <f t="shared" si="6"/>
        <v/>
      </c>
    </row>
    <row r="405" spans="1:7" x14ac:dyDescent="0.25">
      <c r="A405" s="1">
        <v>459</v>
      </c>
      <c r="B405" s="9" t="str">
        <f>VLOOKUP(A405,'Sets (lua data)'!$A$3:$C$9838,3,FALSE)</f>
        <v>Maarselok</v>
      </c>
      <c r="C405" s="9" t="str">
        <f>VLOOKUP(A405,'Sets (lua data)'!$A$3:$C$9838,2,FALSE)</f>
        <v>Maarselok</v>
      </c>
      <c r="G405" s="2" t="str">
        <f t="shared" si="6"/>
        <v/>
      </c>
    </row>
    <row r="406" spans="1:7" x14ac:dyDescent="0.25">
      <c r="A406" s="1">
        <v>465</v>
      </c>
      <c r="B406" s="9" t="str">
        <f>VLOOKUP(A406,'Sets (lua data)'!$A$3:$C$9838,3,FALSE)</f>
        <v>Senchal Defender</v>
      </c>
      <c r="C406" s="9" t="str">
        <f>VLOOKUP(A406,'Sets (lua data)'!$A$3:$C$9838,2,FALSE)</f>
        <v>Verteidiger von Senchal</v>
      </c>
      <c r="G406" s="2" t="str">
        <f t="shared" si="6"/>
        <v/>
      </c>
    </row>
    <row r="407" spans="1:7" x14ac:dyDescent="0.25">
      <c r="A407" s="1">
        <v>466</v>
      </c>
      <c r="B407" s="9" t="str">
        <f>VLOOKUP(A407,'Sets (lua data)'!$A$3:$C$9838,3,FALSE)</f>
        <v>Marauder\'s Haste</v>
      </c>
      <c r="C407" s="9" t="str">
        <f>VLOOKUP(A407,'Sets (lua data)'!$A$3:$C$9838,2,FALSE)</f>
        <v>Marodeurshast</v>
      </c>
      <c r="G407" s="2" t="str">
        <f t="shared" si="6"/>
        <v/>
      </c>
    </row>
    <row r="408" spans="1:7" x14ac:dyDescent="0.25">
      <c r="A408" s="1">
        <v>467</v>
      </c>
      <c r="B408" s="9" t="str">
        <f>VLOOKUP(A408,'Sets (lua data)'!$A$3:$C$9838,3,FALSE)</f>
        <v>Dragonguard Elite</v>
      </c>
      <c r="C408" s="9" t="str">
        <f>VLOOKUP(A408,'Sets (lua data)'!$A$3:$C$9838,2,FALSE)</f>
        <v>Drachengardeelite</v>
      </c>
      <c r="G408" s="2" t="str">
        <f t="shared" si="6"/>
        <v/>
      </c>
    </row>
    <row r="409" spans="1:7" x14ac:dyDescent="0.25">
      <c r="A409" s="1">
        <v>468</v>
      </c>
      <c r="B409" s="9" t="str">
        <f>VLOOKUP(A409,'Sets (lua data)'!$A$3:$C$9838,3,FALSE)</f>
        <v>Daring Corsair</v>
      </c>
      <c r="C409" s="9" t="str">
        <f>VLOOKUP(A409,'Sets (lua data)'!$A$3:$C$9838,2,FALSE)</f>
        <v>Kühner Korsar</v>
      </c>
      <c r="G409" s="2" t="str">
        <f t="shared" si="6"/>
        <v/>
      </c>
    </row>
    <row r="410" spans="1:7" x14ac:dyDescent="0.25">
      <c r="A410" s="1">
        <v>469</v>
      </c>
      <c r="B410" s="9" t="str">
        <f>VLOOKUP(A410,'Sets (lua data)'!$A$3:$C$9838,3,FALSE)</f>
        <v>Ancient Dragonguard</v>
      </c>
      <c r="C410" s="9" t="str">
        <f>VLOOKUP(A410,'Sets (lua data)'!$A$3:$C$9838,2,FALSE)</f>
        <v>Alte Drachengarde</v>
      </c>
      <c r="G410" s="2" t="str">
        <f t="shared" si="6"/>
        <v/>
      </c>
    </row>
    <row r="411" spans="1:7" x14ac:dyDescent="0.25">
      <c r="A411" s="1">
        <v>470</v>
      </c>
      <c r="B411" s="9" t="str">
        <f>VLOOKUP(A411,'Sets (lua data)'!$A$3:$C$9838,3,FALSE)</f>
        <v>New Moon Acolyte</v>
      </c>
      <c r="C411" s="9" t="str">
        <f>VLOOKUP(A411,'Sets (lua data)'!$A$3:$C$9838,2,FALSE)</f>
        <v>Akolythin des Neuen Mondes</v>
      </c>
      <c r="G411" s="2" t="str">
        <f t="shared" si="6"/>
        <v/>
      </c>
    </row>
    <row r="412" spans="1:7" ht="105" x14ac:dyDescent="0.25">
      <c r="A412" s="1">
        <v>471</v>
      </c>
      <c r="B412" s="9" t="str">
        <f>VLOOKUP(A412,'Sets (lua data)'!$A$3:$C$9838,3,FALSE)</f>
        <v>Hiti\'s Hearth</v>
      </c>
      <c r="C412" s="9" t="str">
        <f>VLOOKUP(A412,'Sets (lua data)'!$A$3:$C$9838,2,FALSE)</f>
        <v>Hitis Feuerstelle</v>
      </c>
      <c r="D412" s="20" t="s">
        <v>4286</v>
      </c>
      <c r="G412" s="2" t="str">
        <f t="shared" si="6"/>
        <v xml:space="preserve">[471] = {[LIBSETS_SETPROC_CHECKTYPE_ABILITY_EVENT_COMBAT_EVENT] = {
    [1] = {
      ["abilityIds"] = {133210},
      ["cooldown"] = {12000},
      ["source"] = COMBAT_UNIT_TYPE_PLAYER,          
},
  },},     --Hiti\'s Hearth -&gt;  / </v>
      </c>
    </row>
    <row r="413" spans="1:7" x14ac:dyDescent="0.25">
      <c r="A413" s="1">
        <v>472</v>
      </c>
      <c r="B413" s="9" t="str">
        <f>VLOOKUP(A413,'Sets (lua data)'!$A$3:$C$9838,3,FALSE)</f>
        <v>Titanborn Strength</v>
      </c>
      <c r="C413" s="9" t="str">
        <f>VLOOKUP(A413,'Sets (lua data)'!$A$3:$C$9838,2,FALSE)</f>
        <v>Titanenkinds Stärke</v>
      </c>
      <c r="G413" s="2" t="str">
        <f t="shared" si="6"/>
        <v/>
      </c>
    </row>
    <row r="414" spans="1:7" x14ac:dyDescent="0.25">
      <c r="A414" s="1">
        <v>473</v>
      </c>
      <c r="B414" s="9" t="str">
        <f>VLOOKUP(A414,'Sets (lua data)'!$A$3:$C$9838,3,FALSE)</f>
        <v>Bani\'s Torment</v>
      </c>
      <c r="C414" s="9" t="str">
        <f>VLOOKUP(A414,'Sets (lua data)'!$A$3:$C$9838,2,FALSE)</f>
        <v>Banis Qual</v>
      </c>
      <c r="G414" s="2" t="str">
        <f t="shared" si="6"/>
        <v/>
      </c>
    </row>
    <row r="415" spans="1:7" x14ac:dyDescent="0.25">
      <c r="A415" s="1">
        <v>474</v>
      </c>
      <c r="B415" s="9" t="str">
        <f>VLOOKUP(A415,'Sets (lua data)'!$A$3:$C$9838,3,FALSE)</f>
        <v>Draugrkin\'s Grip</v>
      </c>
      <c r="C415" s="9" t="str">
        <f>VLOOKUP(A415,'Sets (lua data)'!$A$3:$C$9838,2,FALSE)</f>
        <v>Griff der Draugrbrut</v>
      </c>
      <c r="G415" s="2" t="str">
        <f t="shared" si="6"/>
        <v/>
      </c>
    </row>
    <row r="416" spans="1:7" x14ac:dyDescent="0.25">
      <c r="A416" s="1">
        <v>475</v>
      </c>
      <c r="B416" s="9" t="str">
        <f>VLOOKUP(A416,'Sets (lua data)'!$A$3:$C$9838,3,FALSE)</f>
        <v>Aegis Caller</v>
      </c>
      <c r="C416" s="9" t="str">
        <f>VLOOKUP(A416,'Sets (lua data)'!$A$3:$C$9838,2,FALSE)</f>
        <v>Ägisrufer</v>
      </c>
      <c r="G416" s="2" t="str">
        <f t="shared" si="6"/>
        <v/>
      </c>
    </row>
    <row r="417" spans="1:7" x14ac:dyDescent="0.25">
      <c r="A417" s="1">
        <v>476</v>
      </c>
      <c r="B417" s="9" t="str">
        <f>VLOOKUP(A417,'Sets (lua data)'!$A$3:$C$9838,3,FALSE)</f>
        <v>Grave Guardian </v>
      </c>
      <c r="C417" s="9" t="str">
        <f>VLOOKUP(A417,'Sets (lua data)'!$A$3:$C$9838,2,FALSE)</f>
        <v>Grabwächter</v>
      </c>
      <c r="G417" s="2" t="str">
        <f t="shared" si="6"/>
        <v/>
      </c>
    </row>
    <row r="418" spans="1:7" x14ac:dyDescent="0.25">
      <c r="A418" s="1">
        <v>478</v>
      </c>
      <c r="B418" s="9" t="str">
        <f>VLOOKUP(A418,'Sets (lua data)'!$A$3:$C$9838,3,FALSE)</f>
        <v>Mother Ciannait</v>
      </c>
      <c r="C418" s="9" t="str">
        <f>VLOOKUP(A418,'Sets (lua data)'!$A$3:$C$9838,2,FALSE)</f>
        <v>Mutter Ciannait</v>
      </c>
      <c r="G418" s="2" t="str">
        <f t="shared" si="6"/>
        <v/>
      </c>
    </row>
    <row r="419" spans="1:7" x14ac:dyDescent="0.25">
      <c r="A419" s="1">
        <v>479</v>
      </c>
      <c r="B419" s="9" t="str">
        <f>VLOOKUP(A419,'Sets (lua data)'!$A$3:$C$9838,3,FALSE)</f>
        <v>Kjalnar\'s Nightmare</v>
      </c>
      <c r="C419" s="9" t="str">
        <f>VLOOKUP(A419,'Sets (lua data)'!$A$3:$C$9838,2,FALSE)</f>
        <v>Kjalnar\'s Albtraum</v>
      </c>
      <c r="G419" s="2" t="str">
        <f t="shared" si="6"/>
        <v/>
      </c>
    </row>
    <row r="420" spans="1:7" x14ac:dyDescent="0.25">
      <c r="A420" s="1">
        <v>480</v>
      </c>
      <c r="B420" s="9" t="str">
        <f>VLOOKUP(A420,'Sets (lua data)'!$A$3:$C$9838,3,FALSE)</f>
        <v>Critical Riposte</v>
      </c>
      <c r="C420" s="9" t="str">
        <f>VLOOKUP(A420,'Sets (lua data)'!$A$3:$C$9838,2,FALSE)</f>
        <v>Kritischer Konter</v>
      </c>
      <c r="G420" s="2" t="str">
        <f t="shared" si="6"/>
        <v/>
      </c>
    </row>
    <row r="421" spans="1:7" x14ac:dyDescent="0.25">
      <c r="A421" s="1">
        <v>481</v>
      </c>
      <c r="B421" s="9" t="str">
        <f>VLOOKUP(A421,'Sets (lua data)'!$A$3:$C$9838,3,FALSE)</f>
        <v>Unchained Aggressor</v>
      </c>
      <c r="C421" s="9" t="str">
        <f>VLOOKUP(A421,'Sets (lua data)'!$A$3:$C$9838,2,FALSE)</f>
        <v>Entfesselter Aggressor</v>
      </c>
      <c r="G421" s="2" t="str">
        <f t="shared" si="6"/>
        <v/>
      </c>
    </row>
    <row r="422" spans="1:7" x14ac:dyDescent="0.25">
      <c r="A422" s="1">
        <v>482</v>
      </c>
      <c r="B422" s="9" t="str">
        <f>VLOOKUP(A422,'Sets (lua data)'!$A$3:$C$9838,3,FALSE)</f>
        <v>Dauntless Combatant</v>
      </c>
      <c r="C422" s="9" t="str">
        <f>VLOOKUP(A422,'Sets (lua data)'!$A$3:$C$9838,2,FALSE)</f>
        <v>Furchtloser Kombattant</v>
      </c>
      <c r="G422" s="2" t="str">
        <f t="shared" si="6"/>
        <v/>
      </c>
    </row>
    <row r="423" spans="1:7" x14ac:dyDescent="0.25">
      <c r="A423" s="1">
        <v>483</v>
      </c>
      <c r="B423" s="9" t="str">
        <f>VLOOKUP(A423,'Sets (lua data)'!$A$3:$C$9838,3,FALSE)</f>
        <v>Template_Drop_Magi</v>
      </c>
      <c r="C423" s="9" t="str">
        <f>VLOOKUP(A423,'Sets (lua data)'!$A$3:$C$9838,2,FALSE)</f>
        <v>Template_Drop_Magi</v>
      </c>
      <c r="G423" s="2" t="str">
        <f t="shared" si="6"/>
        <v/>
      </c>
    </row>
    <row r="424" spans="1:7" x14ac:dyDescent="0.25">
      <c r="A424" s="1">
        <v>484</v>
      </c>
      <c r="B424" s="9" t="str">
        <f>VLOOKUP(A424,'Sets (lua data)'!$A$3:$C$9838,3,FALSE)</f>
        <v>Template_Drop_Stamina</v>
      </c>
      <c r="C424" s="9" t="str">
        <f>VLOOKUP(A424,'Sets (lua data)'!$A$3:$C$9838,2,FALSE)</f>
        <v>Template_Drop_Stamina</v>
      </c>
      <c r="G424" s="2" t="str">
        <f t="shared" si="6"/>
        <v/>
      </c>
    </row>
    <row r="425" spans="1:7" x14ac:dyDescent="0.25">
      <c r="A425" s="1">
        <v>485</v>
      </c>
      <c r="B425" s="9" t="str">
        <f>VLOOKUP(A425,'Sets (lua data)'!$A$3:$C$9838,3,FALSE)</f>
        <v>Template_Drop_Tank</v>
      </c>
      <c r="C425" s="9" t="str">
        <f>VLOOKUP(A425,'Sets (lua data)'!$A$3:$C$9838,2,FALSE)</f>
        <v>Template_Drop_Tank</v>
      </c>
      <c r="G425" s="2" t="str">
        <f t="shared" si="6"/>
        <v/>
      </c>
    </row>
    <row r="426" spans="1:7" x14ac:dyDescent="0.25">
      <c r="A426" s="1">
        <v>486</v>
      </c>
      <c r="B426" s="9" t="str">
        <f>VLOOKUP(A426,'Sets (lua data)'!$A$3:$C$9838,3,FALSE)</f>
        <v>Template_Drop_Healer</v>
      </c>
      <c r="C426" s="9" t="str">
        <f>VLOOKUP(A426,'Sets (lua data)'!$A$3:$C$9838,2,FALSE)</f>
        <v>Template_Drop_Healer</v>
      </c>
      <c r="G426" s="2" t="str">
        <f t="shared" si="6"/>
        <v/>
      </c>
    </row>
    <row r="427" spans="1:7" ht="105" x14ac:dyDescent="0.25">
      <c r="A427" s="1">
        <v>487</v>
      </c>
      <c r="B427" s="9" t="str">
        <f>VLOOKUP(A427,'Sets (lua data)'!$A$3:$C$9838,3,FALSE)</f>
        <v>Winter\'s Respite</v>
      </c>
      <c r="C427" s="9" t="str">
        <f>VLOOKUP(A427,'Sets (lua data)'!$A$3:$C$9838,2,FALSE)</f>
        <v>Winterruhe</v>
      </c>
      <c r="D427" s="20" t="s">
        <v>4287</v>
      </c>
      <c r="G427" s="2" t="str">
        <f t="shared" si="6"/>
        <v xml:space="preserve">[487] = {[LIBSETS_SETPROC_CHECKTYPE_ABILITY_EVENT_COMBAT_EVENT] = {
    [1] = {
      ["abilityIds"] = {135659},
      ["cooldown"] = {10000},
      ["source"] = COMBAT_UNIT_TYPE_PLAYER,
    },
  },},     --Winter\'s Respite -&gt;  / </v>
      </c>
    </row>
    <row r="428" spans="1:7" ht="105" x14ac:dyDescent="0.25">
      <c r="A428" s="1">
        <v>488</v>
      </c>
      <c r="B428" s="9" t="str">
        <f>VLOOKUP(A428,'Sets (lua data)'!$A$3:$C$9838,3,FALSE)</f>
        <v>Venomous Smite</v>
      </c>
      <c r="C428" s="9" t="str">
        <f>VLOOKUP(A428,'Sets (lua data)'!$A$3:$C$9838,2,FALSE)</f>
        <v>Giftschlag</v>
      </c>
      <c r="D428" s="20" t="s">
        <v>4288</v>
      </c>
      <c r="G428" s="2" t="str">
        <f t="shared" si="6"/>
        <v xml:space="preserve">[488] = {[LIBSETS_SETPROC_CHECKTYPE_ABILITY_EVENT_COMBAT_EVENT] = {
    [1] = {
      ["abilityIds"] = {135690},
      ["cooldown"] = {15000},
      ["source"] = COMBAT_UNIT_TYPE_PLAYER,
    },
  },},     --Venomous Smite -&gt;  / </v>
      </c>
    </row>
    <row r="429" spans="1:7" x14ac:dyDescent="0.25">
      <c r="A429" s="1">
        <v>489</v>
      </c>
      <c r="B429" s="9" t="str">
        <f>VLOOKUP(A429,'Sets (lua data)'!$A$3:$C$9838,3,FALSE)</f>
        <v>Eternal Vigor</v>
      </c>
      <c r="C429" s="9" t="str">
        <f>VLOOKUP(A429,'Sets (lua data)'!$A$3:$C$9838,2,FALSE)</f>
        <v>Ewiger Elan</v>
      </c>
      <c r="G429" s="2" t="str">
        <f t="shared" si="6"/>
        <v/>
      </c>
    </row>
    <row r="430" spans="1:7" x14ac:dyDescent="0.25">
      <c r="A430" s="1">
        <v>490</v>
      </c>
      <c r="B430" s="9" t="str">
        <f>VLOOKUP(A430,'Sets (lua data)'!$A$3:$C$9838,3,FALSE)</f>
        <v>Stuhn\'s Favor</v>
      </c>
      <c r="C430" s="9" t="str">
        <f>VLOOKUP(A430,'Sets (lua data)'!$A$3:$C$9838,2,FALSE)</f>
        <v>Stuhns Gunst</v>
      </c>
      <c r="G430" s="2" t="str">
        <f t="shared" si="6"/>
        <v/>
      </c>
    </row>
    <row r="431" spans="1:7" x14ac:dyDescent="0.25">
      <c r="A431" s="1">
        <v>491</v>
      </c>
      <c r="B431" s="9" t="str">
        <f>VLOOKUP(A431,'Sets (lua data)'!$A$3:$C$9838,3,FALSE)</f>
        <v>Dragon\'s Appetite</v>
      </c>
      <c r="C431" s="9" t="str">
        <f>VLOOKUP(A431,'Sets (lua data)'!$A$3:$C$9838,2,FALSE)</f>
        <v>Appetit des Drachen</v>
      </c>
      <c r="G431" s="2" t="str">
        <f t="shared" si="6"/>
        <v/>
      </c>
    </row>
    <row r="432" spans="1:7" ht="105" x14ac:dyDescent="0.25">
      <c r="A432" s="1">
        <v>492</v>
      </c>
      <c r="B432" s="9" t="str">
        <f>VLOOKUP(A432,'Sets (lua data)'!$A$3:$C$9838,3,FALSE)</f>
        <v>Kyne\'s Wind</v>
      </c>
      <c r="C432" s="9" t="str">
        <f>VLOOKUP(A432,'Sets (lua data)'!$A$3:$C$9838,2,FALSE)</f>
        <v>Kynes Wind</v>
      </c>
      <c r="D432" s="20" t="s">
        <v>4289</v>
      </c>
      <c r="G432" s="2" t="str">
        <f t="shared" si="6"/>
        <v xml:space="preserve">[492] = {[LIBSETS_SETPROC_CHECKTYPE_ABILITY_EVENT_COMBAT_EVENT] = {
    [1] = {
      ["abilityIds"] = {136098},
      ["cooldown"] = {10000},
      ["source"] = COMBAT_UNIT_TYPE_PLAYER,
    },
  },},     --Kyne\'s Wind -&gt;  / </v>
      </c>
    </row>
    <row r="433" spans="1:7" ht="105" x14ac:dyDescent="0.25">
      <c r="A433" s="1">
        <v>493</v>
      </c>
      <c r="B433" s="9" t="str">
        <f>VLOOKUP(A433,'Sets (lua data)'!$A$3:$C$9838,3,FALSE)</f>
        <v>Perfected Kyne\'s Wind</v>
      </c>
      <c r="C433" s="9" t="str">
        <f>VLOOKUP(A433,'Sets (lua data)'!$A$3:$C$9838,2,FALSE)</f>
        <v>Kynes perfektionierter Wind</v>
      </c>
      <c r="D433" s="20" t="s">
        <v>4290</v>
      </c>
      <c r="G433" s="2" t="str">
        <f t="shared" si="6"/>
        <v xml:space="preserve">[493] = {[LIBSETS_SETPROC_CHECKTYPE_ABILITY_EVENT_COMBAT_EVENT] = {
    [1] = {
      ["abilityIds"] = {137995},
      ["cooldown"] = {10000},
      ["source"] = COMBAT_UNIT_TYPE_PLAYER,
    },
  },},     --Perfected Kyne\'s Wind -&gt;  / </v>
      </c>
    </row>
    <row r="434" spans="1:7" x14ac:dyDescent="0.25">
      <c r="A434" s="1">
        <v>494</v>
      </c>
      <c r="B434" s="9" t="str">
        <f>VLOOKUP(A434,'Sets (lua data)'!$A$3:$C$9838,3,FALSE)</f>
        <v>Vrol\'s Command</v>
      </c>
      <c r="C434" s="9" t="str">
        <f>VLOOKUP(A434,'Sets (lua data)'!$A$3:$C$9838,2,FALSE)</f>
        <v>Vrols Befehl</v>
      </c>
      <c r="G434" s="2" t="str">
        <f t="shared" si="6"/>
        <v/>
      </c>
    </row>
    <row r="435" spans="1:7" x14ac:dyDescent="0.25">
      <c r="A435" s="1">
        <v>495</v>
      </c>
      <c r="B435" s="9" t="str">
        <f>VLOOKUP(A435,'Sets (lua data)'!$A$3:$C$9838,3,FALSE)</f>
        <v>Perfected Vrol\'s Command</v>
      </c>
      <c r="C435" s="9" t="str">
        <f>VLOOKUP(A435,'Sets (lua data)'!$A$3:$C$9838,2,FALSE)</f>
        <v>Vrols perfektionierter Befehl</v>
      </c>
      <c r="G435" s="2" t="str">
        <f t="shared" si="6"/>
        <v/>
      </c>
    </row>
    <row r="436" spans="1:7" ht="165" x14ac:dyDescent="0.25">
      <c r="A436" s="1">
        <v>496</v>
      </c>
      <c r="B436" s="9" t="str">
        <f>VLOOKUP(A436,'Sets (lua data)'!$A$3:$C$9838,3,FALSE)</f>
        <v>Roaring Opportunist</v>
      </c>
      <c r="C436" s="9" t="str">
        <f>VLOOKUP(A436,'Sets (lua data)'!$A$3:$C$9838,2,FALSE)</f>
        <v>Brüllender Opportunist</v>
      </c>
      <c r="D436" s="20" t="s">
        <v>4291</v>
      </c>
      <c r="G436" s="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1">
        <v>497</v>
      </c>
      <c r="B437" s="9" t="str">
        <f>VLOOKUP(A437,'Sets (lua data)'!$A$3:$C$9838,3,FALSE)</f>
        <v>Perfected Roaring Opportunist</v>
      </c>
      <c r="C437" s="9" t="str">
        <f>VLOOKUP(A437,'Sets (lua data)'!$A$3:$C$9838,2,FALSE)</f>
        <v>Perfektionierter brüllender Opportunist</v>
      </c>
      <c r="D437" s="20" t="s">
        <v>4292</v>
      </c>
      <c r="G437" s="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1">
        <v>498</v>
      </c>
      <c r="B438" s="9" t="str">
        <f>VLOOKUP(A438,'Sets (lua data)'!$A$3:$C$9838,3,FALSE)</f>
        <v>Yandir\'s Might</v>
      </c>
      <c r="C438" s="9" t="str">
        <f>VLOOKUP(A438,'Sets (lua data)'!$A$3:$C$9838,2,FALSE)</f>
        <v>Yandirs Macht</v>
      </c>
      <c r="G438" s="2" t="str">
        <f t="shared" si="6"/>
        <v/>
      </c>
    </row>
    <row r="439" spans="1:7" x14ac:dyDescent="0.25">
      <c r="A439" s="1">
        <v>499</v>
      </c>
      <c r="B439" s="9" t="str">
        <f>VLOOKUP(A439,'Sets (lua data)'!$A$3:$C$9838,3,FALSE)</f>
        <v>Perfected Yandir\'s Might</v>
      </c>
      <c r="C439" s="9" t="str">
        <f>VLOOKUP(A439,'Sets (lua data)'!$A$3:$C$9838,2,FALSE)</f>
        <v>Yandirs perfektionierte Macht</v>
      </c>
      <c r="G439" s="2" t="str">
        <f t="shared" si="6"/>
        <v/>
      </c>
    </row>
    <row r="440" spans="1:7" x14ac:dyDescent="0.25">
      <c r="A440" s="1">
        <v>500</v>
      </c>
      <c r="B440" s="9" t="str">
        <f>VLOOKUP(A440,'Sets (lua data)'!$A$3:$C$9838,3,FALSE)</f>
        <v>Bloodlord\'s Embrace (OLD)</v>
      </c>
      <c r="C440" s="9" t="str">
        <f>VLOOKUP(A440,'Sets (lua data)'!$A$3:$C$9838,2,FALSE)</f>
        <v>Bloodlord's Embrace (OLD)</v>
      </c>
      <c r="G440" s="2" t="str">
        <f t="shared" si="6"/>
        <v/>
      </c>
    </row>
    <row r="441" spans="1:7" x14ac:dyDescent="0.25">
      <c r="A441" s="1">
        <v>501</v>
      </c>
      <c r="B441" s="9" t="str">
        <f>VLOOKUP(A441,'Sets (lua data)'!$A$3:$C$9838,3,FALSE)</f>
        <v>Thrassian Stranglers</v>
      </c>
      <c r="C441" s="9" t="str">
        <f>VLOOKUP(A441,'Sets (lua data)'!$A$3:$C$9838,2,FALSE)</f>
        <v>Thrassische Würger</v>
      </c>
      <c r="G441" s="2" t="str">
        <f t="shared" si="6"/>
        <v/>
      </c>
    </row>
    <row r="442" spans="1:7" x14ac:dyDescent="0.25">
      <c r="A442" s="1">
        <v>502</v>
      </c>
      <c r="B442" s="9" t="str">
        <f>VLOOKUP(A442,'Sets (lua data)'!$A$3:$C$9838,3,FALSE)</f>
        <v>Snow Treaders (OLD)</v>
      </c>
      <c r="C442" s="9" t="str">
        <f>VLOOKUP(A442,'Sets (lua data)'!$A$3:$C$9838,2,FALSE)</f>
        <v>Snow Treaders (OLD)</v>
      </c>
      <c r="G442" s="2" t="str">
        <f t="shared" si="6"/>
        <v/>
      </c>
    </row>
    <row r="443" spans="1:7" x14ac:dyDescent="0.25">
      <c r="A443" s="1">
        <v>503</v>
      </c>
      <c r="B443" s="9" t="str">
        <f>VLOOKUP(A443,'Sets (lua data)'!$A$3:$C$9838,3,FALSE)</f>
        <v>Ring of the Wild Hunt</v>
      </c>
      <c r="C443" s="9" t="str">
        <f>VLOOKUP(A443,'Sets (lua data)'!$A$3:$C$9838,2,FALSE)</f>
        <v>Ring der Wilden Jagd</v>
      </c>
      <c r="G443" s="2" t="str">
        <f t="shared" si="6"/>
        <v/>
      </c>
    </row>
    <row r="444" spans="1:7" x14ac:dyDescent="0.25">
      <c r="A444" s="1">
        <v>504</v>
      </c>
      <c r="B444" s="9" t="str">
        <f>VLOOKUP(A444,'Sets (lua data)'!$A$3:$C$9838,3,FALSE)</f>
        <v>Malacath\'s Band of Brutality X</v>
      </c>
      <c r="C444" s="9" t="str">
        <f>VLOOKUP(A444,'Sets (lua data)'!$A$3:$C$9838,2,FALSE)</f>
        <v>Malacath's Band der Brutalität X</v>
      </c>
      <c r="G444" s="2" t="str">
        <f t="shared" si="6"/>
        <v/>
      </c>
    </row>
    <row r="445" spans="1:7" x14ac:dyDescent="0.25">
      <c r="A445" s="1">
        <v>505</v>
      </c>
      <c r="B445" s="9" t="str">
        <f>VLOOKUP(A445,'Sets (lua data)'!$A$3:$C$9838,3,FALSE)</f>
        <v>Torc of Tonal Constancy</v>
      </c>
      <c r="C445" s="9" t="str">
        <f>VLOOKUP(A445,'Sets (lua data)'!$A$3:$C$9838,2,FALSE)</f>
        <v>Torques der Klangkonstanz</v>
      </c>
      <c r="G445" s="2" t="str">
        <f t="shared" si="6"/>
        <v/>
      </c>
    </row>
    <row r="446" spans="1:7" x14ac:dyDescent="0.25">
      <c r="A446" s="1">
        <v>506</v>
      </c>
      <c r="B446" s="9" t="str">
        <f>VLOOKUP(A446,'Sets (lua data)'!$A$3:$C$9838,3,FALSE)</f>
        <v>Spell Parasite</v>
      </c>
      <c r="C446" s="9" t="str">
        <f>VLOOKUP(A446,'Sets (lua data)'!$A$3:$C$9838,2,FALSE)</f>
        <v>Magieparasit</v>
      </c>
      <c r="G446" s="2" t="str">
        <f t="shared" si="6"/>
        <v/>
      </c>
    </row>
    <row r="447" spans="1:7" x14ac:dyDescent="0.25">
      <c r="A447" s="1">
        <v>507</v>
      </c>
      <c r="B447" s="9" t="e">
        <f>VLOOKUP(A447,'Sets (lua data)'!$A$3:$C$9838,3,FALSE)</f>
        <v>#N/A</v>
      </c>
      <c r="C447" s="9" t="e">
        <f>VLOOKUP(A447,'Sets (lua data)'!$A$3:$C$9838,2,FALSE)</f>
        <v>#N/A</v>
      </c>
      <c r="G447" s="2" t="str">
        <f t="shared" si="6"/>
        <v/>
      </c>
    </row>
    <row r="448" spans="1:7" x14ac:dyDescent="0.25">
      <c r="A448" s="1">
        <v>508</v>
      </c>
      <c r="B448" s="9" t="e">
        <f>VLOOKUP(A448,'Sets (lua data)'!$A$3:$C$9838,3,FALSE)</f>
        <v>#N/A</v>
      </c>
      <c r="C448" s="9" t="e">
        <f>VLOOKUP(A448,'Sets (lua data)'!$A$3:$C$9838,2,FALSE)</f>
        <v>#N/A</v>
      </c>
      <c r="G448" s="2" t="str">
        <f t="shared" si="6"/>
        <v/>
      </c>
    </row>
    <row r="449" spans="1:7" x14ac:dyDescent="0.25">
      <c r="A449" s="1">
        <v>509</v>
      </c>
      <c r="B449" s="9" t="str">
        <f>VLOOKUP(A449,'Sets (lua data)'!$A$3:$C$9838,3,FALSE)</f>
        <v>Template_Drop_Healer P</v>
      </c>
      <c r="C449" s="9" t="str">
        <f>VLOOKUP(A449,'Sets (lua data)'!$A$3:$C$9838,2,FALSE)</f>
        <v>Template_Drop_Healer P</v>
      </c>
      <c r="G449" s="2" t="str">
        <f t="shared" si="6"/>
        <v/>
      </c>
    </row>
    <row r="450" spans="1:7" x14ac:dyDescent="0.25">
      <c r="A450" s="1">
        <v>510</v>
      </c>
      <c r="B450" s="9" t="str">
        <f>VLOOKUP(A450,'Sets (lua data)'!$A$3:$C$9838,3,FALSE)</f>
        <v>Template_Drop_Tank P</v>
      </c>
      <c r="C450" s="9" t="str">
        <f>VLOOKUP(A450,'Sets (lua data)'!$A$3:$C$9838,2,FALSE)</f>
        <v>Template_Drop_Tank P</v>
      </c>
      <c r="G450" s="2" t="str">
        <f t="shared" si="6"/>
        <v/>
      </c>
    </row>
    <row r="451" spans="1:7" x14ac:dyDescent="0.25">
      <c r="A451" s="1">
        <v>511</v>
      </c>
      <c r="B451" s="9" t="str">
        <f>VLOOKUP(A451,'Sets (lua data)'!$A$3:$C$9838,3,FALSE)</f>
        <v>Template_Drop_Stamina P</v>
      </c>
      <c r="C451" s="9" t="str">
        <f>VLOOKUP(A451,'Sets (lua data)'!$A$3:$C$9838,2,FALSE)</f>
        <v>Template_Drop_Stamina P</v>
      </c>
      <c r="G451" s="2" t="str">
        <f t="shared" ref="G451:G480" si="7">IF(AND(A451&lt;&gt;"",NOT(ISERROR(A451)),ISNUMBER(A451),D451&lt;&gt;""),CONCATENATE("[",A451,"] = {",D451,"},","     --",B451," -&gt; ",E451," / ",F451),"")</f>
        <v/>
      </c>
    </row>
    <row r="452" spans="1:7" x14ac:dyDescent="0.25">
      <c r="A452" s="1">
        <v>512</v>
      </c>
      <c r="B452" s="9" t="str">
        <f>VLOOKUP(A452,'Sets (lua data)'!$A$3:$C$9838,3,FALSE)</f>
        <v>Template_Drop_Magi P</v>
      </c>
      <c r="C452" s="9" t="str">
        <f>VLOOKUP(A452,'Sets (lua data)'!$A$3:$C$9838,2,FALSE)</f>
        <v>Template_Drop_Magi P</v>
      </c>
      <c r="G452" s="2" t="str">
        <f t="shared" si="7"/>
        <v/>
      </c>
    </row>
    <row r="453" spans="1:7" x14ac:dyDescent="0.25">
      <c r="A453" s="1">
        <v>513</v>
      </c>
      <c r="B453" s="9" t="str">
        <f>VLOOKUP(A453,'Sets (lua data)'!$A$3:$C$9838,3,FALSE)</f>
        <v>Talfyg\'s Treachery</v>
      </c>
      <c r="C453" s="9" t="str">
        <f>VLOOKUP(A453,'Sets (lua data)'!$A$3:$C$9838,2,FALSE)</f>
        <v>Talfygs Verrat</v>
      </c>
      <c r="G453" s="2" t="str">
        <f t="shared" si="7"/>
        <v/>
      </c>
    </row>
    <row r="454" spans="1:7" x14ac:dyDescent="0.25">
      <c r="A454" s="1">
        <v>513</v>
      </c>
      <c r="B454" s="9" t="str">
        <f>VLOOKUP(A454,'Sets (lua data)'!$A$3:$C$9838,3,FALSE)</f>
        <v>Talfyg\'s Treachery</v>
      </c>
      <c r="C454" s="9" t="str">
        <f>VLOOKUP(A454,'Sets (lua data)'!$A$3:$C$9838,2,FALSE)</f>
        <v>Talfygs Verrat</v>
      </c>
      <c r="G454" s="2" t="str">
        <f t="shared" si="7"/>
        <v/>
      </c>
    </row>
    <row r="455" spans="1:7" x14ac:dyDescent="0.25">
      <c r="A455" s="1">
        <v>514</v>
      </c>
      <c r="B455" s="9" t="str">
        <f>VLOOKUP(A455,'Sets (lua data)'!$A$3:$C$9838,3,FALSE)</f>
        <v>Unleashed Terror</v>
      </c>
      <c r="C455" s="9" t="str">
        <f>VLOOKUP(A455,'Sets (lua data)'!$A$3:$C$9838,2,FALSE)</f>
        <v>Entfesselter Schrecken</v>
      </c>
      <c r="G455" s="2" t="str">
        <f t="shared" si="7"/>
        <v/>
      </c>
    </row>
    <row r="456" spans="1:7" x14ac:dyDescent="0.25">
      <c r="A456" s="1">
        <v>514</v>
      </c>
      <c r="B456" s="9" t="str">
        <f>VLOOKUP(A456,'Sets (lua data)'!$A$3:$C$9838,3,FALSE)</f>
        <v>Unleashed Terror</v>
      </c>
      <c r="C456" s="9" t="str">
        <f>VLOOKUP(A456,'Sets (lua data)'!$A$3:$C$9838,2,FALSE)</f>
        <v>Entfesselter Schrecken</v>
      </c>
      <c r="G456" s="2" t="str">
        <f t="shared" si="7"/>
        <v/>
      </c>
    </row>
    <row r="457" spans="1:7" x14ac:dyDescent="0.25">
      <c r="A457" s="1">
        <v>515</v>
      </c>
      <c r="B457" s="9" t="str">
        <f>VLOOKUP(A457,'Sets (lua data)'!$A$3:$C$9838,3,FALSE)</f>
        <v>Crimson Twilight</v>
      </c>
      <c r="C457" s="9" t="str">
        <f>VLOOKUP(A457,'Sets (lua data)'!$A$3:$C$9838,2,FALSE)</f>
        <v>Scharlachrotes Zwielicht</v>
      </c>
      <c r="G457" s="2" t="str">
        <f t="shared" si="7"/>
        <v/>
      </c>
    </row>
    <row r="458" spans="1:7" x14ac:dyDescent="0.25">
      <c r="A458" s="1">
        <v>515</v>
      </c>
      <c r="B458" s="9" t="str">
        <f>VLOOKUP(A458,'Sets (lua data)'!$A$3:$C$9838,3,FALSE)</f>
        <v>Crimson Twilight</v>
      </c>
      <c r="C458" s="9" t="str">
        <f>VLOOKUP(A458,'Sets (lua data)'!$A$3:$C$9838,2,FALSE)</f>
        <v>Scharlachrotes Zwielicht</v>
      </c>
      <c r="G458" s="2" t="str">
        <f t="shared" si="7"/>
        <v/>
      </c>
    </row>
    <row r="459" spans="1:7" x14ac:dyDescent="0.25">
      <c r="A459" s="1">
        <v>516</v>
      </c>
      <c r="B459" s="9" t="str">
        <f>VLOOKUP(A459,'Sets (lua data)'!$A$3:$C$9838,3,FALSE)</f>
        <v>Elemental Catalyst</v>
      </c>
      <c r="C459" s="9" t="str">
        <f>VLOOKUP(A459,'Sets (lua data)'!$A$3:$C$9838,2,FALSE)</f>
        <v>Elementarer Katalysator</v>
      </c>
      <c r="G459" s="2" t="str">
        <f t="shared" si="7"/>
        <v/>
      </c>
    </row>
    <row r="460" spans="1:7" x14ac:dyDescent="0.25">
      <c r="A460" s="1">
        <v>516</v>
      </c>
      <c r="B460" s="9" t="str">
        <f>VLOOKUP(A460,'Sets (lua data)'!$A$3:$C$9838,3,FALSE)</f>
        <v>Elemental Catalyst</v>
      </c>
      <c r="C460" s="9" t="str">
        <f>VLOOKUP(A460,'Sets (lua data)'!$A$3:$C$9838,2,FALSE)</f>
        <v>Elementarer Katalysator</v>
      </c>
      <c r="G460" s="2" t="str">
        <f t="shared" si="7"/>
        <v/>
      </c>
    </row>
    <row r="461" spans="1:7" x14ac:dyDescent="0.25">
      <c r="A461" s="1">
        <v>517</v>
      </c>
      <c r="B461" s="9" t="str">
        <f>VLOOKUP(A461,'Sets (lua data)'!$A$3:$C$9838,3,FALSE)</f>
        <v>Kraglen\'s Howl</v>
      </c>
      <c r="C461" s="9" t="str">
        <f>VLOOKUP(A461,'Sets (lua data)'!$A$3:$C$9838,2,FALSE)</f>
        <v>Kraglens Heulen</v>
      </c>
      <c r="G461" s="2" t="str">
        <f t="shared" si="7"/>
        <v/>
      </c>
    </row>
    <row r="462" spans="1:7" x14ac:dyDescent="0.25">
      <c r="A462" s="1">
        <v>517</v>
      </c>
      <c r="B462" s="9" t="str">
        <f>VLOOKUP(A462,'Sets (lua data)'!$A$3:$C$9838,3,FALSE)</f>
        <v>Kraglen\'s Howl</v>
      </c>
      <c r="C462" s="9" t="str">
        <f>VLOOKUP(A462,'Sets (lua data)'!$A$3:$C$9838,2,FALSE)</f>
        <v>Kraglens Heulen</v>
      </c>
      <c r="G462" s="2" t="str">
        <f t="shared" si="7"/>
        <v/>
      </c>
    </row>
    <row r="463" spans="1:7" x14ac:dyDescent="0.25">
      <c r="A463" s="1">
        <v>518</v>
      </c>
      <c r="B463" s="9" t="str">
        <f>VLOOKUP(A463,'Sets (lua data)'!$A$3:$C$9838,3,FALSE)</f>
        <v>Arkasis\'s Genius</v>
      </c>
      <c r="C463" s="9" t="str">
        <f>VLOOKUP(A463,'Sets (lua data)'!$A$3:$C$9838,2,FALSE)</f>
        <v>Arkasis' Genie</v>
      </c>
      <c r="G463" s="2" t="str">
        <f t="shared" si="7"/>
        <v/>
      </c>
    </row>
    <row r="464" spans="1:7" x14ac:dyDescent="0.25">
      <c r="A464" s="1">
        <v>518</v>
      </c>
      <c r="B464" s="9" t="str">
        <f>VLOOKUP(A464,'Sets (lua data)'!$A$3:$C$9838,3,FALSE)</f>
        <v>Arkasis\'s Genius</v>
      </c>
      <c r="C464" s="9" t="str">
        <f>VLOOKUP(A464,'Sets (lua data)'!$A$3:$C$9838,2,FALSE)</f>
        <v>Arkasis' Genie</v>
      </c>
      <c r="G464" s="2" t="str">
        <f t="shared" si="7"/>
        <v/>
      </c>
    </row>
    <row r="465" spans="1:7" x14ac:dyDescent="0.25">
      <c r="A465" s="1">
        <v>519</v>
      </c>
      <c r="B465" s="9" t="str">
        <f>VLOOKUP(A465,'Sets (lua data)'!$A$3:$C$9838,3,FALSE)</f>
        <v>Snow Treaders</v>
      </c>
      <c r="C465" s="9" t="str">
        <f>VLOOKUP(A465,'Sets (lua data)'!$A$3:$C$9838,2,FALSE)</f>
        <v>Schneetreter</v>
      </c>
      <c r="G465" s="2" t="str">
        <f t="shared" si="7"/>
        <v/>
      </c>
    </row>
    <row r="466" spans="1:7" x14ac:dyDescent="0.25">
      <c r="A466" s="1">
        <v>520</v>
      </c>
      <c r="B466" s="9" t="str">
        <f>VLOOKUP(A466,'Sets (lua data)'!$A$3:$C$9838,3,FALSE)</f>
        <v>Malacath\'s Band of Brutality</v>
      </c>
      <c r="C466" s="9" t="str">
        <f>VLOOKUP(A466,'Sets (lua data)'!$A$3:$C$9838,2,FALSE)</f>
        <v>Malacaths Band der Brutalität</v>
      </c>
      <c r="G466" s="2" t="str">
        <f t="shared" si="7"/>
        <v/>
      </c>
    </row>
    <row r="467" spans="1:7" x14ac:dyDescent="0.25">
      <c r="A467" s="1">
        <v>521</v>
      </c>
      <c r="B467" s="9" t="str">
        <f>VLOOKUP(A467,'Sets (lua data)'!$A$3:$C$9838,3,FALSE)</f>
        <v>Bloodlord\'s Embrace</v>
      </c>
      <c r="C467" s="9" t="str">
        <f>VLOOKUP(A467,'Sets (lua data)'!$A$3:$C$9838,2,FALSE)</f>
        <v>Umarmung des Blutfürsten</v>
      </c>
      <c r="G467" s="2" t="str">
        <f t="shared" si="7"/>
        <v/>
      </c>
    </row>
    <row r="468" spans="1:7" x14ac:dyDescent="0.25">
      <c r="A468" s="1">
        <v>522</v>
      </c>
      <c r="B468" s="9" t="str">
        <f>VLOOKUP(A468,'Sets (lua data)'!$A$3:$C$9838,3,FALSE)</f>
        <v>Perfected Merciless Charge</v>
      </c>
      <c r="C468" s="9" t="str">
        <f>VLOOKUP(A468,'Sets (lua data)'!$A$3:$C$9838,2,FALSE)</f>
        <v>Perfektionierter gnadenloser Ansturm</v>
      </c>
      <c r="G468" s="2" t="str">
        <f t="shared" si="7"/>
        <v/>
      </c>
    </row>
    <row r="469" spans="1:7" x14ac:dyDescent="0.25">
      <c r="A469" s="1">
        <v>523</v>
      </c>
      <c r="B469" s="9" t="str">
        <f>VLOOKUP(A469,'Sets (lua data)'!$A$3:$C$9838,3,FALSE)</f>
        <v>Perfected Rampaging Slash</v>
      </c>
      <c r="C469" s="9" t="str">
        <f>VLOOKUP(A469,'Sets (lua data)'!$A$3:$C$9838,2,FALSE)</f>
        <v>Perfektionierter tobender Schnitt</v>
      </c>
      <c r="G469" s="2" t="str">
        <f t="shared" si="7"/>
        <v/>
      </c>
    </row>
    <row r="470" spans="1:7" x14ac:dyDescent="0.25">
      <c r="A470" s="1">
        <v>524</v>
      </c>
      <c r="B470" s="9" t="str">
        <f>VLOOKUP(A470,'Sets (lua data)'!$A$3:$C$9838,3,FALSE)</f>
        <v>Perfected Cruel Flurry</v>
      </c>
      <c r="C470" s="9" t="str">
        <f>VLOOKUP(A470,'Sets (lua data)'!$A$3:$C$9838,2,FALSE)</f>
        <v>Perfektionierter grausamer Schlaghagel</v>
      </c>
      <c r="G470" s="2" t="str">
        <f t="shared" si="7"/>
        <v/>
      </c>
    </row>
    <row r="471" spans="1:7" x14ac:dyDescent="0.25">
      <c r="A471" s="1">
        <v>525</v>
      </c>
      <c r="B471" s="9" t="str">
        <f>VLOOKUP(A471,'Sets (lua data)'!$A$3:$C$9838,3,FALSE)</f>
        <v>Perfected Thunderous Volley</v>
      </c>
      <c r="C471" s="9" t="str">
        <f>VLOOKUP(A471,'Sets (lua data)'!$A$3:$C$9838,2,FALSE)</f>
        <v>Perfektionierte donnernde Salve</v>
      </c>
      <c r="G471" s="2" t="str">
        <f t="shared" si="7"/>
        <v/>
      </c>
    </row>
    <row r="472" spans="1:7" x14ac:dyDescent="0.25">
      <c r="A472" s="1">
        <v>526</v>
      </c>
      <c r="B472" s="9" t="str">
        <f>VLOOKUP(A472,'Sets (lua data)'!$A$3:$C$9838,3,FALSE)</f>
        <v>Perfected Crushing Wall</v>
      </c>
      <c r="C472" s="9" t="str">
        <f>VLOOKUP(A472,'Sets (lua data)'!$A$3:$C$9838,2,FALSE)</f>
        <v>Perfektionierte zermalmende Mauer</v>
      </c>
      <c r="G472" s="2" t="str">
        <f t="shared" si="7"/>
        <v/>
      </c>
    </row>
    <row r="473" spans="1:7" x14ac:dyDescent="0.25">
      <c r="A473" s="1">
        <v>527</v>
      </c>
      <c r="B473" s="9" t="str">
        <f>VLOOKUP(A473,'Sets (lua data)'!$A$3:$C$9838,3,FALSE)</f>
        <v>Perfected Precise Regeneration</v>
      </c>
      <c r="C473" s="9" t="str">
        <f>VLOOKUP(A473,'Sets (lua data)'!$A$3:$C$9838,2,FALSE)</f>
        <v>Perfektionierte präzise Regeneration</v>
      </c>
      <c r="G473" s="2" t="str">
        <f t="shared" si="7"/>
        <v/>
      </c>
    </row>
    <row r="474" spans="1:7" x14ac:dyDescent="0.25">
      <c r="A474" s="1">
        <v>528</v>
      </c>
      <c r="B474" s="9" t="str">
        <f>VLOOKUP(A474,'Sets (lua data)'!$A$3:$C$9838,3,FALSE)</f>
        <v>Perfected Titanic Cleave</v>
      </c>
      <c r="C474" s="9" t="str">
        <f>VLOOKUP(A474,'Sets (lua data)'!$A$3:$C$9838,2,FALSE)</f>
        <v>Perfektioniertes titanisches Trennen</v>
      </c>
      <c r="G474" s="2" t="str">
        <f t="shared" si="7"/>
        <v/>
      </c>
    </row>
    <row r="475" spans="1:7" x14ac:dyDescent="0.25">
      <c r="A475" s="1">
        <v>529</v>
      </c>
      <c r="B475" s="9" t="str">
        <f>VLOOKUP(A475,'Sets (lua data)'!$A$3:$C$9838,3,FALSE)</f>
        <v>Perfected Puncturing Remedy</v>
      </c>
      <c r="C475" s="9" t="str">
        <f>VLOOKUP(A475,'Sets (lua data)'!$A$3:$C$9838,2,FALSE)</f>
        <v>Perfektionierte durchschlagende Genesung</v>
      </c>
      <c r="G475" s="2" t="str">
        <f t="shared" si="7"/>
        <v/>
      </c>
    </row>
    <row r="476" spans="1:7" x14ac:dyDescent="0.25">
      <c r="A476" s="1">
        <v>530</v>
      </c>
      <c r="B476" s="9" t="str">
        <f>VLOOKUP(A476,'Sets (lua data)'!$A$3:$C$9838,3,FALSE)</f>
        <v>Perfected Stinging Slashes</v>
      </c>
      <c r="C476" s="9" t="str">
        <f>VLOOKUP(A476,'Sets (lua data)'!$A$3:$C$9838,2,FALSE)</f>
        <v>Perfektionierte stechende Schnitte</v>
      </c>
      <c r="G476" s="2" t="str">
        <f t="shared" si="7"/>
        <v/>
      </c>
    </row>
    <row r="477" spans="1:7" x14ac:dyDescent="0.25">
      <c r="A477" s="1">
        <v>531</v>
      </c>
      <c r="B477" s="9" t="str">
        <f>VLOOKUP(A477,'Sets (lua data)'!$A$3:$C$9838,3,FALSE)</f>
        <v>Perfected Caustic Arrow</v>
      </c>
      <c r="C477" s="9" t="str">
        <f>VLOOKUP(A477,'Sets (lua data)'!$A$3:$C$9838,2,FALSE)</f>
        <v>Perfektionierter beißender Pfeil</v>
      </c>
      <c r="G477" s="2" t="str">
        <f t="shared" si="7"/>
        <v/>
      </c>
    </row>
    <row r="478" spans="1:7" x14ac:dyDescent="0.25">
      <c r="A478" s="1">
        <v>532</v>
      </c>
      <c r="B478" s="9" t="str">
        <f>VLOOKUP(A478,'Sets (lua data)'!$A$3:$C$9838,3,FALSE)</f>
        <v>Perfected Destructive Impact</v>
      </c>
      <c r="C478" s="9" t="str">
        <f>VLOOKUP(A478,'Sets (lua data)'!$A$3:$C$9838,2,FALSE)</f>
        <v>Perfektionierter zerstörerischer Einschlag</v>
      </c>
      <c r="G478" s="2" t="str">
        <f t="shared" si="7"/>
        <v/>
      </c>
    </row>
    <row r="479" spans="1:7" x14ac:dyDescent="0.25">
      <c r="A479" s="1">
        <v>534</v>
      </c>
      <c r="B479" s="9" t="str">
        <f>VLOOKUP(A479,'Sets (lua data)'!$A$3:$C$9838,3,FALSE)</f>
        <v>Stone Husk</v>
      </c>
      <c r="C479" s="9" t="str">
        <f>VLOOKUP(A479,'Sets (lua data)'!$A$3:$C$9838,2,FALSE)</f>
        <v>Steinhülle</v>
      </c>
      <c r="G479" s="2" t="str">
        <f t="shared" si="7"/>
        <v/>
      </c>
    </row>
    <row r="480" spans="1:7" ht="90" x14ac:dyDescent="0.25">
      <c r="A480" s="1">
        <v>535</v>
      </c>
      <c r="B480" s="9" t="str">
        <f>VLOOKUP(A480,'Sets (lua data)'!$A$3:$C$9838,3,FALSE)</f>
        <v>Lady Thorn</v>
      </c>
      <c r="C480" s="9" t="str">
        <f>VLOOKUP(A480,'Sets (lua data)'!$A$3:$C$9838,2,FALSE)</f>
        <v>Fürstin Dorn</v>
      </c>
      <c r="D480" s="20" t="s">
        <v>4293</v>
      </c>
      <c r="G480" s="2" t="str">
        <f t="shared" si="7"/>
        <v xml:space="preserve">[535] = {[LIBSETS_SETPROC_CHECKTYPE_ABILITY_EVENT_COMBAT_EVENT] = {
[1] = {
      ["abilityIds"] = {141905},
      ["source"] = COMBAT_UNIT_TYPE_PLAYER,
    },
}},     --Lady Thorn -&gt;  / </v>
      </c>
    </row>
    <row r="481" spans="1:7" x14ac:dyDescent="0.25">
      <c r="A481" s="1">
        <v>536</v>
      </c>
      <c r="B481" s="9" t="str">
        <f>VLOOKUP(A481,'Sets (lua data)'!$A$3:$C$9838,3,FALSE)</f>
        <v>Radiant Bastion</v>
      </c>
      <c r="C481" s="9" t="str">
        <f>VLOOKUP(A481,'Sets (lua data)'!$A$3:$C$9838,2,FALSE)</f>
        <v>Strahlende Bastion</v>
      </c>
    </row>
    <row r="482" spans="1:7" x14ac:dyDescent="0.25">
      <c r="A482" s="1">
        <v>537</v>
      </c>
      <c r="B482" s="9" t="str">
        <f>VLOOKUP(A482,'Sets (lua data)'!$A$3:$C$9838,3,FALSE)</f>
        <v>Voidcaller</v>
      </c>
      <c r="C482" s="9" t="str">
        <f>VLOOKUP(A482,'Sets (lua data)'!$A$3:$C$9838,2,FALSE)</f>
        <v>Leerenrufer</v>
      </c>
    </row>
    <row r="483" spans="1:7" x14ac:dyDescent="0.25">
      <c r="A483" s="1">
        <v>538</v>
      </c>
      <c r="B483" s="9" t="str">
        <f>VLOOKUP(A483,'Sets (lua data)'!$A$3:$C$9838,3,FALSE)</f>
        <v>Witch-Knight\'s Defiance</v>
      </c>
      <c r="C483" s="9" t="str">
        <f>VLOOKUP(A483,'Sets (lua data)'!$A$3:$C$9838,2,FALSE)</f>
        <v>Trotz des Hexenritters</v>
      </c>
    </row>
    <row r="484" spans="1:7" x14ac:dyDescent="0.25">
      <c r="A484" s="1">
        <v>539</v>
      </c>
      <c r="B484" s="9" t="str">
        <f>VLOOKUP(A484,'Sets (lua data)'!$A$3:$C$9838,3,FALSE)</f>
        <v>Red Eagle\'s Fury</v>
      </c>
      <c r="C484" s="9" t="str">
        <f>VLOOKUP(A484,'Sets (lua data)'!$A$3:$C$9838,2,FALSE)</f>
        <v>Zorn des Roten Adlers</v>
      </c>
    </row>
    <row r="485" spans="1:7" x14ac:dyDescent="0.25">
      <c r="A485" s="1">
        <v>540</v>
      </c>
      <c r="B485" s="9" t="str">
        <f>VLOOKUP(A485,'Sets (lua data)'!$A$3:$C$9838,3,FALSE)</f>
        <v>Legacy of Karth</v>
      </c>
      <c r="C485" s="9" t="str">
        <f>VLOOKUP(A485,'Sets (lua data)'!$A$3:$C$9838,2,FALSE)</f>
        <v>Erbe des Karth</v>
      </c>
    </row>
    <row r="486" spans="1:7" x14ac:dyDescent="0.25">
      <c r="A486" s="1">
        <v>541</v>
      </c>
      <c r="B486" s="9" t="str">
        <f>VLOOKUP(A486,'Sets (lua data)'!$A$3:$C$9838,3,FALSE)</f>
        <v>Aetherial Ascension</v>
      </c>
      <c r="C486" s="9" t="str">
        <f>VLOOKUP(A486,'Sets (lua data)'!$A$3:$C$9838,2,FALSE)</f>
        <v>Ätherischer Aufstieg</v>
      </c>
    </row>
    <row r="487" spans="1:7" x14ac:dyDescent="0.25">
      <c r="A487" s="1">
        <v>542</v>
      </c>
      <c r="B487" s="9" t="str">
        <f>VLOOKUP(A487,'Sets (lua data)'!$A$3:$C$9838,3,FALSE)</f>
        <v>Hex Siphon</v>
      </c>
      <c r="C487" s="9" t="str">
        <f>VLOOKUP(A487,'Sets (lua data)'!$A$3:$C$9838,2,FALSE)</f>
        <v>Fluchsiphon</v>
      </c>
    </row>
    <row r="488" spans="1:7" x14ac:dyDescent="0.25">
      <c r="A488" s="1">
        <v>543</v>
      </c>
      <c r="B488" s="9" t="str">
        <f>VLOOKUP(A488,'Sets (lua data)'!$A$3:$C$9838,3,FALSE)</f>
        <v>Pestilent Host</v>
      </c>
      <c r="C488" s="9" t="str">
        <f>VLOOKUP(A488,'Sets (lua data)'!$A$3:$C$9838,2,FALSE)</f>
        <v>Pestilenter Wirt</v>
      </c>
    </row>
    <row r="489" spans="1:7" x14ac:dyDescent="0.25">
      <c r="A489" s="1">
        <v>544</v>
      </c>
      <c r="B489" s="9" t="str">
        <f>VLOOKUP(A489,'Sets (lua data)'!$A$3:$C$9838,3,FALSE)</f>
        <v>Explosive Rebuke</v>
      </c>
      <c r="C489" s="9" t="str">
        <f>VLOOKUP(A489,'Sets (lua data)'!$A$3:$C$9838,2,FALSE)</f>
        <v>Explosiver Tadel</v>
      </c>
    </row>
    <row r="490" spans="1:7" x14ac:dyDescent="0.25">
      <c r="A490" s="1">
        <v>557</v>
      </c>
      <c r="B490" s="9" t="str">
        <f>VLOOKUP(A490,'Sets (lua data)'!$A$3:$C$9838,3,FALSE)</f>
        <v>Executioner\'s Blade</v>
      </c>
      <c r="C490" s="9" t="str">
        <f>VLOOKUP(A490,'Sets (lua data)'!$A$3:$C$9838,2,FALSE)</f>
        <v>Henkersklinge</v>
      </c>
    </row>
    <row r="491" spans="1:7" ht="105" x14ac:dyDescent="0.25">
      <c r="A491" s="1">
        <v>558</v>
      </c>
      <c r="B491" s="9" t="str">
        <f>VLOOKUP(A491,'Sets (lua data)'!$A$3:$C$9838,3,FALSE)</f>
        <v>Void Bash</v>
      </c>
      <c r="C491" s="9" t="str">
        <f>VLOOKUP(A491,'Sets (lua data)'!$A$3:$C$9838,2,FALSE)</f>
        <v>LeerenWucht</v>
      </c>
      <c r="D491" s="20" t="s">
        <v>4294</v>
      </c>
      <c r="G491" s="2" t="str">
        <f>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1">
        <v>559</v>
      </c>
      <c r="B492" s="9" t="str">
        <f>VLOOKUP(A492,'Sets (lua data)'!$A$3:$C$9838,3,FALSE)</f>
        <v>Frenzied Momentum</v>
      </c>
      <c r="C492" s="9" t="str">
        <f>VLOOKUP(A492,'Sets (lua data)'!$A$3:$C$9838,2,FALSE)</f>
        <v>Tobendes Momentum</v>
      </c>
    </row>
    <row r="493" spans="1:7" x14ac:dyDescent="0.25">
      <c r="A493" s="1">
        <v>560</v>
      </c>
      <c r="B493" s="9" t="str">
        <f>VLOOKUP(A493,'Sets (lua data)'!$A$3:$C$9838,3,FALSE)</f>
        <v>Point-Blank Snipe</v>
      </c>
      <c r="C493" s="9" t="str">
        <f>VLOOKUP(A493,'Sets (lua data)'!$A$3:$C$9838,2,FALSE)</f>
        <v>Volltreffer</v>
      </c>
    </row>
    <row r="494" spans="1:7" ht="105" x14ac:dyDescent="0.25">
      <c r="A494" s="1">
        <v>561</v>
      </c>
      <c r="B494" s="9" t="str">
        <f>VLOOKUP(A494,'Sets (lua data)'!$A$3:$C$9838,3,FALSE)</f>
        <v>Wrath of Elements</v>
      </c>
      <c r="C494" s="9" t="str">
        <f>VLOOKUP(A494,'Sets (lua data)'!$A$3:$C$9838,2,FALSE)</f>
        <v>Zorn der Elemente</v>
      </c>
      <c r="D494" s="20" t="s">
        <v>4295</v>
      </c>
      <c r="G494" s="2" t="str">
        <f>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1">
        <v>562</v>
      </c>
      <c r="B495" s="9" t="str">
        <f>VLOOKUP(A495,'Sets (lua data)'!$A$3:$C$9838,3,FALSE)</f>
        <v>Force Overflow</v>
      </c>
      <c r="C495" s="9" t="str">
        <f>VLOOKUP(A495,'Sets (lua data)'!$A$3:$C$9838,2,FALSE)</f>
        <v>Machtüberschuss</v>
      </c>
      <c r="D495" s="20" t="s">
        <v>4296</v>
      </c>
      <c r="G495" s="2" t="str">
        <f>IF(AND(A495&lt;&gt;"",NOT(ISERROR(A495)),ISNUMBER(A495),D495&lt;&gt;""),CONCATENATE("[",A495,"] = {",D495,"},","     --",B495," -&gt; ",E495," / ",F495),"")</f>
        <v xml:space="preserve">[562] = {[LIBSETS_SETPROC_CHECKTYPE_ABILITY_EVENT_COMBAT_EVENT] = {
    [1] = {
      ["abilityIds"] = {147875},
      ["cooldown"] = {10000},
      ["source"] = COMBAT_UNIT_TYPE_PLAYER,
    },
  },},     --Force Overflow -&gt;  / </v>
      </c>
    </row>
    <row r="496" spans="1:7" x14ac:dyDescent="0.25">
      <c r="A496" s="1">
        <v>563</v>
      </c>
      <c r="B496" s="9" t="str">
        <f>VLOOKUP(A496,'Sets (lua data)'!$A$3:$C$9838,3,FALSE)</f>
        <v>Perfected Executioner\'s Blade</v>
      </c>
      <c r="C496" s="9" t="str">
        <f>VLOOKUP(A496,'Sets (lua data)'!$A$3:$C$9838,2,FALSE)</f>
        <v>Perfektionierte Klinge des Henkers</v>
      </c>
    </row>
    <row r="497" spans="1:7" ht="105" x14ac:dyDescent="0.25">
      <c r="A497" s="1">
        <v>564</v>
      </c>
      <c r="B497" s="9" t="str">
        <f>VLOOKUP(A497,'Sets (lua data)'!$A$3:$C$9838,3,FALSE)</f>
        <v>Perfected Void Bash</v>
      </c>
      <c r="C497" s="9" t="str">
        <f>VLOOKUP(A497,'Sets (lua data)'!$A$3:$C$9838,2,FALSE)</f>
        <v>Perfektionierte Leerenwucht</v>
      </c>
      <c r="D497" s="20" t="s">
        <v>4294</v>
      </c>
      <c r="G497" s="2" t="str">
        <f>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1">
        <v>565</v>
      </c>
      <c r="B498" s="9" t="str">
        <f>VLOOKUP(A498,'Sets (lua data)'!$A$3:$C$9838,3,FALSE)</f>
        <v>Perfected Frenzied Momentum</v>
      </c>
      <c r="C498" s="9" t="str">
        <f>VLOOKUP(A498,'Sets (lua data)'!$A$3:$C$9838,2,FALSE)</f>
        <v>Perfektioniertes tobendes Momentum</v>
      </c>
    </row>
    <row r="499" spans="1:7" x14ac:dyDescent="0.25">
      <c r="A499" s="1">
        <v>566</v>
      </c>
      <c r="B499" s="9" t="str">
        <f>VLOOKUP(A499,'Sets (lua data)'!$A$3:$C$9838,3,FALSE)</f>
        <v>Perfected Point-Blank Snipe</v>
      </c>
      <c r="C499" s="9" t="str">
        <f>VLOOKUP(A499,'Sets (lua data)'!$A$3:$C$9838,2,FALSE)</f>
        <v>Perfektionierter Volltreffer</v>
      </c>
    </row>
    <row r="500" spans="1:7" ht="105" x14ac:dyDescent="0.25">
      <c r="A500" s="1">
        <v>567</v>
      </c>
      <c r="B500" s="9" t="str">
        <f>VLOOKUP(A500,'Sets (lua data)'!$A$3:$C$9838,3,FALSE)</f>
        <v>Perfected Wrath of Elements</v>
      </c>
      <c r="C500" s="9" t="str">
        <f>VLOOKUP(A500,'Sets (lua data)'!$A$3:$C$9838,2,FALSE)</f>
        <v>Perfektionierter Zorn der Elemente</v>
      </c>
      <c r="D500" s="20" t="s">
        <v>4295</v>
      </c>
      <c r="G500" s="2" t="str">
        <f>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1">
        <v>568</v>
      </c>
      <c r="B501" s="9" t="str">
        <f>VLOOKUP(A501,'Sets (lua data)'!$A$3:$C$9838,3,FALSE)</f>
        <v>Perfected Force Overflow</v>
      </c>
      <c r="C501" s="9" t="str">
        <f>VLOOKUP(A501,'Sets (lua data)'!$A$3:$C$9838,2,FALSE)</f>
        <v>Perfektionierter Machtüberschuss</v>
      </c>
      <c r="D501" s="20" t="s">
        <v>4296</v>
      </c>
      <c r="G501" s="2" t="str">
        <f>IF(AND(A501&lt;&gt;"",NOT(ISERROR(A501)),ISNUMBER(A501),D501&lt;&gt;""),CONCATENATE("[",A501,"] = {",D501,"},","     --",B501," -&gt; ",E501," / ",F501),"")</f>
        <v xml:space="preserve">[568] = {[LIBSETS_SETPROC_CHECKTYPE_ABILITY_EVENT_COMBAT_EVENT] = {
    [1] = {
      ["abilityIds"] = {147875},
      ["cooldown"] = {10000},
      ["source"] = COMBAT_UNIT_TYPE_PLAYER,
    },
  },},     --Perfected Force Overflow -&gt;  / </v>
      </c>
    </row>
    <row r="502" spans="1:7" x14ac:dyDescent="0.25">
      <c r="A502" s="1">
        <v>575</v>
      </c>
      <c r="B502" s="9" t="str">
        <f>VLOOKUP(A502,'Sets (lua data)'!$A$3:$C$9838,3,FALSE)</f>
        <v>Ring of the Pale Order</v>
      </c>
      <c r="C502" s="9" t="str">
        <f>VLOOKUP(A502,'Sets (lua data)'!$A$3:$C$9838,2,FALSE)</f>
        <v>Ring des Fahlen Ordens</v>
      </c>
    </row>
    <row r="503" spans="1:7" x14ac:dyDescent="0.25">
      <c r="A503" s="1">
        <v>576</v>
      </c>
      <c r="B503" s="9" t="str">
        <f>VLOOKUP(A503,'Sets (lua data)'!$A$3:$C$9838,3,FALSE)</f>
        <v>Pearls of Ehlnofey</v>
      </c>
      <c r="C503" s="9" t="str">
        <f>VLOOKUP(A503,'Sets (lua data)'!$A$3:$C$9838,2,FALSE)</f>
        <v>Perlen der Ehlnofey</v>
      </c>
    </row>
    <row r="504" spans="1:7" x14ac:dyDescent="0.25">
      <c r="A504" s="38">
        <v>569</v>
      </c>
      <c r="B504" s="9" t="str">
        <f>VLOOKUP(A504,'Sets (lua data)'!$A$3:$C$9838,3,FALSE)</f>
        <v>True-Sworn Fury </v>
      </c>
      <c r="C504" s="9" t="str">
        <f>VLOOKUP(A504,'Sets (lua data)'!$A$3:$C$9838,2,FALSE)</f>
        <v>Wahrgeschworenen-Raserei</v>
      </c>
    </row>
    <row r="505" spans="1:7" x14ac:dyDescent="0.25">
      <c r="A505" s="38">
        <v>570</v>
      </c>
      <c r="B505" s="9" t="str">
        <f>VLOOKUP(A505,'Sets (lua data)'!$A$3:$C$9838,3,FALSE)</f>
        <v>Kinras\'s Wrath</v>
      </c>
      <c r="C505" s="9" t="str">
        <f>VLOOKUP(A505,'Sets (lua data)'!$A$3:$C$9838,2,FALSE)</f>
        <v>Kinra's Zorn</v>
      </c>
    </row>
    <row r="506" spans="1:7" x14ac:dyDescent="0.25">
      <c r="A506" s="38">
        <v>571</v>
      </c>
      <c r="B506" s="9" t="str">
        <f>VLOOKUP(A506,'Sets (lua data)'!$A$3:$C$9838,3,FALSE)</f>
        <v>Drake\'s Rush</v>
      </c>
      <c r="C506" s="9" t="str">
        <f>VLOOKUP(A506,'Sets (lua data)'!$A$3:$C$9838,2,FALSE)</f>
        <v>Dracheneile</v>
      </c>
    </row>
    <row r="507" spans="1:7" x14ac:dyDescent="0.25">
      <c r="A507" s="38">
        <v>572</v>
      </c>
      <c r="B507" s="9" t="str">
        <f>VLOOKUP(A507,'Sets (lua data)'!$A$3:$C$9838,3,FALSE)</f>
        <v>Unleashed Ritualist</v>
      </c>
      <c r="C507" s="9" t="str">
        <f>VLOOKUP(A507,'Sets (lua data)'!$A$3:$C$9838,2,FALSE)</f>
        <v>Entfesselter Ritualist</v>
      </c>
    </row>
    <row r="508" spans="1:7" x14ac:dyDescent="0.25">
      <c r="A508" s="38">
        <v>573</v>
      </c>
      <c r="B508" s="9" t="str">
        <f>VLOOKUP(A508,'Sets (lua data)'!$A$3:$C$9838,3,FALSE)</f>
        <v>Dagon\'s Dominion</v>
      </c>
      <c r="C508" s="9" t="str">
        <f>VLOOKUP(A508,'Sets (lua data)'!$A$3:$C$9838,2,FALSE)</f>
        <v>Dagons Herrschaft</v>
      </c>
    </row>
    <row r="509" spans="1:7" x14ac:dyDescent="0.25">
      <c r="A509" s="38">
        <v>574</v>
      </c>
      <c r="B509" s="9" t="str">
        <f>VLOOKUP(A509,'Sets (lua data)'!$A$3:$C$9838,3,FALSE)</f>
        <v>Foolkiller\'s Ward</v>
      </c>
      <c r="C509" s="9" t="str">
        <f>VLOOKUP(A509,'Sets (lua data)'!$A$3:$C$9838,2,FALSE)</f>
        <v>Schutz des Narrentöters</v>
      </c>
    </row>
    <row r="510" spans="1:7" x14ac:dyDescent="0.25">
      <c r="A510" s="38">
        <v>577</v>
      </c>
      <c r="B510" s="9" t="str">
        <f>VLOOKUP(A510,'Sets (lua data)'!$A$3:$C$9838,3,FALSE)</f>
        <v>Encrati\'s Behemoth</v>
      </c>
      <c r="C510" s="9" t="str">
        <f>VLOOKUP(A510,'Sets (lua data)'!$A$3:$C$9838,2,FALSE)</f>
        <v>Encrati\'s Behemoth</v>
      </c>
    </row>
    <row r="511" spans="1:7" x14ac:dyDescent="0.25">
      <c r="A511" s="38">
        <v>578</v>
      </c>
      <c r="B511" s="9" t="str">
        <f>VLOOKUP(A511,'Sets (lua data)'!$A$3:$C$9838,3,FALSE)</f>
        <v>Baron Zaudrus</v>
      </c>
      <c r="C511" s="9" t="str">
        <f>VLOOKUP(A511,'Sets (lua data)'!$A$3:$C$9838,2,FALSE)</f>
        <v>Baron Zaudrus</v>
      </c>
    </row>
  </sheetData>
  <autoFilter ref="A2:G503" xr:uid="{00000000-0009-0000-0000-000012000000}">
    <sortState xmlns:xlrd2="http://schemas.microsoft.com/office/spreadsheetml/2017/richdata2" ref="A3:A503">
      <sortCondition ref="A2:A503"/>
    </sortState>
  </autoFilter>
  <mergeCells count="1">
    <mergeCell ref="A1:C1"/>
  </mergeCells>
  <pageMargins left="0.7" right="0.7" top="0.78749999999999998" bottom="0.78749999999999998" header="0.3" footer="0.3"/>
  <pageSetup paperSize="9" fitToWidth="0"/>
  <extLst>
    <ext uri="smNativeData">
      <pm:sheetPrefs xmlns:pm="smNativeData" day="1776253831"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ConstDLCIds</vt:lpstr>
      <vt:lpstr>ConstDLCTypes</vt:lpstr>
      <vt:lpstr>ConstSetTypes</vt:lpstr>
      <vt:lpstr>ConstDropMechs</vt:lpstr>
      <vt:lpstr>ConstUndauChest</vt:lpstr>
      <vt:lpstr>ConstSetProcTypes</vt:lpstr>
      <vt:lpstr>Sets (lua data)</vt:lpstr>
      <vt:lpstr>Comments</vt:lpstr>
      <vt:lpstr>ESO Set&amp;DLCs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Ziegelt, Patrik</cp:lastModifiedBy>
  <cp:revision>0</cp:revision>
  <dcterms:created xsi:type="dcterms:W3CDTF">2019-05-11T16:06:47Z</dcterms:created>
  <dcterms:modified xsi:type="dcterms:W3CDTF">2026-09-20T13:09:58Z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5394ae5-69af-439d-af88-cb521c31c0c5_Enabled">
    <vt:lpwstr>true</vt:lpwstr>
  </property>
  <property fmtid="{D5CDD505-2E9C-101B-9397-08002B2CF9AE}" pid="3" name="MSIP_Label_15394ae5-69af-439d-af88-cb521c31c0c5_SetDate">
    <vt:lpwstr>2026-04-15T12:14:13Z</vt:lpwstr>
  </property>
  <property fmtid="{D5CDD505-2E9C-101B-9397-08002B2CF9AE}" pid="4" name="MSIP_Label_15394ae5-69af-439d-af88-cb521c31c0c5_Method">
    <vt:lpwstr>Standard</vt:lpwstr>
  </property>
  <property fmtid="{D5CDD505-2E9C-101B-9397-08002B2CF9AE}" pid="5" name="MSIP_Label_15394ae5-69af-439d-af88-cb521c31c0c5_Name">
    <vt:lpwstr>DXC Internal</vt:lpwstr>
  </property>
  <property fmtid="{D5CDD505-2E9C-101B-9397-08002B2CF9AE}" pid="6" name="MSIP_Label_15394ae5-69af-439d-af88-cb521c31c0c5_SiteId">
    <vt:lpwstr>93f33571-550f-43cf-b09f-cd331338d086</vt:lpwstr>
  </property>
  <property fmtid="{D5CDD505-2E9C-101B-9397-08002B2CF9AE}" pid="7" name="MSIP_Label_15394ae5-69af-439d-af88-cb521c31c0c5_ActionId">
    <vt:lpwstr>615d21c5-b1a6-4570-a82d-44b6a46ec2d5</vt:lpwstr>
  </property>
  <property fmtid="{D5CDD505-2E9C-101B-9397-08002B2CF9AE}" pid="8" name="MSIP_Label_15394ae5-69af-439d-af88-cb521c31c0c5_ContentBits">
    <vt:lpwstr>0</vt:lpwstr>
  </property>
  <property fmtid="{D5CDD505-2E9C-101B-9397-08002B2CF9AE}" pid="9" name="MSIP_Label_15394ae5-69af-439d-af88-cb521c31c0c5_Tag">
    <vt:lpwstr>10, 3, 0, 1</vt:lpwstr>
  </property>
</Properties>
</file>