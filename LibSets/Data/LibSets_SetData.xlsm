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0860F625-F65B-4E86-A161-6F81E388D986}"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4" i="4" l="1"/>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D84" i="20"/>
  <c r="J84" i="20" s="1"/>
  <c r="D85" i="20"/>
  <c r="J85" i="20" s="1"/>
  <c r="I85" i="20"/>
  <c r="H85" i="20"/>
  <c r="G85" i="20"/>
  <c r="I84" i="20"/>
  <c r="H84" i="20"/>
  <c r="G84" i="20"/>
  <c r="AK574" i="4" l="1"/>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T644" i="4"/>
  <c r="T645" i="4"/>
  <c r="T646" i="4"/>
  <c r="T647" i="4"/>
  <c r="T648" i="4"/>
  <c r="R644" i="4"/>
  <c r="Z644" i="4"/>
  <c r="AA644" i="4" s="1"/>
  <c r="AF644" i="4"/>
  <c r="AG644" i="4" s="1"/>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Z645" i="4"/>
  <c r="AA645" i="4" s="1"/>
  <c r="AF645" i="4"/>
  <c r="AG645" i="4" s="1"/>
  <c r="AK645" i="4"/>
  <c r="AP645" i="4"/>
  <c r="AU645" i="4"/>
  <c r="T637" i="4"/>
  <c r="Z637" i="4"/>
  <c r="AA637" i="4" s="1"/>
  <c r="AF637" i="4"/>
  <c r="AG637" i="4" s="1"/>
  <c r="AK637" i="4"/>
  <c r="AP637" i="4"/>
  <c r="AU637" i="4"/>
  <c r="T638" i="4"/>
  <c r="Z638" i="4"/>
  <c r="AA638" i="4" s="1"/>
  <c r="AF638" i="4"/>
  <c r="AG638" i="4" s="1"/>
  <c r="AK638" i="4"/>
  <c r="AP638" i="4"/>
  <c r="AU638" i="4"/>
  <c r="T639" i="4"/>
  <c r="Z639" i="4"/>
  <c r="AA639" i="4" s="1"/>
  <c r="AF639" i="4"/>
  <c r="AG639" i="4" s="1"/>
  <c r="AK639" i="4"/>
  <c r="AP639" i="4"/>
  <c r="AU639" i="4"/>
  <c r="T640" i="4"/>
  <c r="Z640" i="4"/>
  <c r="AA640" i="4" s="1"/>
  <c r="AF640" i="4"/>
  <c r="AG640" i="4" s="1"/>
  <c r="AK640" i="4"/>
  <c r="AP640" i="4"/>
  <c r="AU640" i="4"/>
  <c r="T641" i="4"/>
  <c r="Z641" i="4"/>
  <c r="AA641" i="4" s="1"/>
  <c r="AF641" i="4"/>
  <c r="AG641" i="4" s="1"/>
  <c r="AK641" i="4"/>
  <c r="AP641" i="4"/>
  <c r="AU641" i="4"/>
  <c r="T642" i="4"/>
  <c r="Z642" i="4"/>
  <c r="AA642" i="4" s="1"/>
  <c r="AF642" i="4"/>
  <c r="AG642" i="4" s="1"/>
  <c r="AK642" i="4"/>
  <c r="AP642" i="4"/>
  <c r="AU642" i="4"/>
  <c r="R637" i="4"/>
  <c r="R638" i="4"/>
  <c r="R639" i="4"/>
  <c r="R640" i="4"/>
  <c r="R641" i="4"/>
  <c r="R642" i="4"/>
  <c r="R643" i="4"/>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7"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8" i="20"/>
  <c r="D103"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6"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BH422" i="4" s="1"/>
  <c r="AC421" i="4"/>
  <c r="BH421" i="4" s="1"/>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BH420" i="4" l="1"/>
  <c r="BI644" i="4"/>
  <c r="BI643" i="4"/>
  <c r="BI629" i="4"/>
  <c r="BI638" i="4"/>
  <c r="BI607" i="4"/>
  <c r="BI641" i="4"/>
  <c r="BI540" i="4"/>
  <c r="BI524" i="4"/>
  <c r="BI281" i="4"/>
  <c r="BI156" i="4"/>
  <c r="BI71" i="4"/>
  <c r="BI589" i="4"/>
  <c r="BI639" i="4"/>
  <c r="BI422" i="4"/>
  <c r="BI368" i="4"/>
  <c r="BI279" i="4"/>
  <c r="BI211" i="4"/>
  <c r="BI170" i="4"/>
  <c r="BI154" i="4"/>
  <c r="BI45" i="4"/>
  <c r="BI588" i="4"/>
  <c r="BI199" i="4"/>
  <c r="BI161" i="4"/>
  <c r="BI108" i="4"/>
  <c r="BF328" i="4"/>
  <c r="U643" i="4"/>
  <c r="BE643" i="4"/>
  <c r="BI198" i="4"/>
  <c r="BI107" i="4"/>
  <c r="BI91" i="4"/>
  <c r="BI34" i="4"/>
  <c r="BF287" i="4"/>
  <c r="U628" i="4"/>
  <c r="BE628" i="4"/>
  <c r="U639" i="4"/>
  <c r="BE639" i="4"/>
  <c r="BI647" i="4"/>
  <c r="BI197" i="4"/>
  <c r="BI106" i="4"/>
  <c r="BI90" i="4"/>
  <c r="BI74" i="4"/>
  <c r="BI32" i="4"/>
  <c r="BI9" i="4"/>
  <c r="BF282" i="4"/>
  <c r="BI542" i="4"/>
  <c r="BI196" i="4"/>
  <c r="BI49" i="4"/>
  <c r="BF281" i="4"/>
  <c r="Q645" i="4"/>
  <c r="BF645" i="4" s="1"/>
  <c r="BI645" i="4"/>
  <c r="BI541" i="4"/>
  <c r="BI525" i="4"/>
  <c r="BI282" i="4"/>
  <c r="BI173" i="4"/>
  <c r="BI157" i="4"/>
  <c r="BF280" i="4"/>
  <c r="BI642" i="4"/>
  <c r="BI646" i="4"/>
  <c r="BI559" i="4"/>
  <c r="BF279" i="4"/>
  <c r="U641" i="4"/>
  <c r="BE641" i="4"/>
  <c r="BI172" i="4"/>
  <c r="BI558" i="4"/>
  <c r="BI523" i="4"/>
  <c r="BI369" i="4"/>
  <c r="BI280" i="4"/>
  <c r="BI171" i="4"/>
  <c r="BI86" i="4"/>
  <c r="BI23" i="4"/>
  <c r="BF173" i="4"/>
  <c r="BI640" i="4"/>
  <c r="U638" i="4"/>
  <c r="BE638" i="4"/>
  <c r="BI421" i="4"/>
  <c r="BI367" i="4"/>
  <c r="BI329" i="4"/>
  <c r="BI210" i="4"/>
  <c r="BI169" i="4"/>
  <c r="BI153" i="4"/>
  <c r="BI628" i="4"/>
  <c r="BF171" i="4"/>
  <c r="BI420" i="4"/>
  <c r="BI366" i="4"/>
  <c r="BI328" i="4"/>
  <c r="BI209" i="4"/>
  <c r="BI168" i="4"/>
  <c r="BI152" i="4"/>
  <c r="BI83" i="4"/>
  <c r="BI67" i="4"/>
  <c r="BI587" i="4"/>
  <c r="BI627" i="4"/>
  <c r="U576" i="4"/>
  <c r="BE576" i="4"/>
  <c r="BI637" i="4"/>
  <c r="BI554" i="4"/>
  <c r="BI365" i="4"/>
  <c r="BI208" i="4"/>
  <c r="BI167" i="4"/>
  <c r="BI114" i="4"/>
  <c r="BI82" i="4"/>
  <c r="BI66" i="4"/>
  <c r="BI553" i="4"/>
  <c r="BI364" i="4"/>
  <c r="BI113" i="4"/>
  <c r="BI65" i="4"/>
  <c r="BI41" i="4"/>
  <c r="U640" i="4"/>
  <c r="BE640" i="4"/>
  <c r="U648" i="4"/>
  <c r="BE648" i="4"/>
  <c r="BI69" i="4"/>
  <c r="BI552" i="4"/>
  <c r="BI165" i="4"/>
  <c r="BI112" i="4"/>
  <c r="U647" i="4"/>
  <c r="BE647" i="4"/>
  <c r="BI164" i="4"/>
  <c r="BI111" i="4"/>
  <c r="BI95" i="4"/>
  <c r="BI79" i="4"/>
  <c r="BI58" i="4"/>
  <c r="U637" i="4"/>
  <c r="BE637" i="4"/>
  <c r="U646" i="4"/>
  <c r="BE646" i="4"/>
  <c r="BF172" i="4"/>
  <c r="BI201" i="4"/>
  <c r="BI110" i="4"/>
  <c r="BI648" i="4"/>
  <c r="U645" i="4"/>
  <c r="BE645" i="4"/>
  <c r="BI557" i="4"/>
  <c r="BI287" i="4"/>
  <c r="BI200" i="4"/>
  <c r="BI109" i="4"/>
  <c r="BI93" i="4"/>
  <c r="BI77" i="4"/>
  <c r="BF329" i="4"/>
  <c r="U642" i="4"/>
  <c r="BE642" i="4"/>
  <c r="U644" i="4"/>
  <c r="BE644" i="4"/>
  <c r="J37"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6" i="20" s="1"/>
  <c r="J96"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BF316" i="4" s="1"/>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F302" i="4" l="1"/>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Q592" i="4"/>
  <c r="BF592"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Q584" i="4"/>
  <c r="BF584" i="4" s="1"/>
  <c r="Q598" i="4"/>
  <c r="BF598"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Q590" i="4"/>
  <c r="BF590"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Q597" i="4"/>
  <c r="BF597"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Q596" i="4"/>
  <c r="BF596"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Q582" i="4"/>
  <c r="BF582" i="4" s="1"/>
  <c r="AA479" i="4"/>
  <c r="BI479" i="4" s="1"/>
  <c r="Q591" i="4"/>
  <c r="BF591"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Q586" i="4"/>
  <c r="BF586"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Q583" i="4"/>
  <c r="BF583"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Q595" i="4"/>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BF606" i="4" s="1"/>
  <c r="Q603" i="4"/>
  <c r="BF603" i="4" s="1"/>
  <c r="Q605" i="4"/>
  <c r="BF605" i="4" s="1"/>
  <c r="AP612" i="4"/>
  <c r="Q604" i="4"/>
  <c r="BF604" i="4" s="1"/>
  <c r="Q601" i="4"/>
  <c r="BF601" i="4" s="1"/>
  <c r="D82" i="20"/>
  <c r="J82" i="20" s="1"/>
  <c r="Q600" i="4"/>
  <c r="BF600" i="4" s="1"/>
  <c r="Q599" i="4"/>
  <c r="BF599" i="4" s="1"/>
  <c r="Q602" i="4"/>
  <c r="BF602" i="4" s="1"/>
  <c r="AP610" i="4"/>
  <c r="Q308" i="4"/>
  <c r="BF308" i="4" s="1"/>
  <c r="Q309" i="4"/>
  <c r="Q307" i="4"/>
  <c r="BF307" i="4" s="1"/>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AD503" i="4"/>
  <c r="D498" i="4"/>
  <c r="D499" i="4"/>
  <c r="D500" i="4"/>
  <c r="D504" i="4"/>
  <c r="AC504" i="4"/>
  <c r="AD504" i="4"/>
  <c r="BH504" i="4" l="1"/>
  <c r="BH503" i="4"/>
  <c r="BF309" i="4"/>
  <c r="Q288" i="4"/>
  <c r="BF288" i="4" s="1"/>
  <c r="Q295" i="4"/>
  <c r="BF295" i="4" s="1"/>
  <c r="Q290" i="4"/>
  <c r="BF290" i="4" s="1"/>
  <c r="Q289" i="4"/>
  <c r="BF289" i="4" s="1"/>
  <c r="Q293" i="4"/>
  <c r="BF293" i="4" s="1"/>
  <c r="Q292" i="4"/>
  <c r="BF292" i="4" s="1"/>
  <c r="Q294" i="4"/>
  <c r="BF294" i="4" s="1"/>
  <c r="Q291" i="4"/>
  <c r="BF291" i="4" s="1"/>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6" i="20"/>
  <c r="I87" i="20"/>
  <c r="I88" i="20"/>
  <c r="I89" i="20"/>
  <c r="I90" i="20"/>
  <c r="I91" i="20"/>
  <c r="I92" i="20"/>
  <c r="I93" i="20"/>
  <c r="I94" i="20"/>
  <c r="I95" i="20"/>
  <c r="I98" i="20"/>
  <c r="I99" i="20"/>
  <c r="I100" i="20"/>
  <c r="I101" i="20"/>
  <c r="I102" i="20"/>
  <c r="I103" i="20"/>
  <c r="I104" i="20"/>
  <c r="I105" i="20"/>
  <c r="I106" i="20"/>
  <c r="I107" i="20"/>
  <c r="I108" i="20"/>
  <c r="I109" i="20"/>
  <c r="I110" i="20"/>
  <c r="I111"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6" i="20"/>
  <c r="H87" i="20"/>
  <c r="H88" i="20"/>
  <c r="H89" i="20"/>
  <c r="H90" i="20"/>
  <c r="H91" i="20"/>
  <c r="H92" i="20"/>
  <c r="H93" i="20"/>
  <c r="H94" i="20"/>
  <c r="H95" i="20"/>
  <c r="H98" i="20"/>
  <c r="H99" i="20"/>
  <c r="H100" i="20"/>
  <c r="H101" i="20"/>
  <c r="H102" i="20"/>
  <c r="H103" i="20"/>
  <c r="H104" i="20"/>
  <c r="H105" i="20"/>
  <c r="H106" i="20"/>
  <c r="H107" i="20"/>
  <c r="H108" i="20"/>
  <c r="H109" i="20"/>
  <c r="H110" i="20"/>
  <c r="H111"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6" i="20"/>
  <c r="G87" i="20"/>
  <c r="G88" i="20"/>
  <c r="G89" i="20"/>
  <c r="G90" i="20"/>
  <c r="G91" i="20"/>
  <c r="G92" i="20"/>
  <c r="G93" i="20"/>
  <c r="G94" i="20"/>
  <c r="G95" i="20"/>
  <c r="G98" i="20"/>
  <c r="G99" i="20"/>
  <c r="G100" i="20"/>
  <c r="G101" i="20"/>
  <c r="G102" i="20"/>
  <c r="G103" i="20"/>
  <c r="G104" i="20"/>
  <c r="G105" i="20"/>
  <c r="G106" i="20"/>
  <c r="G107" i="20"/>
  <c r="G108" i="20"/>
  <c r="G109" i="20"/>
  <c r="G110" i="20"/>
  <c r="G111" i="20"/>
  <c r="J111"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6" i="20"/>
  <c r="J86" i="20" s="1"/>
  <c r="C98" i="20"/>
  <c r="J98" i="20" s="1"/>
  <c r="C103" i="20"/>
  <c r="J103" i="20" s="1"/>
  <c r="C107" i="20"/>
  <c r="J107" i="20" s="1"/>
  <c r="C4" i="20"/>
  <c r="C5" i="20"/>
  <c r="C6" i="20"/>
  <c r="C7" i="20"/>
  <c r="C8" i="20"/>
  <c r="C9" i="20"/>
  <c r="J9" i="20" s="1"/>
  <c r="C3" i="20"/>
  <c r="J3" i="20" s="1"/>
  <c r="J43" i="20" l="1"/>
  <c r="J47" i="20"/>
  <c r="J45" i="20"/>
  <c r="J106" i="20"/>
  <c r="J54" i="20"/>
  <c r="J44" i="20"/>
  <c r="J108"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BF636" i="4" s="1"/>
  <c r="Q633" i="4"/>
  <c r="BF633" i="4" s="1"/>
  <c r="Q616" i="4"/>
  <c r="Q613" i="4"/>
  <c r="BF613" i="4" s="1"/>
  <c r="Q631" i="4"/>
  <c r="BF631" i="4" s="1"/>
  <c r="Q618" i="4"/>
  <c r="Q632" i="4"/>
  <c r="BF632" i="4" s="1"/>
  <c r="Q635" i="4"/>
  <c r="BF635" i="4" s="1"/>
  <c r="Q615" i="4"/>
  <c r="BF615" i="4" s="1"/>
  <c r="Q617" i="4"/>
  <c r="Q630" i="4"/>
  <c r="BF630" i="4" s="1"/>
  <c r="Q634" i="4"/>
  <c r="BF634" i="4" s="1"/>
  <c r="AK618" i="4"/>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BF617" i="4"/>
  <c r="BF618" i="4"/>
  <c r="BF616" i="4"/>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BH473" i="4" s="1"/>
  <c r="AD473" i="4"/>
  <c r="AC472" i="4"/>
  <c r="BH472" i="4" s="1"/>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BF283" i="4" s="1"/>
  <c r="Q285" i="4"/>
  <c r="BF285" i="4" s="1"/>
  <c r="Q286" i="4"/>
  <c r="BF286" i="4" s="1"/>
  <c r="Q284" i="4"/>
  <c r="BF28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BF141" i="4" s="1"/>
  <c r="I351" i="7"/>
  <c r="K351" i="7"/>
  <c r="F971" i="7"/>
  <c r="H971" i="7"/>
  <c r="Q142" i="4" s="1"/>
  <c r="BF142" i="4" s="1"/>
  <c r="I971" i="7"/>
  <c r="K971" i="7"/>
  <c r="F352" i="7"/>
  <c r="H352" i="7"/>
  <c r="Q143" i="4" s="1"/>
  <c r="BF143" i="4" s="1"/>
  <c r="I352" i="7"/>
  <c r="K352" i="7"/>
  <c r="F353" i="7"/>
  <c r="H353" i="7"/>
  <c r="Q140" i="4" s="1"/>
  <c r="BF140" i="4" s="1"/>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BI411" i="4" s="1"/>
  <c r="N390" i="18"/>
  <c r="N384" i="18"/>
  <c r="N398" i="18"/>
  <c r="R431" i="4" s="1"/>
  <c r="BI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6" i="20"/>
  <c r="D107"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04" i="4" l="1"/>
  <c r="BF304" i="4" s="1"/>
  <c r="Q335" i="4"/>
  <c r="BF335" i="4" s="1"/>
  <c r="Q305" i="4"/>
  <c r="BF305" i="4" s="1"/>
  <c r="Q576" i="4"/>
  <c r="BF576" i="4" s="1"/>
  <c r="Q306" i="4"/>
  <c r="BF30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7" i="20" l="1"/>
  <c r="J97" i="20" s="1"/>
  <c r="Q621" i="4"/>
  <c r="BF621" i="4" s="1"/>
  <c r="Q626" i="4"/>
  <c r="BF626" i="4" s="1"/>
  <c r="Q620" i="4"/>
  <c r="BF620" i="4" s="1"/>
  <c r="Q625" i="4"/>
  <c r="BF625" i="4" s="1"/>
  <c r="Q624" i="4"/>
  <c r="BF624" i="4" s="1"/>
  <c r="Q623" i="4"/>
  <c r="BF623" i="4" s="1"/>
  <c r="Q622" i="4"/>
  <c r="BF622" i="4" s="1"/>
  <c r="Q619" i="4"/>
  <c r="BF619" i="4" s="1"/>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8" i="20" s="1"/>
  <c r="J88"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0" i="20" s="1"/>
  <c r="J90"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91" i="20" s="1"/>
  <c r="J91" i="20" s="1"/>
  <c r="I242" i="7"/>
  <c r="H243" i="7"/>
  <c r="I243" i="7"/>
  <c r="H244" i="7"/>
  <c r="I244" i="7"/>
  <c r="H245" i="7"/>
  <c r="J26"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2" i="20"/>
  <c r="J92"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4" i="20" s="1"/>
  <c r="J94"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D33" i="20"/>
  <c r="J33" i="20" s="1"/>
  <c r="Q505" i="4"/>
  <c r="Q506" i="4"/>
  <c r="AK506" i="4"/>
  <c r="AK505" i="4"/>
  <c r="AK507" i="4"/>
  <c r="Q508" i="4"/>
  <c r="BF508" i="4" s="1"/>
  <c r="Q520" i="4"/>
  <c r="Q521" i="4"/>
  <c r="Q509" i="4"/>
  <c r="BF509" i="4" s="1"/>
  <c r="Q519" i="4"/>
  <c r="Q510" i="4"/>
  <c r="BF510" i="4" s="1"/>
  <c r="Q643" i="4"/>
  <c r="BF643" i="4" s="1"/>
  <c r="Q637" i="4"/>
  <c r="BF637" i="4" s="1"/>
  <c r="Q639" i="4"/>
  <c r="BF639" i="4" s="1"/>
  <c r="Q638" i="4"/>
  <c r="BF638" i="4" s="1"/>
  <c r="Q144" i="4"/>
  <c r="BF144" i="4" s="1"/>
  <c r="Q517" i="4"/>
  <c r="BF517" i="4" s="1"/>
  <c r="Q516" i="4"/>
  <c r="BF516" i="4" s="1"/>
  <c r="Q515" i="4"/>
  <c r="BF515" i="4" s="1"/>
  <c r="Q513" i="4"/>
  <c r="BF513" i="4" s="1"/>
  <c r="Q514" i="4"/>
  <c r="BF514" i="4" s="1"/>
  <c r="Q512" i="4"/>
  <c r="BF512" i="4" s="1"/>
  <c r="Q518" i="4"/>
  <c r="BF518" i="4" s="1"/>
  <c r="Q511" i="4"/>
  <c r="BF511" i="4" s="1"/>
  <c r="AP458" i="4"/>
  <c r="AK595" i="4"/>
  <c r="BF595" i="4" s="1"/>
  <c r="Q548" i="4"/>
  <c r="BF548" i="4" s="1"/>
  <c r="Q546" i="4"/>
  <c r="BF546" i="4" s="1"/>
  <c r="Q547" i="4"/>
  <c r="BF547" i="4" s="1"/>
  <c r="D79" i="20"/>
  <c r="J79"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2" i="20"/>
  <c r="J102"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BF563" i="4" s="1"/>
  <c r="Q564" i="4"/>
  <c r="Q560" i="4"/>
  <c r="BF560" i="4" s="1"/>
  <c r="AK611" i="4"/>
  <c r="BF611" i="4" s="1"/>
  <c r="Q545" i="4"/>
  <c r="BF545" i="4" s="1"/>
  <c r="D78" i="20"/>
  <c r="J78" i="20" s="1"/>
  <c r="Q544" i="4"/>
  <c r="BF544" i="4" s="1"/>
  <c r="Q555" i="4"/>
  <c r="BF555" i="4" s="1"/>
  <c r="Q543" i="4"/>
  <c r="BF543" i="4" s="1"/>
  <c r="AK550" i="4"/>
  <c r="Q503" i="4"/>
  <c r="BF503" i="4" s="1"/>
  <c r="Q497" i="4"/>
  <c r="BF497" i="4" s="1"/>
  <c r="Q496" i="4"/>
  <c r="BF496" i="4" s="1"/>
  <c r="Q495" i="4"/>
  <c r="BF495" i="4" s="1"/>
  <c r="Q642" i="4"/>
  <c r="BF642" i="4" s="1"/>
  <c r="Q641" i="4"/>
  <c r="BF641" i="4" s="1"/>
  <c r="Q644" i="4"/>
  <c r="BF644" i="4" s="1"/>
  <c r="Q640" i="4"/>
  <c r="BF640" i="4" s="1"/>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BF406" i="4" s="1"/>
  <c r="Q408" i="4"/>
  <c r="BF408" i="4" s="1"/>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BF46" i="4" s="1"/>
  <c r="Q244" i="4"/>
  <c r="Q88" i="4"/>
  <c r="BF88" i="4" s="1"/>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BF445" i="4" s="1"/>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BF116" i="4" s="1"/>
  <c r="Q250" i="4"/>
  <c r="Q81" i="4"/>
  <c r="BF81" i="4" s="1"/>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99" i="20"/>
  <c r="J99" i="20" s="1"/>
  <c r="AU577" i="4"/>
  <c r="AP519" i="4"/>
  <c r="AK457" i="4"/>
  <c r="AK575" i="4"/>
  <c r="AP207" i="4"/>
  <c r="AP575" i="4"/>
  <c r="D105" i="20"/>
  <c r="J105" i="20" s="1"/>
  <c r="AK459" i="4"/>
  <c r="AP574" i="4"/>
  <c r="D100" i="20"/>
  <c r="J100" i="20" s="1"/>
  <c r="AK578" i="4"/>
  <c r="AK520" i="4"/>
  <c r="AP578" i="4"/>
  <c r="D101" i="20"/>
  <c r="J101"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4" i="20"/>
  <c r="J104"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10" i="20"/>
  <c r="J110" i="20" s="1"/>
  <c r="D66" i="20"/>
  <c r="J66" i="20" s="1"/>
  <c r="D93" i="20"/>
  <c r="J93" i="20" s="1"/>
  <c r="J32" i="20"/>
  <c r="D100" i="5"/>
  <c r="D95" i="20"/>
  <c r="J95" i="20" s="1"/>
  <c r="D79" i="5"/>
  <c r="D89" i="20"/>
  <c r="J89"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7" i="20"/>
  <c r="J87"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9" i="20"/>
  <c r="J109"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646" i="4" l="1"/>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97" i="4"/>
  <c r="BE97" i="4" s="1"/>
  <c r="T241" i="4"/>
  <c r="BE241" i="4" s="1"/>
  <c r="T455" i="4"/>
  <c r="BE455" i="4" s="1"/>
  <c r="T235" i="4"/>
  <c r="BE235" i="4" s="1"/>
  <c r="T40" i="4"/>
  <c r="BE40" i="4" s="1"/>
  <c r="T240" i="4"/>
  <c r="BE240" i="4" s="1"/>
  <c r="T125" i="4"/>
  <c r="BE125" i="4" s="1"/>
  <c r="T162" i="4"/>
  <c r="BE162" i="4" s="1"/>
  <c r="T98" i="4"/>
  <c r="BE98"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100" i="4"/>
  <c r="BE10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173" i="4"/>
  <c r="BE173" i="4" s="1"/>
  <c r="T171" i="4"/>
  <c r="BE171" i="4" s="1"/>
  <c r="T602" i="4"/>
  <c r="BE602" i="4" s="1"/>
  <c r="T606" i="4"/>
  <c r="BE606" i="4" s="1"/>
  <c r="T601" i="4"/>
  <c r="BE601" i="4" s="1"/>
  <c r="T605" i="4"/>
  <c r="BE605" i="4" s="1"/>
  <c r="T172" i="4"/>
  <c r="BE172"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99" i="4"/>
  <c r="BE99"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101" i="4"/>
  <c r="BE101"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102" i="4"/>
  <c r="BE10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<sst xmlns="http://schemas.openxmlformats.org/spreadsheetml/2006/main" count="11367" uniqueCount="3961">
  <si>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</si>
  <si>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</si>
  <si>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</si>
  <si>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</si>
  <si>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</si>
  <si>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</si>
  <si>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</si>
  <si>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</si>
  <si>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</si>
  <si>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</si>
  <si>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</si>
  <si>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</si>
  <si>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</si>
  <si>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</si>
  <si>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</si>
  <si>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</si>
  <si>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</si>
  <si>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</si>
  <si>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</si>
  <si>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</si>
  <si>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</si>
  <si>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</si>
  <si>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</si>
  <si>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</si>
  <si>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</si>
  <si>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</si>
  <si>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</si>
  <si>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</si>
  <si>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</si>
  <si>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</si>
  <si>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</si>
  <si>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</si>
  <si>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</si>
  <si>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</si>
  <si>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</si>
  <si>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</si>
  <si>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</si>
  <si>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</si>
  <si>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</si>
  <si>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</si>
  <si>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</si>
  <si>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</si>
  <si>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</si>
  <si>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</si>
  <si>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</si>
  <si>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</si>
  <si>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</si>
  <si>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</si>
  <si>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</si>
  <si>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</si>
  <si>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</si>
  <si>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</si>
  <si>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</si>
  <si>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</si>
  <si>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</si>
  <si>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</si>
  <si>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</si>
  <si>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</si>
  <si>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</si>
  <si>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</si>
  <si>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</si>
  <si>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</si>
  <si>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</si>
  <si>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</si>
  <si>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</si>
  <si>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</si>
  <si>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</si>
  <si>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</si>
  <si>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</si>
  <si>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</si>
  <si>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</si>
  <si>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</si>
  <si>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</si>
  <si>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</si>
  <si>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</si>
  <si>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</si>
  <si>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</si>
  <si>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</si>
  <si>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</si>
  <si>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</si>
  <si>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</si>
  <si>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</si>
  <si>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</si>
  <si>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</si>
  <si>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</si>
  <si>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</si>
  <si>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</si>
  <si>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</si>
  <si>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</si>
  <si>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</si>
  <si>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</si>
  <si>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</si>
  <si>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</si>
  <si>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</si>
  <si>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</si>
  <si>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</si>
  <si>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</si>
  <si>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</si>
  <si>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</si>
  <si>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</si>
  <si>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</si>
  <si>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</si>
  <si>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</si>
  <si>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</si>
  <si>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</si>
  <si>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</si>
  <si>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</si>
  <si>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</si>
  <si>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</si>
  <si>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</si>
  <si>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</si>
  <si>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</si>
  <si>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</si>
  <si>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</si>
  <si>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</si>
  <si>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</si>
  <si>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</si>
  <si>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</si>
  <si>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</si>
  <si>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</si>
  <si>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</si>
  <si>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</si>
  <si>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</si>
  <si>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</si>
  <si>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</si>
  <si>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</si>
  <si>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</si>
  <si>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</si>
  <si>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</si>
  <si>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</si>
  <si>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</si>
  <si>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</si>
  <si>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</si>
  <si>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</si>
  <si>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</si>
  <si>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</si>
  <si>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</si>
  <si>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</si>
  <si>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</si>
  <si>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</si>
  <si>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</si>
  <si>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</si>
  <si>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</si>
  <si>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</si>
  <si>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</si>
  <si>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</si>
  <si>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</si>
  <si>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</si>
  <si>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</si>
  <si>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</si>
  <si>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</si>
  <si>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</si>
  <si>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</si>
  <si>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</si>
  <si>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</si>
  <si>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</si>
  <si>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</si>
  <si>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</si>
  <si>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</si>
  <si>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</si>
  <si>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</si>
  <si>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</si>
  <si>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</si>
  <si>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</si>
  <si>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</si>
  <si>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</si>
  <si>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</si>
  <si>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</si>
  <si>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</si>
  <si>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</si>
  <si>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</si>
  <si>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</si>
  <si>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</si>
  <si>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</si>
  <si>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</si>
  <si>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</si>
  <si>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</si>
  <si>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</si>
  <si>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</si>
  <si>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</si>
  <si>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</si>
  <si>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</si>
  <si>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</si>
  <si>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</si>
  <si>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</si>
  <si>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</si>
  <si>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</si>
  <si>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</si>
  <si>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</si>
  <si>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</si>
  <si>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</si>
  <si>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</si>
  <si>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</si>
  <si>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</si>
  <si>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</si>
  <si>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</si>
  <si>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</si>
  <si>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</si>
  <si>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</si>
  <si>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</si>
  <si>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</si>
  <si>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</si>
  <si>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</si>
  <si>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</si>
  <si>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</si>
  <si>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</si>
  <si>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</si>
  <si>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</si>
  <si>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</si>
  <si>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</si>
  <si>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</si>
  <si>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</si>
  <si>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</si>
  <si>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</si>
  <si>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</si>
  <si>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</si>
  <si>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</si>
  <si>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</si>
  <si>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</si>
  <si>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</si>
  <si>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</si>
  <si>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</si>
  <si>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</si>
  <si>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</si>
  <si>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</si>
  <si>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</si>
  <si>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</si>
  <si>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</si>
  <si>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</si>
  <si>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</si>
  <si>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</si>
  <si>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</si>
  <si>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</si>
  <si>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</si>
  <si>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</si>
  <si>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</si>
  <si>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</si>
  <si>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</si>
  <si>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</si>
  <si>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</si>
  <si>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</si>
  <si>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</si>
  <si>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</si>
  <si>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</si>
  <si>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</si>
  <si>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</si>
  <si>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</si>
  <si>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</si>
  <si>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</si>
  <si>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</si>
  <si>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</si>
  <si>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</si>
  <si>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</si>
  <si>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</si>
  <si>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</si>
  <si>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</si>
  <si>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</si>
  <si>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</si>
  <si>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</si>
  <si>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</si>
  <si>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</si>
  <si>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</si>
  <si>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</si>
  <si>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</si>
  <si>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</si>
  <si>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</si>
  <si>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</si>
  <si>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</si>
  <si>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</si>
  <si>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</si>
  <si>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</si>
  <si>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</si>
  <si>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</si>
  <si>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</si>
  <si>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</si>
  <si>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</si>
  <si>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</si>
  <si>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</si>
  <si>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</si>
  <si>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</si>
  <si>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</si>
  <si>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</si>
  <si>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</si>
  <si>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</si>
  <si>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</si>
  <si>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</si>
  <si>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</si>
  <si>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</si>
  <si>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</si>
  <si>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</si>
  <si>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</si>
  <si>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</si>
  <si>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</si>
  <si>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</si>
  <si>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</si>
  <si>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</si>
  <si>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</si>
  <si>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</si>
  <si>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</si>
  <si>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</si>
  <si>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</si>
  <si>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</si>
  <si>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</si>
  <si>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</si>
  <si>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</si>
  <si>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</si>
  <si>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</si>
  <si>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</si>
  <si>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</si>
  <si>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</si>
  <si>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</si>
  <si>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</si>
  <si>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</si>
  <si>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</si>
  <si>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</si>
  <si>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</si>
  <si>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</si>
  <si>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</si>
  <si>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</si>
  <si>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</si>
  <si>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</si>
  <si>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</si>
  <si>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</si>
  <si>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</si>
  <si>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</si>
  <si>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</si>
  <si>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</si>
  <si>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</si>
  <si>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</si>
  <si>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</si>
  <si>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</si>
  <si>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</si>
  <si>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</si>
  <si>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</si>
  <si>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</si>
  <si>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</si>
  <si>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</si>
  <si>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</si>
  <si>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</si>
  <si>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</si>
  <si>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</si>
  <si>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</si>
  <si>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</si>
  <si>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</si>
  <si>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</si>
  <si>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</si>
  <si>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</si>
  <si>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</si>
  <si>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</si>
  <si>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</si>
  <si>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</si>
  <si>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</si>
  <si>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</si>
  <si>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</si>
  <si>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</si>
  <si>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</si>
  <si>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</si>
  <si>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</si>
  <si>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</si>
  <si>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</si>
  <si>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</si>
  <si>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</si>
  <si>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</si>
  <si>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</si>
  <si>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</si>
  <si>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</si>
  <si>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</si>
  <si>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</si>
  <si>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</si>
  <si>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</si>
  <si>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</si>
  <si>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</si>
  <si>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</si>
  <si>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</si>
  <si>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</si>
  <si>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</si>
  <si>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</si>
  <si>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</si>
  <si>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</si>
  <si>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</si>
  <si>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</si>
  <si>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</si>
  <si>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</si>
  <si>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</si>
  <si>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</si>
  <si>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</si>
  <si>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</si>
  <si>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</si>
  <si>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</si>
  <si>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</si>
  <si>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</si>
  <si>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</si>
  <si>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</si>
  <si>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</si>
  <si>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</si>
  <si>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</si>
  <si>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</si>
  <si>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</si>
  <si>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</si>
  <si>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</si>
  <si>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</si>
  <si>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</si>
  <si>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</si>
  <si>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</si>
  <si>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</si>
  <si>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</si>
  <si>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</si>
  <si>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</si>
  <si>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</si>
  <si>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</si>
  <si>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</si>
  <si>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</si>
  <si>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</si>
  <si>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</si>
  <si>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</si>
  <si>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</si>
  <si>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</si>
  <si>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</si>
  <si>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</si>
  <si>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</si>
  <si>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</si>
  <si>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</si>
  <si>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</si>
  <si>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</si>
  <si>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</si>
  <si>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</si>
  <si>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</si>
  <si>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</si>
  <si>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</si>
  <si>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</si>
  <si>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</si>
  <si>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</si>
  <si>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</si>
  <si>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</si>
  <si>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</si>
  <si>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</si>
  <si>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</si>
  <si>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</si>
  <si>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</si>
  <si>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</si>
  <si>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</si>
  <si>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</si>
  <si>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</si>
  <si>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</si>
  <si>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</si>
  <si>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</si>
  <si>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</si>
  <si>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</si>
  <si>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</si>
  <si>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</si>
  <si>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</si>
  <si>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</si>
  <si>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</si>
  <si>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</si>
  <si>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</si>
  <si>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</si>
  <si>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</si>
  <si>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</si>
  <si>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</si>
  <si>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</si>
  <si>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</si>
  <si>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</si>
  <si>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</si>
  <si>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</si>
  <si>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</si>
  <si>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</si>
  <si>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</si>
  <si>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</si>
  <si>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</si>
  <si>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</si>
  <si>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</si>
  <si>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</si>
  <si>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</si>
  <si>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</si>
  <si>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</si>
  <si>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</si>
  <si>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</si>
  <si>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</si>
  <si>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</si>
  <si>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</si>
  <si>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</si>
  <si>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</si>
  <si>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</si>
  <si>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</si>
  <si>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</si>
  <si>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</si>
  <si>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</si>
  <si>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</si>
  <si>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</si>
  <si>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</si>
  <si>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</si>
  <si>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</si>
  <si>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</si>
  <si>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</si>
  <si>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</si>
  <si>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</si>
  <si>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</si>
  <si>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</si>
  <si>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</si>
  <si>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</si>
  <si>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</si>
  <si>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</si>
  <si>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</si>
  <si>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</si>
  <si>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</si>
  <si>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</si>
  <si>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</si>
  <si>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</si>
  <si>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</si>
  <si>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</si>
  <si>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</si>
  <si>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</si>
  <si>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</si>
  <si>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</si>
  <si>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</si>
  <si>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</si>
  <si>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</si>
  <si>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</si>
  <si>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</si>
  <si>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</si>
  <si>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</si>
  <si>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</si>
  <si>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</si>
  <si>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</si>
  <si>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</si>
  <si>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</si>
  <si>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</si>
  <si>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</si>
  <si>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</si>
  <si>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</si>
  <si>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</si>
  <si>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</si>
  <si>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</si>
  <si>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</si>
  <si>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</si>
  <si>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</si>
  <si>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</si>
  <si>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</si>
  <si>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</si>
  <si>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</si>
  <si>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</si>
  <si>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</si>
  <si>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</si>
  <si>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</si>
  <si>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</si>
  <si>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</si>
  <si>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</si>
  <si>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</si>
  <si>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</si>
  <si>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</si>
  <si>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</si>
  <si>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</si>
  <si>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</si>
  <si>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</si>
  <si>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</si>
  <si>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</si>
  <si>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</si>
  <si>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</si>
  <si>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</si>
  <si>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</si>
  <si>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</si>
  <si>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</si>
  <si>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</si>
  <si>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</si>
  <si>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</si>
  <si>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</si>
  <si>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</si>
  <si>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</si>
  <si>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</si>
  <si>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</si>
  <si>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</si>
  <si>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</si>
  <si>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</si>
  <si>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</si>
  <si>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</si>
  <si>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</si>
  <si>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</si>
  <si>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</si>
  <si>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</si>
  <si>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</si>
  <si>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</si>
  <si>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</si>
  <si>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</si>
  <si>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</si>
  <si>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</si>
  <si>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</si>
  <si>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</si>
  <si>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</si>
  <si>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</si>
  <si>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</si>
  <si>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</si>
  <si>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</si>
  <si>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</si>
  <si>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</si>
  <si>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</si>
  <si>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</si>
  <si>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</si>
  <si>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</si>
  <si>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</si>
  <si>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</si>
  <si>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</si>
  <si>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</si>
  <si>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</si>
  <si>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</si>
  <si>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</si>
  <si>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</si>
  <si>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</si>
  <si>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</si>
  <si>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</si>
  <si>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</si>
  <si>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</si>
  <si>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</si>
  <si>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</si>
  <si>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</si>
  <si>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</si>
  <si>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</si>
  <si>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</si>
  <si>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</si>
  <si>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</si>
  <si>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</si>
  <si>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</si>
  <si>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</si>
  <si>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</si>
  <si>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</si>
  <si>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</si>
  <si>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</si>
  <si>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</si>
  <si>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</si>
  <si>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</si>
  <si>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</si>
  <si>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</si>
  <si>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</si>
  <si>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</si>
  <si>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</si>
  <si>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</si>
  <si>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</si>
  <si>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</si>
  <si>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</si>
  <si>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</si>
  <si>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</si>
  <si>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</si>
  <si>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</si>
  <si>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</si>
  <si>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</si>
  <si>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</si>
  <si>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</si>
  <si>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</si>
  <si>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</si>
  <si>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</si>
  <si>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</si>
  <si>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</si>
  <si>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</si>
  <si>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</si>
  <si>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</si>
  <si>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</si>
  <si>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</si>
  <si>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</si>
  <si>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</si>
  <si>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</si>
  <si>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</si>
  <si>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</si>
  <si>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</si>
  <si>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</si>
  <si>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</si>
  <si>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</si>
  <si>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</si>
  <si>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</si>
  <si>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</si>
  <si>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</si>
  <si>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</si>
  <si>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</si>
  <si>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</si>
  <si>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</si>
  <si>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</si>
  <si>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</si>
  <si>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</si>
  <si>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</si>
  <si>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</si>
  <si>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</si>
  <si>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</si>
  <si>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</si>
  <si>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</si>
  <si>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</si>
  <si>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</si>
  <si>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</si>
  <si>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</si>
  <si>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</si>
  <si>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</si>
  <si>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</si>
  <si>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</si>
  <si>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</si>
  <si>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</si>
  <si>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</si>
  <si>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</si>
  <si>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</si>
  <si>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</si>
  <si>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</si>
  <si>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</si>
  <si>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</si>
  <si>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</si>
  <si>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</si>
  <si>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</si>
  <si>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</si>
  <si>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</si>
  <si>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</si>
  <si>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</si>
  <si>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</si>
  <si>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</si>
  <si>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</si>
  <si>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</si>
  <si>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</si>
  <si>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</si>
  <si>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</si>
  <si>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</si>
  <si>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</si>
  <si>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</si>
  <si>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</si>
  <si>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</si>
  <si>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</si>
  <si>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</si>
  <si>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</si>
  <si>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</si>
  <si>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</si>
  <si>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</si>
  <si>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</si>
  <si>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</si>
  <si>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</si>
  <si>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</si>
  <si>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</si>
  <si>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</si>
  <si>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</si>
  <si>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</si>
  <si>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</si>
  <si>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</si>
  <si>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</si>
  <si>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</si>
  <si>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</si>
  <si>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</si>
  <si>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</si>
  <si>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</si>
  <si>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</si>
  <si>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</si>
  <si>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</si>
  <si>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</si>
  <si>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</si>
  <si>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</si>
  <si>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</si>
  <si>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</si>
  <si>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</si>
  <si>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</si>
  <si>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</si>
  <si>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</si>
  <si>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</si>
  <si>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</si>
  <si>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</si>
  <si>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</si>
  <si>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</si>
  <si>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</si>
  <si>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</si>
  <si>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</si>
  <si>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</si>
  <si>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</si>
  <si>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</si>
  <si>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</si>
  <si>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</si>
  <si>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</si>
  <si>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</si>
  <si>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</si>
  <si>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</si>
  <si>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</si>
  <si>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</si>
  <si>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</si>
  <si>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</si>
  <si>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</si>
  <si>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</si>
  <si>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</si>
  <si>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</si>
  <si>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</si>
  <si>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</si>
  <si>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</si>
  <si>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</si>
  <si>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</si>
  <si>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</si>
  <si>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</si>
  <si>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</si>
  <si>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</si>
  <si>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</si>
  <si>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</si>
  <si>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</si>
  <si>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</si>
  <si>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</si>
  <si>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</si>
  <si>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</si>
  <si>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</si>
  <si>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</si>
  <si>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</si>
  <si>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</si>
  <si>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</si>
  <si>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</si>
  <si>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</si>
  <si>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</si>
  <si>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</si>
  <si>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</si>
  <si>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</si>
  <si>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</si>
  <si>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</si>
  <si>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</si>
  <si>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</si>
  <si>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</si>
  <si>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</si>
  <si>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</si>
  <si>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</si>
  <si>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</si>
  <si>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</si>
  <si>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</si>
  <si>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</si>
  <si>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</si>
  <si>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</si>
  <si>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</si>
  <si>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</si>
  <si>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</si>
  <si>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</si>
  <si>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</si>
  <si>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</si>
  <si>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</si>
  <si>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</si>
  <si>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</si>
  <si>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</si>
  <si>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</si>
  <si>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</si>
  <si>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</si>
  <si>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</si>
  <si>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</si>
  <si>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</si>
  <si>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</si>
  <si>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</si>
  <si>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</si>
  <si>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</si>
  <si>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</si>
  <si>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</si>
  <si>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</si>
  <si>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</si>
  <si>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</si>
  <si>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</si>
  <si>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</si>
  <si>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</si>
  <si>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</si>
  <si>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</si>
  <si>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</si>
  <si>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</si>
  <si>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</si>
  <si>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</si>
  <si>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</si>
  <si>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</si>
  <si>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</si>
  <si>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</si>
  <si>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</si>
  <si>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</si>
  <si>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</si>
  <si>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</si>
  <si>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</si>
  <si>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</si>
  <si>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</si>
  <si>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</si>
  <si>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</si>
  <si>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</si>
  <si>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</si>
  <si>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</si>
  <si>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</si>
  <si>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</si>
  <si>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</si>
  <si>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</si>
  <si>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</si>
  <si>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</si>
  <si>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</si>
  <si>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</si>
  <si>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</si>
  <si>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</si>
  <si>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</si>
  <si>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</si>
  <si>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</si>
  <si>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</si>
  <si>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</si>
  <si>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</si>
  <si>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</si>
  <si>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</si>
  <si>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</si>
  <si>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</si>
  <si>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</si>
  <si>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</si>
  <si>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</si>
  <si>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</si>
  <si>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</si>
  <si>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</si>
  <si>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</si>
  <si>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</si>
  <si>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</si>
  <si>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</si>
  <si>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</si>
  <si>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</si>
  <si>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</si>
  <si>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</si>
  <si>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</si>
  <si>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</si>
  <si>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</si>
  <si>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</si>
  <si>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</si>
  <si>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</si>
  <si>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</si>
  <si>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</si>
  <si>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</si>
  <si>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</si>
  <si>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</si>
  <si>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</si>
  <si>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</si>
  <si>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</si>
  <si>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</si>
  <si>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</si>
  <si>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</si>
  <si>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</si>
  <si>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</si>
  <si>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</si>
  <si>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</si>
  <si>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</si>
  <si>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</si>
  <si>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</si>
  <si>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</si>
  <si>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</si>
  <si>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</si>
  <si>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</si>
  <si>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</si>
  <si>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</si>
  <si>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</si>
  <si>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</si>
  <si>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</si>
  <si>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</si>
  <si>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</si>
  <si>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</si>
  <si>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</si>
  <si>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</si>
  <si>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</si>
  <si>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</si>
  <si>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</si>
  <si>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</si>
  <si>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</si>
  <si>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</si>
  <si>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</si>
  <si>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</si>
  <si>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</si>
  <si>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</si>
  <si>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</si>
  <si>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</si>
  <si>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</si>
  <si>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</si>
  <si>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</si>
  <si>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</si>
  <si>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</si>
  <si>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</si>
  <si>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</si>
  <si>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</si>
  <si>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</si>
  <si>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</si>
  <si>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</si>
  <si>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</si>
  <si>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</si>
  <si>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</si>
  <si>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</si>
  <si>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</si>
  <si>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</si>
  <si>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</si>
  <si>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</si>
  <si>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</si>
  <si>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</si>
  <si>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</si>
  <si>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</si>
  <si>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</si>
  <si>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</si>
  <si>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</si>
  <si>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</si>
  <si>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</si>
  <si>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</si>
  <si>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</si>
  <si>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</si>
  <si>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</si>
  <si>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</si>
  <si>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</si>
  <si>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</si>
  <si>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</si>
  <si>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</si>
  <si>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</si>
  <si>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</si>
  <si>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</si>
  <si>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</si>
  <si>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</si>
  <si>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</si>
  <si>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</si>
  <si>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</si>
  <si>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</si>
  <si>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</si>
  <si>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</si>
  <si>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</si>
  <si>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</si>
  <si>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</si>
  <si>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</si>
  <si>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</si>
  <si>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</si>
  <si>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</si>
  <si>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</si>
  <si>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</si>
  <si>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</si>
  <si>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</si>
  <si>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</si>
  <si>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</si>
  <si>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</si>
  <si>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</si>
  <si>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</si>
  <si>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</si>
  <si>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</si>
  <si>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</si>
  <si>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</si>
  <si>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</si>
  <si>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</si>
  <si>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</si>
  <si>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</si>
  <si>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</si>
  <si>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</si>
  <si>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</si>
  <si>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</si>
  <si>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</si>
  <si>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</si>
  <si>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</si>
  <si>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</si>
  <si>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</si>
  <si>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</si>
  <si>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</si>
  <si>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</si>
  <si>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</si>
  <si>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</si>
  <si>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</si>
  <si>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</si>
  <si>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</si>
  <si>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</si>
  <si>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</si>
  <si>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</si>
  <si>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</si>
  <si>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</si>
  <si>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</si>
  <si>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</si>
  <si>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</si>
  <si>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</si>
  <si>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</si>
  <si>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</si>
  <si>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</si>
  <si>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</si>
  <si>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</si>
  <si>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</si>
  <si>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</si>
  <si>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</si>
  <si>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</si>
  <si>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</si>
  <si>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</si>
  <si>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</si>
  <si>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</si>
  <si>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</si>
  <si>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</si>
  <si>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</si>
  <si>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</si>
  <si>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</si>
  <si>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</si>
  <si>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</si>
  <si>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</si>
  <si>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</si>
  <si>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</si>
  <si>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</si>
  <si>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</si>
  <si>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</si>
  <si>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</si>
  <si>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</si>
  <si>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</si>
  <si>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</si>
  <si>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</si>
  <si>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</si>
  <si>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</si>
  <si>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</si>
  <si>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</si>
  <si>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</si>
  <si>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</si>
  <si>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</si>
  <si>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</si>
  <si>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</si>
  <si>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</si>
  <si>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</si>
  <si>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</si>
  <si>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</si>
  <si>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</si>
  <si>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</si>
  <si>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</si>
  <si>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</si>
  <si>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</si>
  <si>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</si>
  <si>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</si>
  <si>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</si>
  <si>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</si>
  <si>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</si>
  <si>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</si>
  <si>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</si>
  <si>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</si>
  <si>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</si>
  <si>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</si>
  <si>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</si>
  <si>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</si>
  <si>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</si>
  <si>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</si>
  <si>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</si>
  <si>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</si>
  <si>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</si>
  <si>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</si>
  <si>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</si>
  <si>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</si>
  <si>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</si>
  <si>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</si>
  <si>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</si>
  <si>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</si>
  <si>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</si>
  <si>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</si>
  <si>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</si>
  <si>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</si>
  <si>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</si>
  <si>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</si>
  <si>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</si>
  <si>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</si>
  <si>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</si>
  <si>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</si>
  <si>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</si>
  <si>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</si>
  <si>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</si>
  <si>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</si>
  <si>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</si>
  <si>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</si>
  <si>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</si>
  <si>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</si>
  <si>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</si>
  <si>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</si>
  <si>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</si>
  <si>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</si>
  <si>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</si>
  <si>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</si>
  <si>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</si>
  <si>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</si>
  <si>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</si>
  <si>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</si>
  <si>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</si>
  <si>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</si>
  <si>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</si>
  <si>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</si>
  <si>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</si>
  <si>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</si>
  <si>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</si>
  <si>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</si>
  <si>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</si>
  <si>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</si>
  <si>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</si>
  <si>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</si>
  <si>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</si>
  <si>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</si>
  <si>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</si>
  <si>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</si>
  <si>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</si>
  <si>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</si>
  <si>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</si>
  <si>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</si>
  <si>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</si>
  <si>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</si>
  <si>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</si>
  <si>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</si>
  <si>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</si>
  <si>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</si>
  <si>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</si>
  <si>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</si>
  <si>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</si>
  <si>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</si>
  <si>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</si>
  <si>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</si>
  <si>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</si>
  <si>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</si>
  <si>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</si>
  <si>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</si>
  <si>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</si>
  <si>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</si>
  <si>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</si>
  <si>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</si>
  <si>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</si>
  <si>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</si>
  <si>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</si>
  <si>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</si>
  <si>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</si>
  <si>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</si>
  <si>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</si>
  <si>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</si>
  <si>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</si>
  <si>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</si>
  <si>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</si>
  <si>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</si>
  <si>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</si>
  <si>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</si>
  <si>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</si>
  <si>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</si>
  <si>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</si>
  <si>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</si>
  <si>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</si>
  <si>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</si>
  <si>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</si>
  <si>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</si>
  <si>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</si>
  <si>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</si>
  <si>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</si>
  <si>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</si>
  <si>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</si>
  <si>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</si>
  <si>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</si>
  <si>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</si>
  <si>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</si>
  <si>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</si>
  <si>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</si>
  <si>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</si>
  <si>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</si>
  <si>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</si>
  <si>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</si>
  <si>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</si>
  <si>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</si>
  <si>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</si>
  <si>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</si>
  <si>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</si>
  <si>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</si>
  <si>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</si>
  <si>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</si>
  <si>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</si>
  <si>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</si>
  <si>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</si>
  <si>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</si>
  <si>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</si>
  <si>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</si>
  <si>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</si>
  <si>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</si>
  <si>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</si>
  <si>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</si>
  <si>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</si>
  <si>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</si>
  <si>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</si>
  <si>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</si>
  <si>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</si>
  <si>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</si>
  <si>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</si>
  <si>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</si>
  <si>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</si>
  <si>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</si>
  <si>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</si>
  <si>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</si>
  <si>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</si>
  <si>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</si>
  <si>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</si>
  <si>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</si>
  <si>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</si>
  <si>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</si>
  <si>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</si>
  <si>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</si>
  <si>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</si>
  <si>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</si>
  <si>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</si>
  <si>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</si>
  <si>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</si>
  <si>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</si>
  <si>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</si>
  <si>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</si>
  <si>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</si>
  <si>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</si>
  <si>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</si>
  <si>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</si>
  <si>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</si>
  <si>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</si>
  <si>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</si>
  <si>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</si>
  <si>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</si>
  <si>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</si>
  <si>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</si>
  <si>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</si>
  <si>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</si>
  <si>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</si>
  <si>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</si>
  <si>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</si>
  <si>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</si>
  <si>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</si>
  <si>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</si>
  <si>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</si>
  <si>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</si>
  <si>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</si>
  <si>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</si>
  <si>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</si>
  <si>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</si>
  <si>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</si>
  <si>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</si>
  <si>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</si>
  <si>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</si>
  <si>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</si>
  <si>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</si>
  <si>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</si>
  <si>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</si>
  <si>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</si>
  <si>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</si>
  <si>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</si>
  <si>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</si>
  <si>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</si>
  <si>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</si>
  <si>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</si>
  <si>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</si>
  <si>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</si>
  <si>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</si>
  <si>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</si>
  <si>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</si>
  <si>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</si>
  <si>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</si>
  <si>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</si>
  <si>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</si>
  <si>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</si>
  <si>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</si>
  <si>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</si>
  <si>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</si>
  <si>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</si>
  <si>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</si>
  <si>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</si>
  <si>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</si>
  <si>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</si>
  <si>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</si>
  <si>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</si>
  <si>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</si>
  <si>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</si>
  <si>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</si>
  <si>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</si>
  <si>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</si>
  <si>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</si>
  <si>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</si>
  <si>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</si>
  <si>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</si>
  <si>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</si>
  <si>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</si>
  <si>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</si>
  <si>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</si>
  <si>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</si>
  <si>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</si>
  <si>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</si>
  <si>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</si>
  <si>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</si>
  <si>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</si>
  <si>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</si>
  <si>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</si>
  <si>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</si>
  <si>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</si>
  <si>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</si>
  <si>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</si>
  <si>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</si>
  <si>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</si>
  <si>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</si>
  <si>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</si>
  <si>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</si>
  <si>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</si>
  <si>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</si>
  <si>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</si>
  <si>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</si>
  <si>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</si>
  <si>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</si>
  <si>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</si>
  <si>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</si>
  <si>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</si>
  <si>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</si>
  <si>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</si>
  <si>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</si>
  <si>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</si>
  <si>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</si>
  <si>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</si>
  <si>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</si>
  <si>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</si>
  <si>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</si>
  <si>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</si>
  <si>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</si>
  <si>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</si>
  <si>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</si>
  <si>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</si>
  <si>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</si>
  <si>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</si>
  <si>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</si>
  <si>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</si>
  <si>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</si>
  <si>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</si>
  <si>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</si>
  <si>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</si>
  <si>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</si>
  <si>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</si>
  <si>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</si>
  <si>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</si>
  <si>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</si>
  <si>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</si>
  <si>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</si>
  <si>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</si>
  <si>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</si>
  <si>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</si>
  <si>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</si>
  <si>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</si>
  <si>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</si>
  <si>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</si>
  <si>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</si>
  <si>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</si>
  <si>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</si>
  <si>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</si>
  <si>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</si>
  <si>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</si>
  <si>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</si>
  <si>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</si>
  <si>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</si>
  <si>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</si>
  <si>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</si>
  <si>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</si>
  <si>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</si>
  <si>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</si>
  <si>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</si>
  <si>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</si>
  <si>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</si>
  <si>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</si>
  <si>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</si>
  <si>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</si>
  <si>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</si>
  <si>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</si>
  <si>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</si>
  <si>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</si>
  <si>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</si>
  <si>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</si>
  <si>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</si>
  <si>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</si>
  <si>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</si>
  <si>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</si>
  <si>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</si>
  <si>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</si>
  <si>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</si>
  <si>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</si>
  <si>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</si>
  <si>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</si>
  <si>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</si>
  <si>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</si>
  <si>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</si>
  <si>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</si>
  <si>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</si>
  <si>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</si>
  <si>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</si>
  <si>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</si>
  <si>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</si>
  <si>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</si>
  <si>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</si>
  <si>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</si>
  <si>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</si>
  <si>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</si>
  <si>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</si>
  <si>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</si>
  <si>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</si>
  <si>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</si>
  <si>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</si>
  <si>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</si>
  <si>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</si>
  <si>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</si>
  <si>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</si>
  <si>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</si>
  <si>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</si>
  <si>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</si>
  <si>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</si>
  <si>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</si>
  <si>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</si>
  <si>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</si>
  <si>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</si>
  <si>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</si>
  <si>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</si>
  <si>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</si>
  <si>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</si>
  <si>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</si>
  <si>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</si>
  <si>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</si>
  <si>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</si>
  <si>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</si>
  <si>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</si>
  <si>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</si>
  <si>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</si>
  <si>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</si>
  <si>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</si>
  <si>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</si>
  <si>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</si>
  <si>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</si>
  <si>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</si>
  <si>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</si>
  <si>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</si>
  <si>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</si>
  <si>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</si>
  <si>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</si>
  <si>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</si>
  <si>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</si>
  <si>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</si>
  <si>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</si>
  <si>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</si>
  <si>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</si>
  <si>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</si>
  <si>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</si>
  <si>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</si>
  <si>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</si>
  <si>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</si>
  <si>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</si>
  <si>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</si>
  <si>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</si>
  <si>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</si>
  <si>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</si>
  <si>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</si>
  <si>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</si>
  <si>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</si>
  <si>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</si>
  <si>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</si>
  <si>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</si>
  <si>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</si>
  <si>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</si>
  <si>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</si>
  <si>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</si>
  <si>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</si>
  <si>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</si>
  <si>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</si>
  <si>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</si>
  <si>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</si>
  <si>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</si>
  <si>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</si>
  <si>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</si>
  <si>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</si>
  <si>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</si>
  <si>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</si>
  <si>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</si>
  <si>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</si>
  <si>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</si>
  <si>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</si>
  <si>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</si>
  <si>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</si>
  <si>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</si>
  <si>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</si>
  <si>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</si>
  <si>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</si>
  <si>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</si>
  <si>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</si>
  <si>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</si>
  <si>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</si>
  <si>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</si>
  <si>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</si>
  <si>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</si>
  <si>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</si>
  <si>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</si>
  <si>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</si>
  <si>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</si>
  <si>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</si>
  <si>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</si>
  <si>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</si>
  <si>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</si>
  <si>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</si>
  <si>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</si>
  <si>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</si>
  <si>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</si>
  <si>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</si>
  <si>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</si>
  <si>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</si>
  <si>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</si>
  <si>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</si>
  <si>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</si>
  <si>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</si>
  <si>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</si>
  <si>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</si>
  <si>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</si>
  <si>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</si>
  <si>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</si>
  <si>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</si>
  <si>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</si>
  <si>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</si>
  <si>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</si>
  <si>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</si>
  <si>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</si>
  <si>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</si>
  <si>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</si>
  <si>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</si>
  <si>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</si>
  <si>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</si>
  <si>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</si>
  <si>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</si>
  <si>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</si>
  <si>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</si>
  <si>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</si>
  <si>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</si>
  <si>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</si>
  <si>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</si>
  <si>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</si>
  <si>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</si>
  <si>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</si>
  <si>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</si>
  <si>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</si>
  <si>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</si>
  <si>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</si>
  <si>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</si>
  <si>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</si>
  <si>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</si>
  <si>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</si>
  <si>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</si>
  <si>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</si>
  <si>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</si>
  <si>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</si>
  <si>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</si>
  <si>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</si>
  <si>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</si>
  <si>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</si>
  <si>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</si>
  <si>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</si>
  <si>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</si>
  <si>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</si>
  <si>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</si>
  <si>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</si>
  <si>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</si>
  <si>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</si>
  <si>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</si>
  <si>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Nerien\’eth</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</si>
  <si>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</si>
  <si>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</si>
  <si>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</si>
  <si>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</si>
  <si>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</si>
  <si>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</si>
  <si>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</si>
  <si>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</si>
  <si>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</si>
  <si>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</si>
  <si>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</si>
  <si>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</si>
  <si>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</si>
  <si>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</si>
  <si>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</si>
  <si>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</si>
  <si>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</si>
  <si>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</si>
  <si>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</si>
  <si>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</si>
  <si>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</si>
  <si>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</si>
  <si>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</si>
  <si>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Kjalnar\’s Nightmare</t>
  </si>
  <si>
    <t>Critical Riposte</t>
  </si>
  <si>
    <t>Unchained Aggressor</t>
  </si>
  <si>
    <t>Dauntless Combatant</t>
  </si>
  <si>
    <t>Mutter Ciannait</t>
  </si>
  <si>
    <t>Kjalnar\’s Albtraum</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</si>
  <si>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</si>
  <si>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</si>
  <si>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</si>
  <si>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</si>
  <si>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</si>
  <si>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</si>
  <si>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</si>
  <si>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</si>
  <si>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</si>
  <si>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</si>
  <si>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</si>
  <si>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</si>
  <si>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</si>
  <si>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</si>
  <si>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</si>
  <si>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</si>
  <si>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</si>
  <si>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</si>
  <si>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</si>
  <si>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</si>
  <si>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</si>
  <si>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</si>
  <si>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</si>
  <si>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</si>
  <si>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</si>
  <si>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</si>
  <si>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</si>
  <si>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</si>
  <si>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</si>
  <si>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</si>
  <si>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</si>
  <si>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</si>
  <si>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</si>
  <si>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</si>
  <si>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</si>
  <si>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</si>
  <si>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</si>
  <si>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</si>
  <si>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</si>
  <si>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</si>
  <si>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</si>
  <si>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</si>
  <si>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</si>
  <si>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</si>
  <si>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</si>
  <si>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</si>
  <si>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</si>
  <si>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</si>
  <si>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</si>
  <si>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</si>
  <si>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</si>
  <si>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</si>
  <si>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</si>
  <si>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</si>
  <si>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</si>
  <si>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</si>
  <si>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</si>
  <si>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</si>
  <si>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</si>
  <si>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</si>
  <si>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</si>
  <si>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</si>
  <si>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</si>
  <si>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</si>
  <si>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</si>
  <si>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</si>
  <si>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</si>
  <si>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</si>
  <si>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</si>
  <si>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</si>
  <si>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</si>
  <si>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</si>
  <si>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</si>
  <si>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</si>
  <si>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</si>
  <si>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</si>
  <si>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</si>
  <si>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</si>
  <si>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</si>
  <si>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</si>
  <si>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</si>
  <si>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</si>
  <si>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</si>
  <si>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</si>
  <si>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</si>
  <si>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</si>
  <si>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</si>
  <si>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</si>
  <si>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</si>
  <si>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</si>
  <si>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</si>
  <si>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</si>
  <si>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</si>
  <si>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</si>
  <si>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</si>
  <si>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</si>
  <si>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</si>
  <si>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</si>
  <si>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</si>
  <si>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</si>
  <si>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</si>
  <si>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</si>
  <si>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</si>
  <si>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</si>
  <si>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</si>
  <si>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</si>
  <si>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</si>
  <si>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</si>
  <si>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</si>
  <si>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</si>
  <si>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</si>
  <si>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</si>
  <si>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</si>
  <si>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</si>
  <si>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</si>
  <si>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</si>
  <si>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</si>
  <si>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</si>
  <si>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</si>
  <si>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</si>
  <si>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</si>
  <si>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</si>
  <si>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</si>
  <si>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</si>
  <si>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</si>
  <si>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</si>
  <si>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</si>
  <si>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</si>
  <si>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</si>
  <si>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</si>
  <si>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</si>
  <si>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</si>
  <si>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</si>
  <si>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</si>
  <si>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</si>
  <si>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</si>
  <si>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</si>
  <si>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</si>
  <si>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</si>
  <si>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</si>
  <si>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</si>
  <si>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</si>
  <si>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</si>
  <si>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</si>
  <si>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</si>
  <si>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</si>
  <si>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</si>
  <si>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</si>
  <si>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</si>
  <si>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</si>
  <si>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</si>
  <si>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</si>
  <si>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</si>
  <si>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</si>
  <si>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</si>
  <si>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</si>
  <si>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</si>
  <si>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</si>
  <si>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</si>
  <si>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</si>
  <si>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</si>
  <si>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</si>
  <si>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</si>
  <si>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</si>
  <si>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</si>
  <si>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</si>
  <si>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</si>
  <si>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</si>
  <si>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</si>
  <si>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</si>
  <si>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</si>
  <si>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</si>
  <si>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</si>
  <si>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</si>
  <si>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</si>
  <si>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</si>
  <si>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</si>
  <si>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</si>
  <si>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</si>
  <si>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</si>
  <si>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</si>
  <si>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</si>
  <si>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</si>
  <si>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</si>
  <si>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</si>
  <si>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</si>
  <si>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</si>
  <si>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</si>
  <si>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</si>
  <si>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</si>
  <si>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</si>
  <si>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</si>
  <si>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</si>
  <si>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</si>
  <si>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</si>
  <si>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</si>
  <si>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</si>
  <si>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</si>
  <si>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</si>
  <si>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</si>
  <si>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</si>
  <si>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</si>
  <si>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</si>
  <si>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</si>
  <si>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</si>
  <si>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</si>
  <si>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</si>
  <si>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</si>
  <si>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</si>
  <si>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</si>
  <si>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</si>
  <si>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</si>
  <si>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</si>
  <si>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</si>
  <si>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</si>
  <si>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</si>
  <si>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</si>
  <si>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</si>
  <si>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</si>
  <si>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</si>
  <si>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</si>
  <si>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</si>
  <si>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</si>
  <si>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</si>
  <si>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</si>
  <si>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</si>
  <si>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</si>
  <si>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</si>
  <si>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</si>
  <si>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</si>
  <si>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</si>
  <si>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</si>
  <si>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</si>
  <si>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</si>
  <si>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</si>
  <si>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</si>
  <si>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</si>
  <si>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</si>
  <si>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</si>
  <si>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</si>
  <si>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</si>
  <si>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</si>
  <si>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</si>
  <si>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</si>
  <si>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</si>
  <si>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</si>
  <si>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</si>
  <si>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</si>
  <si>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</si>
  <si>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</si>
  <si>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</si>
  <si>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</si>
  <si>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</si>
  <si>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</si>
  <si>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</si>
  <si>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</si>
  <si>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</si>
  <si>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</si>
  <si>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</si>
  <si>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</si>
  <si>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</si>
  <si>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</si>
  <si>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</si>
  <si>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</si>
  <si>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</si>
  <si>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</si>
  <si>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</si>
  <si>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</si>
  <si>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</si>
  <si>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</si>
  <si>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</si>
  <si>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</si>
  <si>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</si>
  <si>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</si>
  <si>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</si>
  <si>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</si>
  <si>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</si>
  <si>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</si>
  <si>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</si>
  <si>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</si>
  <si>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</si>
  <si>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</si>
  <si>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</si>
  <si>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</si>
  <si>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</si>
  <si>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</si>
  <si>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</si>
  <si>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</si>
  <si>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</si>
  <si>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</si>
  <si>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</si>
  <si>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</si>
  <si>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</si>
  <si>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</si>
  <si>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</si>
  <si>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</si>
  <si>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</si>
  <si>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</si>
  <si>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</si>
  <si>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</si>
  <si>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</si>
  <si>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</si>
  <si>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</si>
  <si>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</si>
  <si>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</si>
  <si>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</si>
  <si>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</si>
  <si>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</si>
  <si>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</si>
  <si>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</si>
  <si>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</si>
  <si>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</si>
  <si>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</si>
  <si>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</si>
  <si>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</si>
  <si>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</si>
  <si>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</si>
  <si>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</si>
  <si>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</si>
  <si>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</si>
  <si>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</si>
  <si>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</si>
  <si>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</si>
  <si>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</si>
  <si>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</si>
  <si>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</si>
  <si>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</si>
  <si>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</si>
  <si>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</si>
  <si>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</si>
  <si>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</si>
  <si>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</si>
  <si>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</si>
  <si>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</si>
  <si>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</si>
  <si>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</si>
  <si>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</si>
  <si>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</si>
  <si>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</si>
  <si>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</si>
  <si>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</si>
  <si>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</si>
  <si>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</si>
  <si>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</si>
  <si>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</si>
  <si>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</si>
  <si>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</si>
  <si>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</si>
  <si>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</si>
  <si>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</si>
  <si>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</si>
  <si>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</si>
  <si>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</si>
  <si>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</si>
  <si>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</si>
  <si>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</si>
  <si>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</si>
  <si>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</si>
  <si>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</si>
  <si>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</si>
  <si>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</si>
  <si>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</si>
  <si>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</si>
  <si>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</si>
  <si>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</si>
  <si>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</si>
  <si>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</si>
  <si>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</si>
  <si>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</si>
  <si>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</si>
  <si>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</si>
  <si>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</si>
  <si>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</si>
  <si>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</si>
  <si>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</si>
  <si>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</si>
  <si>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</si>
  <si>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</si>
  <si>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</si>
  <si>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</si>
  <si>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</si>
  <si>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</si>
  <si>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</si>
  <si>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</si>
  <si>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</si>
  <si>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</si>
  <si>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</si>
  <si>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</si>
  <si>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</si>
  <si>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</si>
  <si>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</si>
  <si>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</si>
  <si>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</si>
  <si>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</si>
  <si>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</si>
  <si>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</si>
  <si>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</si>
  <si>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</si>
  <si>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</si>
  <si>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</si>
  <si>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</si>
  <si>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</si>
  <si>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</si>
  <si>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</si>
  <si>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</si>
  <si>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</si>
  <si>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</si>
  <si>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</si>
  <si>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</si>
  <si>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</si>
  <si>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</si>
  <si>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</si>
  <si>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</si>
  <si>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</si>
  <si>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</si>
  <si>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</si>
  <si>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</si>
  <si>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</si>
  <si>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</si>
  <si>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</si>
  <si>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</si>
  <si>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</si>
  <si>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</si>
  <si>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</si>
  <si>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</si>
  <si>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</si>
  <si>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</si>
  <si>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</si>
  <si>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</si>
  <si>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</si>
  <si>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</si>
  <si>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</si>
  <si>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</si>
  <si>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</si>
  <si>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</si>
  <si>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</si>
  <si>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</si>
  <si>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</si>
  <si>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</si>
  <si>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</si>
  <si>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</si>
  <si>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</si>
  <si>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</si>
  <si>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</si>
  <si>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</si>
  <si>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</si>
  <si>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</si>
  <si>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</si>
  <si>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</si>
  <si>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</si>
  <si>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</si>
  <si>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</si>
  <si>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</si>
  <si>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</si>
  <si>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</si>
  <si>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</si>
  <si>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</si>
  <si>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</si>
  <si>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</si>
  <si>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</si>
  <si>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</si>
  <si>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</si>
  <si>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</si>
  <si>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</si>
  <si>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</si>
  <si>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</si>
  <si>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</si>
  <si>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</si>
  <si>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</si>
  <si>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</si>
  <si>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</si>
  <si>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</si>
  <si>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</si>
  <si>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</si>
  <si>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</si>
  <si>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</si>
  <si>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</si>
  <si>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</si>
  <si>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</si>
  <si>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</si>
  <si>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</si>
  <si>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</si>
  <si>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</si>
  <si>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</si>
  <si>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</si>
  <si>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</si>
  <si>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</si>
  <si>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</si>
  <si>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</si>
  <si>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</si>
  <si>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</si>
  <si>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</si>
  <si>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</si>
  <si>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</si>
  <si>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</si>
  <si>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</si>
  <si>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</si>
  <si>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</si>
  <si>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</si>
  <si>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</si>
  <si>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</si>
  <si>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</si>
  <si>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</si>
  <si>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</si>
  <si>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</si>
  <si>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</si>
  <si>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</si>
  <si>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</si>
  <si>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</si>
  <si>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</si>
  <si>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</si>
  <si>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</si>
  <si>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</si>
  <si>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</si>
  <si>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</si>
  <si>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</si>
  <si>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</si>
  <si>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</si>
  <si>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</si>
  <si>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</si>
  <si>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</si>
  <si>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</si>
  <si>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</si>
  <si>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</si>
  <si>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</si>
  <si>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</si>
  <si>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</si>
  <si>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</si>
  <si>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</si>
  <si>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</si>
  <si>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</si>
  <si>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</si>
  <si>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</si>
  <si>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</si>
  <si>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</si>
  <si>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</si>
  <si>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</si>
  <si>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</si>
  <si>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</si>
  <si>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</si>
  <si>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</si>
  <si>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</si>
  <si>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</si>
  <si>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</si>
  <si>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</si>
  <si>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</si>
  <si>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</si>
  <si>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</si>
  <si>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</si>
  <si>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</si>
  <si>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</si>
  <si>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</si>
  <si>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</si>
  <si>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</si>
  <si>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</si>
  <si>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</si>
  <si>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</si>
  <si>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</si>
  <si>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</si>
  <si>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</si>
  <si>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</si>
  <si>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</si>
  <si>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</si>
  <si>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</si>
  <si>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</si>
  <si>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</si>
  <si>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</si>
  <si>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</si>
  <si>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</si>
  <si>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</si>
  <si>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</si>
  <si>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</si>
  <si>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</si>
  <si>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</si>
  <si>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</si>
  <si>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</si>
  <si>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</si>
  <si>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</si>
  <si>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</si>
  <si>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</si>
  <si>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</si>
  <si>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</si>
  <si>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</si>
  <si>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</si>
  <si>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</si>
  <si>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</si>
  <si>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</si>
  <si>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</si>
  <si>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</si>
  <si>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</si>
  <si>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</si>
  <si>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</si>
  <si>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</si>
  <si>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</si>
  <si>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</si>
  <si>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</si>
  <si>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</si>
  <si>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</si>
  <si>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</si>
  <si>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</si>
  <si>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</si>
  <si>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</si>
  <si>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</si>
  <si>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</si>
  <si>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</si>
  <si>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</si>
  <si>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</si>
  <si>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</si>
  <si>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</si>
  <si>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</si>
  <si>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</si>
  <si>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</si>
  <si>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</si>
  <si>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</si>
  <si>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</si>
  <si>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</si>
  <si>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</si>
  <si>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</si>
  <si>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</si>
  <si>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</si>
  <si>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</si>
  <si>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</si>
  <si>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</si>
  <si>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</si>
  <si>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</si>
  <si>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</si>
  <si>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</si>
  <si>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</si>
  <si>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</si>
  <si>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</si>
  <si>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</si>
  <si>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</si>
  <si>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</si>
  <si>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</si>
  <si>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</si>
  <si>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</si>
  <si>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</si>
  <si>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</si>
  <si>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</si>
  <si>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</si>
  <si>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</si>
  <si>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</si>
  <si>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</si>
  <si>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</si>
  <si>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</si>
  <si>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</si>
  <si>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</si>
  <si>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</si>
  <si>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</si>
  <si>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</si>
  <si>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</si>
  <si>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</si>
  <si>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</si>
  <si>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</si>
  <si>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</si>
  <si>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</si>
  <si>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</si>
  <si>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</si>
  <si>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</si>
  <si>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</si>
  <si>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</si>
  <si>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</si>
  <si>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</si>
  <si>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</si>
  <si>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</si>
  <si>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</si>
  <si>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</si>
  <si>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</si>
  <si>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</si>
  <si>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</si>
  <si>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</si>
  <si>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</si>
  <si>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</si>
  <si>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</si>
  <si>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</si>
  <si>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</si>
  <si>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</si>
  <si>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</si>
  <si>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</si>
  <si>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</si>
  <si>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</si>
  <si>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</si>
  <si>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</si>
  <si>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</si>
  <si>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</si>
  <si>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</si>
  <si>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</si>
  <si>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</si>
  <si>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</si>
  <si>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</si>
  <si>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</si>
  <si>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</si>
  <si>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</si>
  <si>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</si>
  <si>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</si>
  <si>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</si>
  <si>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</si>
  <si>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</si>
  <si>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</si>
  <si>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</si>
  <si>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</si>
  <si>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</si>
  <si>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</si>
  <si>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</si>
  <si>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</si>
  <si>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</si>
  <si>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</si>
  <si>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</si>
  <si>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</si>
  <si>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</si>
  <si>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</si>
  <si>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</si>
  <si>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</si>
  <si>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</si>
  <si>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</si>
  <si>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</si>
  <si>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</si>
  <si>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</si>
  <si>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</si>
  <si>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</si>
  <si>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</si>
  <si>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</si>
  <si>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</si>
  <si>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</si>
  <si>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</si>
  <si>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</si>
  <si>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</si>
  <si>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</si>
  <si>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</si>
  <si>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</si>
  <si>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</si>
  <si>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</si>
  <si>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</si>
  <si>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</si>
  <si>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</si>
  <si>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</si>
  <si>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</si>
  <si>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</si>
  <si>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</si>
  <si>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</si>
  <si>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</si>
  <si>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</si>
  <si>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</si>
  <si>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</si>
  <si>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</si>
  <si>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</si>
  <si>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</si>
  <si>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</si>
  <si>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</si>
  <si>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</si>
  <si>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</si>
  <si>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</si>
  <si>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</si>
  <si>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</si>
  <si>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</si>
  <si>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</si>
  <si>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</si>
  <si>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</si>
  <si>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</si>
  <si>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</si>
  <si>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</si>
  <si>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</si>
  <si>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</si>
  <si>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</si>
  <si>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</si>
  <si>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</si>
  <si>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</si>
  <si>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</si>
  <si>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</si>
  <si>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</si>
  <si>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</si>
  <si>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</si>
  <si>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</si>
  <si>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</si>
  <si>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</si>
  <si>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</si>
  <si>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</si>
  <si>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</si>
  <si>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</si>
  <si>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</si>
  <si>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</si>
  <si>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</si>
  <si>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</si>
  <si>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</si>
  <si>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</si>
  <si>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</si>
  <si>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</si>
  <si>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</si>
  <si>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</si>
  <si>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</si>
  <si>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</si>
  <si>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</si>
  <si>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</si>
  <si>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</si>
  <si>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</si>
  <si>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</si>
  <si>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</si>
  <si>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</si>
  <si>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</si>
  <si>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</si>
  <si>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</si>
  <si>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</si>
  <si>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</si>
  <si>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</si>
  <si>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</si>
  <si>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</si>
  <si>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</si>
  <si>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</si>
  <si>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</si>
  <si>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</si>
  <si>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</si>
  <si>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</si>
  <si>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</si>
  <si>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</si>
  <si>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</si>
  <si>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</si>
  <si>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</si>
  <si>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</si>
  <si>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</si>
  <si>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</si>
  <si>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</si>
  <si>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</si>
  <si>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</si>
  <si>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</si>
  <si>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</si>
  <si>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</si>
  <si>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</si>
  <si>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</si>
  <si>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</si>
  <si>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</si>
  <si>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</si>
  <si>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</si>
  <si>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</si>
  <si>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</si>
  <si>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</si>
  <si>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</si>
  <si>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</si>
  <si>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</si>
  <si>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</si>
  <si>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</si>
  <si>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</si>
  <si>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</si>
  <si>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</si>
  <si>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</si>
  <si>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</si>
  <si>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</si>
  <si>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</si>
  <si>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</si>
  <si>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</si>
  <si>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</si>
  <si>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</si>
  <si>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</si>
  <si>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</si>
  <si>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</si>
  <si>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</si>
  <si>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</si>
  <si>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</si>
  <si>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</si>
  <si>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</si>
  <si>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</si>
  <si>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</si>
  <si>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</si>
  <si>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</si>
  <si>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</si>
  <si>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</si>
  <si>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</si>
  <si>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</si>
  <si>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</si>
  <si>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</si>
  <si>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</si>
  <si>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</si>
  <si>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</si>
  <si>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</si>
  <si>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</si>
  <si>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</si>
  <si>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</si>
  <si>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</si>
  <si>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</si>
  <si>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</si>
  <si>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</si>
  <si>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</si>
  <si>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</si>
  <si>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</si>
  <si>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</si>
  <si>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</si>
  <si>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</si>
  <si>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</si>
  <si>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</si>
  <si>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</si>
  <si>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</si>
  <si>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</si>
  <si>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</si>
  <si>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</si>
  <si>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</si>
  <si>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</si>
  <si>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</si>
  <si>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</si>
  <si>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</si>
  <si>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</si>
  <si>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</si>
  <si>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</si>
  <si>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</si>
  <si>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</si>
  <si>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</si>
  <si>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</si>
  <si>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</si>
  <si>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</si>
  <si>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</si>
  <si>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</si>
  <si>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</si>
  <si>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</si>
  <si>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</si>
  <si>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</si>
  <si>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</si>
  <si>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</si>
  <si>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</si>
  <si>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</si>
  <si>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</si>
  <si>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</si>
  <si>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</si>
  <si>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</si>
  <si>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</si>
  <si>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</si>
  <si>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</si>
  <si>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</si>
  <si>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</si>
  <si>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</si>
  <si>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</si>
  <si>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</si>
  <si>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</si>
  <si>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</si>
  <si>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</si>
  <si>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</si>
  <si>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</si>
  <si>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</si>
  <si>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</si>
  <si>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</si>
  <si>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</si>
  <si>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</si>
  <si>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</si>
  <si>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</si>
  <si>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</si>
  <si>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</si>
  <si>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</si>
  <si>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</si>
  <si>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</si>
  <si>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</si>
  <si>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</si>
  <si>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</si>
  <si>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</si>
  <si>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</si>
  <si>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</si>
  <si>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</si>
  <si>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</si>
  <si>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</si>
  <si>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</si>
  <si>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</si>
  <si>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</si>
  <si>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</si>
  <si>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</si>
  <si>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</si>
  <si>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</si>
  <si>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</si>
  <si>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</si>
  <si>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</si>
  <si>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</si>
  <si>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</si>
  <si>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</si>
  <si>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</si>
  <si>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</si>
  <si>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</si>
  <si>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</si>
  <si>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</si>
  <si>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</si>
  <si>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</si>
  <si>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</si>
  <si>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</si>
  <si>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</si>
  <si>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</si>
  <si>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</si>
  <si>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</si>
  <si>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</si>
  <si>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</si>
  <si>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</si>
  <si>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</si>
  <si>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</si>
  <si>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</si>
  <si>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</si>
  <si>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</si>
  <si>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</si>
  <si>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</si>
  <si>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</si>
  <si>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</si>
  <si>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</si>
  <si>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</si>
  <si>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</si>
  <si>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</si>
  <si>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</si>
  <si>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</si>
  <si>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</si>
  <si>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</si>
  <si>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</si>
  <si>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</si>
  <si>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</si>
  <si>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</si>
  <si>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</si>
  <si>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</si>
  <si>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</si>
  <si>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</si>
  <si>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</si>
  <si>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</si>
  <si>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</si>
  <si>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</si>
  <si>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</si>
  <si>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</si>
  <si>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</si>
  <si>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</si>
  <si>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</si>
  <si>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</si>
  <si>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</si>
  <si>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</si>
  <si>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</si>
  <si>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</si>
  <si>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</si>
  <si>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</si>
  <si>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</si>
  <si>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</si>
  <si>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</si>
  <si>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</si>
  <si>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</si>
  <si>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</si>
  <si>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</si>
  <si>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</si>
  <si>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</si>
  <si>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</si>
  <si>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</si>
  <si>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</si>
  <si>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</si>
  <si>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</si>
  <si>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</si>
  <si>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</si>
  <si>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</si>
  <si>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</si>
  <si>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</si>
  <si>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</si>
  <si>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</si>
  <si>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</si>
  <si>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</si>
  <si>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</si>
  <si>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</si>
  <si>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</si>
  <si>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</si>
  <si>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</si>
  <si>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</si>
  <si>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</si>
  <si>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</si>
  <si>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</si>
  <si>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</si>
  <si>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</si>
  <si>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</si>
  <si>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</si>
  <si>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</si>
  <si>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</si>
  <si>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</si>
  <si>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</si>
  <si>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</si>
  <si>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</si>
  <si>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</si>
  <si>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</si>
  <si>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</si>
  <si>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</si>
  <si>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</si>
  <si>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</si>
  <si>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</si>
  <si>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</si>
  <si>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</si>
  <si>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</si>
  <si>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</si>
  <si>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Storm-Cursed\’s Revenge</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</si>
  <si>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</si>
  <si>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</si>
  <si>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</si>
  <si>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</si>
  <si>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</si>
  <si>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</si>
  <si>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</si>
  <si>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</si>
  <si>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</si>
  <si>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</si>
  <si>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</si>
  <si>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</si>
  <si>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</si>
  <si>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</si>
  <si>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</si>
  <si>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</si>
  <si>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</si>
  <si>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</si>
  <si>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</si>
  <si>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</si>
  <si>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</si>
  <si>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</si>
  <si>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</si>
  <si>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</si>
  <si>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</si>
  <si>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</si>
  <si>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</si>
  <si>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</si>
  <si>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</si>
  <si>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</si>
  <si>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</si>
  <si>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</si>
  <si>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</si>
  <si>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</si>
  <si>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</si>
  <si>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</si>
  <si>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</si>
  <si>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</si>
  <si>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</si>
  <si>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</si>
  <si>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</si>
  <si>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</si>
  <si>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</si>
  <si>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</si>
  <si>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</si>
  <si>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</si>
  <si>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</si>
  <si>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</si>
  <si>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</si>
  <si>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</si>
  <si>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</si>
  <si>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</si>
  <si>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</si>
  <si>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</si>
  <si>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</si>
  <si>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</si>
  <si>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</si>
  <si>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</si>
  <si>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</si>
  <si>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</si>
  <si>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</si>
  <si>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</si>
  <si>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</si>
  <si>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</si>
  <si>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</si>
  <si>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</si>
  <si>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</si>
  <si>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</si>
  <si>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</si>
  <si>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</si>
  <si>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</si>
  <si>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</si>
  <si>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</si>
  <si>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</si>
  <si>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</si>
  <si>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</si>
  <si>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</si>
  <si>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</si>
  <si>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</si>
  <si>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</si>
  <si>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</si>
  <si>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</si>
  <si>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</si>
  <si>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</si>
  <si>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</si>
  <si>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</si>
  <si>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</si>
  <si>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</si>
  <si>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</si>
  <si>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</si>
  <si>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</si>
  <si>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</si>
  <si>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</si>
  <si>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</si>
  <si>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</si>
  <si>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</si>
  <si>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</si>
  <si>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</si>
  <si>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</si>
  <si>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</si>
  <si>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</si>
  <si>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</si>
  <si>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</si>
  <si>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</si>
  <si>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</si>
  <si>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</si>
  <si>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</si>
  <si>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</si>
  <si>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</si>
  <si>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</si>
  <si>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</si>
  <si>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</si>
  <si>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</si>
  <si>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</si>
  <si>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</si>
  <si>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</si>
  <si>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</si>
  <si>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</si>
  <si>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</si>
  <si>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</si>
  <si>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</si>
  <si>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</si>
  <si>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</si>
  <si>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</si>
  <si>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</si>
  <si>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</si>
  <si>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</si>
  <si>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</si>
  <si>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</si>
  <si>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</si>
  <si>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</si>
  <si>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</si>
  <si>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</si>
  <si>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</si>
  <si>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</si>
  <si>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</si>
  <si>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</si>
  <si>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</si>
  <si>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</si>
  <si>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</si>
  <si>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</si>
  <si>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</si>
  <si>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</si>
  <si>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</si>
  <si>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</si>
  <si>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</si>
  <si>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</si>
  <si>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</si>
  <si>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</si>
  <si>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</si>
  <si>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</si>
  <si>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</si>
  <si>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</si>
  <si>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</si>
  <si>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</si>
  <si>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</si>
  <si>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</si>
  <si>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</si>
  <si>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</si>
  <si>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</si>
  <si>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</si>
  <si>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</si>
  <si>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</si>
  <si>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</si>
  <si>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</si>
  <si>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</si>
  <si>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</si>
  <si>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</si>
  <si>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</si>
  <si>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</si>
  <si>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</si>
  <si>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</si>
  <si>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</si>
  <si>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</si>
  <si>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</si>
  <si>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</si>
  <si>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</si>
  <si>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</si>
  <si>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</si>
  <si>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</si>
  <si>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</si>
  <si>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</si>
  <si>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</si>
  <si>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</si>
  <si>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</si>
  <si>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</si>
  <si>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</si>
  <si>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</si>
  <si>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</si>
  <si>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</si>
  <si>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</si>
  <si>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</si>
  <si>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</si>
  <si>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</si>
  <si>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</si>
  <si>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</si>
  <si>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</si>
  <si>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</si>
  <si>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</si>
  <si>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</si>
  <si>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</si>
  <si>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</si>
  <si>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</si>
  <si>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</si>
  <si>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</si>
  <si>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</si>
  <si>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</si>
  <si>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</si>
  <si>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</si>
  <si>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</si>
  <si>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</si>
  <si>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</si>
  <si>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</si>
  <si>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</si>
  <si>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</si>
  <si>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</si>
  <si>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</si>
  <si>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</si>
  <si>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</si>
  <si>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</si>
  <si>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</si>
  <si>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</si>
  <si>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</si>
  <si>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</si>
  <si>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</si>
  <si>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</si>
  <si>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</si>
  <si>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</si>
  <si>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</si>
  <si>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</si>
  <si>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</si>
  <si>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</si>
  <si>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</si>
  <si>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</si>
  <si>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</si>
  <si>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</si>
  <si>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</si>
  <si>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</si>
  <si>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</si>
  <si>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</si>
  <si>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</si>
  <si>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</si>
  <si>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</si>
  <si>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</si>
  <si>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</si>
  <si>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</si>
  <si>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</si>
  <si>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</si>
  <si>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</si>
  <si>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</si>
  <si>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</si>
  <si>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</si>
  <si>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</si>
  <si>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</si>
  <si>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</si>
  <si>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</si>
  <si>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</si>
  <si>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</si>
  <si>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</si>
  <si>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</si>
  <si>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</si>
  <si>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</si>
  <si>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</si>
  <si>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</si>
  <si>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</si>
  <si>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</si>
  <si>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</si>
  <si>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</si>
  <si>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</si>
  <si>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</si>
  <si>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</si>
  <si>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</si>
  <si>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</si>
  <si>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</si>
  <si>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</si>
  <si>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</si>
  <si>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</si>
  <si>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</si>
  <si>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</si>
  <si>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</si>
  <si>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</si>
  <si>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</si>
  <si>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</si>
  <si>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</si>
  <si>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</si>
  <si>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</si>
  <si>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</si>
  <si>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</si>
  <si>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</si>
  <si>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</si>
  <si>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</si>
  <si>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</si>
  <si>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</si>
  <si>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</si>
  <si>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</si>
  <si>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</si>
  <si>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</si>
  <si>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</si>
  <si>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</si>
  <si>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</si>
  <si>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</si>
  <si>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</si>
  <si>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</si>
  <si>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</si>
  <si>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</si>
  <si>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</si>
  <si>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</si>
  <si>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</si>
  <si>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</si>
  <si>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</si>
  <si>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</si>
  <si>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</si>
  <si>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</si>
  <si>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</si>
  <si>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</si>
  <si>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</si>
  <si>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</si>
  <si>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</si>
  <si>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</si>
  <si>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</si>
  <si>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</si>
  <si>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</si>
  <si>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</si>
  <si>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</si>
  <si>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</si>
  <si>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</si>
  <si>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</si>
  <si>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</si>
  <si>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</si>
  <si>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</si>
  <si>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</si>
  <si>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</si>
  <si>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</si>
  <si>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</si>
  <si>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</si>
  <si>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</si>
  <si>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</si>
  <si>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</si>
  <si>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</si>
  <si>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</si>
  <si>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</si>
  <si>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</si>
  <si>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</si>
  <si>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</si>
  <si>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</si>
  <si>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</si>
  <si>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</si>
  <si>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</si>
  <si>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</si>
  <si>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</si>
  <si>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</si>
  <si>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</si>
  <si>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</si>
  <si>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</si>
  <si>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</si>
  <si>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</si>
  <si>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</si>
  <si>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</si>
  <si>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</si>
  <si>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</si>
  <si>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</si>
  <si>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</si>
  <si>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</si>
  <si>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</si>
  <si>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</si>
  <si>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</si>
  <si>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</si>
  <si>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</si>
  <si>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</si>
  <si>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</si>
  <si>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</si>
  <si>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</si>
  <si>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</si>
  <si>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</si>
  <si>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</si>
  <si>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</si>
  <si>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</si>
  <si>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</si>
  <si>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</si>
  <si>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</si>
  <si>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</si>
  <si>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</si>
  <si>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</si>
  <si>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</si>
  <si>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</si>
  <si>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</si>
  <si>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</si>
  <si>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</si>
  <si>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</si>
  <si>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</si>
  <si>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</si>
  <si>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</si>
  <si>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</si>
  <si>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</si>
  <si>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</si>
  <si>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</si>
  <si>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</si>
  <si>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</si>
  <si>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</si>
  <si>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</si>
  <si>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</si>
  <si>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</si>
  <si>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</si>
  <si>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</si>
  <si>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</si>
  <si>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</si>
  <si>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</si>
  <si>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</si>
  <si>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</si>
  <si>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</si>
  <si>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</si>
  <si>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</si>
  <si>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</si>
  <si>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</si>
  <si>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</si>
  <si>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</si>
  <si>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</si>
  <si>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</si>
  <si>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</si>
  <si>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</si>
  <si>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</si>
  <si>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</si>
  <si>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</si>
  <si>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</si>
  <si>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</si>
  <si>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</si>
  <si>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</si>
  <si>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</si>
  <si>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</si>
  <si>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</si>
  <si>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</si>
  <si>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</si>
  <si>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</si>
  <si>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</si>
  <si>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</si>
  <si>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</si>
  <si>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</si>
  <si>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</si>
  <si>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</si>
  <si>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</si>
  <si>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</si>
  <si>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</si>
  <si>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</si>
  <si>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</si>
  <si>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</si>
  <si>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</si>
  <si>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</si>
  <si>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</si>
  <si>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</si>
  <si>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</si>
  <si>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</si>
  <si>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</si>
  <si>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</si>
  <si>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</si>
  <si>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</si>
  <si>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</si>
  <si>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</si>
  <si>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</si>
  <si>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</si>
  <si>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</si>
  <si>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</si>
  <si>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</si>
  <si>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</si>
  <si>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</si>
  <si>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</si>
  <si>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</si>
  <si>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</si>
  <si>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</si>
  <si>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</si>
  <si>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</si>
  <si>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</si>
  <si>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</si>
  <si>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</si>
  <si>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</si>
  <si>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</si>
  <si>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</si>
  <si>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</si>
  <si>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</si>
  <si>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</si>
  <si>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</si>
  <si>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</si>
  <si>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</si>
  <si>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</si>
  <si>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</si>
  <si>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</si>
  <si>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</si>
  <si>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</si>
  <si>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</si>
  <si>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</si>
  <si>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</si>
  <si>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</si>
  <si>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</si>
  <si>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</si>
  <si>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</si>
  <si>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</si>
  <si>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</si>
  <si>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</si>
  <si>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</si>
  <si>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</si>
  <si>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</si>
  <si>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</si>
  <si>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</si>
  <si>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</si>
  <si>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</si>
  <si>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</si>
  <si>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</si>
  <si>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</si>
  <si>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</si>
  <si>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</si>
  <si>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</si>
  <si>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</si>
  <si>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</si>
  <si>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</si>
  <si>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</si>
  <si>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</si>
  <si>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</si>
  <si>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</si>
  <si>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</si>
  <si>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</si>
  <si>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</si>
  <si>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</si>
  <si>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</si>
  <si>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</si>
  <si>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</si>
  <si>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</si>
  <si>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</si>
  <si>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</si>
  <si>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</si>
  <si>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</si>
  <si>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</si>
  <si>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</si>
  <si>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</si>
  <si>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</si>
  <si>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</si>
  <si>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</si>
  <si>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</si>
  <si>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</si>
  <si>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</si>
  <si>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</si>
  <si>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</si>
  <si>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</si>
  <si>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</si>
  <si>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</si>
  <si>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</si>
  <si>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</si>
  <si>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</si>
  <si>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</si>
  <si>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</si>
  <si>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</si>
  <si>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</si>
  <si>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</si>
  <si>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</si>
  <si>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</si>
  <si>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</si>
  <si>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</si>
  <si>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</si>
  <si>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</si>
  <si>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</si>
  <si>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</si>
  <si>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</si>
  <si>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</si>
  <si>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</si>
  <si>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</si>
  <si>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</si>
  <si>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</si>
  <si>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</si>
  <si>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</si>
  <si>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</si>
  <si>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</si>
  <si>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</si>
  <si>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</si>
  <si>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</si>
  <si>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</si>
  <si>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</si>
  <si>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</si>
  <si>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</si>
  <si>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</si>
  <si>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</si>
  <si>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</si>
  <si>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</si>
  <si>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</si>
  <si>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</si>
  <si>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</si>
  <si>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</si>
  <si>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</si>
  <si>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</si>
  <si>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</si>
  <si>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</si>
  <si>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</si>
  <si>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</si>
  <si>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</si>
  <si>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</si>
  <si>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</si>
  <si>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</si>
  <si>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</si>
  <si>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</si>
  <si>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</si>
  <si>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</si>
  <si>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</si>
  <si>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</si>
  <si>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</si>
  <si>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</si>
  <si>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</si>
  <si>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</si>
  <si>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</si>
  <si>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</si>
  <si>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</si>
  <si>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</si>
  <si>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</si>
  <si>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</si>
  <si>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</si>
  <si>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</si>
  <si>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</si>
  <si>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</si>
  <si>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</si>
  <si>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</si>
  <si>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</si>
  <si>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</si>
  <si>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</si>
  <si>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</si>
  <si>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</si>
  <si>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</si>
  <si>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</si>
  <si>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</si>
  <si>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</si>
  <si>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</si>
  <si>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</si>
  <si>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</si>
  <si>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</si>
  <si>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</si>
  <si>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</si>
  <si>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</si>
  <si>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</si>
  <si>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</si>
  <si>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</si>
  <si>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</si>
  <si>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</si>
  <si>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</si>
  <si>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</si>
  <si>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</si>
  <si>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</si>
  <si>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</si>
  <si>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</si>
  <si>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</si>
  <si>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</si>
  <si>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</si>
  <si>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</si>
  <si>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</si>
  <si>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</si>
  <si>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</si>
  <si>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</si>
  <si>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</si>
  <si>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</si>
  <si>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</si>
  <si>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</si>
  <si>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</si>
  <si>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</si>
  <si>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</si>
  <si>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</si>
  <si>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</si>
  <si>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Phylactery\’s Grasp</t>
  </si>
  <si>
    <t>Pangrit Denmother</t>
  </si>
  <si>
    <t>Euphotic Gatekeeper</t>
  </si>
  <si>
    <t>Langour of Peryite</t>
  </si>
  <si>
    <t>Nocturnal\’s Ploy </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</si>
  <si>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</si>
  <si>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</si>
  <si>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</si>
  <si>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</si>
  <si>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</si>
  <si>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</si>
  <si>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</si>
  <si>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</si>
  <si>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</si>
  <si>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</si>
  <si>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</si>
  <si>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</si>
  <si>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</si>
  <si>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</si>
  <si>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</si>
  <si>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</si>
  <si>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</si>
  <si>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</si>
  <si>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</si>
  <si>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</si>
  <si>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</si>
  <si>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</si>
  <si>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</si>
  <si>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</si>
  <si>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</si>
  <si>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</si>
  <si>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</si>
  <si>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</si>
  <si>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</si>
  <si>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</si>
  <si>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</si>
  <si>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</si>
  <si>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</si>
  <si>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</si>
  <si>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</si>
  <si>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</si>
  <si>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</si>
  <si>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</si>
  <si>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</si>
  <si>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</si>
  <si>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</si>
  <si>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</si>
  <si>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</si>
  <si>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</si>
  <si>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</si>
  <si>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</si>
  <si>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</si>
  <si>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</si>
  <si>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</si>
  <si>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</si>
  <si>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</si>
  <si>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</si>
  <si>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</si>
  <si>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</si>
  <si>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</si>
  <si>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</si>
  <si>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</si>
  <si>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</si>
  <si>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</si>
  <si>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</si>
  <si>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</si>
  <si>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</si>
  <si>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</si>
  <si>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</si>
  <si>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</si>
  <si>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</si>
  <si>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</si>
  <si>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</si>
  <si>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</si>
  <si>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</si>
  <si>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</si>
  <si>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</si>
  <si>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</si>
  <si>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</si>
  <si>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</si>
  <si>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</si>
  <si>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</si>
  <si>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</si>
  <si>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</si>
  <si>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</si>
  <si>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</si>
  <si>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</si>
  <si>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</si>
  <si>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</si>
  <si>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</si>
  <si>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</si>
  <si>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</si>
  <si>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</si>
  <si>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</si>
  <si>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</si>
  <si>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</si>
  <si>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</si>
  <si>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</si>
  <si>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</si>
  <si>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</si>
  <si>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</si>
  <si>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</si>
  <si>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</si>
  <si>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</si>
  <si>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</si>
  <si>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</si>
  <si>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</si>
  <si>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</si>
  <si>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</si>
  <si>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</si>
  <si>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</si>
  <si>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</si>
  <si>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</si>
  <si>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</si>
  <si>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</si>
  <si>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</si>
  <si>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</si>
  <si>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</si>
  <si>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</si>
  <si>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</si>
  <si>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</si>
  <si>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</si>
  <si>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</si>
  <si>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</si>
  <si>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</si>
  <si>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</si>
  <si>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</si>
  <si>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</si>
  <si>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</si>
  <si>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</si>
  <si>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</si>
  <si>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</si>
  <si>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</si>
  <si>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</si>
  <si>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</si>
  <si>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</si>
  <si>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</si>
  <si>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</si>
  <si>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</si>
  <si>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</si>
  <si>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</si>
  <si>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</si>
  <si>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</si>
  <si>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</si>
  <si>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</si>
  <si>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</si>
  <si>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</si>
  <si>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</si>
  <si>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</si>
  <si>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</si>
  <si>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</si>
  <si>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</si>
  <si>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</si>
  <si>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</si>
  <si>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</si>
  <si>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</si>
  <si>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</si>
  <si>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</si>
  <si>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</si>
  <si>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</si>
  <si>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</si>
  <si>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</si>
  <si>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</si>
  <si>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</si>
  <si>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</si>
  <si>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</si>
  <si>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</si>
  <si>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</si>
  <si>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Ritemaster\’s Bond</t>
  </si>
  <si>
    <t>Nix-Hound\’s Howl</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</si>
  <si>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</si>
  <si>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</si>
  <si>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</si>
  <si>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</si>
  <si>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</si>
  <si>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</si>
  <si>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</si>
  <si>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</si>
  <si>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</si>
  <si>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</si>
  <si>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</si>
  <si>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</si>
  <si>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</si>
  <si>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</si>
  <si>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</si>
  <si>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</si>
  <si>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</si>
  <si>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</si>
  <si>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</si>
  <si>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</si>
  <si>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</si>
  <si>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</si>
  <si>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</si>
  <si>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</si>
  <si>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</si>
  <si>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</si>
  <si>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</si>
  <si>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</si>
  <si>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</si>
  <si>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</si>
  <si>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</si>
  <si>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</si>
  <si>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</si>
  <si>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</si>
  <si>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</si>
  <si>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</si>
  <si>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</si>
  <si>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</si>
  <si>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</si>
  <si>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</si>
  <si>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</si>
  <si>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</si>
  <si>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</si>
  <si>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</si>
  <si>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</si>
  <si>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</si>
  <si>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</si>
  <si>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</si>
  <si>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</si>
  <si>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</si>
  <si>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</si>
  <si>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</si>
  <si>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</si>
  <si>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</si>
  <si>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</si>
  <si>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</si>
  <si>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</si>
  <si>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</si>
  <si>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</si>
  <si>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</si>
  <si>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</si>
  <si>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</si>
  <si>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</si>
  <si>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</si>
  <si>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</si>
  <si>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</si>
  <si>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</si>
  <si>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</si>
  <si>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</si>
  <si>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</si>
  <si>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</si>
  <si>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</si>
  <si>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</si>
  <si>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</si>
  <si>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</si>
  <si>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</si>
  <si>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</si>
  <si>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</si>
  <si>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</si>
  <si>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</si>
  <si>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</si>
  <si>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</si>
  <si>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</si>
  <si>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</si>
  <si>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</si>
  <si>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</si>
  <si>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</si>
  <si>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</si>
  <si>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</si>
  <si>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</si>
  <si>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</si>
  <si>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</si>
  <si>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</si>
  <si>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</si>
  <si>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</si>
  <si>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</si>
  <si>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</si>
  <si>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</si>
  <si>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</si>
  <si>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</si>
  <si>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</si>
  <si>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</si>
  <si>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</si>
  <si>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</si>
  <si>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</si>
  <si>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</si>
  <si>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</si>
  <si>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</si>
  <si>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</si>
  <si>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</si>
  <si>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</si>
  <si>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</si>
  <si>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</si>
  <si>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</si>
  <si>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</si>
  <si>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</si>
  <si>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</si>
  <si>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</si>
  <si>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</si>
  <si>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</si>
  <si>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</si>
  <si>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</si>
  <si>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</si>
  <si>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</si>
  <si>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</si>
  <si>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</si>
  <si>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</si>
  <si>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</si>
  <si>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</si>
  <si>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</si>
  <si>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</si>
  <si>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</si>
  <si>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</si>
  <si>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</si>
  <si>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</si>
  <si>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</si>
  <si>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</si>
  <si>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</si>
  <si>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</si>
  <si>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</si>
  <si>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</si>
  <si>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</si>
  <si>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</si>
  <si>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</si>
  <si>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</si>
  <si>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</si>
  <si>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</si>
  <si>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</si>
  <si>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</si>
  <si>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</si>
  <si>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</si>
  <si>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</si>
  <si>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</si>
  <si>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</si>
  <si>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</si>
  <si>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</si>
  <si>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</si>
  <si>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</si>
  <si>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</si>
  <si>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</si>
  <si>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</si>
  <si>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</si>
  <si>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</si>
  <si>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</si>
  <si>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</si>
  <si>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</si>
  <si>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</si>
  <si>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</si>
  <si>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</si>
  <si>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</si>
  <si>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</si>
  <si>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</si>
  <si>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</si>
  <si>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</si>
  <si>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</si>
  <si>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</si>
  <si>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</si>
  <si>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</si>
  <si>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</si>
  <si>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</si>
  <si>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</si>
  <si>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</si>
  <si>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</si>
  <si>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</si>
  <si>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</si>
  <si>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</si>
  <si>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</si>
  <si>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</si>
  <si>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</si>
  <si>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</si>
  <si>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</si>
  <si>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</si>
  <si>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</si>
  <si>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</si>
  <si>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</si>
  <si>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</si>
  <si>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</si>
  <si>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</si>
  <si>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</si>
  <si>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</si>
  <si>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</si>
  <si>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</si>
  <si>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</si>
  <si>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</si>
  <si>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</si>
  <si>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</si>
  <si>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</si>
  <si>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</si>
  <si>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</si>
  <si>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</si>
  <si>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</si>
  <si>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</si>
  <si>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</si>
  <si>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</si>
  <si>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</si>
  <si>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</si>
  <si>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</si>
  <si>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</si>
  <si>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</si>
  <si>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</si>
  <si>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</si>
  <si>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</si>
  <si>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</si>
  <si>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</si>
  <si>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</si>
  <si>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</si>
  <si>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</si>
  <si>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</si>
  <si>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</si>
  <si>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</si>
  <si>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</si>
  <si>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</si>
  <si>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</si>
  <si>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</si>
  <si>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</si>
  <si>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</si>
  <si>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</si>
  <si>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</si>
  <si>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</si>
  <si>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</si>
  <si>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</si>
  <si>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</si>
  <si>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</si>
  <si>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</si>
  <si>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</si>
  <si>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</si>
  <si>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</si>
  <si>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</si>
  <si>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</si>
  <si>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</si>
  <si>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</si>
  <si>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</si>
  <si>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</si>
  <si>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</si>
  <si>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</si>
  <si>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</si>
  <si>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</si>
  <si>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</si>
  <si>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</si>
  <si>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</si>
  <si>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</si>
  <si>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</si>
  <si>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</si>
  <si>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</si>
  <si>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</si>
  <si>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</si>
  <si>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</si>
  <si>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</si>
  <si>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</si>
  <si>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</si>
  <si>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</si>
  <si>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</si>
  <si>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</si>
  <si>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</si>
  <si>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</si>
  <si>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</si>
  <si>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</si>
  <si>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</si>
  <si>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</si>
  <si>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</si>
  <si>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</si>
  <si>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</si>
  <si>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</si>
  <si>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</si>
  <si>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</si>
  <si>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</si>
  <si>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</si>
  <si>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</si>
  <si>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</si>
  <si>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</si>
  <si>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</si>
  <si>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</si>
  <si>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</si>
  <si>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</si>
  <si>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</si>
  <si>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</si>
  <si>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</si>
  <si>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</si>
  <si>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</si>
  <si>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</si>
  <si>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</si>
  <si>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</si>
  <si>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</si>
  <si>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</si>
  <si>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</si>
  <si>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</si>
  <si>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</si>
  <si>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</si>
  <si>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</si>
  <si>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</si>
  <si>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</si>
  <si>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</si>
  <si>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</si>
  <si>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</si>
  <si>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</si>
  <si>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</si>
  <si>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</si>
  <si>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</si>
  <si>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</si>
  <si>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</si>
  <si>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</si>
  <si>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</si>
  <si>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</si>
  <si>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</si>
  <si>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</si>
  <si>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</si>
  <si>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</si>
  <si>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</si>
  <si>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</si>
  <si>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</si>
  <si>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</si>
  <si>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</si>
  <si>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</si>
  <si>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</si>
  <si>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</si>
  <si>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</si>
  <si>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</si>
  <si>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</si>
  <si>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</si>
  <si>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</si>
  <si>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</si>
  <si>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</si>
  <si>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</si>
  <si>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</si>
  <si>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</si>
  <si>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</si>
  <si>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</si>
  <si>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</si>
  <si>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</si>
  <si>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</si>
  <si>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</si>
  <si>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</si>
  <si>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</si>
  <si>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</si>
  <si>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</si>
  <si>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</si>
  <si>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</si>
  <si>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</si>
  <si>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</si>
  <si>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</si>
  <si>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</si>
  <si>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</si>
  <si>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</si>
  <si>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</si>
  <si>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</si>
  <si>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</si>
  <si>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PTS 101041</t>
  </si>
  <si>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</si>
  <si>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</si>
  <si>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</si>
  <si>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</si>
  <si>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</si>
  <si>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</si>
  <si>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</si>
  <si>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</si>
  <si>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</si>
  <si>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</si>
  <si>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</si>
  <si>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</si>
  <si>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</si>
  <si>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</si>
  <si>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</si>
  <si>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</si>
  <si>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</si>
  <si>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</si>
  <si>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</si>
  <si>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</si>
  <si>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</si>
  <si>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</si>
  <si>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</si>
  <si>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</si>
  <si>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</si>
  <si>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</si>
  <si>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</si>
  <si>
    <t>Unknown yet</t>
  </si>
  <si>
    <r>
      <t>Perfected Pillager</t>
    </r>
    <r>
      <rPr>
        <sz val="10"/>
        <rFont val="Consolas"/>
        <family val="3"/>
      </rPr>
      <t>\'s Profit</t>
    </r>
  </si>
  <si>
    <r>
      <t>Serpent</t>
    </r>
    <r>
      <rPr>
        <sz val="10"/>
        <rFont val="Consolas"/>
        <family val="3"/>
      </rPr>
      <t>\'s Disdain</t>
    </r>
  </si>
  <si>
    <t>IsPerfectedSet=X, or PerfectedSetId=&lt;setId&gt;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</si>
</sst>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4">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2" fillId="6" borderId="1" xfId="5" applyFill="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filterMode="1">
    <tabColor rgb="FFFFFF00"/>
  </sheetPr>
  <dimension ref="A1:BI648"/>
  <sheetViews>
    <sheetView tabSelected="1" zoomScale="70" zoomScaleNormal="70" workbookViewId="0">
      <pane xSplit="7" ySplit="2" topLeftCell="H267" activePane="bottomRight" state="frozen"/>
      <selection pane="topRight" activeCell="H1" sqref="H1"/>
      <selection pane="bottomLeft" activeCell="A3" sqref="A3"/>
      <selection pane="bottomRight" activeCell="Q267" sqref="Q267"/>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3" t="s">
        <v>3783</v>
      </c>
      <c r="B1" s="113"/>
      <c r="C1" s="113"/>
      <c r="D1" s="57" t="s">
        <v>3929</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1436</v>
      </c>
      <c r="E2" s="1" t="s">
        <v>1336</v>
      </c>
      <c r="F2" s="1" t="s">
        <v>1338</v>
      </c>
      <c r="G2" s="3" t="s">
        <v>1415</v>
      </c>
      <c r="H2" s="11" t="s">
        <v>1377</v>
      </c>
      <c r="I2" s="11" t="s">
        <v>1791</v>
      </c>
      <c r="J2" s="11" t="s">
        <v>1376</v>
      </c>
      <c r="K2" s="11" t="s">
        <v>1438</v>
      </c>
      <c r="L2" s="11" t="s">
        <v>1374</v>
      </c>
      <c r="M2" s="11" t="s">
        <v>1375</v>
      </c>
      <c r="N2" s="11" t="s">
        <v>1373</v>
      </c>
      <c r="O2" s="60" t="s">
        <v>1790</v>
      </c>
      <c r="P2" s="60" t="s">
        <v>3278</v>
      </c>
      <c r="Q2" s="13" t="s">
        <v>1333</v>
      </c>
      <c r="R2" s="23" t="s">
        <v>1378</v>
      </c>
      <c r="S2" s="60" t="s">
        <v>1785</v>
      </c>
      <c r="T2" s="22" t="s">
        <v>1416</v>
      </c>
      <c r="U2" s="3" t="s">
        <v>75</v>
      </c>
      <c r="V2" s="32" t="s">
        <v>1522</v>
      </c>
      <c r="W2" s="13" t="s">
        <v>1510</v>
      </c>
      <c r="X2" s="13" t="s">
        <v>1511</v>
      </c>
      <c r="Y2" s="60" t="s">
        <v>2709</v>
      </c>
      <c r="Z2" s="13" t="s">
        <v>1334</v>
      </c>
      <c r="AA2" s="23" t="s">
        <v>1379</v>
      </c>
      <c r="AB2" s="32" t="s">
        <v>1526</v>
      </c>
      <c r="AC2" s="13" t="s">
        <v>1512</v>
      </c>
      <c r="AD2" s="13" t="s">
        <v>1513</v>
      </c>
      <c r="AE2" s="13" t="s">
        <v>3276</v>
      </c>
      <c r="AF2" s="13" t="s">
        <v>1335</v>
      </c>
      <c r="AG2" s="23" t="s">
        <v>1380</v>
      </c>
      <c r="AH2" s="33" t="s">
        <v>2765</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2655</v>
      </c>
      <c r="BA2" s="76" t="s">
        <v>3272</v>
      </c>
      <c r="BB2" s="76" t="s">
        <v>3273</v>
      </c>
      <c r="BC2" s="76" t="s">
        <v>3778</v>
      </c>
      <c r="BD2" s="76" t="s">
        <v>3960</v>
      </c>
      <c r="BE2" s="20" t="s">
        <v>3281</v>
      </c>
      <c r="BF2" s="20" t="s">
        <v>3282</v>
      </c>
      <c r="BG2" s="20" t="s">
        <v>3283</v>
      </c>
      <c r="BH2" s="20" t="s">
        <v>3279</v>
      </c>
      <c r="BI2" s="20" t="s">
        <v>3280</v>
      </c>
    </row>
    <row r="3" spans="1:61" hidden="1"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3285</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2653</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hidden="1"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2653</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hidden="1"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2654</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hidden="1" x14ac:dyDescent="0.25">
      <c r="A6" s="12">
        <v>22</v>
      </c>
      <c r="B6" t="s">
        <v>735</v>
      </c>
      <c r="C6" t="s">
        <v>2532</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2653</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hidden="1" x14ac:dyDescent="0.25">
      <c r="A7" s="12">
        <v>23</v>
      </c>
      <c r="B7" t="s">
        <v>736</v>
      </c>
      <c r="C7" t="s">
        <v>2533</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2654</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hidden="1" x14ac:dyDescent="0.25">
      <c r="A8" s="12">
        <v>24</v>
      </c>
      <c r="B8" t="s">
        <v>737</v>
      </c>
      <c r="C8" t="s">
        <v>2534</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2653</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hidden="1"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2770</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3737</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2765</v>
      </c>
      <c r="AK9" s="3">
        <f>IF(AND(G9&lt;&gt;"LIBSETS_SETTYPE_BATTLEGROUND",G9&lt;&gt;"LIBSETS_SETTYPE_SPECIAL"),IF(AL9&lt;&gt;"",VLOOKUP(AL9,'ESO zone constants'!$D$5:$H$4955,5,FALSE),""),"")</f>
        <v>181</v>
      </c>
      <c r="AL9" t="s">
        <v>125</v>
      </c>
      <c r="AM9" s="33" t="s">
        <v>3740</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3236</v>
      </c>
      <c r="AZ9" s="78" t="s">
        <v>2653</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hidden="1" x14ac:dyDescent="0.25">
      <c r="A10" s="12">
        <v>26</v>
      </c>
      <c r="B10" t="s">
        <v>740</v>
      </c>
      <c r="C10" t="s">
        <v>2535</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2653</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hidden="1" x14ac:dyDescent="0.25">
      <c r="A11" s="12">
        <v>27</v>
      </c>
      <c r="B11" t="s">
        <v>741</v>
      </c>
      <c r="C11" t="s">
        <v>2536</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2653</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hidden="1"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3285</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3285</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2653</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hidden="1" x14ac:dyDescent="0.25">
      <c r="A13" s="12">
        <v>29</v>
      </c>
      <c r="B13" t="s">
        <v>744</v>
      </c>
      <c r="C13" t="s">
        <v>2537</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3285</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3285</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2654</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hidden="1" x14ac:dyDescent="0.25">
      <c r="A14" s="12">
        <v>30</v>
      </c>
      <c r="B14" t="s">
        <v>745</v>
      </c>
      <c r="C14" t="s">
        <v>2538</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2653</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hidden="1"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2654</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hidden="1" x14ac:dyDescent="0.25">
      <c r="A16" s="12">
        <v>32</v>
      </c>
      <c r="B16" t="s">
        <v>748</v>
      </c>
      <c r="C16" t="s">
        <v>2539</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2653</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hidden="1" x14ac:dyDescent="0.25">
      <c r="A17" s="12">
        <v>33</v>
      </c>
      <c r="B17" t="s">
        <v>749</v>
      </c>
      <c r="C17" t="s">
        <v>2540</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3285</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3285</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2653</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hidden="1" x14ac:dyDescent="0.25">
      <c r="A18" s="12">
        <v>34</v>
      </c>
      <c r="B18" t="s">
        <v>750</v>
      </c>
      <c r="C18" t="s">
        <v>2541</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2654</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hidden="1"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3285</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3285</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2653</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hidden="1"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2653</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hidden="1" x14ac:dyDescent="0.25">
      <c r="A21" s="5">
        <v>37</v>
      </c>
      <c r="B21" t="s">
        <v>2773</v>
      </c>
      <c r="C21" t="s">
        <v>2542</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3288</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3288</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3288</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2653</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hidden="1" x14ac:dyDescent="0.25">
      <c r="A22" s="5">
        <v>38</v>
      </c>
      <c r="B22" t="s">
        <v>2774</v>
      </c>
      <c r="C22" t="s">
        <v>2543</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3288</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3288</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3288</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2654</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hidden="1"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3737</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2765</v>
      </c>
      <c r="AK23" s="3">
        <f>IF(AND(G23&lt;&gt;"LIBSETS_SETTYPE_BATTLEGROUND",G23&lt;&gt;"LIBSETS_SETTYPE_SPECIAL"),IF(AL23&lt;&gt;"",VLOOKUP(AL23,'ESO zone constants'!$D$5:$H$4955,5,FALSE),""),"")</f>
        <v>181</v>
      </c>
      <c r="AL23" t="s">
        <v>125</v>
      </c>
      <c r="AM23" s="33" t="s">
        <v>3740</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3236</v>
      </c>
      <c r="AZ23" s="78" t="s">
        <v>2653</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hidden="1" x14ac:dyDescent="0.25">
      <c r="A24" s="5">
        <v>40</v>
      </c>
      <c r="B24" t="s">
        <v>2775</v>
      </c>
      <c r="C24" t="s">
        <v>2544</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3288</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3288</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3288</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2653</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hidden="1" x14ac:dyDescent="0.25">
      <c r="A25" s="5">
        <v>41</v>
      </c>
      <c r="B25" t="s">
        <v>2776</v>
      </c>
      <c r="C25" t="s">
        <v>2545</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3288</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3288</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3288</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2653</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hidden="1" x14ac:dyDescent="0.25">
      <c r="A26" s="5">
        <v>43</v>
      </c>
      <c r="B26" t="s">
        <v>2777</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3288</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3288</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3288</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2654</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hidden="1" x14ac:dyDescent="0.25">
      <c r="A27" s="5">
        <v>44</v>
      </c>
      <c r="B27" t="s">
        <v>2778</v>
      </c>
      <c r="C27" t="s">
        <v>2546</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3288</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3288</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3288</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2653</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hidden="1" x14ac:dyDescent="0.25">
      <c r="A28" s="12">
        <v>46</v>
      </c>
      <c r="B28" t="s">
        <v>758</v>
      </c>
      <c r="C28" t="s">
        <v>2547</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3285</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2653</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hidden="1"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2653</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hidden="1" x14ac:dyDescent="0.25">
      <c r="A30" s="5">
        <v>48</v>
      </c>
      <c r="B30" t="s">
        <v>761</v>
      </c>
      <c r="C30" t="s">
        <v>2548</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3288</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3288</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3288</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2653</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hidden="1"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2653</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hidden="1"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3737</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2765</v>
      </c>
      <c r="AK32" s="3">
        <f>IF(AND(G32&lt;&gt;"LIBSETS_SETTYPE_BATTLEGROUND",G32&lt;&gt;"LIBSETS_SETTYPE_SPECIAL"),IF(AL32&lt;&gt;"",VLOOKUP(AL32,'ESO zone constants'!$D$5:$H$4955,5,FALSE),""),"")</f>
        <v>181</v>
      </c>
      <c r="AL32" t="s">
        <v>125</v>
      </c>
      <c r="AM32" s="33" t="s">
        <v>3740</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3236</v>
      </c>
      <c r="AZ32" s="78" t="s">
        <v>2653</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hidden="1" x14ac:dyDescent="0.25">
      <c r="A33" s="5">
        <v>51</v>
      </c>
      <c r="B33" t="s">
        <v>766</v>
      </c>
      <c r="C33" t="s">
        <v>2549</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3288</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3288</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3288</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2653</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hidden="1"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3737</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2765</v>
      </c>
      <c r="AK34" s="3">
        <f>IF(AND(G34&lt;&gt;"LIBSETS_SETTYPE_BATTLEGROUND",G34&lt;&gt;"LIBSETS_SETTYPE_SPECIAL"),IF(AL34&lt;&gt;"",VLOOKUP(AL34,'ESO zone constants'!$D$5:$H$4955,5,FALSE),""),"")</f>
        <v>181</v>
      </c>
      <c r="AL34" t="s">
        <v>125</v>
      </c>
      <c r="AM34" s="33" t="s">
        <v>3740</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3236</v>
      </c>
      <c r="AZ34" s="78" t="s">
        <v>2653</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hidden="1"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3285</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2653</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hidden="1"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3288</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3288</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3288</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2653</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hidden="1"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3285</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3285</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2653</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hidden="1" x14ac:dyDescent="0.25">
      <c r="A38" s="12">
        <v>56</v>
      </c>
      <c r="B38" t="s">
        <v>775</v>
      </c>
      <c r="C38" t="s">
        <v>2550</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2653</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hidden="1" x14ac:dyDescent="0.25">
      <c r="A39" s="12">
        <v>57</v>
      </c>
      <c r="B39" t="s">
        <v>776</v>
      </c>
      <c r="C39" t="s">
        <v>2551</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2653</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hidden="1"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2653</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hidden="1" x14ac:dyDescent="0.25">
      <c r="A41" s="12">
        <v>59</v>
      </c>
      <c r="B41" t="s">
        <v>779</v>
      </c>
      <c r="C41" t="s">
        <v>2552</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3737</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2765</v>
      </c>
      <c r="AK41" s="3">
        <f>IF(AND(G41&lt;&gt;"LIBSETS_SETTYPE_BATTLEGROUND",G41&lt;&gt;"LIBSETS_SETTYPE_SPECIAL"),IF(AL41&lt;&gt;"",VLOOKUP(AL41,'ESO zone constants'!$D$5:$H$4955,5,FALSE),""),"")</f>
        <v>181</v>
      </c>
      <c r="AL41" t="s">
        <v>125</v>
      </c>
      <c r="AM41" s="33" t="s">
        <v>3740</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3236</v>
      </c>
      <c r="AZ41" s="78" t="s">
        <v>2653</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hidden="1"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2654</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hidden="1"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3285</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3285</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2653</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hidden="1" x14ac:dyDescent="0.25">
      <c r="A44" s="12">
        <v>62</v>
      </c>
      <c r="B44" t="s">
        <v>784</v>
      </c>
      <c r="C44" t="s">
        <v>2553</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2653</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hidden="1"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3737</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2765</v>
      </c>
      <c r="AK45" s="3">
        <f>IF(AND(G45&lt;&gt;"LIBSETS_SETTYPE_BATTLEGROUND",G45&lt;&gt;"LIBSETS_SETTYPE_SPECIAL"),IF(AL45&lt;&gt;"",VLOOKUP(AL45,'ESO zone constants'!$D$5:$H$4955,5,FALSE),""),"")</f>
        <v>181</v>
      </c>
      <c r="AL45" t="s">
        <v>125</v>
      </c>
      <c r="AM45" s="33" t="s">
        <v>3740</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3236</v>
      </c>
      <c r="AZ45" s="78" t="s">
        <v>2653</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hidden="1" x14ac:dyDescent="0.25">
      <c r="A46" s="12">
        <v>64</v>
      </c>
      <c r="B46" t="s">
        <v>787</v>
      </c>
      <c r="C46" t="s">
        <v>2554</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2653</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hidden="1" x14ac:dyDescent="0.25">
      <c r="A47" s="12">
        <v>65</v>
      </c>
      <c r="B47" t="s">
        <v>788</v>
      </c>
      <c r="C47" t="s">
        <v>2555</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2653</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hidden="1"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2653</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hidden="1"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3737</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2765</v>
      </c>
      <c r="AK49" s="3">
        <f>IF(AND(G49&lt;&gt;"LIBSETS_SETTYPE_BATTLEGROUND",G49&lt;&gt;"LIBSETS_SETTYPE_SPECIAL"),IF(AL49&lt;&gt;"",VLOOKUP(AL49,'ESO zone constants'!$D$5:$H$4955,5,FALSE),""),"")</f>
        <v>181</v>
      </c>
      <c r="AL49" t="s">
        <v>125</v>
      </c>
      <c r="AM49" s="33" t="s">
        <v>3740</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3236</v>
      </c>
      <c r="AZ49" s="78" t="s">
        <v>2653</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hidden="1"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2653</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hidden="1" x14ac:dyDescent="0.25">
      <c r="A51" s="12">
        <v>69</v>
      </c>
      <c r="B51" t="s">
        <v>795</v>
      </c>
      <c r="C51" t="s">
        <v>2556</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2654</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hidden="1"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2653</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hidden="1" x14ac:dyDescent="0.25">
      <c r="A53" s="12">
        <v>71</v>
      </c>
      <c r="B53" t="s">
        <v>798</v>
      </c>
      <c r="C53" t="s">
        <v>2557</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3285</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2653</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hidden="1" x14ac:dyDescent="0.25">
      <c r="A54" s="12">
        <v>72</v>
      </c>
      <c r="B54" t="s">
        <v>799</v>
      </c>
      <c r="C54" t="s">
        <v>2558</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3285</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2653</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hidden="1" x14ac:dyDescent="0.25">
      <c r="A55" s="5">
        <v>73</v>
      </c>
      <c r="B55" t="s">
        <v>800</v>
      </c>
      <c r="C55" t="s">
        <v>2559</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3288</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3288</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2653</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hidden="1" x14ac:dyDescent="0.25">
      <c r="A56" s="5">
        <v>74</v>
      </c>
      <c r="B56" t="s">
        <v>801</v>
      </c>
      <c r="C56" t="s">
        <v>2560</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3288</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3288</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2653</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hidden="1" x14ac:dyDescent="0.25">
      <c r="A57" s="5">
        <v>75</v>
      </c>
      <c r="B57" t="s">
        <v>802</v>
      </c>
      <c r="C57" t="s">
        <v>2561</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3288</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3288</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3288</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2654</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hidden="1"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2770</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3737</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2765</v>
      </c>
      <c r="AK58" s="3">
        <f>IF(AND(G58&lt;&gt;"LIBSETS_SETTYPE_BATTLEGROUND",G58&lt;&gt;"LIBSETS_SETTYPE_SPECIAL"),IF(AL58&lt;&gt;"",VLOOKUP(AL58,'ESO zone constants'!$D$5:$H$4955,5,FALSE),""),"")</f>
        <v>181</v>
      </c>
      <c r="AL58" t="s">
        <v>125</v>
      </c>
      <c r="AM58" s="33" t="s">
        <v>3740</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3236</v>
      </c>
      <c r="AZ58" s="78" t="s">
        <v>2654</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hidden="1"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3285</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2653</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hidden="1"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3288</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3288</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3288</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2653</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hidden="1" x14ac:dyDescent="0.25">
      <c r="A61" s="5">
        <v>79</v>
      </c>
      <c r="B61" t="s">
        <v>809</v>
      </c>
      <c r="C61" t="s">
        <v>2562</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3288</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3288</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3288</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2654</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hidden="1" x14ac:dyDescent="0.25">
      <c r="A62" s="5">
        <v>80</v>
      </c>
      <c r="B62" t="s">
        <v>810</v>
      </c>
      <c r="C62" t="s">
        <v>2563</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3288</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3288</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3288</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2653</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hidden="1"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3288</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3288</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3288</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2653</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hidden="1" x14ac:dyDescent="0.25">
      <c r="A64" s="5">
        <v>82</v>
      </c>
      <c r="B64" t="s">
        <v>813</v>
      </c>
      <c r="C64" t="s">
        <v>2564</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3288</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3288</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3288</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2653</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hidden="1"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3737</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2765</v>
      </c>
      <c r="AK65" s="3">
        <f>IF(AND(G65&lt;&gt;"LIBSETS_SETTYPE_BATTLEGROUND",G65&lt;&gt;"LIBSETS_SETTYPE_SPECIAL"),IF(AL65&lt;&gt;"",VLOOKUP(AL65,'ESO zone constants'!$D$5:$H$4955,5,FALSE),""),"")</f>
        <v>181</v>
      </c>
      <c r="AL65" t="s">
        <v>125</v>
      </c>
      <c r="AM65" s="33" t="s">
        <v>3740</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3236</v>
      </c>
      <c r="AZ65" s="78" t="s">
        <v>2654</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hidden="1" x14ac:dyDescent="0.25">
      <c r="A66" s="5">
        <v>84</v>
      </c>
      <c r="B66" t="s">
        <v>816</v>
      </c>
      <c r="C66" t="s">
        <v>2565</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3288</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3288</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2654</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hidden="1" x14ac:dyDescent="0.25">
      <c r="A67" s="12">
        <v>85</v>
      </c>
      <c r="B67" t="s">
        <v>817</v>
      </c>
      <c r="C67" t="s">
        <v>2566</v>
      </c>
      <c r="D67" s="3">
        <f t="shared" ref="D67:D130" si="10">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2770</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3737</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2765</v>
      </c>
      <c r="AK67" s="3">
        <f>IF(AND(G67&lt;&gt;"LIBSETS_SETTYPE_BATTLEGROUND",G67&lt;&gt;"LIBSETS_SETTYPE_SPECIAL"),IF(AL67&lt;&gt;"",VLOOKUP(AL67,'ESO zone constants'!$D$5:$H$4955,5,FALSE),""),"")</f>
        <v>181</v>
      </c>
      <c r="AL67" t="s">
        <v>125</v>
      </c>
      <c r="AM67" s="33" t="s">
        <v>3740</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3236</v>
      </c>
      <c r="AZ67" s="78" t="s">
        <v>2653</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hidden="1" x14ac:dyDescent="0.25">
      <c r="A68" s="12">
        <v>86</v>
      </c>
      <c r="B68" t="s">
        <v>818</v>
      </c>
      <c r="C68" t="s">
        <v>2567</v>
      </c>
      <c r="D68" s="3">
        <f t="shared" si="10"/>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2653</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hidden="1" x14ac:dyDescent="0.25">
      <c r="A69" s="5">
        <v>87</v>
      </c>
      <c r="B69" t="s">
        <v>819</v>
      </c>
      <c r="C69" t="s">
        <v>820</v>
      </c>
      <c r="D69" s="3">
        <f t="shared" si="10"/>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3288</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3288</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2654</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hidden="1" x14ac:dyDescent="0.25">
      <c r="A70" s="12">
        <v>88</v>
      </c>
      <c r="B70" t="s">
        <v>821</v>
      </c>
      <c r="C70" t="s">
        <v>822</v>
      </c>
      <c r="D70" s="3">
        <f t="shared" si="10"/>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2654</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hidden="1" x14ac:dyDescent="0.25">
      <c r="A71" s="12">
        <v>89</v>
      </c>
      <c r="B71" t="s">
        <v>823</v>
      </c>
      <c r="C71" t="s">
        <v>824</v>
      </c>
      <c r="D71" s="3">
        <f t="shared" si="10"/>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3737</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2765</v>
      </c>
      <c r="AK71" s="3">
        <f>IF(AND(G71&lt;&gt;"LIBSETS_SETTYPE_BATTLEGROUND",G71&lt;&gt;"LIBSETS_SETTYPE_SPECIAL"),IF(AL71&lt;&gt;"",VLOOKUP(AL71,'ESO zone constants'!$D$5:$H$4955,5,FALSE),""),"")</f>
        <v>181</v>
      </c>
      <c r="AL71" t="s">
        <v>125</v>
      </c>
      <c r="AM71" s="33" t="s">
        <v>3740</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3236</v>
      </c>
      <c r="AZ71" s="78" t="s">
        <v>2653</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hidden="1" x14ac:dyDescent="0.25">
      <c r="A72" s="12">
        <v>90</v>
      </c>
      <c r="B72" t="s">
        <v>825</v>
      </c>
      <c r="C72" t="s">
        <v>2568</v>
      </c>
      <c r="D72" s="3">
        <f t="shared" si="10"/>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2653</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hidden="1" x14ac:dyDescent="0.25">
      <c r="A73" s="12">
        <v>91</v>
      </c>
      <c r="B73" t="s">
        <v>826</v>
      </c>
      <c r="C73" t="s">
        <v>2569</v>
      </c>
      <c r="D73" s="3">
        <f t="shared" si="10"/>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3285</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2653</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hidden="1" x14ac:dyDescent="0.25">
      <c r="A74" s="5">
        <v>92</v>
      </c>
      <c r="B74" t="s">
        <v>827</v>
      </c>
      <c r="C74" t="s">
        <v>2570</v>
      </c>
      <c r="D74" s="3">
        <f t="shared" si="10"/>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3288</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3288</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2653</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hidden="1" x14ac:dyDescent="0.25">
      <c r="A75" s="12">
        <v>93</v>
      </c>
      <c r="B75" t="s">
        <v>828</v>
      </c>
      <c r="C75" t="s">
        <v>2571</v>
      </c>
      <c r="D75" s="3">
        <f t="shared" si="10"/>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2653</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hidden="1" x14ac:dyDescent="0.25">
      <c r="A76" s="12">
        <v>94</v>
      </c>
      <c r="B76" t="s">
        <v>829</v>
      </c>
      <c r="C76" t="s">
        <v>2572</v>
      </c>
      <c r="D76" s="3">
        <f t="shared" si="10"/>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2653</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hidden="1" x14ac:dyDescent="0.25">
      <c r="A77" s="5">
        <v>95</v>
      </c>
      <c r="B77" t="s">
        <v>830</v>
      </c>
      <c r="C77" t="s">
        <v>2573</v>
      </c>
      <c r="D77" s="3">
        <f t="shared" si="10"/>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3288</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3288</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2653</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hidden="1" x14ac:dyDescent="0.25">
      <c r="A78" s="12">
        <v>96</v>
      </c>
      <c r="B78" t="s">
        <v>831</v>
      </c>
      <c r="C78" t="s">
        <v>832</v>
      </c>
      <c r="D78" s="3">
        <f t="shared" si="10"/>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3285</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3285</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2653</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hidden="1" x14ac:dyDescent="0.25">
      <c r="A79" s="12">
        <v>97</v>
      </c>
      <c r="B79" t="s">
        <v>833</v>
      </c>
      <c r="C79" t="s">
        <v>834</v>
      </c>
      <c r="D79" s="3">
        <f t="shared" si="10"/>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2770</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3737</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2765</v>
      </c>
      <c r="AK79" s="3">
        <f>IF(AND(G79&lt;&gt;"LIBSETS_SETTYPE_BATTLEGROUND",G79&lt;&gt;"LIBSETS_SETTYPE_SPECIAL"),IF(AL79&lt;&gt;"",VLOOKUP(AL79,'ESO zone constants'!$D$5:$H$4955,5,FALSE),""),"")</f>
        <v>181</v>
      </c>
      <c r="AL79" t="s">
        <v>125</v>
      </c>
      <c r="AM79" s="33" t="s">
        <v>3740</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3236</v>
      </c>
      <c r="AZ79" s="78" t="s">
        <v>2653</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hidden="1" x14ac:dyDescent="0.25">
      <c r="A80" s="12">
        <v>98</v>
      </c>
      <c r="B80" t="s">
        <v>835</v>
      </c>
      <c r="C80" t="s">
        <v>836</v>
      </c>
      <c r="D80" s="3">
        <f t="shared" si="10"/>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2653</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hidden="1" x14ac:dyDescent="0.25">
      <c r="A81" s="12">
        <v>99</v>
      </c>
      <c r="B81" t="s">
        <v>837</v>
      </c>
      <c r="C81" t="s">
        <v>838</v>
      </c>
      <c r="D81" s="3">
        <f t="shared" si="10"/>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2654</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hidden="1" x14ac:dyDescent="0.25">
      <c r="A82" s="12">
        <v>100</v>
      </c>
      <c r="B82" t="s">
        <v>839</v>
      </c>
      <c r="C82" t="s">
        <v>2574</v>
      </c>
      <c r="D82" s="3">
        <f t="shared" si="10"/>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3737</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2765</v>
      </c>
      <c r="AK82" s="3">
        <f>IF(AND(G82&lt;&gt;"LIBSETS_SETTYPE_BATTLEGROUND",G82&lt;&gt;"LIBSETS_SETTYPE_SPECIAL"),IF(AL82&lt;&gt;"",VLOOKUP(AL82,'ESO zone constants'!$D$5:$H$4955,5,FALSE),""),"")</f>
        <v>181</v>
      </c>
      <c r="AL82" t="s">
        <v>125</v>
      </c>
      <c r="AM82" s="33" t="s">
        <v>3740</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3236</v>
      </c>
      <c r="AZ82" s="78" t="s">
        <v>2654</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hidden="1" x14ac:dyDescent="0.25">
      <c r="A83" s="12">
        <v>101</v>
      </c>
      <c r="B83" t="s">
        <v>2769</v>
      </c>
      <c r="C83" t="s">
        <v>840</v>
      </c>
      <c r="D83" s="3">
        <f t="shared" si="10"/>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3737</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2765</v>
      </c>
      <c r="AK83" s="3">
        <f>IF(AND(G83&lt;&gt;"LIBSETS_SETTYPE_BATTLEGROUND",G83&lt;&gt;"LIBSETS_SETTYPE_SPECIAL"),IF(AL83&lt;&gt;"",VLOOKUP(AL83,'ESO zone constants'!$D$5:$H$4955,5,FALSE),""),"")</f>
        <v>181</v>
      </c>
      <c r="AL83" t="s">
        <v>125</v>
      </c>
      <c r="AM83" s="33" t="s">
        <v>3740</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3236</v>
      </c>
      <c r="AZ83" s="78" t="s">
        <v>2653</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hidden="1" x14ac:dyDescent="0.25">
      <c r="A84" s="12">
        <v>102</v>
      </c>
      <c r="B84" t="s">
        <v>841</v>
      </c>
      <c r="C84" t="s">
        <v>2575</v>
      </c>
      <c r="D84" s="3">
        <f t="shared" si="10"/>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3285</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2654</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hidden="1" x14ac:dyDescent="0.25">
      <c r="A85" s="12">
        <v>103</v>
      </c>
      <c r="B85" t="s">
        <v>842</v>
      </c>
      <c r="C85" t="s">
        <v>843</v>
      </c>
      <c r="D85" s="3">
        <f t="shared" si="10"/>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3285</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2653</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hidden="1" x14ac:dyDescent="0.25">
      <c r="A86" s="12">
        <v>104</v>
      </c>
      <c r="B86" t="s">
        <v>844</v>
      </c>
      <c r="C86" t="s">
        <v>845</v>
      </c>
      <c r="D86" s="3">
        <f t="shared" si="10"/>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2770</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3737</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2765</v>
      </c>
      <c r="AK86" s="3">
        <f>IF(AND(G86&lt;&gt;"LIBSETS_SETTYPE_BATTLEGROUND",G86&lt;&gt;"LIBSETS_SETTYPE_SPECIAL"),IF(AL86&lt;&gt;"",VLOOKUP(AL86,'ESO zone constants'!$D$5:$H$4955,5,FALSE),""),"")</f>
        <v>181</v>
      </c>
      <c r="AL86" t="s">
        <v>125</v>
      </c>
      <c r="AM86" s="33" t="s">
        <v>3740</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3236</v>
      </c>
      <c r="AZ86" s="78" t="s">
        <v>2653</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hidden="1" x14ac:dyDescent="0.25">
      <c r="A87" s="12">
        <v>105</v>
      </c>
      <c r="B87" t="s">
        <v>846</v>
      </c>
      <c r="C87" t="s">
        <v>847</v>
      </c>
      <c r="D87" s="3">
        <f t="shared" si="10"/>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2653</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hidden="1" x14ac:dyDescent="0.25">
      <c r="A88" s="12">
        <v>106</v>
      </c>
      <c r="B88" t="s">
        <v>848</v>
      </c>
      <c r="C88" t="s">
        <v>2576</v>
      </c>
      <c r="D88" s="3">
        <f t="shared" si="10"/>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2653</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hidden="1" x14ac:dyDescent="0.25">
      <c r="A89" s="12">
        <v>107</v>
      </c>
      <c r="B89" t="s">
        <v>849</v>
      </c>
      <c r="C89" t="s">
        <v>2577</v>
      </c>
      <c r="D89" s="3">
        <f t="shared" si="10"/>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2653</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hidden="1" x14ac:dyDescent="0.25">
      <c r="A90" s="12">
        <v>108</v>
      </c>
      <c r="B90" t="s">
        <v>850</v>
      </c>
      <c r="C90" t="s">
        <v>851</v>
      </c>
      <c r="D90" s="3">
        <f t="shared" si="10"/>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3737</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2765</v>
      </c>
      <c r="AK90" s="3">
        <f>IF(AND(G90&lt;&gt;"LIBSETS_SETTYPE_BATTLEGROUND",G90&lt;&gt;"LIBSETS_SETTYPE_SPECIAL"),IF(AL90&lt;&gt;"",VLOOKUP(AL90,'ESO zone constants'!$D$5:$H$4955,5,FALSE),""),"")</f>
        <v>181</v>
      </c>
      <c r="AL90" t="s">
        <v>125</v>
      </c>
      <c r="AM90" s="33" t="s">
        <v>3740</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3236</v>
      </c>
      <c r="AZ90" s="78" t="s">
        <v>2653</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hidden="1" x14ac:dyDescent="0.25">
      <c r="A91" s="12">
        <v>109</v>
      </c>
      <c r="B91" t="s">
        <v>852</v>
      </c>
      <c r="C91" t="s">
        <v>853</v>
      </c>
      <c r="D91" s="3">
        <f t="shared" si="10"/>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2770</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3737</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2765</v>
      </c>
      <c r="AI91" s="3"/>
      <c r="AJ91" s="3"/>
      <c r="AK91" s="3">
        <f>IF(AND(G91&lt;&gt;"LIBSETS_SETTYPE_BATTLEGROUND",G91&lt;&gt;"LIBSETS_SETTYPE_SPECIAL"),IF(AL91&lt;&gt;"",VLOOKUP(AL91,'ESO zone constants'!$D$5:$H$4955,5,FALSE),""),"")</f>
        <v>181</v>
      </c>
      <c r="AL91" t="s">
        <v>125</v>
      </c>
      <c r="AM91" s="33" t="s">
        <v>3740</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3236</v>
      </c>
      <c r="AX91" s="3"/>
      <c r="AY91" s="3"/>
      <c r="AZ91" s="78" t="s">
        <v>2653</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hidden="1" x14ac:dyDescent="0.25">
      <c r="A92" s="12">
        <v>110</v>
      </c>
      <c r="B92" t="s">
        <v>854</v>
      </c>
      <c r="C92" t="s">
        <v>855</v>
      </c>
      <c r="D92" s="3">
        <f t="shared" si="10"/>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3285</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3285</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2653</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hidden="1" x14ac:dyDescent="0.25">
      <c r="A93" s="12">
        <v>111</v>
      </c>
      <c r="B93" t="s">
        <v>856</v>
      </c>
      <c r="C93" t="s">
        <v>857</v>
      </c>
      <c r="D93" s="3">
        <f t="shared" si="10"/>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3737</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2765</v>
      </c>
      <c r="AK93" s="3">
        <f>IF(AND(G93&lt;&gt;"LIBSETS_SETTYPE_BATTLEGROUND",G93&lt;&gt;"LIBSETS_SETTYPE_SPECIAL"),IF(AL93&lt;&gt;"",VLOOKUP(AL93,'ESO zone constants'!$D$5:$H$4955,5,FALSE),""),"")</f>
        <v>181</v>
      </c>
      <c r="AL93" t="s">
        <v>125</v>
      </c>
      <c r="AM93" s="33" t="s">
        <v>3740</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3236</v>
      </c>
      <c r="AZ93" s="78" t="s">
        <v>2653</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hidden="1" x14ac:dyDescent="0.25">
      <c r="A94" s="12">
        <v>112</v>
      </c>
      <c r="B94" t="s">
        <v>858</v>
      </c>
      <c r="C94" t="s">
        <v>859</v>
      </c>
      <c r="D94" s="3">
        <f t="shared" si="10"/>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2654</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hidden="1" x14ac:dyDescent="0.25">
      <c r="A95" s="12">
        <v>113</v>
      </c>
      <c r="B95" t="s">
        <v>860</v>
      </c>
      <c r="C95" t="s">
        <v>861</v>
      </c>
      <c r="D95" s="3">
        <f t="shared" si="10"/>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3737</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2765</v>
      </c>
      <c r="AK95" s="3">
        <f>IF(AND(G95&lt;&gt;"LIBSETS_SETTYPE_BATTLEGROUND",G95&lt;&gt;"LIBSETS_SETTYPE_SPECIAL"),IF(AL95&lt;&gt;"",VLOOKUP(AL95,'ESO zone constants'!$D$5:$H$4955,5,FALSE),""),"")</f>
        <v>181</v>
      </c>
      <c r="AL95" t="s">
        <v>125</v>
      </c>
      <c r="AM95" s="33" t="s">
        <v>3740</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3236</v>
      </c>
      <c r="AZ95" s="78" t="s">
        <v>2653</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hidden="1" x14ac:dyDescent="0.25">
      <c r="A96" s="12">
        <v>114</v>
      </c>
      <c r="B96" t="s">
        <v>862</v>
      </c>
      <c r="C96" t="s">
        <v>863</v>
      </c>
      <c r="D96" s="3">
        <f t="shared" si="10"/>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2653</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hidden="1" x14ac:dyDescent="0.25">
      <c r="A97" s="12">
        <v>116</v>
      </c>
      <c r="B97" t="s">
        <v>864</v>
      </c>
      <c r="C97" t="s">
        <v>865</v>
      </c>
      <c r="D97" s="3">
        <f t="shared" si="10"/>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3285</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3285</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3285</v>
      </c>
      <c r="AI97" s="41"/>
      <c r="AJ97" s="41"/>
      <c r="AK97" s="3">
        <f>IF(AND(G97&lt;&gt;"LIBSETS_SETTYPE_BATTLEGROUND",G97&lt;&gt;"LIBSETS_SETTYPE_SPECIAL"),IF(AL97&lt;&gt;"",VLOOKUP(AL97,'ESO zone constants'!$D$5:$H$4955,5,FALSE),""),"")</f>
        <v>63</v>
      </c>
      <c r="AL97" t="s">
        <v>61</v>
      </c>
      <c r="AM97" s="33" t="s">
        <v>3285</v>
      </c>
      <c r="AN97" s="41"/>
      <c r="AO97" s="41"/>
      <c r="AP97" s="3">
        <f>IF(AND(G97&lt;&gt;"LIBSETS_SETTYPE_BATTLEGROUND",G97&lt;&gt;"LIBSETS_SETTYPE_SPECIAL"),IF(AQ97&lt;&gt;"",VLOOKUP(AQ97,'ESO zone constants'!$D$5:$H$4955,5,FALSE),""),"")</f>
        <v>283</v>
      </c>
      <c r="AQ97" t="s">
        <v>51</v>
      </c>
      <c r="AR97" s="33" t="s">
        <v>3285</v>
      </c>
      <c r="AS97" s="41"/>
      <c r="AT97" s="41"/>
      <c r="AU97" s="3" t="str">
        <f>IF(AND(G97&lt;&gt;"LIBSETS_SETTYPE_BATTLEGROUND",G97&lt;&gt;"LIBSETS_SETTYPE_SPECIAL"),IF(AV97&lt;&gt;"",VLOOKUP(AV97,'ESO zone constants'!$D$5:$H$4955,5,FALSE),""),"")</f>
        <v/>
      </c>
      <c r="AX97" s="41"/>
      <c r="AY97" s="41"/>
      <c r="AZ97" s="78" t="s">
        <v>2653</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hidden="1" x14ac:dyDescent="0.25">
      <c r="A98" s="12">
        <v>117</v>
      </c>
      <c r="B98" t="s">
        <v>866</v>
      </c>
      <c r="C98" t="s">
        <v>1437</v>
      </c>
      <c r="D98" s="3">
        <f t="shared" si="10"/>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3285</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3285</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3285</v>
      </c>
      <c r="AI98" s="41"/>
      <c r="AJ98" s="41"/>
      <c r="AK98" s="3">
        <f>IF(AND(G98&lt;&gt;"LIBSETS_SETTYPE_BATTLEGROUND",G98&lt;&gt;"LIBSETS_SETTYPE_SPECIAL"),IF(AL98&lt;&gt;"",VLOOKUP(AL98,'ESO zone constants'!$D$5:$H$4955,5,FALSE),""),"")</f>
        <v>63</v>
      </c>
      <c r="AL98" t="s">
        <v>61</v>
      </c>
      <c r="AM98" s="33" t="s">
        <v>3285</v>
      </c>
      <c r="AN98" s="41"/>
      <c r="AO98" s="41"/>
      <c r="AP98" s="3">
        <f>IF(AND(G98&lt;&gt;"LIBSETS_SETTYPE_BATTLEGROUND",G98&lt;&gt;"LIBSETS_SETTYPE_SPECIAL"),IF(AQ98&lt;&gt;"",VLOOKUP(AQ98,'ESO zone constants'!$D$5:$H$4955,5,FALSE),""),"")</f>
        <v>283</v>
      </c>
      <c r="AQ98" t="s">
        <v>51</v>
      </c>
      <c r="AR98" s="33" t="s">
        <v>3285</v>
      </c>
      <c r="AS98" s="41"/>
      <c r="AT98" s="41"/>
      <c r="AU98" s="3" t="str">
        <f>IF(AND(G98&lt;&gt;"LIBSETS_SETTYPE_BATTLEGROUND",G98&lt;&gt;"LIBSETS_SETTYPE_SPECIAL"),IF(AV98&lt;&gt;"",VLOOKUP(AV98,'ESO zone constants'!$D$5:$H$4955,5,FALSE),""),"")</f>
        <v/>
      </c>
      <c r="AX98" s="41"/>
      <c r="AY98" s="41"/>
      <c r="AZ98" s="78" t="s">
        <v>2654</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hidden="1" x14ac:dyDescent="0.25">
      <c r="A99" s="12">
        <v>118</v>
      </c>
      <c r="B99" t="s">
        <v>867</v>
      </c>
      <c r="C99" t="s">
        <v>868</v>
      </c>
      <c r="D99" s="3">
        <f t="shared" si="10"/>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3285</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3285</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3285</v>
      </c>
      <c r="AI99" s="41"/>
      <c r="AJ99" s="41"/>
      <c r="AK99" s="3">
        <f>IF(AND(G99&lt;&gt;"LIBSETS_SETTYPE_BATTLEGROUND",G99&lt;&gt;"LIBSETS_SETTYPE_SPECIAL"),IF(AL99&lt;&gt;"",VLOOKUP(AL99,'ESO zone constants'!$D$5:$H$4955,5,FALSE),""),"")</f>
        <v>63</v>
      </c>
      <c r="AL99" t="s">
        <v>61</v>
      </c>
      <c r="AM99" s="33" t="s">
        <v>3285</v>
      </c>
      <c r="AN99" s="41"/>
      <c r="AO99" s="41"/>
      <c r="AP99" s="3">
        <f>IF(AND(G99&lt;&gt;"LIBSETS_SETTYPE_BATTLEGROUND",G99&lt;&gt;"LIBSETS_SETTYPE_SPECIAL"),IF(AQ99&lt;&gt;"",VLOOKUP(AQ99,'ESO zone constants'!$D$5:$H$4955,5,FALSE),""),"")</f>
        <v>283</v>
      </c>
      <c r="AQ99" t="s">
        <v>51</v>
      </c>
      <c r="AR99" s="33" t="s">
        <v>3285</v>
      </c>
      <c r="AS99" s="41"/>
      <c r="AT99" s="41"/>
      <c r="AU99" s="3" t="str">
        <f>IF(AND(G99&lt;&gt;"LIBSETS_SETTYPE_BATTLEGROUND",G99&lt;&gt;"LIBSETS_SETTYPE_SPECIAL"),IF(AV99&lt;&gt;"",VLOOKUP(AV99,'ESO zone constants'!$D$5:$H$4955,5,FALSE),""),"")</f>
        <v/>
      </c>
      <c r="AX99" s="41"/>
      <c r="AY99" s="41"/>
      <c r="AZ99" s="78" t="s">
        <v>2653</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hidden="1" x14ac:dyDescent="0.25">
      <c r="A100" s="12">
        <v>119</v>
      </c>
      <c r="B100" t="s">
        <v>869</v>
      </c>
      <c r="C100" t="s">
        <v>870</v>
      </c>
      <c r="D100" s="3">
        <f t="shared" si="10"/>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3285</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3285</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3285</v>
      </c>
      <c r="AI100" s="41"/>
      <c r="AJ100" s="41"/>
      <c r="AK100" s="3">
        <f>IF(AND(G100&lt;&gt;"LIBSETS_SETTYPE_BATTLEGROUND",G100&lt;&gt;"LIBSETS_SETTYPE_SPECIAL"),IF(AL100&lt;&gt;"",VLOOKUP(AL100,'ESO zone constants'!$D$5:$H$4955,5,FALSE),""),"")</f>
        <v>63</v>
      </c>
      <c r="AL100" t="s">
        <v>61</v>
      </c>
      <c r="AM100" s="33" t="s">
        <v>3285</v>
      </c>
      <c r="AN100" s="41"/>
      <c r="AO100" s="41"/>
      <c r="AP100" s="3">
        <f>IF(AND(G100&lt;&gt;"LIBSETS_SETTYPE_BATTLEGROUND",G100&lt;&gt;"LIBSETS_SETTYPE_SPECIAL"),IF(AQ100&lt;&gt;"",VLOOKUP(AQ100,'ESO zone constants'!$D$5:$H$4955,5,FALSE),""),"")</f>
        <v>283</v>
      </c>
      <c r="AQ100" t="s">
        <v>51</v>
      </c>
      <c r="AR100" s="33" t="s">
        <v>3285</v>
      </c>
      <c r="AS100" s="41"/>
      <c r="AT100" s="41"/>
      <c r="AU100" s="3" t="str">
        <f>IF(AND(G100&lt;&gt;"LIBSETS_SETTYPE_BATTLEGROUND",G100&lt;&gt;"LIBSETS_SETTYPE_SPECIAL"),IF(AV100&lt;&gt;"",VLOOKUP(AV100,'ESO zone constants'!$D$5:$H$4955,5,FALSE),""),"")</f>
        <v/>
      </c>
      <c r="AX100" s="41"/>
      <c r="AY100" s="41"/>
      <c r="AZ100" s="78" t="s">
        <v>2653</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hidden="1" x14ac:dyDescent="0.25">
      <c r="A101" s="12">
        <v>120</v>
      </c>
      <c r="B101" t="s">
        <v>871</v>
      </c>
      <c r="C101" t="s">
        <v>872</v>
      </c>
      <c r="D101" s="3">
        <f t="shared" si="10"/>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3285</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3285</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3285</v>
      </c>
      <c r="AI101" s="41"/>
      <c r="AJ101" s="41"/>
      <c r="AK101" s="3">
        <f>IF(AND(G101&lt;&gt;"LIBSETS_SETTYPE_BATTLEGROUND",G101&lt;&gt;"LIBSETS_SETTYPE_SPECIAL"),IF(AL101&lt;&gt;"",VLOOKUP(AL101,'ESO zone constants'!$D$5:$H$4955,5,FALSE),""),"")</f>
        <v>63</v>
      </c>
      <c r="AL101" t="s">
        <v>61</v>
      </c>
      <c r="AM101" s="33" t="s">
        <v>3285</v>
      </c>
      <c r="AN101" s="41"/>
      <c r="AO101" s="41"/>
      <c r="AP101" s="3">
        <f>IF(AND(G101&lt;&gt;"LIBSETS_SETTYPE_BATTLEGROUND",G101&lt;&gt;"LIBSETS_SETTYPE_SPECIAL"),IF(AQ101&lt;&gt;"",VLOOKUP(AQ101,'ESO zone constants'!$D$5:$H$4955,5,FALSE),""),"")</f>
        <v>283</v>
      </c>
      <c r="AQ101" t="s">
        <v>51</v>
      </c>
      <c r="AR101" s="33" t="s">
        <v>3285</v>
      </c>
      <c r="AS101" s="41"/>
      <c r="AT101" s="41"/>
      <c r="AU101" s="3" t="str">
        <f>IF(AND(G101&lt;&gt;"LIBSETS_SETTYPE_BATTLEGROUND",G101&lt;&gt;"LIBSETS_SETTYPE_SPECIAL"),IF(AV101&lt;&gt;"",VLOOKUP(AV101,'ESO zone constants'!$D$5:$H$4955,5,FALSE),""),"")</f>
        <v/>
      </c>
      <c r="AX101" s="41"/>
      <c r="AY101" s="41"/>
      <c r="AZ101" s="78" t="s">
        <v>2653</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hidden="1" x14ac:dyDescent="0.25">
      <c r="A102" s="12">
        <v>121</v>
      </c>
      <c r="B102" t="s">
        <v>873</v>
      </c>
      <c r="C102" t="s">
        <v>874</v>
      </c>
      <c r="D102" s="3">
        <f t="shared" si="10"/>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3285</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3285</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3285</v>
      </c>
      <c r="AI102" s="41"/>
      <c r="AJ102" s="41"/>
      <c r="AK102" s="3">
        <f>IF(AND(G102&lt;&gt;"LIBSETS_SETTYPE_BATTLEGROUND",G102&lt;&gt;"LIBSETS_SETTYPE_SPECIAL"),IF(AL102&lt;&gt;"",VLOOKUP(AL102,'ESO zone constants'!$D$5:$H$4955,5,FALSE),""),"")</f>
        <v>63</v>
      </c>
      <c r="AL102" t="s">
        <v>61</v>
      </c>
      <c r="AM102" s="33" t="s">
        <v>3285</v>
      </c>
      <c r="AN102" s="41"/>
      <c r="AO102" s="41"/>
      <c r="AP102" s="3">
        <f>IF(AND(G102&lt;&gt;"LIBSETS_SETTYPE_BATTLEGROUND",G102&lt;&gt;"LIBSETS_SETTYPE_SPECIAL"),IF(AQ102&lt;&gt;"",VLOOKUP(AQ102,'ESO zone constants'!$D$5:$H$4955,5,FALSE),""),"")</f>
        <v>283</v>
      </c>
      <c r="AQ102" t="s">
        <v>51</v>
      </c>
      <c r="AR102" s="33" t="s">
        <v>3285</v>
      </c>
      <c r="AS102" s="41"/>
      <c r="AT102" s="41"/>
      <c r="AU102" s="3" t="str">
        <f>IF(AND(G102&lt;&gt;"LIBSETS_SETTYPE_BATTLEGROUND",G102&lt;&gt;"LIBSETS_SETTYPE_SPECIAL"),IF(AV102&lt;&gt;"",VLOOKUP(AV102,'ESO zone constants'!$D$5:$H$4955,5,FALSE),""),"")</f>
        <v/>
      </c>
      <c r="AX102" s="41"/>
      <c r="AY102" s="41"/>
      <c r="AZ102" s="78" t="s">
        <v>2653</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hidden="1" x14ac:dyDescent="0.25">
      <c r="A103" s="12">
        <v>122</v>
      </c>
      <c r="B103" t="s">
        <v>875</v>
      </c>
      <c r="C103" t="s">
        <v>876</v>
      </c>
      <c r="D103" s="3">
        <f t="shared" si="10"/>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3285</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3285</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2653</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hidden="1" x14ac:dyDescent="0.25">
      <c r="A104" s="12">
        <v>123</v>
      </c>
      <c r="B104" t="s">
        <v>877</v>
      </c>
      <c r="C104" t="s">
        <v>2578</v>
      </c>
      <c r="D104" s="3">
        <f t="shared" si="10"/>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3285</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2653</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hidden="1" x14ac:dyDescent="0.25">
      <c r="A105" s="12">
        <v>124</v>
      </c>
      <c r="B105" t="s">
        <v>878</v>
      </c>
      <c r="C105" t="s">
        <v>2579</v>
      </c>
      <c r="D105" s="3">
        <f t="shared" si="10"/>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3285</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2653</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hidden="1" x14ac:dyDescent="0.25">
      <c r="A106" s="12">
        <v>125</v>
      </c>
      <c r="B106" t="s">
        <v>879</v>
      </c>
      <c r="C106" t="s">
        <v>880</v>
      </c>
      <c r="D106" s="3">
        <f t="shared" si="10"/>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2770</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3737</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2765</v>
      </c>
      <c r="AK106" s="3">
        <f>IF(AND(G106&lt;&gt;"LIBSETS_SETTYPE_BATTLEGROUND",G106&lt;&gt;"LIBSETS_SETTYPE_SPECIAL"),IF(AL106&lt;&gt;"",VLOOKUP(AL106,'ESO zone constants'!$D$5:$H$4955,5,FALSE),""),"")</f>
        <v>181</v>
      </c>
      <c r="AL106" t="s">
        <v>125</v>
      </c>
      <c r="AM106" s="33" t="s">
        <v>3740</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3236</v>
      </c>
      <c r="AZ106" s="78" t="s">
        <v>2654</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hidden="1" x14ac:dyDescent="0.25">
      <c r="A107" s="12">
        <v>126</v>
      </c>
      <c r="B107" t="s">
        <v>2768</v>
      </c>
      <c r="C107" t="s">
        <v>881</v>
      </c>
      <c r="D107" s="3">
        <f t="shared" si="10"/>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2770</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3737</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2765</v>
      </c>
      <c r="AK107" s="3">
        <f>IF(AND(G107&lt;&gt;"LIBSETS_SETTYPE_BATTLEGROUND",G107&lt;&gt;"LIBSETS_SETTYPE_SPECIAL"),IF(AL107&lt;&gt;"",VLOOKUP(AL107,'ESO zone constants'!$D$5:$H$4955,5,FALSE),""),"")</f>
        <v>181</v>
      </c>
      <c r="AL107" t="s">
        <v>125</v>
      </c>
      <c r="AM107" s="33" t="s">
        <v>3740</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3236</v>
      </c>
      <c r="AZ107" s="78" t="s">
        <v>2654</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hidden="1" x14ac:dyDescent="0.25">
      <c r="A108" s="12">
        <v>127</v>
      </c>
      <c r="B108" t="s">
        <v>882</v>
      </c>
      <c r="C108" t="s">
        <v>883</v>
      </c>
      <c r="D108" s="3">
        <f t="shared" si="10"/>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3737</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2765</v>
      </c>
      <c r="AK108" s="3">
        <f>IF(AND(G108&lt;&gt;"LIBSETS_SETTYPE_BATTLEGROUND",G108&lt;&gt;"LIBSETS_SETTYPE_SPECIAL"),IF(AL108&lt;&gt;"",VLOOKUP(AL108,'ESO zone constants'!$D$5:$H$4955,5,FALSE),""),"")</f>
        <v>181</v>
      </c>
      <c r="AL108" t="s">
        <v>125</v>
      </c>
      <c r="AM108" s="33" t="s">
        <v>3740</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3236</v>
      </c>
      <c r="AZ108" s="78" t="s">
        <v>2654</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hidden="1" x14ac:dyDescent="0.25">
      <c r="A109" s="12">
        <v>128</v>
      </c>
      <c r="B109" t="s">
        <v>884</v>
      </c>
      <c r="C109" t="s">
        <v>885</v>
      </c>
      <c r="D109" s="3">
        <f t="shared" si="10"/>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3737</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2765</v>
      </c>
      <c r="AK109" s="3">
        <f>IF(AND(G109&lt;&gt;"LIBSETS_SETTYPE_BATTLEGROUND",G109&lt;&gt;"LIBSETS_SETTYPE_SPECIAL"),IF(AL109&lt;&gt;"",VLOOKUP(AL109,'ESO zone constants'!$D$5:$H$4955,5,FALSE),""),"")</f>
        <v>181</v>
      </c>
      <c r="AL109" t="s">
        <v>125</v>
      </c>
      <c r="AM109" s="33" t="s">
        <v>3740</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3236</v>
      </c>
      <c r="AZ109" s="78" t="s">
        <v>2654</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hidden="1" x14ac:dyDescent="0.25">
      <c r="A110" s="12">
        <v>129</v>
      </c>
      <c r="B110" t="s">
        <v>886</v>
      </c>
      <c r="C110" t="s">
        <v>887</v>
      </c>
      <c r="D110" s="3">
        <f t="shared" si="10"/>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3737</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2765</v>
      </c>
      <c r="AK110" s="3">
        <f>IF(AND(G110&lt;&gt;"LIBSETS_SETTYPE_BATTLEGROUND",G110&lt;&gt;"LIBSETS_SETTYPE_SPECIAL"),IF(AL110&lt;&gt;"",VLOOKUP(AL110,'ESO zone constants'!$D$5:$H$4955,5,FALSE),""),"")</f>
        <v>181</v>
      </c>
      <c r="AL110" t="s">
        <v>125</v>
      </c>
      <c r="AM110" s="33" t="s">
        <v>3740</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3236</v>
      </c>
      <c r="AZ110" s="78" t="s">
        <v>2653</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hidden="1" x14ac:dyDescent="0.25">
      <c r="A111" s="12">
        <v>130</v>
      </c>
      <c r="B111" t="s">
        <v>888</v>
      </c>
      <c r="C111" t="s">
        <v>889</v>
      </c>
      <c r="D111" s="3">
        <f t="shared" si="10"/>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3737</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2765</v>
      </c>
      <c r="AK111" s="3">
        <f>IF(AND(G111&lt;&gt;"LIBSETS_SETTYPE_BATTLEGROUND",G111&lt;&gt;"LIBSETS_SETTYPE_SPECIAL"),IF(AL111&lt;&gt;"",VLOOKUP(AL111,'ESO zone constants'!$D$5:$H$4955,5,FALSE),""),"")</f>
        <v>181</v>
      </c>
      <c r="AL111" t="s">
        <v>125</v>
      </c>
      <c r="AM111" s="33" t="s">
        <v>3740</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3236</v>
      </c>
      <c r="AZ111" s="78" t="s">
        <v>2654</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hidden="1" x14ac:dyDescent="0.25">
      <c r="A112" s="12">
        <v>131</v>
      </c>
      <c r="B112" t="s">
        <v>890</v>
      </c>
      <c r="C112" t="s">
        <v>891</v>
      </c>
      <c r="D112" s="3">
        <f t="shared" si="10"/>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3737</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2765</v>
      </c>
      <c r="AK112" s="3">
        <f>IF(AND(G112&lt;&gt;"LIBSETS_SETTYPE_BATTLEGROUND",G112&lt;&gt;"LIBSETS_SETTYPE_SPECIAL"),IF(AL112&lt;&gt;"",VLOOKUP(AL112,'ESO zone constants'!$D$5:$H$4955,5,FALSE),""),"")</f>
        <v>181</v>
      </c>
      <c r="AL112" t="s">
        <v>125</v>
      </c>
      <c r="AM112" s="33" t="s">
        <v>3740</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3236</v>
      </c>
      <c r="AZ112" s="78" t="s">
        <v>2654</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hidden="1" x14ac:dyDescent="0.25">
      <c r="A113" s="12">
        <v>132</v>
      </c>
      <c r="B113" t="s">
        <v>892</v>
      </c>
      <c r="C113" t="s">
        <v>893</v>
      </c>
      <c r="D113" s="3">
        <f t="shared" si="10"/>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3737</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2765</v>
      </c>
      <c r="AK113" s="3">
        <f>IF(AND(G113&lt;&gt;"LIBSETS_SETTYPE_BATTLEGROUND",G113&lt;&gt;"LIBSETS_SETTYPE_SPECIAL"),IF(AL113&lt;&gt;"",VLOOKUP(AL113,'ESO zone constants'!$D$5:$H$4955,5,FALSE),""),"")</f>
        <v>181</v>
      </c>
      <c r="AL113" t="s">
        <v>125</v>
      </c>
      <c r="AM113" s="33" t="s">
        <v>3740</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3236</v>
      </c>
      <c r="AZ113" s="78" t="s">
        <v>2654</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hidden="1" x14ac:dyDescent="0.25">
      <c r="A114" s="12">
        <v>133</v>
      </c>
      <c r="B114" t="s">
        <v>894</v>
      </c>
      <c r="C114" t="s">
        <v>895</v>
      </c>
      <c r="D114" s="3">
        <f t="shared" si="10"/>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2770</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3737</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2765</v>
      </c>
      <c r="AK114" s="3">
        <f>IF(AND(G114&lt;&gt;"LIBSETS_SETTYPE_BATTLEGROUND",G114&lt;&gt;"LIBSETS_SETTYPE_SPECIAL"),IF(AL114&lt;&gt;"",VLOOKUP(AL114,'ESO zone constants'!$D$5:$H$4955,5,FALSE),""),"")</f>
        <v>181</v>
      </c>
      <c r="AL114" t="s">
        <v>125</v>
      </c>
      <c r="AM114" s="33" t="s">
        <v>3740</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3236</v>
      </c>
      <c r="AZ114" s="78" t="s">
        <v>2654</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hidden="1" x14ac:dyDescent="0.25">
      <c r="A115" s="12">
        <v>134</v>
      </c>
      <c r="B115" t="s">
        <v>896</v>
      </c>
      <c r="C115" t="s">
        <v>897</v>
      </c>
      <c r="D115" s="3">
        <f t="shared" si="10"/>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3285</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3285</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2653</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hidden="1" x14ac:dyDescent="0.25">
      <c r="A116" s="12">
        <v>135</v>
      </c>
      <c r="B116" t="s">
        <v>898</v>
      </c>
      <c r="C116" t="s">
        <v>2580</v>
      </c>
      <c r="D116" s="3">
        <f t="shared" si="10"/>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2653</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hidden="1" x14ac:dyDescent="0.25">
      <c r="A117" s="12">
        <v>136</v>
      </c>
      <c r="B117" t="s">
        <v>899</v>
      </c>
      <c r="C117" t="s">
        <v>900</v>
      </c>
      <c r="D117" s="3">
        <f t="shared" si="10"/>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3266</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3266</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3266</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2653</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hidden="1" x14ac:dyDescent="0.25">
      <c r="A118" s="12">
        <v>137</v>
      </c>
      <c r="B118" t="s">
        <v>901</v>
      </c>
      <c r="C118" t="s">
        <v>902</v>
      </c>
      <c r="D118" s="3">
        <f t="shared" si="10"/>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3266</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3266</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3266</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2653</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hidden="1" x14ac:dyDescent="0.25">
      <c r="A119" s="12">
        <v>138</v>
      </c>
      <c r="B119" t="s">
        <v>903</v>
      </c>
      <c r="C119" t="s">
        <v>904</v>
      </c>
      <c r="D119" s="3">
        <f t="shared" si="10"/>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3266</v>
      </c>
      <c r="W119" s="100" t="s">
        <v>3745</v>
      </c>
      <c r="X119" s="100" t="s">
        <v>3746</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3266</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3266</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2653</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hidden="1" x14ac:dyDescent="0.25">
      <c r="A120" s="12">
        <v>139</v>
      </c>
      <c r="B120" t="s">
        <v>905</v>
      </c>
      <c r="C120" t="s">
        <v>906</v>
      </c>
      <c r="D120" s="3">
        <f t="shared" si="10"/>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3266</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3266</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3266</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2653</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hidden="1" x14ac:dyDescent="0.25">
      <c r="A121" s="12">
        <v>140</v>
      </c>
      <c r="B121" t="s">
        <v>907</v>
      </c>
      <c r="C121" t="s">
        <v>908</v>
      </c>
      <c r="D121" s="3">
        <f t="shared" si="10"/>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3266</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3266</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3266</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2653</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hidden="1" x14ac:dyDescent="0.25">
      <c r="A122" s="12">
        <v>141</v>
      </c>
      <c r="B122" t="s">
        <v>909</v>
      </c>
      <c r="C122" t="s">
        <v>910</v>
      </c>
      <c r="D122" s="3">
        <f t="shared" si="10"/>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3266</v>
      </c>
      <c r="W122" s="100" t="s">
        <v>3745</v>
      </c>
      <c r="X122" s="100" t="s">
        <v>3746</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3266</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3266</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2653</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hidden="1" x14ac:dyDescent="0.25">
      <c r="A123" s="12">
        <v>142</v>
      </c>
      <c r="B123" t="s">
        <v>911</v>
      </c>
      <c r="C123" t="s">
        <v>912</v>
      </c>
      <c r="D123" s="3">
        <f t="shared" si="10"/>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3266</v>
      </c>
      <c r="W123" s="100" t="s">
        <v>3745</v>
      </c>
      <c r="X123" s="100" t="s">
        <v>3746</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3266</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3266</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2653</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hidden="1" x14ac:dyDescent="0.25">
      <c r="A124" s="12">
        <v>143</v>
      </c>
      <c r="B124" t="s">
        <v>913</v>
      </c>
      <c r="C124" t="s">
        <v>914</v>
      </c>
      <c r="D124" s="3">
        <f t="shared" si="10"/>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3266</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3266</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3266</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2653</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hidden="1" x14ac:dyDescent="0.25">
      <c r="A125" s="12">
        <v>144</v>
      </c>
      <c r="B125" t="s">
        <v>915</v>
      </c>
      <c r="C125" t="s">
        <v>916</v>
      </c>
      <c r="D125" s="3">
        <f t="shared" si="10"/>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3266</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3266</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3266</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2653</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hidden="1" x14ac:dyDescent="0.25">
      <c r="A126" s="12">
        <v>145</v>
      </c>
      <c r="B126" t="s">
        <v>917</v>
      </c>
      <c r="C126" t="s">
        <v>918</v>
      </c>
      <c r="D126" s="3">
        <f t="shared" si="10"/>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2653</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hidden="1" x14ac:dyDescent="0.25">
      <c r="A127" s="12">
        <v>146</v>
      </c>
      <c r="B127" t="s">
        <v>919</v>
      </c>
      <c r="C127" t="s">
        <v>920</v>
      </c>
      <c r="D127" s="3">
        <f t="shared" si="10"/>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2654</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hidden="1" x14ac:dyDescent="0.25">
      <c r="A128" s="12">
        <v>147</v>
      </c>
      <c r="B128" t="s">
        <v>921</v>
      </c>
      <c r="C128" t="s">
        <v>922</v>
      </c>
      <c r="D128" s="3">
        <f t="shared" si="10"/>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2653</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hidden="1" x14ac:dyDescent="0.25">
      <c r="A129" s="5">
        <v>148</v>
      </c>
      <c r="B129" t="s">
        <v>923</v>
      </c>
      <c r="C129" t="s">
        <v>924</v>
      </c>
      <c r="D129" s="3">
        <f t="shared" si="10"/>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3288</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3288</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2654</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hidden="1" x14ac:dyDescent="0.25">
      <c r="A130" s="12">
        <v>155</v>
      </c>
      <c r="B130" t="s">
        <v>925</v>
      </c>
      <c r="C130" t="s">
        <v>926</v>
      </c>
      <c r="D130" s="3">
        <f t="shared" si="10"/>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3285</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3285</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2653</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hidden="1" x14ac:dyDescent="0.25">
      <c r="A131" s="12">
        <v>156</v>
      </c>
      <c r="B131" t="s">
        <v>927</v>
      </c>
      <c r="C131" t="s">
        <v>928</v>
      </c>
      <c r="D131" s="3">
        <f t="shared" ref="D131:D194" si="16">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3285</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2653</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hidden="1" x14ac:dyDescent="0.25">
      <c r="A132" s="12">
        <v>157</v>
      </c>
      <c r="B132" t="s">
        <v>929</v>
      </c>
      <c r="C132" t="s">
        <v>930</v>
      </c>
      <c r="D132" s="3">
        <f t="shared" si="16"/>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3285</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2653</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hidden="1" x14ac:dyDescent="0.25">
      <c r="A133" s="12">
        <v>158</v>
      </c>
      <c r="B133" t="s">
        <v>931</v>
      </c>
      <c r="C133" t="s">
        <v>932</v>
      </c>
      <c r="D133" s="3">
        <f t="shared" si="16"/>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3285</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3285</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2653</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hidden="1" x14ac:dyDescent="0.25">
      <c r="A134" s="12">
        <v>159</v>
      </c>
      <c r="B134" t="s">
        <v>933</v>
      </c>
      <c r="C134" t="s">
        <v>934</v>
      </c>
      <c r="D134" s="3">
        <f t="shared" si="16"/>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3285</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3285</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2653</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hidden="1" x14ac:dyDescent="0.25">
      <c r="A135" s="12">
        <v>160</v>
      </c>
      <c r="B135" t="s">
        <v>935</v>
      </c>
      <c r="C135" t="s">
        <v>936</v>
      </c>
      <c r="D135" s="3">
        <f t="shared" si="16"/>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3285</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3285</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2653</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hidden="1" x14ac:dyDescent="0.25">
      <c r="A136" s="5">
        <v>161</v>
      </c>
      <c r="B136" t="s">
        <v>937</v>
      </c>
      <c r="C136" t="s">
        <v>938</v>
      </c>
      <c r="D136" s="3">
        <f t="shared" si="16"/>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3288</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3288</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2653</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hidden="1" x14ac:dyDescent="0.25">
      <c r="A137" s="5">
        <v>162</v>
      </c>
      <c r="B137" t="s">
        <v>939</v>
      </c>
      <c r="C137" t="s">
        <v>24</v>
      </c>
      <c r="D137" s="3">
        <f t="shared" si="16"/>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1626</v>
      </c>
      <c r="X137" s="3" t="s">
        <v>1626</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2653</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hidden="1" x14ac:dyDescent="0.25">
      <c r="A138" s="5">
        <v>163</v>
      </c>
      <c r="B138" t="s">
        <v>940</v>
      </c>
      <c r="C138" t="s">
        <v>1</v>
      </c>
      <c r="D138" s="3">
        <f t="shared" si="16"/>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1630</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2653</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hidden="1" x14ac:dyDescent="0.25">
      <c r="A139" s="5">
        <v>164</v>
      </c>
      <c r="B139" t="s">
        <v>941</v>
      </c>
      <c r="C139" t="s">
        <v>11</v>
      </c>
      <c r="D139" s="3">
        <f t="shared" si="16"/>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2653</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hidden="1" x14ac:dyDescent="0.25">
      <c r="A140" s="5">
        <v>165</v>
      </c>
      <c r="B140" t="s">
        <v>942</v>
      </c>
      <c r="C140" t="s">
        <v>18</v>
      </c>
      <c r="D140" s="3">
        <f t="shared" si="16"/>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1638</v>
      </c>
      <c r="X140" s="3" t="s">
        <v>1639</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2653</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hidden="1" x14ac:dyDescent="0.25">
      <c r="A141" s="5">
        <v>166</v>
      </c>
      <c r="B141" t="s">
        <v>943</v>
      </c>
      <c r="C141" t="s">
        <v>5</v>
      </c>
      <c r="D141" s="3">
        <f t="shared" si="16"/>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2653</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hidden="1" x14ac:dyDescent="0.25">
      <c r="A142" s="5">
        <v>167</v>
      </c>
      <c r="B142" t="s">
        <v>944</v>
      </c>
      <c r="C142" t="s">
        <v>16</v>
      </c>
      <c r="D142" s="3">
        <f t="shared" si="16"/>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2653</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hidden="1" x14ac:dyDescent="0.25">
      <c r="A143" s="5">
        <v>168</v>
      </c>
      <c r="B143" t="s">
        <v>15</v>
      </c>
      <c r="C143" t="s">
        <v>1553</v>
      </c>
      <c r="D143" s="3">
        <f t="shared" si="16"/>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1624</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2653</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hidden="1" x14ac:dyDescent="0.25">
      <c r="A144" s="5">
        <v>169</v>
      </c>
      <c r="B144" t="s">
        <v>31</v>
      </c>
      <c r="C144" t="s">
        <v>31</v>
      </c>
      <c r="D144" s="3">
        <f t="shared" si="16"/>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2653</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hidden="1" x14ac:dyDescent="0.25">
      <c r="A145" s="5">
        <v>170</v>
      </c>
      <c r="B145" t="s">
        <v>945</v>
      </c>
      <c r="C145" t="s">
        <v>12</v>
      </c>
      <c r="D145" s="3">
        <f t="shared" si="16"/>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1632</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2653</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hidden="1" x14ac:dyDescent="0.25">
      <c r="A146" s="12">
        <v>171</v>
      </c>
      <c r="B146" t="s">
        <v>946</v>
      </c>
      <c r="C146" t="s">
        <v>947</v>
      </c>
      <c r="D146" s="3">
        <f t="shared" si="16"/>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3266</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3266</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3266</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2653</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hidden="1" x14ac:dyDescent="0.25">
      <c r="A147" s="12">
        <v>172</v>
      </c>
      <c r="B147" t="s">
        <v>948</v>
      </c>
      <c r="C147" t="s">
        <v>949</v>
      </c>
      <c r="D147" s="3">
        <f t="shared" si="16"/>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3266</v>
      </c>
      <c r="W147" s="100" t="s">
        <v>3745</v>
      </c>
      <c r="X147" s="100" t="s">
        <v>3746</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3266</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3266</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2653</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hidden="1" x14ac:dyDescent="0.25">
      <c r="A148" s="12">
        <v>173</v>
      </c>
      <c r="B148" t="s">
        <v>950</v>
      </c>
      <c r="C148" t="s">
        <v>951</v>
      </c>
      <c r="D148" s="3">
        <f t="shared" si="16"/>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3266</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3266</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3266</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2653</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hidden="1" x14ac:dyDescent="0.25">
      <c r="A149" s="5">
        <v>176</v>
      </c>
      <c r="B149" t="s">
        <v>952</v>
      </c>
      <c r="C149" t="s">
        <v>2581</v>
      </c>
      <c r="D149" s="3">
        <f t="shared" si="16"/>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3288</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2653</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hidden="1" x14ac:dyDescent="0.25">
      <c r="A150" s="5">
        <v>177</v>
      </c>
      <c r="B150" t="s">
        <v>953</v>
      </c>
      <c r="C150" t="s">
        <v>954</v>
      </c>
      <c r="D150" s="3">
        <f t="shared" si="16"/>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3288</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2653</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hidden="1" x14ac:dyDescent="0.25">
      <c r="A151" s="5">
        <v>178</v>
      </c>
      <c r="B151" t="s">
        <v>955</v>
      </c>
      <c r="C151" t="s">
        <v>956</v>
      </c>
      <c r="D151" s="3">
        <f t="shared" si="16"/>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3288</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2653</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hidden="1" x14ac:dyDescent="0.25">
      <c r="A152" s="12">
        <v>179</v>
      </c>
      <c r="B152" t="s">
        <v>957</v>
      </c>
      <c r="C152" t="s">
        <v>958</v>
      </c>
      <c r="D152" s="3">
        <f t="shared" si="16"/>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2761</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3742</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2654</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hidden="1" x14ac:dyDescent="0.25">
      <c r="A153" s="12">
        <v>180</v>
      </c>
      <c r="B153" t="s">
        <v>959</v>
      </c>
      <c r="C153" t="s">
        <v>960</v>
      </c>
      <c r="D153" s="3">
        <f t="shared" si="16"/>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2761</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3742</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2653</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hidden="1" x14ac:dyDescent="0.25">
      <c r="A154" s="12">
        <v>181</v>
      </c>
      <c r="B154" t="s">
        <v>961</v>
      </c>
      <c r="C154" t="s">
        <v>962</v>
      </c>
      <c r="D154" s="3">
        <f t="shared" si="16"/>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2761</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3742</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2653</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hidden="1" x14ac:dyDescent="0.25">
      <c r="A155" s="5">
        <v>183</v>
      </c>
      <c r="B155" t="s">
        <v>14</v>
      </c>
      <c r="C155" t="s">
        <v>14</v>
      </c>
      <c r="D155" s="3">
        <f t="shared" si="16"/>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2653</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hidden="1" x14ac:dyDescent="0.25">
      <c r="A156" s="12">
        <v>184</v>
      </c>
      <c r="B156" t="s">
        <v>963</v>
      </c>
      <c r="C156" t="s">
        <v>964</v>
      </c>
      <c r="D156" s="3">
        <f t="shared" si="16"/>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3285</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2653</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hidden="1" x14ac:dyDescent="0.25">
      <c r="A157" s="12">
        <v>185</v>
      </c>
      <c r="B157" t="s">
        <v>965</v>
      </c>
      <c r="C157" t="s">
        <v>966</v>
      </c>
      <c r="D157" s="3">
        <f t="shared" si="16"/>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3285</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2653</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hidden="1" x14ac:dyDescent="0.25">
      <c r="A158" s="12">
        <v>186</v>
      </c>
      <c r="B158" t="s">
        <v>967</v>
      </c>
      <c r="C158" t="s">
        <v>968</v>
      </c>
      <c r="D158" s="3">
        <f t="shared" si="16"/>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3285</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2653</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hidden="1" x14ac:dyDescent="0.25">
      <c r="A159" s="12">
        <v>187</v>
      </c>
      <c r="B159" t="s">
        <v>969</v>
      </c>
      <c r="C159" t="s">
        <v>970</v>
      </c>
      <c r="D159" s="3">
        <f t="shared" si="16"/>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2654</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hidden="1" x14ac:dyDescent="0.25">
      <c r="A160" s="12">
        <v>188</v>
      </c>
      <c r="B160" t="s">
        <v>971</v>
      </c>
      <c r="C160" t="s">
        <v>972</v>
      </c>
      <c r="D160" s="3">
        <f t="shared" si="16"/>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3285</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2653</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hidden="1" x14ac:dyDescent="0.25">
      <c r="A161" s="12">
        <v>190</v>
      </c>
      <c r="B161" t="s">
        <v>973</v>
      </c>
      <c r="C161" t="s">
        <v>974</v>
      </c>
      <c r="D161" s="3">
        <f t="shared" si="16"/>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3285</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2653</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hidden="1" x14ac:dyDescent="0.25">
      <c r="A162" s="12">
        <v>193</v>
      </c>
      <c r="B162" t="s">
        <v>975</v>
      </c>
      <c r="C162" t="s">
        <v>976</v>
      </c>
      <c r="D162" s="3">
        <f t="shared" si="16"/>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3285</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2653</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hidden="1" x14ac:dyDescent="0.25">
      <c r="A163" s="12">
        <v>194</v>
      </c>
      <c r="B163" t="s">
        <v>977</v>
      </c>
      <c r="C163" t="s">
        <v>978</v>
      </c>
      <c r="D163" s="3">
        <f t="shared" si="16"/>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3285</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3285</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2653</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hidden="1" x14ac:dyDescent="0.25">
      <c r="A164" s="12">
        <v>195</v>
      </c>
      <c r="B164" t="s">
        <v>979</v>
      </c>
      <c r="C164" t="s">
        <v>980</v>
      </c>
      <c r="D164" s="3">
        <f t="shared" si="16"/>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3285</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2653</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hidden="1" x14ac:dyDescent="0.25">
      <c r="A165" s="12">
        <v>196</v>
      </c>
      <c r="B165" t="s">
        <v>981</v>
      </c>
      <c r="C165" t="s">
        <v>982</v>
      </c>
      <c r="D165" s="3">
        <f t="shared" si="16"/>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3285</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2653</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hidden="1" x14ac:dyDescent="0.25">
      <c r="A166" s="12">
        <v>197</v>
      </c>
      <c r="B166" t="s">
        <v>983</v>
      </c>
      <c r="C166" t="s">
        <v>984</v>
      </c>
      <c r="D166" s="3">
        <f t="shared" si="16"/>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3285</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3285</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2653</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hidden="1" x14ac:dyDescent="0.25">
      <c r="A167" s="12">
        <v>198</v>
      </c>
      <c r="B167" t="s">
        <v>985</v>
      </c>
      <c r="C167" t="s">
        <v>986</v>
      </c>
      <c r="D167" s="3">
        <f t="shared" si="16"/>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3285</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2653</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hidden="1" x14ac:dyDescent="0.25">
      <c r="A168" s="12">
        <v>199</v>
      </c>
      <c r="B168" t="s">
        <v>987</v>
      </c>
      <c r="C168" t="s">
        <v>988</v>
      </c>
      <c r="D168" s="3">
        <f t="shared" si="16"/>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2761</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3742</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2654</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hidden="1" x14ac:dyDescent="0.25">
      <c r="A169" s="12">
        <v>200</v>
      </c>
      <c r="B169" t="s">
        <v>989</v>
      </c>
      <c r="C169" t="s">
        <v>990</v>
      </c>
      <c r="D169" s="3">
        <f t="shared" si="16"/>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2761</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3742</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2653</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hidden="1" x14ac:dyDescent="0.25">
      <c r="A170" s="12">
        <v>201</v>
      </c>
      <c r="B170" t="s">
        <v>991</v>
      </c>
      <c r="C170" t="s">
        <v>992</v>
      </c>
      <c r="D170" s="3">
        <f t="shared" si="16"/>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2761</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3742</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2653</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hidden="1" x14ac:dyDescent="0.25">
      <c r="A171" s="12">
        <v>204</v>
      </c>
      <c r="B171" t="s">
        <v>993</v>
      </c>
      <c r="C171" t="s">
        <v>994</v>
      </c>
      <c r="D171" s="3">
        <f t="shared" si="16"/>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3290</v>
      </c>
      <c r="AD171" s="3" t="s">
        <v>3291</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2654</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hidden="1" x14ac:dyDescent="0.25">
      <c r="A172" s="12">
        <v>205</v>
      </c>
      <c r="B172" t="s">
        <v>995</v>
      </c>
      <c r="C172" t="s">
        <v>996</v>
      </c>
      <c r="D172" s="3">
        <f t="shared" si="16"/>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3290</v>
      </c>
      <c r="AD172" s="3" t="s">
        <v>3291</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2654</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hidden="1" x14ac:dyDescent="0.25">
      <c r="A173" s="12">
        <v>206</v>
      </c>
      <c r="B173" t="s">
        <v>997</v>
      </c>
      <c r="C173" t="s">
        <v>998</v>
      </c>
      <c r="D173" s="3">
        <f t="shared" si="16"/>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3290</v>
      </c>
      <c r="AD173" s="3" t="s">
        <v>3291</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2654</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hidden="1" x14ac:dyDescent="0.25">
      <c r="A174" s="5">
        <v>207</v>
      </c>
      <c r="B174" t="s">
        <v>999</v>
      </c>
      <c r="C174" t="s">
        <v>1000</v>
      </c>
      <c r="D174" s="3">
        <f t="shared" si="16"/>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3288</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3288</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2654</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hidden="1" x14ac:dyDescent="0.25">
      <c r="A175" s="5">
        <v>208</v>
      </c>
      <c r="B175" t="s">
        <v>1001</v>
      </c>
      <c r="C175" t="s">
        <v>1002</v>
      </c>
      <c r="D175" s="3">
        <f t="shared" si="16"/>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3288</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3288</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2654</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hidden="1" x14ac:dyDescent="0.25">
      <c r="A176" s="24">
        <v>209</v>
      </c>
      <c r="B176" s="14" t="s">
        <v>1003</v>
      </c>
      <c r="C176" t="s">
        <v>1003</v>
      </c>
      <c r="D176" s="25">
        <f t="shared" si="16"/>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2653</v>
      </c>
      <c r="BA176" s="78"/>
      <c r="BB176" s="78"/>
      <c r="BC176" s="78"/>
      <c r="BD176" s="78"/>
      <c r="BE176" s="21" t="str">
        <f t="shared" si="17"/>
        <v/>
      </c>
      <c r="BF176" s="21" t="str">
        <f t="shared" si="18"/>
        <v/>
      </c>
      <c r="BG176" s="21" t="str">
        <f t="shared" si="19"/>
        <v/>
      </c>
      <c r="BH176" s="21" t="str">
        <f t="shared" si="20"/>
        <v/>
      </c>
      <c r="BI176" s="21" t="str">
        <f t="shared" si="21"/>
        <v/>
      </c>
    </row>
    <row r="177" spans="1:61" hidden="1" x14ac:dyDescent="0.25">
      <c r="A177" s="12">
        <v>210</v>
      </c>
      <c r="B177" t="s">
        <v>1004</v>
      </c>
      <c r="C177" t="s">
        <v>1005</v>
      </c>
      <c r="D177" s="3">
        <f t="shared" si="16"/>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2654</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hidden="1" x14ac:dyDescent="0.25">
      <c r="A178" s="12">
        <v>211</v>
      </c>
      <c r="B178" t="s">
        <v>1006</v>
      </c>
      <c r="C178" t="s">
        <v>1006</v>
      </c>
      <c r="D178" s="3">
        <f t="shared" si="16"/>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2654</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hidden="1" x14ac:dyDescent="0.25">
      <c r="A179" s="12">
        <v>212</v>
      </c>
      <c r="B179" t="s">
        <v>1007</v>
      </c>
      <c r="C179" t="s">
        <v>1008</v>
      </c>
      <c r="D179" s="3">
        <f t="shared" si="16"/>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2653</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hidden="1" x14ac:dyDescent="0.25">
      <c r="A180" s="12">
        <v>213</v>
      </c>
      <c r="B180" t="s">
        <v>1009</v>
      </c>
      <c r="C180" t="s">
        <v>1010</v>
      </c>
      <c r="D180" s="3">
        <f t="shared" si="16"/>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2653</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hidden="1" x14ac:dyDescent="0.25">
      <c r="A181" s="12">
        <v>214</v>
      </c>
      <c r="B181" t="s">
        <v>1011</v>
      </c>
      <c r="C181" t="s">
        <v>1011</v>
      </c>
      <c r="D181" s="3">
        <f t="shared" si="16"/>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2653</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hidden="1" x14ac:dyDescent="0.25">
      <c r="A182" s="12">
        <v>215</v>
      </c>
      <c r="B182" t="s">
        <v>1012</v>
      </c>
      <c r="C182" t="s">
        <v>1013</v>
      </c>
      <c r="D182" s="3">
        <f t="shared" si="16"/>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2653</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hidden="1" x14ac:dyDescent="0.25">
      <c r="A183" s="12">
        <v>216</v>
      </c>
      <c r="B183" t="s">
        <v>1014</v>
      </c>
      <c r="C183" t="s">
        <v>1015</v>
      </c>
      <c r="D183" s="3">
        <f t="shared" si="16"/>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2653</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hidden="1" x14ac:dyDescent="0.25">
      <c r="A184" s="12">
        <v>217</v>
      </c>
      <c r="B184" t="s">
        <v>1016</v>
      </c>
      <c r="C184" t="s">
        <v>1017</v>
      </c>
      <c r="D184" s="3">
        <f t="shared" si="16"/>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2653</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hidden="1" x14ac:dyDescent="0.25">
      <c r="A185" s="12">
        <v>218</v>
      </c>
      <c r="B185" t="s">
        <v>1018</v>
      </c>
      <c r="C185" t="s">
        <v>2582</v>
      </c>
      <c r="D185" s="3">
        <f t="shared" si="16"/>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2653</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hidden="1" x14ac:dyDescent="0.25">
      <c r="A186" s="5">
        <v>219</v>
      </c>
      <c r="B186" t="s">
        <v>1019</v>
      </c>
      <c r="C186" t="s">
        <v>1019</v>
      </c>
      <c r="D186" s="3">
        <f t="shared" si="16"/>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3288</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3288</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2653</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hidden="1" x14ac:dyDescent="0.25">
      <c r="A187" s="5">
        <v>224</v>
      </c>
      <c r="B187" t="s">
        <v>1020</v>
      </c>
      <c r="C187" t="s">
        <v>2583</v>
      </c>
      <c r="D187" s="3">
        <f t="shared" si="16"/>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3288</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3288</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2653</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hidden="1" x14ac:dyDescent="0.25">
      <c r="A188" s="5">
        <v>225</v>
      </c>
      <c r="B188" t="s">
        <v>1021</v>
      </c>
      <c r="C188" t="s">
        <v>1022</v>
      </c>
      <c r="D188" s="3">
        <f t="shared" si="16"/>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3288</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3288</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2653</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hidden="1" x14ac:dyDescent="0.25">
      <c r="A189" s="5">
        <v>226</v>
      </c>
      <c r="B189" t="s">
        <v>1023</v>
      </c>
      <c r="C189" t="s">
        <v>1024</v>
      </c>
      <c r="D189" s="3">
        <f t="shared" si="16"/>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3288</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3288</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2653</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hidden="1" x14ac:dyDescent="0.25">
      <c r="A190" s="12">
        <v>227</v>
      </c>
      <c r="B190" t="s">
        <v>1025</v>
      </c>
      <c r="C190" t="s">
        <v>2584</v>
      </c>
      <c r="D190" s="3">
        <f t="shared" si="16"/>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2654</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hidden="1" x14ac:dyDescent="0.25">
      <c r="A191" s="12">
        <v>228</v>
      </c>
      <c r="B191" t="s">
        <v>1026</v>
      </c>
      <c r="C191" t="s">
        <v>2585</v>
      </c>
      <c r="D191" s="3">
        <f t="shared" si="16"/>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2654</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hidden="1" x14ac:dyDescent="0.25">
      <c r="A192" s="12">
        <v>229</v>
      </c>
      <c r="B192" t="s">
        <v>1027</v>
      </c>
      <c r="C192" t="s">
        <v>1028</v>
      </c>
      <c r="D192" s="3">
        <f t="shared" si="16"/>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3266</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3266</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3266</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2653</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hidden="1" x14ac:dyDescent="0.25">
      <c r="A193" s="12">
        <v>230</v>
      </c>
      <c r="B193" t="s">
        <v>1029</v>
      </c>
      <c r="C193" t="s">
        <v>1030</v>
      </c>
      <c r="D193" s="3">
        <f t="shared" si="16"/>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3266</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3266</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3266</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2653</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hidden="1" x14ac:dyDescent="0.25">
      <c r="A194" s="12">
        <v>231</v>
      </c>
      <c r="B194" t="s">
        <v>1031</v>
      </c>
      <c r="C194" t="s">
        <v>1032</v>
      </c>
      <c r="D194" s="3">
        <f t="shared" si="16"/>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3266</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3266</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3266</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2653</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hidden="1" x14ac:dyDescent="0.25">
      <c r="A195" s="12">
        <v>232</v>
      </c>
      <c r="B195" t="s">
        <v>1033</v>
      </c>
      <c r="C195" t="s">
        <v>1034</v>
      </c>
      <c r="D195" s="3">
        <f t="shared" ref="D195:D258" si="22">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3266</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3266</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3266</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2653</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hidden="1" x14ac:dyDescent="0.25">
      <c r="A196" s="12">
        <v>234</v>
      </c>
      <c r="B196" t="s">
        <v>1035</v>
      </c>
      <c r="C196" t="s">
        <v>2586</v>
      </c>
      <c r="D196" s="3">
        <f t="shared" si="22"/>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3737</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2765</v>
      </c>
      <c r="AK196" s="3">
        <f>IF(AND(G196&lt;&gt;"LIBSETS_SETTYPE_BATTLEGROUND",G196&lt;&gt;"LIBSETS_SETTYPE_SPECIAL"),IF(AL196&lt;&gt;"",VLOOKUP(AL196,'ESO zone constants'!$D$5:$H$4955,5,FALSE),""),"")</f>
        <v>181</v>
      </c>
      <c r="AL196" t="s">
        <v>125</v>
      </c>
      <c r="AM196" s="33" t="s">
        <v>3740</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3236</v>
      </c>
      <c r="AZ196" s="78" t="s">
        <v>2654</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hidden="1" x14ac:dyDescent="0.25">
      <c r="A197" s="12">
        <v>235</v>
      </c>
      <c r="B197" t="s">
        <v>1036</v>
      </c>
      <c r="C197" t="s">
        <v>1037</v>
      </c>
      <c r="D197" s="3">
        <f t="shared" si="22"/>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3737</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2765</v>
      </c>
      <c r="AK197" s="3">
        <f>IF(AND(G197&lt;&gt;"LIBSETS_SETTYPE_BATTLEGROUND",G197&lt;&gt;"LIBSETS_SETTYPE_SPECIAL"),IF(AL197&lt;&gt;"",VLOOKUP(AL197,'ESO zone constants'!$D$5:$H$4955,5,FALSE),""),"")</f>
        <v>181</v>
      </c>
      <c r="AL197" t="s">
        <v>125</v>
      </c>
      <c r="AM197" s="33" t="s">
        <v>3740</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3236</v>
      </c>
      <c r="AZ197" s="78" t="s">
        <v>2653</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hidden="1" x14ac:dyDescent="0.25">
      <c r="A198" s="12">
        <v>236</v>
      </c>
      <c r="B198" t="s">
        <v>1038</v>
      </c>
      <c r="C198" t="s">
        <v>1039</v>
      </c>
      <c r="D198" s="3">
        <f t="shared" si="22"/>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2765</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3737</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2765</v>
      </c>
      <c r="AK198" s="3">
        <f>IF(AND(G198&lt;&gt;"LIBSETS_SETTYPE_BATTLEGROUND",G198&lt;&gt;"LIBSETS_SETTYPE_SPECIAL"),IF(AL198&lt;&gt;"",VLOOKUP(AL198,'ESO zone constants'!$D$5:$H$4955,5,FALSE),""),"")</f>
        <v>181</v>
      </c>
      <c r="AL198" t="s">
        <v>125</v>
      </c>
      <c r="AM198" s="33" t="s">
        <v>3740</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3236</v>
      </c>
      <c r="AZ198" s="78" t="s">
        <v>2653</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hidden="1" x14ac:dyDescent="0.25">
      <c r="A199" s="12">
        <v>237</v>
      </c>
      <c r="B199" t="s">
        <v>1040</v>
      </c>
      <c r="C199" t="s">
        <v>2587</v>
      </c>
      <c r="D199" s="3">
        <f t="shared" si="22"/>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3737</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2765</v>
      </c>
      <c r="AK199" s="3">
        <f>IF(AND(G199&lt;&gt;"LIBSETS_SETTYPE_BATTLEGROUND",G199&lt;&gt;"LIBSETS_SETTYPE_SPECIAL"),IF(AL199&lt;&gt;"",VLOOKUP(AL199,'ESO zone constants'!$D$5:$H$4955,5,FALSE),""),"")</f>
        <v>181</v>
      </c>
      <c r="AL199" t="s">
        <v>125</v>
      </c>
      <c r="AM199" s="33" t="s">
        <v>3740</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3236</v>
      </c>
      <c r="AZ199" s="78" t="s">
        <v>2654</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hidden="1" x14ac:dyDescent="0.25">
      <c r="A200" s="12">
        <v>238</v>
      </c>
      <c r="B200" t="s">
        <v>1041</v>
      </c>
      <c r="C200" t="s">
        <v>2588</v>
      </c>
      <c r="D200" s="3">
        <f t="shared" si="22"/>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3737</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2765</v>
      </c>
      <c r="AK200" s="3">
        <f>IF(AND(G200&lt;&gt;"LIBSETS_SETTYPE_BATTLEGROUND",G200&lt;&gt;"LIBSETS_SETTYPE_SPECIAL"),IF(AL200&lt;&gt;"",VLOOKUP(AL200,'ESO zone constants'!$D$5:$H$4955,5,FALSE),""),"")</f>
        <v>181</v>
      </c>
      <c r="AL200" t="s">
        <v>125</v>
      </c>
      <c r="AM200" s="33" t="s">
        <v>3740</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3236</v>
      </c>
      <c r="AZ200" s="78" t="s">
        <v>2653</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hidden="1" x14ac:dyDescent="0.25">
      <c r="A201" s="12">
        <v>239</v>
      </c>
      <c r="B201" t="s">
        <v>1042</v>
      </c>
      <c r="C201" t="s">
        <v>2589</v>
      </c>
      <c r="D201" s="3">
        <f t="shared" si="22"/>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3737</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2765</v>
      </c>
      <c r="AK201" s="3">
        <f>IF(AND(G201&lt;&gt;"LIBSETS_SETTYPE_BATTLEGROUND",G201&lt;&gt;"LIBSETS_SETTYPE_SPECIAL"),IF(AL201&lt;&gt;"",VLOOKUP(AL201,'ESO zone constants'!$D$5:$H$4955,5,FALSE),""),"")</f>
        <v>181</v>
      </c>
      <c r="AL201" t="s">
        <v>125</v>
      </c>
      <c r="AM201" s="33" t="s">
        <v>3740</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3236</v>
      </c>
      <c r="AZ201" s="78" t="s">
        <v>2653</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hidden="1" x14ac:dyDescent="0.25">
      <c r="A202" s="5">
        <v>240</v>
      </c>
      <c r="B202" t="s">
        <v>1043</v>
      </c>
      <c r="C202" t="s">
        <v>1044</v>
      </c>
      <c r="D202" s="3">
        <f t="shared" si="22"/>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3288</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3288</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2654</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hidden="1" x14ac:dyDescent="0.25">
      <c r="A203" s="5">
        <v>241</v>
      </c>
      <c r="B203" t="s">
        <v>1045</v>
      </c>
      <c r="C203" t="s">
        <v>2590</v>
      </c>
      <c r="D203" s="3">
        <f t="shared" si="22"/>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3288</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3288</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2653</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hidden="1" x14ac:dyDescent="0.25">
      <c r="A204" s="5">
        <v>242</v>
      </c>
      <c r="B204" t="s">
        <v>1046</v>
      </c>
      <c r="C204" t="s">
        <v>2591</v>
      </c>
      <c r="D204" s="3">
        <f t="shared" si="22"/>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3288</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3288</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2653</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hidden="1" x14ac:dyDescent="0.25">
      <c r="A205" s="12">
        <v>243</v>
      </c>
      <c r="B205" t="s">
        <v>1047</v>
      </c>
      <c r="C205" t="s">
        <v>1048</v>
      </c>
      <c r="D205" s="3">
        <f t="shared" si="22"/>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2653</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hidden="1" x14ac:dyDescent="0.25">
      <c r="A206" s="12">
        <v>244</v>
      </c>
      <c r="B206" t="s">
        <v>1049</v>
      </c>
      <c r="C206" t="s">
        <v>1050</v>
      </c>
      <c r="D206" s="3">
        <f t="shared" si="22"/>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2654</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hidden="1" x14ac:dyDescent="0.25">
      <c r="A207" s="12">
        <v>245</v>
      </c>
      <c r="B207" t="s">
        <v>1051</v>
      </c>
      <c r="C207" t="s">
        <v>2592</v>
      </c>
      <c r="D207" s="3">
        <f t="shared" si="22"/>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3212</v>
      </c>
      <c r="AN207" s="39" t="s">
        <v>3747</v>
      </c>
      <c r="AO207" s="39" t="s">
        <v>3748</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2653</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hidden="1" x14ac:dyDescent="0.25">
      <c r="A208" s="12">
        <v>246</v>
      </c>
      <c r="B208" t="s">
        <v>1052</v>
      </c>
      <c r="C208" t="s">
        <v>2593</v>
      </c>
      <c r="D208" s="3">
        <f t="shared" si="22"/>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2761</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3742</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2653</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hidden="1" x14ac:dyDescent="0.25">
      <c r="A209" s="12">
        <v>247</v>
      </c>
      <c r="B209" t="s">
        <v>1053</v>
      </c>
      <c r="C209" t="s">
        <v>1054</v>
      </c>
      <c r="D209" s="3">
        <f t="shared" si="22"/>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2761</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3742</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2653</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hidden="1" x14ac:dyDescent="0.25">
      <c r="A210" s="12">
        <v>248</v>
      </c>
      <c r="B210" t="s">
        <v>1055</v>
      </c>
      <c r="C210" t="s">
        <v>1056</v>
      </c>
      <c r="D210" s="3">
        <f t="shared" si="22"/>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2761</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3742</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2653</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hidden="1" x14ac:dyDescent="0.25">
      <c r="A211" s="12">
        <v>253</v>
      </c>
      <c r="B211" t="s">
        <v>1057</v>
      </c>
      <c r="C211" t="s">
        <v>1058</v>
      </c>
      <c r="D211" s="3">
        <f t="shared" si="22"/>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2761</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3742</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2653</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hidden="1" x14ac:dyDescent="0.25">
      <c r="A212" s="5">
        <v>256</v>
      </c>
      <c r="B212" t="s">
        <v>1059</v>
      </c>
      <c r="C212" t="s">
        <v>13</v>
      </c>
      <c r="D212" s="3">
        <f t="shared" si="22"/>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1627</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2653</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hidden="1" x14ac:dyDescent="0.25">
      <c r="A213" s="5">
        <v>257</v>
      </c>
      <c r="B213" t="s">
        <v>32</v>
      </c>
      <c r="C213" t="s">
        <v>32</v>
      </c>
      <c r="D213" s="3">
        <f t="shared" si="22"/>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2653</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hidden="1" x14ac:dyDescent="0.25">
      <c r="A214" s="12">
        <v>258</v>
      </c>
      <c r="B214" t="s">
        <v>1060</v>
      </c>
      <c r="C214" t="s">
        <v>1061</v>
      </c>
      <c r="D214" s="3">
        <f t="shared" si="22"/>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3285</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2654</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hidden="1" x14ac:dyDescent="0.25">
      <c r="A215" s="12">
        <v>259</v>
      </c>
      <c r="B215" t="s">
        <v>1062</v>
      </c>
      <c r="C215" t="s">
        <v>2594</v>
      </c>
      <c r="D215" s="3">
        <f t="shared" si="22"/>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3285</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2653</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hidden="1" x14ac:dyDescent="0.25">
      <c r="A216" s="12">
        <v>260</v>
      </c>
      <c r="B216" t="s">
        <v>1063</v>
      </c>
      <c r="C216" t="s">
        <v>1064</v>
      </c>
      <c r="D216" s="3">
        <f t="shared" si="22"/>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3285</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2653</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hidden="1" x14ac:dyDescent="0.25">
      <c r="A217" s="12">
        <v>261</v>
      </c>
      <c r="B217" t="s">
        <v>1065</v>
      </c>
      <c r="C217" t="s">
        <v>1066</v>
      </c>
      <c r="D217" s="3">
        <f t="shared" si="22"/>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3285</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2653</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hidden="1" x14ac:dyDescent="0.25">
      <c r="A218" s="12">
        <v>262</v>
      </c>
      <c r="B218" t="s">
        <v>1067</v>
      </c>
      <c r="C218" t="s">
        <v>1068</v>
      </c>
      <c r="D218" s="3">
        <f t="shared" si="22"/>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3285</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2653</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hidden="1" x14ac:dyDescent="0.25">
      <c r="A219" s="12">
        <v>263</v>
      </c>
      <c r="B219" t="s">
        <v>1069</v>
      </c>
      <c r="C219" t="s">
        <v>1070</v>
      </c>
      <c r="D219" s="3">
        <f t="shared" si="22"/>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3285</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2653</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hidden="1" x14ac:dyDescent="0.25">
      <c r="A220" s="16">
        <v>264</v>
      </c>
      <c r="B220" s="14" t="s">
        <v>1071</v>
      </c>
      <c r="C220" t="s">
        <v>1072</v>
      </c>
      <c r="D220" s="25">
        <f t="shared" si="22"/>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2653</v>
      </c>
      <c r="BA220" s="78"/>
      <c r="BB220" s="78"/>
      <c r="BC220" s="78"/>
      <c r="BD220" s="78"/>
      <c r="BE220" s="21" t="str">
        <f t="shared" si="23"/>
        <v/>
      </c>
      <c r="BF220" s="21" t="str">
        <f t="shared" si="24"/>
        <v/>
      </c>
      <c r="BG220" s="21" t="str">
        <f t="shared" si="25"/>
        <v/>
      </c>
      <c r="BH220" s="21" t="str">
        <f t="shared" si="26"/>
        <v/>
      </c>
      <c r="BI220" s="21" t="str">
        <f t="shared" si="27"/>
        <v/>
      </c>
    </row>
    <row r="221" spans="1:61" hidden="1" x14ac:dyDescent="0.25">
      <c r="A221" s="5">
        <v>265</v>
      </c>
      <c r="B221" t="s">
        <v>1073</v>
      </c>
      <c r="C221" t="s">
        <v>22</v>
      </c>
      <c r="D221" s="3">
        <f t="shared" si="22"/>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1632</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2653</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hidden="1" x14ac:dyDescent="0.25">
      <c r="A222" s="5">
        <v>266</v>
      </c>
      <c r="B222" t="s">
        <v>10</v>
      </c>
      <c r="C222" t="s">
        <v>2595</v>
      </c>
      <c r="D222" s="3">
        <f t="shared" si="22"/>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1625</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2653</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hidden="1" x14ac:dyDescent="0.25">
      <c r="A223" s="5">
        <v>267</v>
      </c>
      <c r="B223" t="s">
        <v>1074</v>
      </c>
      <c r="C223" t="s">
        <v>27</v>
      </c>
      <c r="D223" s="3">
        <f t="shared" si="22"/>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1629</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2653</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hidden="1" x14ac:dyDescent="0.25">
      <c r="A224" s="5">
        <v>268</v>
      </c>
      <c r="B224" t="s">
        <v>1075</v>
      </c>
      <c r="C224" t="s">
        <v>21</v>
      </c>
      <c r="D224" s="3">
        <f t="shared" si="22"/>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2653</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hidden="1" x14ac:dyDescent="0.25">
      <c r="A225" s="5">
        <v>269</v>
      </c>
      <c r="B225" t="s">
        <v>1076</v>
      </c>
      <c r="C225" t="s">
        <v>2</v>
      </c>
      <c r="D225" s="3">
        <f t="shared" si="22"/>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1635</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2653</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hidden="1" x14ac:dyDescent="0.25">
      <c r="A226" s="5">
        <v>270</v>
      </c>
      <c r="B226" t="s">
        <v>1077</v>
      </c>
      <c r="C226" t="s">
        <v>23</v>
      </c>
      <c r="D226" s="3">
        <f t="shared" si="22"/>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1638</v>
      </c>
      <c r="X226" s="3" t="s">
        <v>1639</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2653</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hidden="1" x14ac:dyDescent="0.25">
      <c r="A227" s="5">
        <v>271</v>
      </c>
      <c r="B227" t="s">
        <v>20</v>
      </c>
      <c r="C227" t="s">
        <v>20</v>
      </c>
      <c r="D227" s="3">
        <f t="shared" si="22"/>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2653</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hidden="1" x14ac:dyDescent="0.25">
      <c r="A228" s="5">
        <v>272</v>
      </c>
      <c r="B228" t="s">
        <v>1078</v>
      </c>
      <c r="C228" t="s">
        <v>9</v>
      </c>
      <c r="D228" s="3">
        <f t="shared" si="22"/>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1631</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2653</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hidden="1" x14ac:dyDescent="0.25">
      <c r="A229" s="5">
        <v>273</v>
      </c>
      <c r="B229" t="s">
        <v>8</v>
      </c>
      <c r="C229" t="s">
        <v>8</v>
      </c>
      <c r="D229" s="3">
        <f t="shared" si="22"/>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2772</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2653</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dropMechanicDropLocationNames={['en']={'Ilambris-Athor or Ilambris-Zaven','','','','','',},['de']={'Ilambris Zwillinge','','','','','',},}</v>
      </c>
      <c r="BI229" s="21" t="str">
        <f t="shared" si="27"/>
        <v>}, --Ilambris / Ilambris   [Crypt of Hearts I, Rivenspire, Rivenspire]</v>
      </c>
    </row>
    <row r="230" spans="1:61" hidden="1" x14ac:dyDescent="0.25">
      <c r="A230" s="5">
        <v>274</v>
      </c>
      <c r="B230" t="s">
        <v>1079</v>
      </c>
      <c r="C230" t="s">
        <v>7</v>
      </c>
      <c r="D230" s="3">
        <f t="shared" si="22"/>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2653</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hidden="1" x14ac:dyDescent="0.25">
      <c r="A231" s="5">
        <v>275</v>
      </c>
      <c r="B231" t="s">
        <v>1080</v>
      </c>
      <c r="C231" t="s">
        <v>26</v>
      </c>
      <c r="D231" s="3">
        <f t="shared" si="22"/>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1637</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2653</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hidden="1" x14ac:dyDescent="0.25">
      <c r="A232" s="5">
        <v>276</v>
      </c>
      <c r="B232" t="s">
        <v>1081</v>
      </c>
      <c r="C232" t="s">
        <v>29</v>
      </c>
      <c r="D232" s="3">
        <f t="shared" si="22"/>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2653</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hidden="1" x14ac:dyDescent="0.25">
      <c r="A233" s="5">
        <v>277</v>
      </c>
      <c r="B233" t="s">
        <v>1082</v>
      </c>
      <c r="C233" t="s">
        <v>17</v>
      </c>
      <c r="D233" s="3">
        <f t="shared" si="22"/>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1628</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2653</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hidden="1" x14ac:dyDescent="0.25">
      <c r="A234" s="5">
        <v>278</v>
      </c>
      <c r="B234" t="s">
        <v>1083</v>
      </c>
      <c r="C234" t="s">
        <v>1084</v>
      </c>
      <c r="D234" s="3">
        <f t="shared" si="22"/>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2653</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hidden="1" x14ac:dyDescent="0.25">
      <c r="A235" s="5">
        <v>279</v>
      </c>
      <c r="B235" t="s">
        <v>19</v>
      </c>
      <c r="C235" t="s">
        <v>19</v>
      </c>
      <c r="D235" s="3">
        <f t="shared" si="22"/>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2653</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hidden="1" x14ac:dyDescent="0.25">
      <c r="A236" s="5">
        <v>280</v>
      </c>
      <c r="B236" t="s">
        <v>6</v>
      </c>
      <c r="C236" t="s">
        <v>6</v>
      </c>
      <c r="D236" s="3">
        <f t="shared" si="22"/>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2653</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hidden="1" x14ac:dyDescent="0.25">
      <c r="A237" s="12">
        <v>281</v>
      </c>
      <c r="B237" t="s">
        <v>1085</v>
      </c>
      <c r="C237" t="s">
        <v>1086</v>
      </c>
      <c r="D237" s="3">
        <f t="shared" si="22"/>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2654</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hidden="1" x14ac:dyDescent="0.25">
      <c r="A238" s="12">
        <v>282</v>
      </c>
      <c r="B238" t="s">
        <v>1087</v>
      </c>
      <c r="C238" t="s">
        <v>1088</v>
      </c>
      <c r="D238" s="3">
        <f t="shared" si="22"/>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2653</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hidden="1" x14ac:dyDescent="0.25">
      <c r="A239" s="12">
        <v>283</v>
      </c>
      <c r="B239" t="s">
        <v>1089</v>
      </c>
      <c r="C239" t="s">
        <v>1090</v>
      </c>
      <c r="D239" s="3">
        <f t="shared" si="22"/>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2654</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hidden="1" x14ac:dyDescent="0.25">
      <c r="A240" s="12">
        <v>284</v>
      </c>
      <c r="B240" t="s">
        <v>1091</v>
      </c>
      <c r="C240" t="s">
        <v>1092</v>
      </c>
      <c r="D240" s="3">
        <f t="shared" si="22"/>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2653</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hidden="1" x14ac:dyDescent="0.25">
      <c r="A241" s="12">
        <v>285</v>
      </c>
      <c r="B241" t="s">
        <v>1093</v>
      </c>
      <c r="C241" t="s">
        <v>1094</v>
      </c>
      <c r="D241" s="3">
        <f t="shared" si="22"/>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2653</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hidden="1" x14ac:dyDescent="0.25">
      <c r="A242" s="12">
        <v>286</v>
      </c>
      <c r="B242" t="s">
        <v>1095</v>
      </c>
      <c r="C242" t="s">
        <v>2531</v>
      </c>
      <c r="D242" s="3">
        <f t="shared" si="22"/>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2654</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hidden="1" x14ac:dyDescent="0.25">
      <c r="A243" s="12">
        <v>287</v>
      </c>
      <c r="B243" t="s">
        <v>1096</v>
      </c>
      <c r="C243" t="s">
        <v>1097</v>
      </c>
      <c r="D243" s="3">
        <f t="shared" si="22"/>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2653</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hidden="1" x14ac:dyDescent="0.25">
      <c r="A244" s="12">
        <v>288</v>
      </c>
      <c r="B244" t="s">
        <v>1098</v>
      </c>
      <c r="C244" t="s">
        <v>2596</v>
      </c>
      <c r="D244" s="3">
        <f t="shared" si="22"/>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2654</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hidden="1" x14ac:dyDescent="0.25">
      <c r="A245" s="12">
        <v>289</v>
      </c>
      <c r="B245" t="s">
        <v>1099</v>
      </c>
      <c r="C245" t="s">
        <v>2530</v>
      </c>
      <c r="D245" s="3">
        <f t="shared" si="22"/>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2654</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hidden="1" x14ac:dyDescent="0.25">
      <c r="A246" s="12">
        <v>290</v>
      </c>
      <c r="B246" t="s">
        <v>1100</v>
      </c>
      <c r="C246" t="s">
        <v>1101</v>
      </c>
      <c r="D246" s="3">
        <f t="shared" si="22"/>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2653</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hidden="1" x14ac:dyDescent="0.25">
      <c r="A247" s="12">
        <v>291</v>
      </c>
      <c r="B247" t="s">
        <v>1102</v>
      </c>
      <c r="C247" t="s">
        <v>1103</v>
      </c>
      <c r="D247" s="3">
        <f t="shared" si="22"/>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2653</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hidden="1" x14ac:dyDescent="0.25">
      <c r="A248" s="12">
        <v>292</v>
      </c>
      <c r="B248" t="s">
        <v>1104</v>
      </c>
      <c r="C248" t="s">
        <v>2597</v>
      </c>
      <c r="D248" s="3">
        <f t="shared" si="22"/>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2653</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hidden="1" x14ac:dyDescent="0.25">
      <c r="A249" s="12">
        <v>293</v>
      </c>
      <c r="B249" t="s">
        <v>1105</v>
      </c>
      <c r="C249" t="s">
        <v>1106</v>
      </c>
      <c r="D249" s="3">
        <f t="shared" si="22"/>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2654</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hidden="1" x14ac:dyDescent="0.25">
      <c r="A250" s="12">
        <v>294</v>
      </c>
      <c r="B250" t="s">
        <v>1107</v>
      </c>
      <c r="C250" t="s">
        <v>2598</v>
      </c>
      <c r="D250" s="3">
        <f t="shared" si="22"/>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2654</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hidden="1" x14ac:dyDescent="0.25">
      <c r="A251" s="12">
        <v>295</v>
      </c>
      <c r="B251" t="s">
        <v>1108</v>
      </c>
      <c r="C251" t="s">
        <v>1109</v>
      </c>
      <c r="D251" s="3">
        <f t="shared" si="22"/>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3285</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3285</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2653</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hidden="1" x14ac:dyDescent="0.25">
      <c r="A252" s="12">
        <v>296</v>
      </c>
      <c r="B252" t="s">
        <v>1110</v>
      </c>
      <c r="C252" t="s">
        <v>1111</v>
      </c>
      <c r="D252" s="3">
        <f t="shared" si="22"/>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3285</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3285</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2653</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hidden="1" x14ac:dyDescent="0.25">
      <c r="A253" s="12">
        <v>297</v>
      </c>
      <c r="B253" t="s">
        <v>1112</v>
      </c>
      <c r="C253" t="s">
        <v>1113</v>
      </c>
      <c r="D253" s="3">
        <f t="shared" si="22"/>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3285</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3285</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2654</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hidden="1" x14ac:dyDescent="0.25">
      <c r="A254" s="12">
        <v>298</v>
      </c>
      <c r="B254" t="s">
        <v>1114</v>
      </c>
      <c r="C254" t="s">
        <v>1115</v>
      </c>
      <c r="D254" s="3">
        <f t="shared" si="22"/>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3285</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3285</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2654</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hidden="1" x14ac:dyDescent="0.25">
      <c r="A255" s="12">
        <v>299</v>
      </c>
      <c r="B255" t="s">
        <v>1116</v>
      </c>
      <c r="C255" t="s">
        <v>1117</v>
      </c>
      <c r="D255" s="3">
        <f t="shared" si="22"/>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3285</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3285</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2653</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hidden="1" x14ac:dyDescent="0.25">
      <c r="A256" s="12">
        <v>300</v>
      </c>
      <c r="B256" t="s">
        <v>1118</v>
      </c>
      <c r="C256" t="s">
        <v>2599</v>
      </c>
      <c r="D256" s="3">
        <f t="shared" si="22"/>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3285</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3285</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2654</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hidden="1" x14ac:dyDescent="0.25">
      <c r="A257" s="12">
        <v>301</v>
      </c>
      <c r="B257" t="s">
        <v>1119</v>
      </c>
      <c r="C257" t="s">
        <v>1120</v>
      </c>
      <c r="D257" s="3">
        <f t="shared" si="22"/>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3285</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3285</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2654</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hidden="1" x14ac:dyDescent="0.25">
      <c r="A258" s="12">
        <v>302</v>
      </c>
      <c r="B258" t="s">
        <v>1121</v>
      </c>
      <c r="C258" t="s">
        <v>1121</v>
      </c>
      <c r="D258" s="3">
        <f t="shared" si="22"/>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3285</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3285</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2654</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hidden="1" x14ac:dyDescent="0.25">
      <c r="A259" s="12">
        <v>303</v>
      </c>
      <c r="B259" t="s">
        <v>1122</v>
      </c>
      <c r="C259" t="s">
        <v>2600</v>
      </c>
      <c r="D259" s="3">
        <f t="shared" ref="D259:D322" si="28">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3285</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2653</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hidden="1" x14ac:dyDescent="0.25">
      <c r="A260" s="12">
        <v>304</v>
      </c>
      <c r="B260" t="s">
        <v>1123</v>
      </c>
      <c r="C260" t="s">
        <v>1124</v>
      </c>
      <c r="D260" s="3">
        <f t="shared" si="28"/>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3285</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2653</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hidden="1" x14ac:dyDescent="0.25">
      <c r="A261" s="12">
        <v>305</v>
      </c>
      <c r="B261" t="s">
        <v>1125</v>
      </c>
      <c r="C261" t="s">
        <v>1126</v>
      </c>
      <c r="D261" s="3">
        <f t="shared" si="28"/>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3285</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2653</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hidden="1" x14ac:dyDescent="0.25">
      <c r="A262" s="12">
        <v>307</v>
      </c>
      <c r="B262" t="s">
        <v>1127</v>
      </c>
      <c r="C262" t="s">
        <v>1128</v>
      </c>
      <c r="D262" s="3">
        <f t="shared" si="28"/>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3285</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2654</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hidden="1" x14ac:dyDescent="0.25">
      <c r="A263" s="12">
        <v>308</v>
      </c>
      <c r="B263" t="s">
        <v>1129</v>
      </c>
      <c r="C263" t="s">
        <v>2601</v>
      </c>
      <c r="D263" s="3">
        <f t="shared" si="28"/>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3285</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2653</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hidden="1" x14ac:dyDescent="0.25">
      <c r="A264" s="12">
        <v>309</v>
      </c>
      <c r="B264" t="s">
        <v>1130</v>
      </c>
      <c r="C264" t="s">
        <v>2602</v>
      </c>
      <c r="D264" s="3">
        <f t="shared" si="28"/>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3285</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2653</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hidden="1" x14ac:dyDescent="0.25">
      <c r="A265" s="12">
        <v>310</v>
      </c>
      <c r="B265" t="s">
        <v>1131</v>
      </c>
      <c r="C265" t="s">
        <v>1132</v>
      </c>
      <c r="D265" s="3">
        <f t="shared" si="28"/>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3285</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2654</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hidden="1" x14ac:dyDescent="0.25">
      <c r="A266" s="12">
        <v>311</v>
      </c>
      <c r="B266" t="s">
        <v>1133</v>
      </c>
      <c r="C266" t="s">
        <v>1134</v>
      </c>
      <c r="D266" s="3">
        <f t="shared" si="28"/>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3285</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2653</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1135</v>
      </c>
      <c r="C267" t="s">
        <v>1136</v>
      </c>
      <c r="D267" s="3">
        <f t="shared" si="28"/>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2653</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1137</v>
      </c>
      <c r="C268" t="s">
        <v>1138</v>
      </c>
      <c r="D268" s="3">
        <f t="shared" si="28"/>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2653</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1139</v>
      </c>
      <c r="C269" t="s">
        <v>1140</v>
      </c>
      <c r="D269" s="3">
        <f t="shared" si="28"/>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2653</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1141</v>
      </c>
      <c r="C270" t="s">
        <v>1142</v>
      </c>
      <c r="D270" s="3">
        <f t="shared" si="28"/>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1143</v>
      </c>
      <c r="C271" t="s">
        <v>1144</v>
      </c>
      <c r="D271" s="3">
        <f t="shared" si="28"/>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2653</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1145</v>
      </c>
      <c r="C272" t="s">
        <v>1146</v>
      </c>
      <c r="D272" s="3">
        <f t="shared" si="28"/>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2653</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hidden="1" x14ac:dyDescent="0.25">
      <c r="A273" s="12">
        <v>320</v>
      </c>
      <c r="B273" t="s">
        <v>1147</v>
      </c>
      <c r="C273" t="s">
        <v>1148</v>
      </c>
      <c r="D273" s="3">
        <f t="shared" si="28"/>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2654</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hidden="1" x14ac:dyDescent="0.25">
      <c r="A274" s="12">
        <v>321</v>
      </c>
      <c r="B274" t="s">
        <v>1149</v>
      </c>
      <c r="C274" t="s">
        <v>1150</v>
      </c>
      <c r="D274" s="3">
        <f t="shared" si="28"/>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2653</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hidden="1" x14ac:dyDescent="0.25">
      <c r="A275" s="12">
        <v>322</v>
      </c>
      <c r="B275" t="s">
        <v>1151</v>
      </c>
      <c r="C275" t="s">
        <v>1152</v>
      </c>
      <c r="D275" s="3">
        <f t="shared" si="28"/>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2653</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hidden="1" x14ac:dyDescent="0.25">
      <c r="A276" s="5">
        <v>323</v>
      </c>
      <c r="B276" t="s">
        <v>1153</v>
      </c>
      <c r="C276" t="s">
        <v>2603</v>
      </c>
      <c r="D276" s="3">
        <f t="shared" si="28"/>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3288</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3288</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2654</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hidden="1" x14ac:dyDescent="0.25">
      <c r="A277" s="5">
        <v>324</v>
      </c>
      <c r="B277" t="s">
        <v>1154</v>
      </c>
      <c r="C277" t="s">
        <v>1155</v>
      </c>
      <c r="D277" s="3">
        <f t="shared" si="28"/>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3288</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3288</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2653</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hidden="1" x14ac:dyDescent="0.25">
      <c r="A278" s="5">
        <v>325</v>
      </c>
      <c r="B278" t="s">
        <v>1156</v>
      </c>
      <c r="C278" t="s">
        <v>1157</v>
      </c>
      <c r="D278" s="3">
        <f t="shared" si="28"/>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3288</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3288</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2654</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hidden="1" x14ac:dyDescent="0.25">
      <c r="A279" s="12">
        <v>326</v>
      </c>
      <c r="B279" t="s">
        <v>1158</v>
      </c>
      <c r="C279" t="s">
        <v>2604</v>
      </c>
      <c r="D279" s="3">
        <f t="shared" si="28"/>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2653</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hidden="1" x14ac:dyDescent="0.25">
      <c r="A280" s="12">
        <v>327</v>
      </c>
      <c r="B280" t="s">
        <v>1159</v>
      </c>
      <c r="C280" t="s">
        <v>2605</v>
      </c>
      <c r="D280" s="3">
        <f t="shared" si="28"/>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2653</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hidden="1" x14ac:dyDescent="0.25">
      <c r="A281" s="12">
        <v>328</v>
      </c>
      <c r="B281" t="s">
        <v>1160</v>
      </c>
      <c r="C281" t="s">
        <v>1161</v>
      </c>
      <c r="D281" s="3">
        <f t="shared" si="28"/>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2653</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hidden="1" x14ac:dyDescent="0.25">
      <c r="A282" s="12">
        <v>329</v>
      </c>
      <c r="B282" t="s">
        <v>1162</v>
      </c>
      <c r="C282" t="s">
        <v>2606</v>
      </c>
      <c r="D282" s="3">
        <f t="shared" si="28"/>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2653</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hidden="1" x14ac:dyDescent="0.25">
      <c r="A283" s="12">
        <v>330</v>
      </c>
      <c r="B283" t="s">
        <v>1163</v>
      </c>
      <c r="C283" t="s">
        <v>1164</v>
      </c>
      <c r="D283" s="3">
        <f t="shared" si="28"/>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3266</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3266</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3266</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2653</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hidden="1" x14ac:dyDescent="0.25">
      <c r="A284" s="12">
        <v>331</v>
      </c>
      <c r="B284" t="s">
        <v>1165</v>
      </c>
      <c r="C284" t="s">
        <v>1166</v>
      </c>
      <c r="D284" s="3">
        <f t="shared" si="28"/>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3266</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3266</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3266</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2653</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hidden="1" x14ac:dyDescent="0.25">
      <c r="A285" s="12">
        <v>332</v>
      </c>
      <c r="B285" t="s">
        <v>1167</v>
      </c>
      <c r="C285" t="s">
        <v>1168</v>
      </c>
      <c r="D285" s="3">
        <f t="shared" si="28"/>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3266</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3266</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3266</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2653</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hidden="1" x14ac:dyDescent="0.25">
      <c r="A286" s="12">
        <v>333</v>
      </c>
      <c r="B286" t="s">
        <v>1169</v>
      </c>
      <c r="C286" t="s">
        <v>2607</v>
      </c>
      <c r="D286" s="3">
        <f t="shared" si="28"/>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3266</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3266</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3266</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2653</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hidden="1" x14ac:dyDescent="0.25">
      <c r="A287" s="12">
        <v>334</v>
      </c>
      <c r="B287" t="s">
        <v>1170</v>
      </c>
      <c r="C287" t="s">
        <v>1171</v>
      </c>
      <c r="D287" s="3">
        <f t="shared" si="28"/>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2654</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hidden="1" x14ac:dyDescent="0.25">
      <c r="A288" s="12">
        <v>335</v>
      </c>
      <c r="B288" t="s">
        <v>1172</v>
      </c>
      <c r="C288" t="s">
        <v>2608</v>
      </c>
      <c r="D288" s="3">
        <f t="shared" si="28"/>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3285</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2653</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hidden="1" x14ac:dyDescent="0.25">
      <c r="A289" s="12">
        <v>336</v>
      </c>
      <c r="B289" t="s">
        <v>1173</v>
      </c>
      <c r="C289" t="s">
        <v>1174</v>
      </c>
      <c r="D289" s="3">
        <f t="shared" si="28"/>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3285</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2653</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hidden="1" x14ac:dyDescent="0.25">
      <c r="A290" s="12">
        <v>337</v>
      </c>
      <c r="B290" t="s">
        <v>1175</v>
      </c>
      <c r="C290" t="s">
        <v>1176</v>
      </c>
      <c r="D290" s="3">
        <f t="shared" si="28"/>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3285</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2653</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hidden="1" x14ac:dyDescent="0.25">
      <c r="A291" s="12">
        <v>338</v>
      </c>
      <c r="B291" t="s">
        <v>1177</v>
      </c>
      <c r="C291" t="s">
        <v>1178</v>
      </c>
      <c r="D291" s="3">
        <f t="shared" si="28"/>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3285</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2653</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hidden="1" x14ac:dyDescent="0.25">
      <c r="A292" s="12">
        <v>339</v>
      </c>
      <c r="B292" t="s">
        <v>1179</v>
      </c>
      <c r="C292" t="s">
        <v>1180</v>
      </c>
      <c r="D292" s="3">
        <f t="shared" si="28"/>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3285</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2654</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hidden="1" x14ac:dyDescent="0.25">
      <c r="A293" s="12">
        <v>340</v>
      </c>
      <c r="B293" t="s">
        <v>1181</v>
      </c>
      <c r="C293" t="s">
        <v>2609</v>
      </c>
      <c r="D293" s="3">
        <f t="shared" si="28"/>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3285</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2653</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hidden="1" x14ac:dyDescent="0.25">
      <c r="A294" s="5">
        <v>341</v>
      </c>
      <c r="B294" t="s">
        <v>1182</v>
      </c>
      <c r="C294" t="s">
        <v>4</v>
      </c>
      <c r="D294" s="3">
        <f t="shared" si="28"/>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1633</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2653</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hidden="1" x14ac:dyDescent="0.25">
      <c r="A295" s="5">
        <v>342</v>
      </c>
      <c r="B295" t="s">
        <v>3</v>
      </c>
      <c r="C295" t="s">
        <v>3</v>
      </c>
      <c r="D295" s="3">
        <f t="shared" si="28"/>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2653</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hidden="1" x14ac:dyDescent="0.25">
      <c r="A296" s="12">
        <v>343</v>
      </c>
      <c r="B296" t="s">
        <v>1183</v>
      </c>
      <c r="C296" t="s">
        <v>2610</v>
      </c>
      <c r="D296" s="3">
        <f t="shared" si="28"/>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3285</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2653</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hidden="1" x14ac:dyDescent="0.25">
      <c r="A297" s="12">
        <v>344</v>
      </c>
      <c r="B297" t="s">
        <v>1184</v>
      </c>
      <c r="C297" t="s">
        <v>1185</v>
      </c>
      <c r="D297" s="3">
        <f t="shared" si="28"/>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3285</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2653</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hidden="1" x14ac:dyDescent="0.25">
      <c r="A298" s="12">
        <v>345</v>
      </c>
      <c r="B298" t="s">
        <v>1186</v>
      </c>
      <c r="C298" t="s">
        <v>2611</v>
      </c>
      <c r="D298" s="3">
        <f t="shared" si="28"/>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3285</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2653</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hidden="1" x14ac:dyDescent="0.25">
      <c r="A299" s="12">
        <v>346</v>
      </c>
      <c r="B299" t="s">
        <v>1187</v>
      </c>
      <c r="C299" t="s">
        <v>2612</v>
      </c>
      <c r="D299" s="3">
        <f t="shared" si="28"/>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3285</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2654</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hidden="1" x14ac:dyDescent="0.25">
      <c r="A300" s="12">
        <v>347</v>
      </c>
      <c r="B300" t="s">
        <v>1188</v>
      </c>
      <c r="C300" t="s">
        <v>1189</v>
      </c>
      <c r="D300" s="3">
        <f t="shared" si="28"/>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3285</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2653</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hidden="1" x14ac:dyDescent="0.25">
      <c r="A301" s="12">
        <v>348</v>
      </c>
      <c r="B301" t="s">
        <v>1190</v>
      </c>
      <c r="C301" t="s">
        <v>1191</v>
      </c>
      <c r="D301" s="3">
        <f t="shared" si="28"/>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3285</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2653</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hidden="1" x14ac:dyDescent="0.25">
      <c r="A302" s="5">
        <v>349</v>
      </c>
      <c r="B302" t="s">
        <v>30</v>
      </c>
      <c r="C302" t="s">
        <v>30</v>
      </c>
      <c r="D302" s="3">
        <f t="shared" si="28"/>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2653</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hidden="1" x14ac:dyDescent="0.25">
      <c r="A303" s="5">
        <v>350</v>
      </c>
      <c r="B303" t="s">
        <v>34</v>
      </c>
      <c r="C303" t="s">
        <v>34</v>
      </c>
      <c r="D303" s="3">
        <f t="shared" si="28"/>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2653</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hidden="1" x14ac:dyDescent="0.25">
      <c r="A304" s="5">
        <v>351</v>
      </c>
      <c r="B304" t="s">
        <v>1192</v>
      </c>
      <c r="C304" t="s">
        <v>1193</v>
      </c>
      <c r="D304" s="3">
        <f t="shared" si="28"/>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3288</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3288</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2654</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hidden="1" x14ac:dyDescent="0.25">
      <c r="A305" s="5">
        <v>352</v>
      </c>
      <c r="B305" t="s">
        <v>1194</v>
      </c>
      <c r="C305" t="s">
        <v>1195</v>
      </c>
      <c r="D305" s="3">
        <f t="shared" si="28"/>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3288</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3288</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2654</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hidden="1" x14ac:dyDescent="0.25">
      <c r="A306" s="5">
        <v>353</v>
      </c>
      <c r="B306" t="s">
        <v>1196</v>
      </c>
      <c r="C306" t="s">
        <v>1197</v>
      </c>
      <c r="D306" s="3">
        <f t="shared" si="28"/>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3288</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3288</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2653</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hidden="1" x14ac:dyDescent="0.25">
      <c r="A307" s="12">
        <v>354</v>
      </c>
      <c r="B307" t="s">
        <v>1198</v>
      </c>
      <c r="C307" t="s">
        <v>1199</v>
      </c>
      <c r="D307" s="3">
        <f t="shared" si="28"/>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2653</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hidden="1" x14ac:dyDescent="0.25">
      <c r="A308" s="12">
        <v>355</v>
      </c>
      <c r="B308" t="s">
        <v>1200</v>
      </c>
      <c r="C308" t="s">
        <v>1201</v>
      </c>
      <c r="D308" s="3">
        <f t="shared" si="28"/>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2653</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hidden="1" x14ac:dyDescent="0.25">
      <c r="A309" s="12">
        <v>356</v>
      </c>
      <c r="B309" t="s">
        <v>1202</v>
      </c>
      <c r="C309" t="s">
        <v>1203</v>
      </c>
      <c r="D309" s="3">
        <f t="shared" si="28"/>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2653</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1204</v>
      </c>
      <c r="C310" t="s">
        <v>1205</v>
      </c>
      <c r="D310" s="3">
        <f t="shared" si="28"/>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3266</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3266</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3266</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2653</v>
      </c>
      <c r="BA310" s="78"/>
      <c r="BB310" s="78"/>
      <c r="BC310" s="78"/>
      <c r="BD310" s="78" t="s">
        <v>3832</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1206</v>
      </c>
      <c r="C311" t="s">
        <v>1207</v>
      </c>
      <c r="D311" s="3">
        <f t="shared" si="28"/>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3266</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3266</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3266</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2653</v>
      </c>
      <c r="BA311" s="78"/>
      <c r="BB311" s="78"/>
      <c r="BC311" s="78"/>
      <c r="BD311" s="78" t="s">
        <v>3832</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1208</v>
      </c>
      <c r="C312" t="s">
        <v>1209</v>
      </c>
      <c r="D312" s="3">
        <f t="shared" si="28"/>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3266</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3266</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3266</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2653</v>
      </c>
      <c r="BA312" s="78"/>
      <c r="BB312" s="78"/>
      <c r="BC312" s="78"/>
      <c r="BD312" s="78" t="s">
        <v>3832</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1210</v>
      </c>
      <c r="C313" t="s">
        <v>1211</v>
      </c>
      <c r="D313" s="3">
        <f t="shared" si="28"/>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3266</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3266</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3266</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2653</v>
      </c>
      <c r="BA313" s="78"/>
      <c r="BB313" s="78"/>
      <c r="BC313" s="78"/>
      <c r="BD313" s="78" t="s">
        <v>3832</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1212</v>
      </c>
      <c r="C314" t="s">
        <v>1213</v>
      </c>
      <c r="D314" s="3">
        <f t="shared" si="28"/>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3266</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3266</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3266</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2653</v>
      </c>
      <c r="BA314" s="78"/>
      <c r="BB314" s="78"/>
      <c r="BC314" s="78"/>
      <c r="BD314" s="78" t="s">
        <v>3832</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1214</v>
      </c>
      <c r="C315" t="s">
        <v>1215</v>
      </c>
      <c r="D315" s="3">
        <f t="shared" si="28"/>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3266</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3266</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3266</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2653</v>
      </c>
      <c r="BA315" s="78"/>
      <c r="BB315" s="78"/>
      <c r="BC315" s="78"/>
      <c r="BD315" s="78" t="s">
        <v>3832</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1216</v>
      </c>
      <c r="C316" t="s">
        <v>1217</v>
      </c>
      <c r="D316" s="3">
        <f t="shared" si="28"/>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3266</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3266</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3266</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2653</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1218</v>
      </c>
      <c r="C317" t="s">
        <v>1218</v>
      </c>
      <c r="D317" s="3">
        <f t="shared" si="28"/>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3266</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3266</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3266</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2653</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1219</v>
      </c>
      <c r="C318" t="s">
        <v>1220</v>
      </c>
      <c r="D318" s="3">
        <f t="shared" si="28"/>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3266</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3266</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3266</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2653</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1221</v>
      </c>
      <c r="C319" t="s">
        <v>1222</v>
      </c>
      <c r="D319" s="3">
        <f t="shared" si="28"/>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3266</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3266</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3266</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2653</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1223</v>
      </c>
      <c r="C320" t="s">
        <v>1224</v>
      </c>
      <c r="D320" s="3">
        <f t="shared" si="28"/>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3266</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3266</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3266</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2653</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1225</v>
      </c>
      <c r="C321" t="s">
        <v>1226</v>
      </c>
      <c r="D321" s="3">
        <f t="shared" si="28"/>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3266</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3266</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3266</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2653</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1227</v>
      </c>
      <c r="C322" t="s">
        <v>1228</v>
      </c>
      <c r="D322" s="3">
        <f t="shared" si="28"/>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2653</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1229</v>
      </c>
      <c r="C323" t="s">
        <v>1230</v>
      </c>
      <c r="D323" s="3">
        <f t="shared" ref="D323:D386" si="34">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2653</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1231</v>
      </c>
      <c r="C324" t="s">
        <v>1232</v>
      </c>
      <c r="D324" s="3">
        <f t="shared" si="34"/>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2653</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1233</v>
      </c>
      <c r="C325" t="s">
        <v>1234</v>
      </c>
      <c r="D325" s="3">
        <f t="shared" si="34"/>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2653</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1235</v>
      </c>
      <c r="C326" t="s">
        <v>1236</v>
      </c>
      <c r="D326" s="3">
        <f t="shared" si="34"/>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2654</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1237</v>
      </c>
      <c r="C327" t="s">
        <v>1238</v>
      </c>
      <c r="D327" s="3">
        <f t="shared" si="34"/>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2653</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hidden="1" x14ac:dyDescent="0.25">
      <c r="A328" s="12">
        <v>380</v>
      </c>
      <c r="B328" t="s">
        <v>1239</v>
      </c>
      <c r="C328" t="s">
        <v>2613</v>
      </c>
      <c r="D328" s="3">
        <f t="shared" si="34"/>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2653</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hidden="1" x14ac:dyDescent="0.25">
      <c r="A329" s="12">
        <v>381</v>
      </c>
      <c r="B329" t="s">
        <v>1240</v>
      </c>
      <c r="C329" t="s">
        <v>1241</v>
      </c>
      <c r="D329" s="3">
        <f t="shared" si="34"/>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2653</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hidden="1" x14ac:dyDescent="0.25">
      <c r="A330" s="12">
        <v>382</v>
      </c>
      <c r="B330" t="s">
        <v>1242</v>
      </c>
      <c r="C330" t="s">
        <v>1243</v>
      </c>
      <c r="D330" s="3">
        <f t="shared" si="34"/>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2653</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hidden="1" x14ac:dyDescent="0.25">
      <c r="A331" s="12">
        <v>383</v>
      </c>
      <c r="B331" t="s">
        <v>1244</v>
      </c>
      <c r="C331" t="s">
        <v>2614</v>
      </c>
      <c r="D331" s="3">
        <f t="shared" si="34"/>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2653</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hidden="1" x14ac:dyDescent="0.25">
      <c r="A332" s="12">
        <v>384</v>
      </c>
      <c r="B332" t="s">
        <v>1245</v>
      </c>
      <c r="C332" t="s">
        <v>1246</v>
      </c>
      <c r="D332" s="3">
        <f t="shared" si="34"/>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2653</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hidden="1" x14ac:dyDescent="0.25">
      <c r="A333" s="5">
        <v>385</v>
      </c>
      <c r="B333" t="s">
        <v>1247</v>
      </c>
      <c r="C333" t="s">
        <v>1248</v>
      </c>
      <c r="D333" s="3">
        <f t="shared" si="34"/>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3288</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3288</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3288</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2653</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hidden="1" x14ac:dyDescent="0.25">
      <c r="A334" s="5">
        <v>386</v>
      </c>
      <c r="B334" t="s">
        <v>1249</v>
      </c>
      <c r="C334" t="s">
        <v>2615</v>
      </c>
      <c r="D334" s="3">
        <f t="shared" si="34"/>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3288</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3288</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3288</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2653</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hidden="1" x14ac:dyDescent="0.25">
      <c r="A335" s="5">
        <v>387</v>
      </c>
      <c r="B335" t="s">
        <v>1250</v>
      </c>
      <c r="C335" t="s">
        <v>2616</v>
      </c>
      <c r="D335" s="3">
        <f t="shared" si="34"/>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3288</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3288</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3288</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2653</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1251</v>
      </c>
      <c r="C336" t="s">
        <v>1252</v>
      </c>
      <c r="D336" s="3">
        <f t="shared" si="34"/>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3266</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3266</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3266</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2653</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1253</v>
      </c>
      <c r="C337" t="s">
        <v>1254</v>
      </c>
      <c r="D337" s="3">
        <f t="shared" si="34"/>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3266</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3266</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3266</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2653</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1255</v>
      </c>
      <c r="C338" t="s">
        <v>1256</v>
      </c>
      <c r="D338" s="3">
        <f t="shared" si="34"/>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3266</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3266</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3266</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2653</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1257</v>
      </c>
      <c r="C339" t="s">
        <v>1258</v>
      </c>
      <c r="D339" s="3">
        <f t="shared" si="34"/>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3266</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3266</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3266</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2653</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1259</v>
      </c>
      <c r="C340" t="s">
        <v>1260</v>
      </c>
      <c r="D340" s="3">
        <f t="shared" si="34"/>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3266</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3266</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3266</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2653</v>
      </c>
      <c r="BA340" s="78"/>
      <c r="BB340" s="78"/>
      <c r="BC340" s="78"/>
      <c r="BD340" s="78" t="s">
        <v>3832</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1261</v>
      </c>
      <c r="C341" t="s">
        <v>1262</v>
      </c>
      <c r="D341" s="3">
        <f t="shared" si="34"/>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3266</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3266</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3266</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2653</v>
      </c>
      <c r="BA341" s="78"/>
      <c r="BB341" s="78"/>
      <c r="BC341" s="78"/>
      <c r="BD341" s="78" t="s">
        <v>3832</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1263</v>
      </c>
      <c r="C342" t="s">
        <v>1264</v>
      </c>
      <c r="D342" s="3">
        <f t="shared" si="34"/>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3266</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3266</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3266</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2653</v>
      </c>
      <c r="BA342" s="78"/>
      <c r="BB342" s="78"/>
      <c r="BC342" s="78"/>
      <c r="BD342" s="78" t="s">
        <v>3832</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1265</v>
      </c>
      <c r="C343" t="s">
        <v>1266</v>
      </c>
      <c r="D343" s="3">
        <f t="shared" si="34"/>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3266</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3266</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3266</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2653</v>
      </c>
      <c r="BA343" s="78"/>
      <c r="BB343" s="78"/>
      <c r="BC343" s="78"/>
      <c r="BD343" s="78" t="s">
        <v>3832</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hidden="1" x14ac:dyDescent="0.25">
      <c r="A344" s="5">
        <v>397</v>
      </c>
      <c r="B344" t="s">
        <v>0</v>
      </c>
      <c r="C344" t="s">
        <v>0</v>
      </c>
      <c r="D344" s="3">
        <f t="shared" si="34"/>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2653</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hidden="1" x14ac:dyDescent="0.25">
      <c r="A345" s="5">
        <v>398</v>
      </c>
      <c r="B345" t="s">
        <v>33</v>
      </c>
      <c r="C345" t="s">
        <v>33</v>
      </c>
      <c r="D345" s="3">
        <f t="shared" si="34"/>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2653</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hidden="1" x14ac:dyDescent="0.25">
      <c r="A346" s="12">
        <v>399</v>
      </c>
      <c r="B346" t="s">
        <v>1267</v>
      </c>
      <c r="C346" t="s">
        <v>2617</v>
      </c>
      <c r="D346" s="3">
        <f t="shared" si="34"/>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3285</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2653</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hidden="1" x14ac:dyDescent="0.25">
      <c r="A347" s="12">
        <v>400</v>
      </c>
      <c r="B347" t="s">
        <v>1268</v>
      </c>
      <c r="C347" t="s">
        <v>1269</v>
      </c>
      <c r="D347" s="3">
        <f t="shared" si="34"/>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3285</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2653</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hidden="1" x14ac:dyDescent="0.25">
      <c r="A348" s="12">
        <v>401</v>
      </c>
      <c r="B348" t="s">
        <v>1270</v>
      </c>
      <c r="C348" t="s">
        <v>1271</v>
      </c>
      <c r="D348" s="3">
        <f t="shared" si="34"/>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3285</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2653</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hidden="1" x14ac:dyDescent="0.25">
      <c r="A349" s="12">
        <v>402</v>
      </c>
      <c r="B349" t="s">
        <v>1272</v>
      </c>
      <c r="C349" t="s">
        <v>1273</v>
      </c>
      <c r="D349" s="3">
        <f t="shared" si="34"/>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3285</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2653</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hidden="1" x14ac:dyDescent="0.25">
      <c r="A350" s="12">
        <v>403</v>
      </c>
      <c r="B350" t="s">
        <v>1274</v>
      </c>
      <c r="C350" t="s">
        <v>1275</v>
      </c>
      <c r="D350" s="3">
        <f t="shared" si="34"/>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3285</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2653</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hidden="1" x14ac:dyDescent="0.25">
      <c r="A351" s="12">
        <v>404</v>
      </c>
      <c r="B351" t="s">
        <v>1276</v>
      </c>
      <c r="C351" t="s">
        <v>2618</v>
      </c>
      <c r="D351" s="3">
        <f t="shared" si="34"/>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3285</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2653</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hidden="1" x14ac:dyDescent="0.25">
      <c r="A352" s="12">
        <v>405</v>
      </c>
      <c r="B352" t="s">
        <v>1277</v>
      </c>
      <c r="C352" t="s">
        <v>2619</v>
      </c>
      <c r="D352" s="3">
        <f t="shared" si="34"/>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2653</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hidden="1" x14ac:dyDescent="0.25">
      <c r="A353" s="12">
        <v>406</v>
      </c>
      <c r="B353" t="s">
        <v>1278</v>
      </c>
      <c r="C353" t="s">
        <v>2620</v>
      </c>
      <c r="D353" s="3">
        <f t="shared" si="34"/>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2653</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hidden="1" x14ac:dyDescent="0.25">
      <c r="A354" s="12">
        <v>407</v>
      </c>
      <c r="B354" t="s">
        <v>1279</v>
      </c>
      <c r="C354" t="s">
        <v>1280</v>
      </c>
      <c r="D354" s="3">
        <f t="shared" si="34"/>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2653</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hidden="1" x14ac:dyDescent="0.25">
      <c r="A355" s="5">
        <v>408</v>
      </c>
      <c r="B355" t="s">
        <v>1281</v>
      </c>
      <c r="C355" t="s">
        <v>1282</v>
      </c>
      <c r="D355" s="3">
        <f t="shared" si="34"/>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3288</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3288</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2653</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hidden="1" x14ac:dyDescent="0.25">
      <c r="A356" s="5">
        <v>409</v>
      </c>
      <c r="B356" t="s">
        <v>1283</v>
      </c>
      <c r="C356" t="s">
        <v>1284</v>
      </c>
      <c r="D356" s="3">
        <f t="shared" si="34"/>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3288</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3288</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2653</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hidden="1" x14ac:dyDescent="0.25">
      <c r="A357" s="5">
        <v>410</v>
      </c>
      <c r="B357" t="s">
        <v>1285</v>
      </c>
      <c r="C357" t="s">
        <v>1286</v>
      </c>
      <c r="D357" s="3">
        <f t="shared" si="34"/>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3288</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3288</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2653</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1287</v>
      </c>
      <c r="C358" t="s">
        <v>1288</v>
      </c>
      <c r="D358" s="3">
        <f t="shared" si="34"/>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2653</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1289</v>
      </c>
      <c r="C359" t="s">
        <v>1290</v>
      </c>
      <c r="D359" s="3">
        <f t="shared" si="34"/>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2653</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1291</v>
      </c>
      <c r="C360" t="s">
        <v>1292</v>
      </c>
      <c r="D360" s="3">
        <f t="shared" si="34"/>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2653</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1293</v>
      </c>
      <c r="C361" t="s">
        <v>1294</v>
      </c>
      <c r="D361" s="3">
        <f t="shared" si="34"/>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2653</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1295</v>
      </c>
      <c r="C362" t="s">
        <v>1296</v>
      </c>
      <c r="D362" s="3">
        <f t="shared" si="34"/>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2653</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1297</v>
      </c>
      <c r="C363" t="s">
        <v>2621</v>
      </c>
      <c r="D363" s="3">
        <f t="shared" si="34"/>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2653</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hidden="1" x14ac:dyDescent="0.25">
      <c r="A364" s="12">
        <v>417</v>
      </c>
      <c r="B364" t="s">
        <v>1298</v>
      </c>
      <c r="C364" t="s">
        <v>1299</v>
      </c>
      <c r="D364" s="3">
        <f t="shared" si="34"/>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3737</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2765</v>
      </c>
      <c r="AK364" s="3">
        <f>IF(AND(G364&lt;&gt;"LIBSETS_SETTYPE_BATTLEGROUND",G364&lt;&gt;"LIBSETS_SETTYPE_SPECIAL"),IF(AL364&lt;&gt;"",VLOOKUP(AL364,'ESO zone constants'!$D$5:$H$4955,5,FALSE),""),"")</f>
        <v>181</v>
      </c>
      <c r="AL364" t="s">
        <v>125</v>
      </c>
      <c r="AM364" s="33" t="s">
        <v>3740</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3236</v>
      </c>
      <c r="AZ364" s="78" t="s">
        <v>2653</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hidden="1" x14ac:dyDescent="0.25">
      <c r="A365" s="12">
        <v>418</v>
      </c>
      <c r="B365" t="s">
        <v>1300</v>
      </c>
      <c r="C365" t="s">
        <v>1301</v>
      </c>
      <c r="D365" s="3">
        <f t="shared" si="34"/>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3737</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2765</v>
      </c>
      <c r="AK365" s="3">
        <f>IF(AND(G365&lt;&gt;"LIBSETS_SETTYPE_BATTLEGROUND",G365&lt;&gt;"LIBSETS_SETTYPE_SPECIAL"),IF(AL365&lt;&gt;"",VLOOKUP(AL365,'ESO zone constants'!$D$5:$H$4955,5,FALSE),""),"")</f>
        <v>181</v>
      </c>
      <c r="AL365" t="s">
        <v>125</v>
      </c>
      <c r="AM365" s="33" t="s">
        <v>3740</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3236</v>
      </c>
      <c r="AZ365" s="78" t="s">
        <v>2653</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hidden="1" x14ac:dyDescent="0.25">
      <c r="A366" s="12">
        <v>419</v>
      </c>
      <c r="B366" t="s">
        <v>1302</v>
      </c>
      <c r="C366" t="s">
        <v>1303</v>
      </c>
      <c r="D366" s="3">
        <f t="shared" si="34"/>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3737</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2765</v>
      </c>
      <c r="AK366" s="3">
        <f>IF(AND(G366&lt;&gt;"LIBSETS_SETTYPE_BATTLEGROUND",G366&lt;&gt;"LIBSETS_SETTYPE_SPECIAL"),IF(AL366&lt;&gt;"",VLOOKUP(AL366,'ESO zone constants'!$D$5:$H$4955,5,FALSE),""),"")</f>
        <v>181</v>
      </c>
      <c r="AL366" t="s">
        <v>125</v>
      </c>
      <c r="AM366" s="33" t="s">
        <v>3740</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3236</v>
      </c>
      <c r="AZ366" s="78" t="s">
        <v>2654</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hidden="1" x14ac:dyDescent="0.25">
      <c r="A367" s="12">
        <v>420</v>
      </c>
      <c r="B367" t="s">
        <v>1304</v>
      </c>
      <c r="C367" t="s">
        <v>1305</v>
      </c>
      <c r="D367" s="3">
        <f t="shared" si="34"/>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3737</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2765</v>
      </c>
      <c r="AK367" s="3">
        <f>IF(AND(G367&lt;&gt;"LIBSETS_SETTYPE_BATTLEGROUND",G367&lt;&gt;"LIBSETS_SETTYPE_SPECIAL"),IF(AL367&lt;&gt;"",VLOOKUP(AL367,'ESO zone constants'!$D$5:$H$4955,5,FALSE),""),"")</f>
        <v>181</v>
      </c>
      <c r="AL367" t="s">
        <v>125</v>
      </c>
      <c r="AM367" s="33" t="s">
        <v>3740</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3236</v>
      </c>
      <c r="AZ367" s="78" t="s">
        <v>2653</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hidden="1" x14ac:dyDescent="0.25">
      <c r="A368" s="12">
        <v>421</v>
      </c>
      <c r="B368" t="s">
        <v>1306</v>
      </c>
      <c r="C368" t="s">
        <v>1307</v>
      </c>
      <c r="D368" s="3">
        <f t="shared" si="34"/>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3737</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2765</v>
      </c>
      <c r="AK368" s="3">
        <f>IF(AND(G368&lt;&gt;"LIBSETS_SETTYPE_BATTLEGROUND",G368&lt;&gt;"LIBSETS_SETTYPE_SPECIAL"),IF(AL368&lt;&gt;"",VLOOKUP(AL368,'ESO zone constants'!$D$5:$H$4955,5,FALSE),""),"")</f>
        <v>181</v>
      </c>
      <c r="AL368" t="s">
        <v>125</v>
      </c>
      <c r="AM368" s="33" t="s">
        <v>3740</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3236</v>
      </c>
      <c r="AZ368" s="78" t="s">
        <v>2653</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hidden="1" x14ac:dyDescent="0.25">
      <c r="A369" s="12">
        <v>422</v>
      </c>
      <c r="B369" t="s">
        <v>1308</v>
      </c>
      <c r="C369" t="s">
        <v>1309</v>
      </c>
      <c r="D369" s="3">
        <f t="shared" si="34"/>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3737</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2765</v>
      </c>
      <c r="AK369" s="3">
        <f>IF(AND(G369&lt;&gt;"LIBSETS_SETTYPE_BATTLEGROUND",G369&lt;&gt;"LIBSETS_SETTYPE_SPECIAL"),IF(AL369&lt;&gt;"",VLOOKUP(AL369,'ESO zone constants'!$D$5:$H$4955,5,FALSE),""),"")</f>
        <v>181</v>
      </c>
      <c r="AL369" t="s">
        <v>125</v>
      </c>
      <c r="AM369" s="33" t="s">
        <v>3740</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3236</v>
      </c>
      <c r="AZ369" s="78" t="s">
        <v>2653</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1310</v>
      </c>
      <c r="C370" t="s">
        <v>1311</v>
      </c>
      <c r="D370" s="3">
        <f t="shared" si="34"/>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2653</v>
      </c>
      <c r="BA370" s="78"/>
      <c r="BB370" s="78"/>
      <c r="BC370" s="78"/>
      <c r="BD370" s="78" t="s">
        <v>3832</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1312</v>
      </c>
      <c r="C371" t="s">
        <v>1313</v>
      </c>
      <c r="D371" s="3">
        <f t="shared" si="34"/>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2653</v>
      </c>
      <c r="BA371" s="78"/>
      <c r="BB371" s="78"/>
      <c r="BC371" s="78"/>
      <c r="BD371" s="78" t="s">
        <v>3832</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1314</v>
      </c>
      <c r="C372" t="s">
        <v>1315</v>
      </c>
      <c r="D372" s="3">
        <f t="shared" si="34"/>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2653</v>
      </c>
      <c r="BA372" s="78"/>
      <c r="BB372" s="78"/>
      <c r="BC372" s="78"/>
      <c r="BD372" s="78" t="s">
        <v>3832</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1316</v>
      </c>
      <c r="C373" t="s">
        <v>1317</v>
      </c>
      <c r="D373" s="3">
        <f t="shared" si="34"/>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2653</v>
      </c>
      <c r="BA373" s="78"/>
      <c r="BB373" s="78"/>
      <c r="BC373" s="78"/>
      <c r="BD373" s="78" t="s">
        <v>3832</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1318</v>
      </c>
      <c r="C374" t="s">
        <v>1319</v>
      </c>
      <c r="D374" s="3">
        <f t="shared" si="34"/>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2653</v>
      </c>
      <c r="BA374" s="78"/>
      <c r="BB374" s="78"/>
      <c r="BC374" s="78"/>
      <c r="BD374" s="78" t="s">
        <v>3832</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1320</v>
      </c>
      <c r="C375" t="s">
        <v>2622</v>
      </c>
      <c r="D375" s="3">
        <f t="shared" si="34"/>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2653</v>
      </c>
      <c r="BA375" s="78"/>
      <c r="BB375" s="78"/>
      <c r="BC375" s="78"/>
      <c r="BD375" s="78" t="s">
        <v>3832</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hidden="1" x14ac:dyDescent="0.25">
      <c r="A376" s="12">
        <v>429</v>
      </c>
      <c r="B376" t="s">
        <v>1321</v>
      </c>
      <c r="C376" t="s">
        <v>1322</v>
      </c>
      <c r="D376" s="3">
        <f t="shared" si="34"/>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3285</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2653</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hidden="1" x14ac:dyDescent="0.25">
      <c r="A377" s="12">
        <v>430</v>
      </c>
      <c r="B377" t="s">
        <v>1323</v>
      </c>
      <c r="C377" t="s">
        <v>2623</v>
      </c>
      <c r="D377" s="3">
        <f t="shared" si="34"/>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3285</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2653</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hidden="1" x14ac:dyDescent="0.25">
      <c r="A378" s="12">
        <v>431</v>
      </c>
      <c r="B378" t="s">
        <v>1324</v>
      </c>
      <c r="C378" t="s">
        <v>1325</v>
      </c>
      <c r="D378" s="3">
        <f t="shared" si="34"/>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3285</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2653</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hidden="1" x14ac:dyDescent="0.25">
      <c r="A379" s="5">
        <v>432</v>
      </c>
      <c r="B379" t="s">
        <v>1326</v>
      </c>
      <c r="C379" t="s">
        <v>25</v>
      </c>
      <c r="D379" s="3">
        <f t="shared" si="34"/>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1636</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2653</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hidden="1" x14ac:dyDescent="0.25">
      <c r="A380" s="12">
        <v>433</v>
      </c>
      <c r="B380" t="s">
        <v>1327</v>
      </c>
      <c r="C380" t="s">
        <v>1328</v>
      </c>
      <c r="D380" s="3">
        <f t="shared" si="34"/>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3285</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2653</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hidden="1" x14ac:dyDescent="0.25">
      <c r="A381" s="12">
        <v>434</v>
      </c>
      <c r="B381" t="s">
        <v>1329</v>
      </c>
      <c r="C381" t="s">
        <v>1330</v>
      </c>
      <c r="D381" s="3">
        <f t="shared" si="34"/>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3285</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2653</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hidden="1" x14ac:dyDescent="0.25">
      <c r="A382" s="12">
        <v>435</v>
      </c>
      <c r="B382" t="s">
        <v>1331</v>
      </c>
      <c r="C382" t="s">
        <v>2624</v>
      </c>
      <c r="D382" s="3">
        <f t="shared" si="34"/>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3285</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2653</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hidden="1" x14ac:dyDescent="0.25">
      <c r="A383" s="5">
        <v>436</v>
      </c>
      <c r="B383" t="s">
        <v>1332</v>
      </c>
      <c r="C383" t="s">
        <v>28</v>
      </c>
      <c r="D383" s="3">
        <f t="shared" si="34"/>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1634</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2653</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hidden="1" x14ac:dyDescent="0.25">
      <c r="A384" s="12">
        <v>437</v>
      </c>
      <c r="B384" t="s">
        <v>1425</v>
      </c>
      <c r="C384" t="s">
        <v>2625</v>
      </c>
      <c r="D384" s="3">
        <f t="shared" si="34"/>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3288</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3288</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2653</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hidden="1" x14ac:dyDescent="0.25">
      <c r="A385" s="12">
        <v>438</v>
      </c>
      <c r="B385" t="s">
        <v>1426</v>
      </c>
      <c r="C385" t="s">
        <v>2626</v>
      </c>
      <c r="D385" s="3">
        <f t="shared" si="34"/>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3288</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3288</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2653</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hidden="1" x14ac:dyDescent="0.25">
      <c r="A386" s="5">
        <v>439</v>
      </c>
      <c r="B386" t="s">
        <v>1427</v>
      </c>
      <c r="C386" t="s">
        <v>2627</v>
      </c>
      <c r="D386" s="3">
        <f t="shared" si="34"/>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3288</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3288</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2653</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hidden="1" x14ac:dyDescent="0.25">
      <c r="A387" s="5">
        <v>440</v>
      </c>
      <c r="B387" t="s">
        <v>1433</v>
      </c>
      <c r="C387" t="s">
        <v>1344</v>
      </c>
      <c r="D387" s="3">
        <f t="shared" ref="D387:D450" si="40">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2654</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hidden="1" x14ac:dyDescent="0.25">
      <c r="A388" s="5">
        <v>441</v>
      </c>
      <c r="B388" t="s">
        <v>1432</v>
      </c>
      <c r="C388" t="s">
        <v>1345</v>
      </c>
      <c r="D388" s="3">
        <f t="shared" si="40"/>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2654</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hidden="1" x14ac:dyDescent="0.25">
      <c r="A389" s="5">
        <v>442</v>
      </c>
      <c r="B389" t="s">
        <v>1431</v>
      </c>
      <c r="C389" t="s">
        <v>1346</v>
      </c>
      <c r="D389" s="3">
        <f t="shared" si="40"/>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2653</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1458</v>
      </c>
      <c r="C390" t="s">
        <v>1349</v>
      </c>
      <c r="D390" s="3">
        <f t="shared" si="40"/>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3266</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3266</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3266</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2653</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1430</v>
      </c>
      <c r="C391" t="s">
        <v>2628</v>
      </c>
      <c r="D391" s="3">
        <f t="shared" si="40"/>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3266</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3266</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3266</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2653</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1429</v>
      </c>
      <c r="C392" t="s">
        <v>1350</v>
      </c>
      <c r="D392" s="3">
        <f t="shared" si="40"/>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3266</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3266</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3266</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2653</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1428</v>
      </c>
      <c r="C393" t="s">
        <v>1351</v>
      </c>
      <c r="D393" s="3">
        <f t="shared" si="40"/>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3266</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3266</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3266</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2653</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1459</v>
      </c>
      <c r="C394" t="s">
        <v>2764</v>
      </c>
      <c r="D394" s="3">
        <f t="shared" si="40"/>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3266</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3266</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3266</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2653</v>
      </c>
      <c r="BA394" s="78"/>
      <c r="BB394" s="78"/>
      <c r="BC394" s="78"/>
      <c r="BD394" s="78" t="s">
        <v>3832</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1456</v>
      </c>
      <c r="C395" t="s">
        <v>2629</v>
      </c>
      <c r="D395" s="3">
        <f t="shared" si="40"/>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3266</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3266</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3266</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2653</v>
      </c>
      <c r="BA395" s="78"/>
      <c r="BB395" s="78"/>
      <c r="BC395" s="78"/>
      <c r="BD395" s="78" t="s">
        <v>3832</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1457</v>
      </c>
      <c r="C396" t="s">
        <v>1352</v>
      </c>
      <c r="D396" s="3">
        <f t="shared" si="40"/>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3266</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3266</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3266</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2653</v>
      </c>
      <c r="BA396" s="78"/>
      <c r="BB396" s="78"/>
      <c r="BC396" s="78"/>
      <c r="BD396" s="78" t="s">
        <v>3832</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1455</v>
      </c>
      <c r="C397" t="s">
        <v>1353</v>
      </c>
      <c r="D397" s="3">
        <f t="shared" si="40"/>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3266</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3266</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3266</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2653</v>
      </c>
      <c r="BA397" s="78"/>
      <c r="BB397" s="78"/>
      <c r="BC397" s="78"/>
      <c r="BD397" s="78" t="s">
        <v>3832</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hidden="1" x14ac:dyDescent="0.25">
      <c r="A398" s="5">
        <v>452</v>
      </c>
      <c r="B398" t="s">
        <v>1496</v>
      </c>
      <c r="C398" t="s">
        <v>1495</v>
      </c>
      <c r="D398" s="3">
        <f t="shared" si="40"/>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3285</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2653</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hidden="1" x14ac:dyDescent="0.25">
      <c r="A399" s="5">
        <v>453</v>
      </c>
      <c r="B399" t="s">
        <v>1497</v>
      </c>
      <c r="C399" t="s">
        <v>2630</v>
      </c>
      <c r="D399" s="3">
        <f t="shared" si="40"/>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3285</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2653</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hidden="1" x14ac:dyDescent="0.25">
      <c r="A400" s="5">
        <v>454</v>
      </c>
      <c r="B400" t="s">
        <v>1498</v>
      </c>
      <c r="C400" t="s">
        <v>2631</v>
      </c>
      <c r="D400" s="3">
        <f t="shared" si="40"/>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3285</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2653</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hidden="1" x14ac:dyDescent="0.25">
      <c r="A401" s="5">
        <v>455</v>
      </c>
      <c r="B401" t="s">
        <v>1499</v>
      </c>
      <c r="C401" t="s">
        <v>2632</v>
      </c>
      <c r="D401" s="3">
        <f t="shared" si="40"/>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3285</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2653</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hidden="1" x14ac:dyDescent="0.25">
      <c r="A402" s="5">
        <v>456</v>
      </c>
      <c r="B402" t="s">
        <v>1501</v>
      </c>
      <c r="C402" t="s">
        <v>1500</v>
      </c>
      <c r="D402" s="3">
        <f t="shared" si="40"/>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3285</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2653</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hidden="1" x14ac:dyDescent="0.25">
      <c r="A403" s="5">
        <v>457</v>
      </c>
      <c r="B403" t="s">
        <v>1502</v>
      </c>
      <c r="C403" t="s">
        <v>2633</v>
      </c>
      <c r="D403" s="3">
        <f t="shared" si="40"/>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3285</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2653</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hidden="1" x14ac:dyDescent="0.25">
      <c r="A404" s="5">
        <v>458</v>
      </c>
      <c r="B404" t="s">
        <v>1503</v>
      </c>
      <c r="C404" t="s">
        <v>1503</v>
      </c>
      <c r="D404" s="3">
        <f t="shared" si="40"/>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2653</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hidden="1" x14ac:dyDescent="0.25">
      <c r="A405" s="5">
        <v>459</v>
      </c>
      <c r="B405" t="s">
        <v>1504</v>
      </c>
      <c r="C405" t="s">
        <v>1504</v>
      </c>
      <c r="D405" s="3">
        <f t="shared" si="40"/>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2653</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hidden="1" x14ac:dyDescent="0.25">
      <c r="A406" s="5">
        <v>465</v>
      </c>
      <c r="B406" t="s">
        <v>1595</v>
      </c>
      <c r="C406" t="s">
        <v>1596</v>
      </c>
      <c r="D406" s="3">
        <f t="shared" si="40"/>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2653</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hidden="1" x14ac:dyDescent="0.25">
      <c r="A407" s="5">
        <v>466</v>
      </c>
      <c r="B407" t="s">
        <v>1605</v>
      </c>
      <c r="C407" t="s">
        <v>2634</v>
      </c>
      <c r="D407" s="3">
        <f t="shared" si="40"/>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2653</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hidden="1" x14ac:dyDescent="0.25">
      <c r="A408" s="5">
        <v>467</v>
      </c>
      <c r="B408" t="s">
        <v>1604</v>
      </c>
      <c r="C408" t="s">
        <v>1597</v>
      </c>
      <c r="D408" s="3">
        <f t="shared" si="40"/>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2653</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hidden="1" x14ac:dyDescent="0.25">
      <c r="A409" s="5">
        <v>468</v>
      </c>
      <c r="B409" t="s">
        <v>1603</v>
      </c>
      <c r="C409" t="s">
        <v>1598</v>
      </c>
      <c r="D409" s="3">
        <f t="shared" si="40"/>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3288</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3288</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2653</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hidden="1" x14ac:dyDescent="0.25">
      <c r="A410" s="5">
        <v>469</v>
      </c>
      <c r="B410" t="s">
        <v>1602</v>
      </c>
      <c r="C410" t="s">
        <v>1599</v>
      </c>
      <c r="D410" s="3">
        <f t="shared" si="40"/>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3288</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3288</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2653</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hidden="1" x14ac:dyDescent="0.25">
      <c r="A411" s="5">
        <v>470</v>
      </c>
      <c r="B411" t="s">
        <v>1601</v>
      </c>
      <c r="C411" t="s">
        <v>1600</v>
      </c>
      <c r="D411" s="3">
        <f t="shared" si="40"/>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3288</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3288</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3288</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2653</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hidden="1" x14ac:dyDescent="0.25">
      <c r="A412" s="5">
        <v>471</v>
      </c>
      <c r="B412" t="s">
        <v>1659</v>
      </c>
      <c r="C412" t="s">
        <v>1658</v>
      </c>
      <c r="D412" s="3">
        <f t="shared" si="40"/>
        <v>471</v>
      </c>
      <c r="G412" s="3" t="s">
        <v>1473</v>
      </c>
      <c r="I412" t="s">
        <v>91</v>
      </c>
      <c r="J412" t="s">
        <v>91</v>
      </c>
      <c r="K412">
        <v>424</v>
      </c>
      <c r="L412">
        <v>424</v>
      </c>
      <c r="M412">
        <v>424</v>
      </c>
      <c r="O412" s="61" t="s">
        <v>1643</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3285</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2653</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hidden="1" x14ac:dyDescent="0.25">
      <c r="A413" s="5">
        <v>472</v>
      </c>
      <c r="B413" t="s">
        <v>1660</v>
      </c>
      <c r="C413" t="s">
        <v>1644</v>
      </c>
      <c r="D413" s="3">
        <f t="shared" si="40"/>
        <v>472</v>
      </c>
      <c r="G413" s="3" t="s">
        <v>1473</v>
      </c>
      <c r="I413" t="s">
        <v>91</v>
      </c>
      <c r="J413" t="s">
        <v>91</v>
      </c>
      <c r="K413">
        <v>424</v>
      </c>
      <c r="L413">
        <v>424</v>
      </c>
      <c r="M413">
        <v>424</v>
      </c>
      <c r="O413" s="61" t="s">
        <v>1643</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3285</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2653</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hidden="1" x14ac:dyDescent="0.25">
      <c r="A414" s="5">
        <v>473</v>
      </c>
      <c r="B414" t="s">
        <v>1661</v>
      </c>
      <c r="C414" t="s">
        <v>2755</v>
      </c>
      <c r="D414" s="3">
        <f t="shared" si="40"/>
        <v>473</v>
      </c>
      <c r="G414" s="3" t="s">
        <v>1473</v>
      </c>
      <c r="I414" t="s">
        <v>91</v>
      </c>
      <c r="J414" t="s">
        <v>91</v>
      </c>
      <c r="K414">
        <v>424</v>
      </c>
      <c r="L414">
        <v>424</v>
      </c>
      <c r="M414">
        <v>424</v>
      </c>
      <c r="O414" s="61" t="s">
        <v>1643</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3285</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2653</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hidden="1" x14ac:dyDescent="0.25">
      <c r="A415" s="5">
        <v>474</v>
      </c>
      <c r="B415" t="s">
        <v>1662</v>
      </c>
      <c r="C415" t="s">
        <v>2754</v>
      </c>
      <c r="D415" s="3">
        <f t="shared" si="40"/>
        <v>474</v>
      </c>
      <c r="G415" s="3" t="s">
        <v>1473</v>
      </c>
      <c r="I415" t="s">
        <v>91</v>
      </c>
      <c r="J415" t="s">
        <v>91</v>
      </c>
      <c r="K415">
        <v>425</v>
      </c>
      <c r="L415">
        <v>425</v>
      </c>
      <c r="M415">
        <v>425</v>
      </c>
      <c r="O415" s="61" t="s">
        <v>1642</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3285</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2653</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hidden="1" x14ac:dyDescent="0.25">
      <c r="A416" s="5">
        <v>475</v>
      </c>
      <c r="B416" t="s">
        <v>1663</v>
      </c>
      <c r="C416" t="s">
        <v>1646</v>
      </c>
      <c r="D416" s="3">
        <f t="shared" si="40"/>
        <v>475</v>
      </c>
      <c r="G416" s="3" t="s">
        <v>1473</v>
      </c>
      <c r="I416" t="s">
        <v>91</v>
      </c>
      <c r="J416" t="s">
        <v>91</v>
      </c>
      <c r="K416">
        <v>425</v>
      </c>
      <c r="L416">
        <v>425</v>
      </c>
      <c r="M416">
        <v>425</v>
      </c>
      <c r="O416" s="61" t="s">
        <v>1642</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3285</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2653</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hidden="1" x14ac:dyDescent="0.25">
      <c r="A417" s="5">
        <v>476</v>
      </c>
      <c r="B417" t="s">
        <v>1664</v>
      </c>
      <c r="C417" t="s">
        <v>1647</v>
      </c>
      <c r="D417" s="3">
        <f t="shared" si="40"/>
        <v>476</v>
      </c>
      <c r="G417" s="3" t="s">
        <v>1473</v>
      </c>
      <c r="I417" t="s">
        <v>91</v>
      </c>
      <c r="J417" t="s">
        <v>91</v>
      </c>
      <c r="K417">
        <v>425</v>
      </c>
      <c r="L417">
        <v>425</v>
      </c>
      <c r="M417">
        <v>425</v>
      </c>
      <c r="O417" s="61" t="s">
        <v>1642</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3285</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2653</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hidden="1" x14ac:dyDescent="0.25">
      <c r="A418" s="5">
        <v>478</v>
      </c>
      <c r="B418" t="s">
        <v>1652</v>
      </c>
      <c r="C418" t="s">
        <v>1645</v>
      </c>
      <c r="D418" s="3">
        <f t="shared" si="40"/>
        <v>478</v>
      </c>
      <c r="G418" s="3" t="s">
        <v>1475</v>
      </c>
      <c r="H418" s="86">
        <v>3</v>
      </c>
      <c r="I418" t="s">
        <v>1462</v>
      </c>
      <c r="J418" t="s">
        <v>91</v>
      </c>
      <c r="K418">
        <v>424</v>
      </c>
      <c r="L418">
        <v>424</v>
      </c>
      <c r="M418">
        <v>424</v>
      </c>
      <c r="O418" s="61" t="s">
        <v>1643</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1645</v>
      </c>
      <c r="X418" s="3" t="s">
        <v>1652</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2653</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hidden="1" x14ac:dyDescent="0.25">
      <c r="A419" s="5">
        <v>479</v>
      </c>
      <c r="B419" t="s">
        <v>1653</v>
      </c>
      <c r="C419" t="s">
        <v>1648</v>
      </c>
      <c r="D419" s="3">
        <f t="shared" si="40"/>
        <v>479</v>
      </c>
      <c r="G419" s="3" t="s">
        <v>1475</v>
      </c>
      <c r="H419" s="86">
        <v>3</v>
      </c>
      <c r="I419" t="s">
        <v>1462</v>
      </c>
      <c r="J419" t="s">
        <v>91</v>
      </c>
      <c r="K419">
        <v>425</v>
      </c>
      <c r="L419">
        <v>425</v>
      </c>
      <c r="M419">
        <v>425</v>
      </c>
      <c r="O419" s="61" t="s">
        <v>1642</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1648</v>
      </c>
      <c r="X419" s="3" t="s">
        <v>1653</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2653</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hidden="1" x14ac:dyDescent="0.25">
      <c r="A420" s="5">
        <v>480</v>
      </c>
      <c r="B420" t="s">
        <v>1665</v>
      </c>
      <c r="C420" t="s">
        <v>1649</v>
      </c>
      <c r="D420" s="3">
        <f t="shared" si="40"/>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3288</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2653</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hidden="1" x14ac:dyDescent="0.25">
      <c r="A421" s="5">
        <v>481</v>
      </c>
      <c r="B421" t="s">
        <v>1666</v>
      </c>
      <c r="C421" t="s">
        <v>1650</v>
      </c>
      <c r="D421" s="3">
        <f t="shared" si="40"/>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3288</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2653</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hidden="1" x14ac:dyDescent="0.25">
      <c r="A422" s="5">
        <v>482</v>
      </c>
      <c r="B422" t="s">
        <v>1667</v>
      </c>
      <c r="C422" t="s">
        <v>1651</v>
      </c>
      <c r="D422" s="3">
        <f t="shared" si="40"/>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3288</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2770</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2653</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hidden="1" x14ac:dyDescent="0.25">
      <c r="A423" s="5">
        <v>483</v>
      </c>
      <c r="B423" t="s">
        <v>1723</v>
      </c>
      <c r="C423" t="s">
        <v>1723</v>
      </c>
      <c r="D423" s="3">
        <f t="shared" si="40"/>
        <v>483</v>
      </c>
      <c r="E423" s="55" t="s">
        <v>1786</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1795</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2653</v>
      </c>
      <c r="BA423" s="78"/>
      <c r="BB423" s="78"/>
      <c r="BC423" s="78"/>
      <c r="BD423" s="78"/>
      <c r="BE423" s="21" t="str">
        <f t="shared" si="41"/>
        <v/>
      </c>
      <c r="BF423" s="21" t="str">
        <f t="shared" si="42"/>
        <v/>
      </c>
      <c r="BG423" s="21" t="str">
        <f t="shared" si="43"/>
        <v/>
      </c>
      <c r="BH423" s="21" t="str">
        <f t="shared" si="44"/>
        <v/>
      </c>
      <c r="BI423" s="21" t="str">
        <f t="shared" si="45"/>
        <v/>
      </c>
    </row>
    <row r="424" spans="1:61" hidden="1" x14ac:dyDescent="0.25">
      <c r="A424" s="5">
        <v>484</v>
      </c>
      <c r="B424" t="s">
        <v>1724</v>
      </c>
      <c r="C424" t="s">
        <v>1724</v>
      </c>
      <c r="D424" s="3">
        <f t="shared" si="40"/>
        <v>484</v>
      </c>
      <c r="E424" s="55" t="s">
        <v>1786</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1795</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2653</v>
      </c>
      <c r="BA424" s="78"/>
      <c r="BB424" s="78"/>
      <c r="BC424" s="78"/>
      <c r="BD424" s="78"/>
      <c r="BE424" s="21" t="str">
        <f t="shared" si="41"/>
        <v/>
      </c>
      <c r="BF424" s="21" t="str">
        <f t="shared" si="42"/>
        <v/>
      </c>
      <c r="BG424" s="21" t="str">
        <f t="shared" si="43"/>
        <v/>
      </c>
      <c r="BH424" s="21" t="str">
        <f t="shared" si="44"/>
        <v/>
      </c>
      <c r="BI424" s="21" t="str">
        <f t="shared" si="45"/>
        <v/>
      </c>
    </row>
    <row r="425" spans="1:61" hidden="1" x14ac:dyDescent="0.25">
      <c r="A425" s="5">
        <v>485</v>
      </c>
      <c r="B425" t="s">
        <v>1725</v>
      </c>
      <c r="C425" t="s">
        <v>1725</v>
      </c>
      <c r="D425" s="3">
        <f t="shared" si="40"/>
        <v>485</v>
      </c>
      <c r="E425" s="55" t="s">
        <v>1786</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1795</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2653</v>
      </c>
      <c r="BA425" s="78"/>
      <c r="BB425" s="78"/>
      <c r="BC425" s="78"/>
      <c r="BD425" s="78"/>
      <c r="BE425" s="21" t="str">
        <f t="shared" si="41"/>
        <v/>
      </c>
      <c r="BF425" s="21" t="str">
        <f t="shared" si="42"/>
        <v/>
      </c>
      <c r="BG425" s="21" t="str">
        <f t="shared" si="43"/>
        <v/>
      </c>
      <c r="BH425" s="21" t="str">
        <f t="shared" si="44"/>
        <v/>
      </c>
      <c r="BI425" s="21" t="str">
        <f t="shared" si="45"/>
        <v/>
      </c>
    </row>
    <row r="426" spans="1:61" hidden="1" x14ac:dyDescent="0.25">
      <c r="A426" s="5">
        <v>486</v>
      </c>
      <c r="B426" t="s">
        <v>1726</v>
      </c>
      <c r="C426" t="s">
        <v>1726</v>
      </c>
      <c r="D426" s="3">
        <f t="shared" si="40"/>
        <v>486</v>
      </c>
      <c r="E426" s="55" t="s">
        <v>1786</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1795</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2653</v>
      </c>
      <c r="BA426" s="78"/>
      <c r="BB426" s="78"/>
      <c r="BC426" s="78"/>
      <c r="BD426" s="78"/>
      <c r="BE426" s="21" t="str">
        <f t="shared" si="41"/>
        <v/>
      </c>
      <c r="BF426" s="21" t="str">
        <f t="shared" si="42"/>
        <v/>
      </c>
      <c r="BG426" s="21" t="str">
        <f t="shared" si="43"/>
        <v/>
      </c>
      <c r="BH426" s="21" t="str">
        <f t="shared" si="44"/>
        <v/>
      </c>
      <c r="BI426" s="21" t="str">
        <f t="shared" si="45"/>
        <v/>
      </c>
    </row>
    <row r="427" spans="1:61" hidden="1" x14ac:dyDescent="0.25">
      <c r="A427" s="5">
        <v>487</v>
      </c>
      <c r="B427" t="s">
        <v>1727</v>
      </c>
      <c r="C427" t="s">
        <v>2635</v>
      </c>
      <c r="D427" s="3">
        <f t="shared" si="40"/>
        <v>487</v>
      </c>
      <c r="G427" s="8" t="s">
        <v>1476</v>
      </c>
      <c r="I427" t="s">
        <v>91</v>
      </c>
      <c r="J427" t="s">
        <v>91</v>
      </c>
      <c r="K427">
        <v>418</v>
      </c>
      <c r="L427">
        <v>419</v>
      </c>
      <c r="M427">
        <v>421</v>
      </c>
      <c r="O427" s="61" t="s">
        <v>1684</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1684</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2653</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hidden="1" x14ac:dyDescent="0.25">
      <c r="A428" s="5">
        <v>488</v>
      </c>
      <c r="B428" t="s">
        <v>1728</v>
      </c>
      <c r="C428" t="s">
        <v>1729</v>
      </c>
      <c r="D428" s="3">
        <f t="shared" si="40"/>
        <v>488</v>
      </c>
      <c r="G428" s="8" t="s">
        <v>1476</v>
      </c>
      <c r="I428" t="s">
        <v>91</v>
      </c>
      <c r="J428" t="s">
        <v>91</v>
      </c>
      <c r="K428">
        <v>418</v>
      </c>
      <c r="L428">
        <v>419</v>
      </c>
      <c r="M428">
        <v>421</v>
      </c>
      <c r="O428" s="61" t="s">
        <v>1684</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1684</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2653</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hidden="1" x14ac:dyDescent="0.25">
      <c r="A429" s="5">
        <v>489</v>
      </c>
      <c r="B429" t="s">
        <v>1730</v>
      </c>
      <c r="C429" t="s">
        <v>1731</v>
      </c>
      <c r="D429" s="3">
        <f t="shared" si="40"/>
        <v>489</v>
      </c>
      <c r="G429" s="8" t="s">
        <v>1476</v>
      </c>
      <c r="I429" t="s">
        <v>91</v>
      </c>
      <c r="J429" t="s">
        <v>91</v>
      </c>
      <c r="K429">
        <v>418</v>
      </c>
      <c r="L429">
        <v>419</v>
      </c>
      <c r="M429">
        <v>421</v>
      </c>
      <c r="O429" s="61" t="s">
        <v>1684</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1684</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2653</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hidden="1" x14ac:dyDescent="0.25">
      <c r="A430" s="5">
        <v>490</v>
      </c>
      <c r="B430" t="s">
        <v>1732</v>
      </c>
      <c r="C430" t="s">
        <v>2636</v>
      </c>
      <c r="D430" s="3">
        <f t="shared" si="40"/>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3288</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3288</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3288</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2653</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hidden="1" x14ac:dyDescent="0.25">
      <c r="A431" s="5">
        <v>491</v>
      </c>
      <c r="B431" t="s">
        <v>1733</v>
      </c>
      <c r="C431" t="s">
        <v>2637</v>
      </c>
      <c r="D431" s="3">
        <f t="shared" si="40"/>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3288</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3288</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3288</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2653</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1734</v>
      </c>
      <c r="C432" t="s">
        <v>2638</v>
      </c>
      <c r="D432" s="3">
        <f t="shared" si="40"/>
        <v>492</v>
      </c>
      <c r="G432" s="8" t="s">
        <v>1477</v>
      </c>
      <c r="I432" t="s">
        <v>91</v>
      </c>
      <c r="J432" t="s">
        <v>91</v>
      </c>
      <c r="K432">
        <v>434</v>
      </c>
      <c r="L432">
        <v>434</v>
      </c>
      <c r="M432">
        <v>434</v>
      </c>
      <c r="O432" s="61" t="s">
        <v>1703</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3266</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3266</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3266</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2653</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1735</v>
      </c>
      <c r="C433" t="s">
        <v>2639</v>
      </c>
      <c r="D433" s="3">
        <f t="shared" si="40"/>
        <v>493</v>
      </c>
      <c r="G433" s="8" t="s">
        <v>1477</v>
      </c>
      <c r="I433" t="s">
        <v>92</v>
      </c>
      <c r="J433" t="s">
        <v>91</v>
      </c>
      <c r="K433">
        <v>434</v>
      </c>
      <c r="L433">
        <v>434</v>
      </c>
      <c r="M433">
        <v>434</v>
      </c>
      <c r="O433" s="61" t="s">
        <v>1703</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3266</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3266</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3266</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2653</v>
      </c>
      <c r="BA433" s="78"/>
      <c r="BB433" s="78"/>
      <c r="BC433" s="78"/>
      <c r="BD433" s="78" t="s">
        <v>3832</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1736</v>
      </c>
      <c r="C434" t="s">
        <v>2640</v>
      </c>
      <c r="D434" s="3">
        <f t="shared" si="40"/>
        <v>494</v>
      </c>
      <c r="G434" s="8" t="s">
        <v>1477</v>
      </c>
      <c r="I434" t="s">
        <v>91</v>
      </c>
      <c r="J434" t="s">
        <v>91</v>
      </c>
      <c r="K434">
        <v>434</v>
      </c>
      <c r="L434">
        <v>434</v>
      </c>
      <c r="M434">
        <v>434</v>
      </c>
      <c r="O434" s="61" t="s">
        <v>1703</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3266</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3266</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3266</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2653</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1737</v>
      </c>
      <c r="C435" t="s">
        <v>2641</v>
      </c>
      <c r="D435" s="3">
        <f t="shared" si="40"/>
        <v>495</v>
      </c>
      <c r="G435" s="8" t="s">
        <v>1477</v>
      </c>
      <c r="I435" t="s">
        <v>92</v>
      </c>
      <c r="J435" t="s">
        <v>91</v>
      </c>
      <c r="K435">
        <v>434</v>
      </c>
      <c r="L435">
        <v>434</v>
      </c>
      <c r="M435">
        <v>434</v>
      </c>
      <c r="O435" s="61" t="s">
        <v>1703</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3266</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3266</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3266</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2653</v>
      </c>
      <c r="BA435" s="78"/>
      <c r="BB435" s="78"/>
      <c r="BC435" s="78"/>
      <c r="BD435" s="78" t="s">
        <v>3832</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1738</v>
      </c>
      <c r="C436" t="s">
        <v>1739</v>
      </c>
      <c r="D436" s="3">
        <f t="shared" si="40"/>
        <v>496</v>
      </c>
      <c r="G436" s="8" t="s">
        <v>1477</v>
      </c>
      <c r="I436" t="s">
        <v>91</v>
      </c>
      <c r="J436" t="s">
        <v>91</v>
      </c>
      <c r="K436">
        <v>434</v>
      </c>
      <c r="L436">
        <v>434</v>
      </c>
      <c r="M436">
        <v>434</v>
      </c>
      <c r="O436" s="61" t="s">
        <v>1703</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3266</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3266</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3266</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2653</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1740</v>
      </c>
      <c r="C437" t="s">
        <v>1741</v>
      </c>
      <c r="D437" s="3">
        <f t="shared" si="40"/>
        <v>497</v>
      </c>
      <c r="G437" s="8" t="s">
        <v>1477</v>
      </c>
      <c r="I437" t="s">
        <v>92</v>
      </c>
      <c r="J437" t="s">
        <v>91</v>
      </c>
      <c r="K437">
        <v>434</v>
      </c>
      <c r="L437">
        <v>434</v>
      </c>
      <c r="M437">
        <v>434</v>
      </c>
      <c r="O437" s="61" t="s">
        <v>1703</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3266</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3266</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3266</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2653</v>
      </c>
      <c r="BA437" s="78"/>
      <c r="BB437" s="78"/>
      <c r="BC437" s="78"/>
      <c r="BD437" s="78" t="s">
        <v>3832</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1742</v>
      </c>
      <c r="C438" t="s">
        <v>2642</v>
      </c>
      <c r="D438" s="3">
        <f t="shared" si="40"/>
        <v>498</v>
      </c>
      <c r="G438" s="8" t="s">
        <v>1477</v>
      </c>
      <c r="I438" t="s">
        <v>91</v>
      </c>
      <c r="J438" t="s">
        <v>91</v>
      </c>
      <c r="K438">
        <v>434</v>
      </c>
      <c r="L438">
        <v>434</v>
      </c>
      <c r="M438">
        <v>434</v>
      </c>
      <c r="O438" s="61" t="s">
        <v>1703</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3266</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3266</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3266</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2653</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1743</v>
      </c>
      <c r="C439" t="s">
        <v>2643</v>
      </c>
      <c r="D439" s="3">
        <f t="shared" si="40"/>
        <v>499</v>
      </c>
      <c r="G439" s="8" t="s">
        <v>1477</v>
      </c>
      <c r="I439" t="s">
        <v>92</v>
      </c>
      <c r="J439" t="s">
        <v>91</v>
      </c>
      <c r="K439">
        <v>434</v>
      </c>
      <c r="L439">
        <v>434</v>
      </c>
      <c r="M439">
        <v>434</v>
      </c>
      <c r="O439" s="61" t="s">
        <v>1703</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3266</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3266</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3266</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2653</v>
      </c>
      <c r="BA439" s="78"/>
      <c r="BB439" s="78"/>
      <c r="BC439" s="78"/>
      <c r="BD439" s="78" t="s">
        <v>3832</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hidden="1" x14ac:dyDescent="0.25">
      <c r="A440" s="5">
        <v>500</v>
      </c>
      <c r="B440" t="s">
        <v>1744</v>
      </c>
      <c r="C440" t="s">
        <v>2644</v>
      </c>
      <c r="D440" s="3">
        <f t="shared" si="40"/>
        <v>500</v>
      </c>
      <c r="E440" s="40" t="s">
        <v>1787</v>
      </c>
      <c r="F440" s="30" t="s">
        <v>1460</v>
      </c>
      <c r="G440" s="8"/>
      <c r="O440" s="61" t="s">
        <v>1684</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2653</v>
      </c>
      <c r="BA440" s="78"/>
      <c r="BB440" s="78"/>
      <c r="BC440" s="78"/>
      <c r="BD440" s="78"/>
      <c r="BE440" s="21" t="str">
        <f t="shared" si="41"/>
        <v/>
      </c>
      <c r="BF440" s="21" t="str">
        <f t="shared" si="42"/>
        <v/>
      </c>
      <c r="BG440" s="21" t="str">
        <f t="shared" si="43"/>
        <v/>
      </c>
      <c r="BH440" s="21" t="str">
        <f t="shared" si="44"/>
        <v/>
      </c>
      <c r="BI440" s="21" t="str">
        <f t="shared" si="45"/>
        <v/>
      </c>
    </row>
    <row r="441" spans="1:61" hidden="1" x14ac:dyDescent="0.25">
      <c r="A441" s="5">
        <v>501</v>
      </c>
      <c r="B441" t="s">
        <v>1746</v>
      </c>
      <c r="C441" t="s">
        <v>1745</v>
      </c>
      <c r="D441" s="3">
        <f t="shared" si="40"/>
        <v>501</v>
      </c>
      <c r="G441" s="8" t="s">
        <v>1678</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3217</v>
      </c>
      <c r="AC441" s="41" t="s">
        <v>3244</v>
      </c>
      <c r="AD441" s="41" t="s">
        <v>3245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3217</v>
      </c>
      <c r="AI441" s="41" t="s">
        <v>3246</v>
      </c>
      <c r="AJ441" s="41" t="s">
        <v>3247</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3223</v>
      </c>
      <c r="AS441" s="41" t="s">
        <v>3248</v>
      </c>
      <c r="AT441" s="41" t="s">
        <v>3249</v>
      </c>
      <c r="AU441" s="3" t="str">
        <f>IF(AND(G441&lt;&gt;"LIBSETS_SETTYPE_BATTLEGROUND",G441&lt;&gt;"LIBSETS_SETTYPE_SPECIAL"),IF(AV441&lt;&gt;"",VLOOKUP(AV441,'ESO zone constants'!$D$5:$H$4955,5,FALSE),""),"")</f>
        <v/>
      </c>
      <c r="AV441" s="38"/>
      <c r="AX441" s="41"/>
      <c r="AY441" s="41"/>
      <c r="AZ441" s="78" t="s">
        <v>2653</v>
      </c>
      <c r="BA441" s="36" t="s">
        <v>3184</v>
      </c>
      <c r="BB441" s="36" t="s">
        <v>3184</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hidden="1" customHeight="1" x14ac:dyDescent="0.25">
      <c r="A442" s="5">
        <v>502</v>
      </c>
      <c r="B442" t="s">
        <v>1747</v>
      </c>
      <c r="C442" t="s">
        <v>1747</v>
      </c>
      <c r="D442" s="3">
        <f t="shared" si="40"/>
        <v>502</v>
      </c>
      <c r="E442" t="s">
        <v>1788</v>
      </c>
      <c r="F442" s="30" t="s">
        <v>1460</v>
      </c>
      <c r="G442" s="8"/>
      <c r="O442" s="61" t="s">
        <v>1684</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2653</v>
      </c>
      <c r="BA442" s="78"/>
      <c r="BB442" s="78"/>
      <c r="BC442" s="78"/>
      <c r="BD442" s="78"/>
      <c r="BE442" s="21" t="str">
        <f t="shared" si="41"/>
        <v/>
      </c>
      <c r="BF442" s="21" t="str">
        <f t="shared" si="42"/>
        <v/>
      </c>
      <c r="BG442" s="21" t="str">
        <f t="shared" si="43"/>
        <v/>
      </c>
      <c r="BH442" s="21" t="str">
        <f t="shared" si="44"/>
        <v/>
      </c>
      <c r="BI442" s="21" t="str">
        <f t="shared" si="45"/>
        <v/>
      </c>
    </row>
    <row r="443" spans="1:61" hidden="1" x14ac:dyDescent="0.25">
      <c r="A443" s="5">
        <v>503</v>
      </c>
      <c r="B443" t="s">
        <v>1748</v>
      </c>
      <c r="C443" t="s">
        <v>1749</v>
      </c>
      <c r="D443" s="3">
        <f t="shared" si="40"/>
        <v>503</v>
      </c>
      <c r="G443" s="8" t="s">
        <v>1678</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3285</v>
      </c>
      <c r="AN443" s="41" t="s">
        <v>1542</v>
      </c>
      <c r="AO443" s="41" t="s">
        <v>1635</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2653</v>
      </c>
      <c r="BA443" s="36" t="s">
        <v>3181</v>
      </c>
      <c r="BB443" s="36" t="s">
        <v>3181</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hidden="1" customHeight="1" x14ac:dyDescent="0.25">
      <c r="A444" s="5">
        <v>504</v>
      </c>
      <c r="B444" t="s">
        <v>1750</v>
      </c>
      <c r="C444" t="s">
        <v>2645</v>
      </c>
      <c r="D444" s="3">
        <f t="shared" si="40"/>
        <v>504</v>
      </c>
      <c r="E444" t="s">
        <v>1789</v>
      </c>
      <c r="F444" s="30" t="s">
        <v>1460</v>
      </c>
      <c r="G444" s="8"/>
      <c r="O444" s="61" t="s">
        <v>1684</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2653</v>
      </c>
      <c r="BA444" s="78"/>
      <c r="BB444" s="78"/>
      <c r="BC444" s="78"/>
      <c r="BD444" s="78"/>
      <c r="BE444" s="21" t="str">
        <f t="shared" si="41"/>
        <v/>
      </c>
      <c r="BF444" s="21" t="str">
        <f t="shared" si="42"/>
        <v/>
      </c>
      <c r="BG444" s="21" t="str">
        <f t="shared" si="43"/>
        <v/>
      </c>
      <c r="BH444" s="21" t="str">
        <f t="shared" si="44"/>
        <v/>
      </c>
      <c r="BI444" s="21" t="str">
        <f t="shared" si="45"/>
        <v/>
      </c>
    </row>
    <row r="445" spans="1:61" hidden="1" x14ac:dyDescent="0.25">
      <c r="A445" s="5">
        <v>505</v>
      </c>
      <c r="B445" t="s">
        <v>1752</v>
      </c>
      <c r="C445" t="s">
        <v>1751</v>
      </c>
      <c r="D445" s="3">
        <f t="shared" si="40"/>
        <v>505</v>
      </c>
      <c r="G445" s="8" t="s">
        <v>1678</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3285</v>
      </c>
      <c r="AI445" s="41" t="s">
        <v>1362</v>
      </c>
      <c r="AJ445" s="41" t="s">
        <v>1628</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2653</v>
      </c>
      <c r="BA445" s="36" t="s">
        <v>3185</v>
      </c>
      <c r="BB445" s="36" t="s">
        <v>3185</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hidden="1" customHeight="1" x14ac:dyDescent="0.25">
      <c r="A446" s="5">
        <v>506</v>
      </c>
      <c r="B446" t="s">
        <v>1753</v>
      </c>
      <c r="C446" t="s">
        <v>1754</v>
      </c>
      <c r="D446" s="3">
        <f t="shared" si="40"/>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3288</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3288</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3288</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2653</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hidden="1" customHeight="1" x14ac:dyDescent="0.25">
      <c r="A447" s="79">
        <v>509</v>
      </c>
      <c r="B447" s="80" t="s">
        <v>1755</v>
      </c>
      <c r="C447" t="s">
        <v>1755</v>
      </c>
      <c r="D447" s="3">
        <f t="shared" si="40"/>
        <v>509</v>
      </c>
      <c r="E447" s="55" t="s">
        <v>1786</v>
      </c>
      <c r="F447" s="30" t="s">
        <v>1460</v>
      </c>
      <c r="G447" s="8" t="s">
        <v>1478</v>
      </c>
      <c r="O447" s="61" t="s">
        <v>1684</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1795</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2653</v>
      </c>
      <c r="BA447" s="78"/>
      <c r="BB447" s="78"/>
      <c r="BC447" s="78"/>
      <c r="BD447" s="78"/>
      <c r="BE447" s="21" t="str">
        <f t="shared" si="41"/>
        <v/>
      </c>
      <c r="BF447" s="21" t="str">
        <f t="shared" si="42"/>
        <v/>
      </c>
      <c r="BG447" s="21" t="str">
        <f t="shared" si="43"/>
        <v/>
      </c>
      <c r="BH447" s="21" t="str">
        <f t="shared" si="44"/>
        <v/>
      </c>
      <c r="BI447" s="21" t="str">
        <f t="shared" si="45"/>
        <v/>
      </c>
    </row>
    <row r="448" spans="1:61" ht="15" hidden="1" customHeight="1" x14ac:dyDescent="0.25">
      <c r="A448" s="79">
        <v>510</v>
      </c>
      <c r="B448" s="80" t="s">
        <v>1756</v>
      </c>
      <c r="C448" t="s">
        <v>1756</v>
      </c>
      <c r="D448" s="3">
        <f t="shared" si="40"/>
        <v>510</v>
      </c>
      <c r="E448" s="55" t="s">
        <v>1786</v>
      </c>
      <c r="F448" s="30" t="s">
        <v>1460</v>
      </c>
      <c r="G448" s="8" t="s">
        <v>1478</v>
      </c>
      <c r="O448" s="61" t="s">
        <v>1684</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1795</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2653</v>
      </c>
      <c r="BA448" s="78"/>
      <c r="BB448" s="78"/>
      <c r="BC448" s="78"/>
      <c r="BD448" s="78"/>
      <c r="BE448" s="21" t="str">
        <f t="shared" si="41"/>
        <v/>
      </c>
      <c r="BF448" s="21" t="str">
        <f t="shared" si="42"/>
        <v/>
      </c>
      <c r="BG448" s="21" t="str">
        <f t="shared" si="43"/>
        <v/>
      </c>
      <c r="BH448" s="21" t="str">
        <f t="shared" si="44"/>
        <v/>
      </c>
      <c r="BI448" s="21" t="str">
        <f t="shared" si="45"/>
        <v/>
      </c>
    </row>
    <row r="449" spans="1:61" ht="15" hidden="1" customHeight="1" x14ac:dyDescent="0.25">
      <c r="A449" s="79">
        <v>511</v>
      </c>
      <c r="B449" s="80" t="s">
        <v>1757</v>
      </c>
      <c r="C449" t="s">
        <v>1757</v>
      </c>
      <c r="D449" s="3">
        <f t="shared" si="40"/>
        <v>511</v>
      </c>
      <c r="E449" s="55" t="s">
        <v>1786</v>
      </c>
      <c r="F449" s="30" t="s">
        <v>1460</v>
      </c>
      <c r="G449" s="8" t="s">
        <v>1478</v>
      </c>
      <c r="O449" s="61" t="s">
        <v>1684</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1795</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2653</v>
      </c>
      <c r="BA449" s="78"/>
      <c r="BB449" s="78"/>
      <c r="BC449" s="78"/>
      <c r="BD449" s="78"/>
      <c r="BE449" s="21" t="str">
        <f t="shared" si="41"/>
        <v/>
      </c>
      <c r="BF449" s="21" t="str">
        <f t="shared" si="42"/>
        <v/>
      </c>
      <c r="BG449" s="21" t="str">
        <f t="shared" si="43"/>
        <v/>
      </c>
      <c r="BH449" s="21" t="str">
        <f t="shared" si="44"/>
        <v/>
      </c>
      <c r="BI449" s="21" t="str">
        <f t="shared" si="45"/>
        <v/>
      </c>
    </row>
    <row r="450" spans="1:61" ht="15" hidden="1" customHeight="1" x14ac:dyDescent="0.25">
      <c r="A450" s="79">
        <v>512</v>
      </c>
      <c r="B450" s="80" t="s">
        <v>1758</v>
      </c>
      <c r="C450" t="s">
        <v>1758</v>
      </c>
      <c r="D450" s="3">
        <f t="shared" si="40"/>
        <v>512</v>
      </c>
      <c r="E450" s="55" t="s">
        <v>1786</v>
      </c>
      <c r="F450" s="30" t="s">
        <v>1460</v>
      </c>
      <c r="G450" s="8" t="s">
        <v>1478</v>
      </c>
      <c r="O450" s="61" t="s">
        <v>1684</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1795</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2653</v>
      </c>
      <c r="BA450" s="78"/>
      <c r="BB450" s="78"/>
      <c r="BC450" s="78"/>
      <c r="BD450" s="78"/>
      <c r="BE450" s="21" t="str">
        <f t="shared" si="41"/>
        <v/>
      </c>
      <c r="BF450" s="21" t="str">
        <f t="shared" si="42"/>
        <v/>
      </c>
      <c r="BG450" s="21" t="str">
        <f t="shared" si="43"/>
        <v/>
      </c>
      <c r="BH450" s="21" t="str">
        <f t="shared" si="44"/>
        <v/>
      </c>
      <c r="BI450" s="21" t="str">
        <f t="shared" si="45"/>
        <v/>
      </c>
    </row>
    <row r="451" spans="1:61" ht="15" hidden="1" customHeight="1" x14ac:dyDescent="0.25">
      <c r="A451" s="5">
        <v>513</v>
      </c>
      <c r="B451" t="s">
        <v>2152</v>
      </c>
      <c r="C451" t="s">
        <v>2753</v>
      </c>
      <c r="D451" s="3">
        <f t="shared" ref="D451:D514" si="46">A451</f>
        <v>513</v>
      </c>
      <c r="G451" s="3" t="s">
        <v>1473</v>
      </c>
      <c r="I451" t="s">
        <v>91</v>
      </c>
      <c r="J451" t="s">
        <v>91</v>
      </c>
      <c r="K451">
        <v>436</v>
      </c>
      <c r="L451">
        <v>436</v>
      </c>
      <c r="M451">
        <v>436</v>
      </c>
      <c r="O451" s="61" t="s">
        <v>1799</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3285</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2653</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hidden="1" customHeight="1" x14ac:dyDescent="0.25">
      <c r="A452" s="5">
        <v>514</v>
      </c>
      <c r="B452" t="s">
        <v>2153</v>
      </c>
      <c r="C452" t="s">
        <v>1800</v>
      </c>
      <c r="D452" s="3">
        <f t="shared" si="46"/>
        <v>514</v>
      </c>
      <c r="G452" s="3" t="s">
        <v>1473</v>
      </c>
      <c r="I452" t="s">
        <v>91</v>
      </c>
      <c r="J452" t="s">
        <v>91</v>
      </c>
      <c r="K452">
        <v>436</v>
      </c>
      <c r="L452">
        <v>436</v>
      </c>
      <c r="M452">
        <v>436</v>
      </c>
      <c r="O452" s="61" t="s">
        <v>1799</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3285</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2653</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hidden="1" customHeight="1" x14ac:dyDescent="0.25">
      <c r="A453" s="5">
        <v>515</v>
      </c>
      <c r="B453" t="s">
        <v>2154</v>
      </c>
      <c r="C453" t="s">
        <v>1801</v>
      </c>
      <c r="D453" s="3">
        <f t="shared" si="46"/>
        <v>515</v>
      </c>
      <c r="G453" s="3" t="s">
        <v>1473</v>
      </c>
      <c r="I453" t="s">
        <v>91</v>
      </c>
      <c r="J453" t="s">
        <v>91</v>
      </c>
      <c r="K453">
        <v>436</v>
      </c>
      <c r="L453">
        <v>436</v>
      </c>
      <c r="M453">
        <v>436</v>
      </c>
      <c r="O453" s="61" t="s">
        <v>1799</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3285</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2653</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hidden="1" customHeight="1" x14ac:dyDescent="0.25">
      <c r="A454" s="5">
        <v>516</v>
      </c>
      <c r="B454" t="s">
        <v>2155</v>
      </c>
      <c r="C454" t="s">
        <v>1803</v>
      </c>
      <c r="D454" s="3">
        <f t="shared" si="46"/>
        <v>516</v>
      </c>
      <c r="G454" s="3" t="s">
        <v>1473</v>
      </c>
      <c r="I454" t="s">
        <v>91</v>
      </c>
      <c r="J454" t="s">
        <v>91</v>
      </c>
      <c r="K454">
        <v>433</v>
      </c>
      <c r="L454">
        <v>433</v>
      </c>
      <c r="M454">
        <v>433</v>
      </c>
      <c r="O454" s="61" t="s">
        <v>1804</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3285</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2653</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hidden="1" customHeight="1" x14ac:dyDescent="0.25">
      <c r="A455" s="5">
        <v>517</v>
      </c>
      <c r="B455" t="s">
        <v>2156</v>
      </c>
      <c r="C455" t="s">
        <v>2752</v>
      </c>
      <c r="D455" s="3">
        <f t="shared" si="46"/>
        <v>517</v>
      </c>
      <c r="G455" s="3" t="s">
        <v>1473</v>
      </c>
      <c r="I455" t="s">
        <v>91</v>
      </c>
      <c r="J455" t="s">
        <v>91</v>
      </c>
      <c r="K455">
        <v>433</v>
      </c>
      <c r="L455">
        <v>433</v>
      </c>
      <c r="M455">
        <v>433</v>
      </c>
      <c r="O455" s="61" t="s">
        <v>1804</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3285</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2653</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hidden="1" x14ac:dyDescent="0.25">
      <c r="A456" s="5">
        <v>518</v>
      </c>
      <c r="B456" t="s">
        <v>2157</v>
      </c>
      <c r="C456" t="s">
        <v>2751</v>
      </c>
      <c r="D456" s="3">
        <f t="shared" si="46"/>
        <v>518</v>
      </c>
      <c r="G456" s="3" t="s">
        <v>1473</v>
      </c>
      <c r="I456" t="s">
        <v>91</v>
      </c>
      <c r="J456" t="s">
        <v>91</v>
      </c>
      <c r="K456">
        <v>433</v>
      </c>
      <c r="L456">
        <v>433</v>
      </c>
      <c r="M456">
        <v>433</v>
      </c>
      <c r="O456" s="61" t="s">
        <v>1804</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3285</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2653</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hidden="1" x14ac:dyDescent="0.25">
      <c r="A457" s="5">
        <v>519</v>
      </c>
      <c r="B457" t="s">
        <v>1759</v>
      </c>
      <c r="C457" t="s">
        <v>1760</v>
      </c>
      <c r="D457" s="3">
        <f t="shared" si="46"/>
        <v>519</v>
      </c>
      <c r="G457" s="8" t="s">
        <v>1678</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3269</v>
      </c>
      <c r="AC457" s="41" t="s">
        <v>3208</v>
      </c>
      <c r="AD457" s="41" t="s">
        <v>3207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3285</v>
      </c>
      <c r="AN457" s="41" t="s">
        <v>1545</v>
      </c>
      <c r="AO457" s="41" t="s">
        <v>1618</v>
      </c>
      <c r="AP457" s="3">
        <f>IF(AND(G457&lt;&gt;"LIBSETS_SETTYPE_BATTLEGROUND",G457&lt;&gt;"LIBSETS_SETTYPE_SPECIAL"),IF(AQ457&lt;&gt;"",VLOOKUP(AQ457,'ESO zone constants'!$D$5:$H$4955,5,FALSE),""),"")</f>
        <v>181</v>
      </c>
      <c r="AQ457" t="s">
        <v>125</v>
      </c>
      <c r="AR457" s="33" t="s">
        <v>1554</v>
      </c>
      <c r="AS457" s="41" t="s">
        <v>3867</v>
      </c>
      <c r="AT457" s="41" t="s">
        <v>3868</v>
      </c>
      <c r="AU457" s="3" t="str">
        <f>IF(AND(G457&lt;&gt;"LIBSETS_SETTYPE_BATTLEGROUND",G457&lt;&gt;"LIBSETS_SETTYPE_SPECIAL"),IF(AV457&lt;&gt;"",VLOOKUP(AV457,'ESO zone constants'!$D$5:$H$4955,5,FALSE),""),"")</f>
        <v/>
      </c>
      <c r="AX457" s="41"/>
      <c r="AY457" s="41"/>
      <c r="AZ457" s="78" t="s">
        <v>2653</v>
      </c>
      <c r="BA457" s="36" t="s">
        <v>3183</v>
      </c>
      <c r="BB457" s="36" t="s">
        <v>3183</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hidden="1" x14ac:dyDescent="0.25">
      <c r="A458" s="5">
        <v>520</v>
      </c>
      <c r="B458" t="s">
        <v>1761</v>
      </c>
      <c r="C458" t="s">
        <v>2646</v>
      </c>
      <c r="D458" s="3">
        <f t="shared" si="46"/>
        <v>520</v>
      </c>
      <c r="G458" s="8" t="s">
        <v>1678</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3269</v>
      </c>
      <c r="AN458" s="41" t="s">
        <v>3202</v>
      </c>
      <c r="AO458" s="41" t="s">
        <v>3203</v>
      </c>
      <c r="AP458" s="3">
        <f>IF(AND(G458&lt;&gt;"LIBSETS_SETTYPE_BATTLEGROUND",G458&lt;&gt;"LIBSETS_SETTYPE_SPECIAL"),IF(AQ458&lt;&gt;"",VLOOKUP(AQ458,'ESO zone constants'!$D$5:$H$4955,5,FALSE),""),"")</f>
        <v>535</v>
      </c>
      <c r="AQ458" t="s">
        <v>384</v>
      </c>
      <c r="AR458" s="33" t="s">
        <v>3269</v>
      </c>
      <c r="AS458" s="41" t="s">
        <v>3230</v>
      </c>
      <c r="AT458" s="41" t="s">
        <v>3207</v>
      </c>
      <c r="AU458" s="3" t="str">
        <f>IF(AND(G458&lt;&gt;"LIBSETS_SETTYPE_BATTLEGROUND",G458&lt;&gt;"LIBSETS_SETTYPE_SPECIAL"),IF(AV458&lt;&gt;"",VLOOKUP(AV458,'ESO zone constants'!$D$5:$H$4955,5,FALSE),""),"")</f>
        <v/>
      </c>
      <c r="AX458" s="41"/>
      <c r="AY458" s="41"/>
      <c r="AZ458" s="78" t="s">
        <v>2653</v>
      </c>
      <c r="BA458" s="36" t="s">
        <v>3177</v>
      </c>
      <c r="BB458" s="36" t="s">
        <v>3177</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hidden="1" x14ac:dyDescent="0.25">
      <c r="A459" s="5">
        <v>521</v>
      </c>
      <c r="B459" t="s">
        <v>1762</v>
      </c>
      <c r="C459" t="s">
        <v>2647</v>
      </c>
      <c r="D459" s="3">
        <f t="shared" si="46"/>
        <v>521</v>
      </c>
      <c r="E459" s="40"/>
      <c r="G459" s="8" t="s">
        <v>1678</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3285</v>
      </c>
      <c r="AI459" s="41" t="s">
        <v>3863</v>
      </c>
      <c r="AJ459" s="41" t="s">
        <v>3864</v>
      </c>
      <c r="AK459" s="3">
        <f>IF(AND(G459&lt;&gt;"LIBSETS_SETTYPE_BATTLEGROUND",G459&lt;&gt;"LIBSETS_SETTYPE_SPECIAL"),IF(AL459&lt;&gt;"",VLOOKUP(AL459,'ESO zone constants'!$D$5:$H$4955,5,FALSE),""),"")</f>
        <v>144</v>
      </c>
      <c r="AL459" t="s">
        <v>66</v>
      </c>
      <c r="AM459" s="33" t="s">
        <v>3285</v>
      </c>
      <c r="AN459" s="41" t="s">
        <v>1541</v>
      </c>
      <c r="AO459" s="41" t="s">
        <v>3204</v>
      </c>
      <c r="AP459" s="3">
        <f>IF(AND(G459&lt;&gt;"LIBSETS_SETTYPE_BATTLEGROUND",G459&lt;&gt;"LIBSETS_SETTYPE_SPECIAL"),IF(AQ459&lt;&gt;"",VLOOKUP(AQ459,'ESO zone constants'!$D$5:$H$4955,5,FALSE),""),"")</f>
        <v>643</v>
      </c>
      <c r="AQ459" t="s">
        <v>446</v>
      </c>
      <c r="AR459" s="33" t="s">
        <v>3269</v>
      </c>
      <c r="AS459" s="41" t="s">
        <v>3205</v>
      </c>
      <c r="AT459" s="41" t="s">
        <v>3206</v>
      </c>
      <c r="AU459" s="3" t="str">
        <f>IF(AND(G459&lt;&gt;"LIBSETS_SETTYPE_BATTLEGROUND",G459&lt;&gt;"LIBSETS_SETTYPE_SPECIAL"),IF(AV459&lt;&gt;"",VLOOKUP(AV459,'ESO zone constants'!$D$5:$H$4955,5,FALSE),""),"")</f>
        <v/>
      </c>
      <c r="AX459" s="41"/>
      <c r="AY459" s="41"/>
      <c r="AZ459" s="78" t="s">
        <v>2653</v>
      </c>
      <c r="BA459" s="36" t="s">
        <v>3173</v>
      </c>
      <c r="BB459" s="36" t="s">
        <v>3173</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1763</v>
      </c>
      <c r="C460" t="s">
        <v>1764</v>
      </c>
      <c r="D460" s="3">
        <f t="shared" si="46"/>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2653</v>
      </c>
      <c r="BA460" s="78"/>
      <c r="BB460" s="78"/>
      <c r="BC460" s="78"/>
      <c r="BD460" s="78" t="s">
        <v>3832</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1765</v>
      </c>
      <c r="C461" t="s">
        <v>1766</v>
      </c>
      <c r="D461" s="3">
        <f t="shared" si="46"/>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2653</v>
      </c>
      <c r="BA461" s="78"/>
      <c r="BB461" s="78"/>
      <c r="BC461" s="78"/>
      <c r="BD461" s="78" t="s">
        <v>3832</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1768</v>
      </c>
      <c r="C462" t="s">
        <v>1767</v>
      </c>
      <c r="D462" s="3">
        <f t="shared" si="46"/>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2653</v>
      </c>
      <c r="BA462" s="78"/>
      <c r="BB462" s="78"/>
      <c r="BC462" s="78"/>
      <c r="BD462" s="78" t="s">
        <v>3832</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1770</v>
      </c>
      <c r="C463" t="s">
        <v>1769</v>
      </c>
      <c r="D463" s="3">
        <f t="shared" si="46"/>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2653</v>
      </c>
      <c r="BA463" s="78"/>
      <c r="BB463" s="78"/>
      <c r="BC463" s="78"/>
      <c r="BD463" s="78" t="s">
        <v>3832</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1772</v>
      </c>
      <c r="C464" t="s">
        <v>1771</v>
      </c>
      <c r="D464" s="3">
        <f t="shared" si="46"/>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2654</v>
      </c>
      <c r="BA464" s="78"/>
      <c r="BB464" s="78"/>
      <c r="BC464" s="78"/>
      <c r="BD464" s="78" t="s">
        <v>3832</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1773</v>
      </c>
      <c r="C465" t="s">
        <v>1774</v>
      </c>
      <c r="D465" s="3">
        <f t="shared" si="46"/>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2653</v>
      </c>
      <c r="BA465" s="78"/>
      <c r="BB465" s="78"/>
      <c r="BC465" s="78"/>
      <c r="BD465" s="78" t="s">
        <v>3832</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1776</v>
      </c>
      <c r="C466" t="s">
        <v>1775</v>
      </c>
      <c r="D466" s="3">
        <f t="shared" si="46"/>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2653</v>
      </c>
      <c r="BA466" s="78"/>
      <c r="BB466" s="78"/>
      <c r="BC466" s="78"/>
      <c r="BD466" s="78" t="s">
        <v>3832</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1778</v>
      </c>
      <c r="C467" t="s">
        <v>1777</v>
      </c>
      <c r="D467" s="3">
        <f t="shared" si="46"/>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2653</v>
      </c>
      <c r="BA467" s="78"/>
      <c r="BB467" s="78"/>
      <c r="BC467" s="78"/>
      <c r="BD467" s="78" t="s">
        <v>3832</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1779</v>
      </c>
      <c r="C468" t="s">
        <v>1780</v>
      </c>
      <c r="D468" s="3">
        <f t="shared" si="46"/>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2653</v>
      </c>
      <c r="BA468" s="78"/>
      <c r="BB468" s="78"/>
      <c r="BC468" s="78"/>
      <c r="BD468" s="78" t="s">
        <v>3832</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1782</v>
      </c>
      <c r="C469" t="s">
        <v>1781</v>
      </c>
      <c r="D469" s="3">
        <f t="shared" si="46"/>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3832</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1783</v>
      </c>
      <c r="C470" t="s">
        <v>1784</v>
      </c>
      <c r="D470" s="3">
        <f t="shared" si="46"/>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2653</v>
      </c>
      <c r="BA470" s="78"/>
      <c r="BB470" s="78"/>
      <c r="BC470" s="78"/>
      <c r="BD470" s="78" t="s">
        <v>3832</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1794</v>
      </c>
      <c r="C471" t="s">
        <v>1793</v>
      </c>
      <c r="D471" s="3">
        <f t="shared" si="46"/>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2653</v>
      </c>
      <c r="BA471" s="78"/>
      <c r="BB471" s="78"/>
      <c r="BC471" s="78"/>
      <c r="BD471" s="78" t="s">
        <v>3832</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hidden="1" x14ac:dyDescent="0.25">
      <c r="A472" s="5">
        <v>534</v>
      </c>
      <c r="B472" t="s">
        <v>2158</v>
      </c>
      <c r="C472" t="s">
        <v>1805</v>
      </c>
      <c r="D472" s="3">
        <f t="shared" si="46"/>
        <v>534</v>
      </c>
      <c r="G472" s="3" t="s">
        <v>1475</v>
      </c>
      <c r="H472" s="86">
        <v>3</v>
      </c>
      <c r="I472" t="s">
        <v>1462</v>
      </c>
      <c r="J472" t="s">
        <v>91</v>
      </c>
      <c r="K472">
        <v>435</v>
      </c>
      <c r="L472">
        <v>435</v>
      </c>
      <c r="M472">
        <v>435</v>
      </c>
      <c r="O472" s="61" t="s">
        <v>1804</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2160</v>
      </c>
      <c r="X472" s="3" t="s">
        <v>2161</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2653</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hidden="1" x14ac:dyDescent="0.25">
      <c r="A473" s="5">
        <v>535</v>
      </c>
      <c r="B473" t="s">
        <v>2159</v>
      </c>
      <c r="C473" t="s">
        <v>1802</v>
      </c>
      <c r="D473" s="3">
        <f t="shared" si="46"/>
        <v>535</v>
      </c>
      <c r="G473" s="3" t="s">
        <v>1475</v>
      </c>
      <c r="H473" s="86">
        <v>3</v>
      </c>
      <c r="I473" t="s">
        <v>1462</v>
      </c>
      <c r="J473" t="s">
        <v>91</v>
      </c>
      <c r="K473">
        <v>436</v>
      </c>
      <c r="L473">
        <v>436</v>
      </c>
      <c r="M473">
        <v>436</v>
      </c>
      <c r="O473" s="61" t="s">
        <v>1799</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1802</v>
      </c>
      <c r="X473" s="3" t="s">
        <v>2159</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2653</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hidden="1" x14ac:dyDescent="0.25">
      <c r="A474" s="5">
        <v>536</v>
      </c>
      <c r="B474" t="s">
        <v>2229</v>
      </c>
      <c r="C474" t="s">
        <v>2228</v>
      </c>
      <c r="D474" s="3">
        <f t="shared" si="46"/>
        <v>536</v>
      </c>
      <c r="G474" s="3" t="s">
        <v>1476</v>
      </c>
      <c r="I474" t="s">
        <v>91</v>
      </c>
      <c r="J474" t="s">
        <v>91</v>
      </c>
      <c r="K474">
        <v>441</v>
      </c>
      <c r="L474">
        <v>441</v>
      </c>
      <c r="M474">
        <v>441</v>
      </c>
      <c r="O474" s="61" t="s">
        <v>2210</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2653</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hidden="1" x14ac:dyDescent="0.25">
      <c r="A475" s="5">
        <v>537</v>
      </c>
      <c r="B475" t="s">
        <v>2230</v>
      </c>
      <c r="C475" t="s">
        <v>2252</v>
      </c>
      <c r="D475" s="3">
        <f t="shared" si="46"/>
        <v>537</v>
      </c>
      <c r="G475" s="3" t="s">
        <v>1476</v>
      </c>
      <c r="I475" t="s">
        <v>91</v>
      </c>
      <c r="J475" t="s">
        <v>91</v>
      </c>
      <c r="K475">
        <v>441</v>
      </c>
      <c r="L475">
        <v>441</v>
      </c>
      <c r="M475">
        <v>441</v>
      </c>
      <c r="O475" s="61" t="s">
        <v>2210</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2653</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hidden="1" x14ac:dyDescent="0.25">
      <c r="A476" s="5">
        <v>538</v>
      </c>
      <c r="B476" t="s">
        <v>2231</v>
      </c>
      <c r="C476" t="s">
        <v>2648</v>
      </c>
      <c r="D476" s="3">
        <f t="shared" si="46"/>
        <v>538</v>
      </c>
      <c r="G476" s="3" t="s">
        <v>1476</v>
      </c>
      <c r="I476" t="s">
        <v>91</v>
      </c>
      <c r="J476" t="s">
        <v>91</v>
      </c>
      <c r="K476">
        <v>441</v>
      </c>
      <c r="L476">
        <v>441</v>
      </c>
      <c r="M476">
        <v>441</v>
      </c>
      <c r="O476" s="61" t="s">
        <v>2210</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2654</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hidden="1" x14ac:dyDescent="0.25">
      <c r="A477" s="5">
        <v>539</v>
      </c>
      <c r="B477" t="s">
        <v>2232</v>
      </c>
      <c r="C477" t="s">
        <v>2649</v>
      </c>
      <c r="D477" s="3">
        <f t="shared" si="46"/>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3288</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3288</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3288</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2654</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hidden="1" x14ac:dyDescent="0.25">
      <c r="A478" s="5">
        <v>540</v>
      </c>
      <c r="B478" t="s">
        <v>2233</v>
      </c>
      <c r="C478" t="s">
        <v>2253</v>
      </c>
      <c r="D478" s="3">
        <f t="shared" si="46"/>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3288</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3288</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3288</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2653</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hidden="1" x14ac:dyDescent="0.25">
      <c r="A479" s="5">
        <v>541</v>
      </c>
      <c r="B479" t="s">
        <v>2234</v>
      </c>
      <c r="C479" t="s">
        <v>2254</v>
      </c>
      <c r="D479" s="3">
        <f t="shared" si="46"/>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3288</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3288</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3288</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2654</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hidden="1" x14ac:dyDescent="0.25">
      <c r="A480" s="5">
        <v>542</v>
      </c>
      <c r="B480" t="s">
        <v>2235</v>
      </c>
      <c r="C480" t="s">
        <v>2255</v>
      </c>
      <c r="D480" s="3">
        <f t="shared" si="46"/>
        <v>542</v>
      </c>
      <c r="G480" s="3" t="s">
        <v>1476</v>
      </c>
      <c r="I480" t="s">
        <v>91</v>
      </c>
      <c r="J480" t="s">
        <v>91</v>
      </c>
      <c r="K480">
        <v>441</v>
      </c>
      <c r="L480">
        <v>441</v>
      </c>
      <c r="M480">
        <v>441</v>
      </c>
      <c r="O480" s="61" t="s">
        <v>2210</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2653</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hidden="1" x14ac:dyDescent="0.25">
      <c r="A481" s="5">
        <v>543</v>
      </c>
      <c r="B481" t="s">
        <v>2236</v>
      </c>
      <c r="C481" t="s">
        <v>2256</v>
      </c>
      <c r="D481" s="3">
        <f t="shared" si="46"/>
        <v>543</v>
      </c>
      <c r="G481" s="3" t="s">
        <v>1476</v>
      </c>
      <c r="I481" t="s">
        <v>91</v>
      </c>
      <c r="J481" t="s">
        <v>91</v>
      </c>
      <c r="K481">
        <v>441</v>
      </c>
      <c r="L481">
        <v>441</v>
      </c>
      <c r="M481">
        <v>441</v>
      </c>
      <c r="O481" s="61" t="s">
        <v>2210</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2653</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hidden="1" x14ac:dyDescent="0.25">
      <c r="A482" s="5">
        <v>544</v>
      </c>
      <c r="B482" t="s">
        <v>2237</v>
      </c>
      <c r="C482" t="s">
        <v>2257</v>
      </c>
      <c r="D482" s="3">
        <f t="shared" si="46"/>
        <v>544</v>
      </c>
      <c r="G482" s="3" t="s">
        <v>1476</v>
      </c>
      <c r="I482" t="s">
        <v>91</v>
      </c>
      <c r="J482" t="s">
        <v>91</v>
      </c>
      <c r="K482">
        <v>441</v>
      </c>
      <c r="L482">
        <v>441</v>
      </c>
      <c r="M482">
        <v>441</v>
      </c>
      <c r="O482" s="61" t="s">
        <v>2210</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2653</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2238</v>
      </c>
      <c r="C483" t="s">
        <v>2650</v>
      </c>
      <c r="D483" s="3">
        <f t="shared" si="46"/>
        <v>557</v>
      </c>
      <c r="E483" s="40"/>
      <c r="G483" s="8" t="s">
        <v>1468</v>
      </c>
      <c r="I483" t="s">
        <v>91</v>
      </c>
      <c r="J483" t="s">
        <v>91</v>
      </c>
      <c r="K483">
        <v>457</v>
      </c>
      <c r="L483">
        <v>457</v>
      </c>
      <c r="M483">
        <v>457</v>
      </c>
      <c r="O483" s="61" t="s">
        <v>2209</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2653</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2239</v>
      </c>
      <c r="C484" t="s">
        <v>2258</v>
      </c>
      <c r="D484" s="3">
        <f t="shared" si="46"/>
        <v>558</v>
      </c>
      <c r="E484" s="40"/>
      <c r="G484" s="8" t="s">
        <v>1468</v>
      </c>
      <c r="I484" t="s">
        <v>91</v>
      </c>
      <c r="J484" t="s">
        <v>91</v>
      </c>
      <c r="K484">
        <v>457</v>
      </c>
      <c r="L484">
        <v>457</v>
      </c>
      <c r="M484">
        <v>457</v>
      </c>
      <c r="O484" s="61" t="s">
        <v>2209</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2653</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2240</v>
      </c>
      <c r="C485" t="s">
        <v>2259</v>
      </c>
      <c r="D485" s="3">
        <f t="shared" si="46"/>
        <v>559</v>
      </c>
      <c r="E485" s="40"/>
      <c r="G485" s="8" t="s">
        <v>1468</v>
      </c>
      <c r="I485" t="s">
        <v>91</v>
      </c>
      <c r="J485" t="s">
        <v>91</v>
      </c>
      <c r="K485">
        <v>457</v>
      </c>
      <c r="L485">
        <v>457</v>
      </c>
      <c r="M485">
        <v>457</v>
      </c>
      <c r="O485" s="61" t="s">
        <v>2209</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2653</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2241</v>
      </c>
      <c r="C486" t="s">
        <v>2260</v>
      </c>
      <c r="D486" s="3">
        <f t="shared" si="46"/>
        <v>560</v>
      </c>
      <c r="E486" s="40"/>
      <c r="G486" s="8" t="s">
        <v>1468</v>
      </c>
      <c r="I486" t="s">
        <v>91</v>
      </c>
      <c r="J486" t="s">
        <v>91</v>
      </c>
      <c r="K486">
        <v>457</v>
      </c>
      <c r="L486">
        <v>457</v>
      </c>
      <c r="M486">
        <v>457</v>
      </c>
      <c r="O486" s="61" t="s">
        <v>2209</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2653</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2242</v>
      </c>
      <c r="C487" t="s">
        <v>2261</v>
      </c>
      <c r="D487" s="3">
        <f t="shared" si="46"/>
        <v>561</v>
      </c>
      <c r="E487" s="40"/>
      <c r="G487" s="8" t="s">
        <v>1468</v>
      </c>
      <c r="I487" t="s">
        <v>91</v>
      </c>
      <c r="J487" t="s">
        <v>91</v>
      </c>
      <c r="K487">
        <v>457</v>
      </c>
      <c r="L487">
        <v>457</v>
      </c>
      <c r="M487">
        <v>457</v>
      </c>
      <c r="O487" s="61" t="s">
        <v>2209</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2653</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2243</v>
      </c>
      <c r="C488" t="s">
        <v>2262</v>
      </c>
      <c r="D488" s="3">
        <f t="shared" si="46"/>
        <v>562</v>
      </c>
      <c r="E488" s="40"/>
      <c r="G488" s="8" t="s">
        <v>1468</v>
      </c>
      <c r="I488" t="s">
        <v>91</v>
      </c>
      <c r="J488" t="s">
        <v>91</v>
      </c>
      <c r="K488">
        <v>457</v>
      </c>
      <c r="L488">
        <v>457</v>
      </c>
      <c r="M488">
        <v>457</v>
      </c>
      <c r="O488" s="61" t="s">
        <v>2209</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2653</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2246</v>
      </c>
      <c r="C489" t="s">
        <v>2651</v>
      </c>
      <c r="D489" s="3">
        <f t="shared" si="46"/>
        <v>563</v>
      </c>
      <c r="E489" s="40"/>
      <c r="G489" s="8" t="s">
        <v>1468</v>
      </c>
      <c r="I489" t="s">
        <v>92</v>
      </c>
      <c r="J489" t="s">
        <v>91</v>
      </c>
      <c r="K489">
        <v>457</v>
      </c>
      <c r="L489">
        <v>457</v>
      </c>
      <c r="M489">
        <v>457</v>
      </c>
      <c r="O489" s="61" t="s">
        <v>2209</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2653</v>
      </c>
      <c r="BA489" s="78"/>
      <c r="BB489" s="78"/>
      <c r="BC489" s="78"/>
      <c r="BD489" s="78" t="s">
        <v>3832</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2247</v>
      </c>
      <c r="C490" t="s">
        <v>2263</v>
      </c>
      <c r="D490" s="3">
        <f t="shared" si="46"/>
        <v>564</v>
      </c>
      <c r="E490" s="40"/>
      <c r="G490" s="8" t="s">
        <v>1468</v>
      </c>
      <c r="I490" t="s">
        <v>92</v>
      </c>
      <c r="J490" t="s">
        <v>91</v>
      </c>
      <c r="K490">
        <v>457</v>
      </c>
      <c r="L490">
        <v>457</v>
      </c>
      <c r="M490">
        <v>457</v>
      </c>
      <c r="O490" s="61" t="s">
        <v>2209</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2653</v>
      </c>
      <c r="BA490" s="78"/>
      <c r="BB490" s="78"/>
      <c r="BC490" s="78"/>
      <c r="BD490" s="78" t="s">
        <v>3832</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2248</v>
      </c>
      <c r="C491" t="s">
        <v>2264</v>
      </c>
      <c r="D491" s="3">
        <f t="shared" si="46"/>
        <v>565</v>
      </c>
      <c r="E491" s="40"/>
      <c r="G491" s="8" t="s">
        <v>1468</v>
      </c>
      <c r="I491" t="s">
        <v>92</v>
      </c>
      <c r="J491" t="s">
        <v>91</v>
      </c>
      <c r="K491">
        <v>457</v>
      </c>
      <c r="L491">
        <v>457</v>
      </c>
      <c r="M491">
        <v>457</v>
      </c>
      <c r="O491" s="61" t="s">
        <v>2209</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2653</v>
      </c>
      <c r="BA491" s="78"/>
      <c r="BB491" s="78"/>
      <c r="BC491" s="78"/>
      <c r="BD491" s="78" t="s">
        <v>3832</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2249</v>
      </c>
      <c r="C492" t="s">
        <v>2265</v>
      </c>
      <c r="D492" s="3">
        <f t="shared" si="46"/>
        <v>566</v>
      </c>
      <c r="E492" s="40"/>
      <c r="G492" s="8" t="s">
        <v>1468</v>
      </c>
      <c r="I492" t="s">
        <v>92</v>
      </c>
      <c r="J492" t="s">
        <v>91</v>
      </c>
      <c r="K492">
        <v>457</v>
      </c>
      <c r="L492">
        <v>457</v>
      </c>
      <c r="M492">
        <v>457</v>
      </c>
      <c r="O492" s="61" t="s">
        <v>2209</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2653</v>
      </c>
      <c r="BA492" s="78"/>
      <c r="BB492" s="78"/>
      <c r="BC492" s="78"/>
      <c r="BD492" s="78" t="s">
        <v>3832</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2250</v>
      </c>
      <c r="C493" t="s">
        <v>2266</v>
      </c>
      <c r="D493" s="3">
        <f t="shared" si="46"/>
        <v>567</v>
      </c>
      <c r="E493" s="40"/>
      <c r="G493" s="8" t="s">
        <v>1468</v>
      </c>
      <c r="I493" t="s">
        <v>92</v>
      </c>
      <c r="J493" t="s">
        <v>91</v>
      </c>
      <c r="K493">
        <v>457</v>
      </c>
      <c r="L493">
        <v>457</v>
      </c>
      <c r="M493">
        <v>457</v>
      </c>
      <c r="O493" s="61" t="s">
        <v>2209</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2653</v>
      </c>
      <c r="BA493" s="78"/>
      <c r="BB493" s="78"/>
      <c r="BC493" s="78"/>
      <c r="BD493" s="78" t="s">
        <v>3832</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2251</v>
      </c>
      <c r="C494" t="s">
        <v>2267</v>
      </c>
      <c r="D494" s="3">
        <f t="shared" si="46"/>
        <v>568</v>
      </c>
      <c r="E494" s="40"/>
      <c r="G494" s="8" t="s">
        <v>1468</v>
      </c>
      <c r="I494" t="s">
        <v>92</v>
      </c>
      <c r="J494" t="s">
        <v>91</v>
      </c>
      <c r="K494">
        <v>457</v>
      </c>
      <c r="L494">
        <v>457</v>
      </c>
      <c r="M494">
        <v>457</v>
      </c>
      <c r="O494" s="61" t="s">
        <v>2209</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2653</v>
      </c>
      <c r="BA494" s="78"/>
      <c r="BB494" s="78"/>
      <c r="BC494" s="78"/>
      <c r="BD494" s="78" t="s">
        <v>3832</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hidden="1" x14ac:dyDescent="0.25">
      <c r="A495" s="5">
        <v>569</v>
      </c>
      <c r="B495" t="s">
        <v>2403</v>
      </c>
      <c r="C495" t="s">
        <v>2388</v>
      </c>
      <c r="D495" s="3">
        <f t="shared" si="46"/>
        <v>569</v>
      </c>
      <c r="G495" s="3" t="s">
        <v>1473</v>
      </c>
      <c r="I495" t="s">
        <v>91</v>
      </c>
      <c r="J495" t="s">
        <v>91</v>
      </c>
      <c r="K495" s="36">
        <v>437</v>
      </c>
      <c r="L495" s="36">
        <v>437</v>
      </c>
      <c r="M495" s="36">
        <v>437</v>
      </c>
      <c r="O495" s="61" t="s">
        <v>2391</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3285</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2653</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hidden="1" x14ac:dyDescent="0.25">
      <c r="A496" s="5">
        <v>570</v>
      </c>
      <c r="B496" t="s">
        <v>2404</v>
      </c>
      <c r="C496" t="s">
        <v>2750</v>
      </c>
      <c r="D496" s="3">
        <f t="shared" si="46"/>
        <v>570</v>
      </c>
      <c r="G496" s="3" t="s">
        <v>1473</v>
      </c>
      <c r="I496" t="s">
        <v>91</v>
      </c>
      <c r="J496" t="s">
        <v>91</v>
      </c>
      <c r="K496" s="36">
        <v>437</v>
      </c>
      <c r="L496" s="36">
        <v>437</v>
      </c>
      <c r="M496" s="36">
        <v>437</v>
      </c>
      <c r="O496" s="61" t="s">
        <v>2391</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3285</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2653</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hidden="1" x14ac:dyDescent="0.25">
      <c r="A497" s="5">
        <v>571</v>
      </c>
      <c r="B497" t="s">
        <v>2405</v>
      </c>
      <c r="C497" t="s">
        <v>2749</v>
      </c>
      <c r="D497" s="3">
        <f t="shared" si="46"/>
        <v>571</v>
      </c>
      <c r="E497" s="40"/>
      <c r="G497" s="3" t="s">
        <v>1473</v>
      </c>
      <c r="I497" t="s">
        <v>91</v>
      </c>
      <c r="J497" t="s">
        <v>91</v>
      </c>
      <c r="K497" s="36">
        <v>437</v>
      </c>
      <c r="L497" s="36">
        <v>437</v>
      </c>
      <c r="M497" s="36">
        <v>437</v>
      </c>
      <c r="O497" s="61" t="s">
        <v>2391</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3285</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2653</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hidden="1" x14ac:dyDescent="0.25">
      <c r="A498" s="5">
        <v>572</v>
      </c>
      <c r="B498" t="s">
        <v>2406</v>
      </c>
      <c r="C498" t="s">
        <v>2389</v>
      </c>
      <c r="D498" s="3">
        <f t="shared" si="46"/>
        <v>572</v>
      </c>
      <c r="G498" s="3" t="s">
        <v>1473</v>
      </c>
      <c r="I498" t="s">
        <v>91</v>
      </c>
      <c r="J498" t="s">
        <v>91</v>
      </c>
      <c r="K498" s="36">
        <v>454</v>
      </c>
      <c r="L498" s="36">
        <v>454</v>
      </c>
      <c r="M498" s="36">
        <v>454</v>
      </c>
      <c r="O498" s="61" t="s">
        <v>2392</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3285</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2653</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hidden="1" x14ac:dyDescent="0.25">
      <c r="A499" s="5">
        <v>573</v>
      </c>
      <c r="B499" t="s">
        <v>2407</v>
      </c>
      <c r="C499" t="s">
        <v>2745</v>
      </c>
      <c r="D499" s="3">
        <f t="shared" si="46"/>
        <v>573</v>
      </c>
      <c r="G499" s="3" t="s">
        <v>1473</v>
      </c>
      <c r="I499" t="s">
        <v>91</v>
      </c>
      <c r="J499" t="s">
        <v>91</v>
      </c>
      <c r="K499" s="36">
        <v>454</v>
      </c>
      <c r="L499" s="36">
        <v>454</v>
      </c>
      <c r="M499" s="36">
        <v>454</v>
      </c>
      <c r="O499" s="61" t="s">
        <v>2392</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3285</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2654</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hidden="1" x14ac:dyDescent="0.25">
      <c r="A500" s="5">
        <v>574</v>
      </c>
      <c r="B500" t="s">
        <v>2408</v>
      </c>
      <c r="C500" t="s">
        <v>2746</v>
      </c>
      <c r="D500" s="3">
        <f t="shared" si="46"/>
        <v>574</v>
      </c>
      <c r="G500" s="3" t="s">
        <v>1473</v>
      </c>
      <c r="I500" t="s">
        <v>91</v>
      </c>
      <c r="J500" t="s">
        <v>91</v>
      </c>
      <c r="K500" s="36">
        <v>454</v>
      </c>
      <c r="L500" s="36">
        <v>454</v>
      </c>
      <c r="M500" s="36">
        <v>454</v>
      </c>
      <c r="O500" s="61" t="s">
        <v>2392</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3285</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2653</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hidden="1" x14ac:dyDescent="0.25">
      <c r="A501" s="5">
        <v>575</v>
      </c>
      <c r="B501" t="s">
        <v>2244</v>
      </c>
      <c r="C501" t="s">
        <v>2226</v>
      </c>
      <c r="D501" s="3">
        <f t="shared" si="46"/>
        <v>575</v>
      </c>
      <c r="G501" s="3" t="s">
        <v>1678</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2162</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2218</v>
      </c>
      <c r="AM501" s="33" t="s">
        <v>3223</v>
      </c>
      <c r="AN501" s="41" t="s">
        <v>3865</v>
      </c>
      <c r="AO501" s="41" t="s">
        <v>3866</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2653</v>
      </c>
      <c r="BA501" s="36" t="s">
        <v>3180</v>
      </c>
      <c r="BB501" s="36" t="s">
        <v>3180</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hidden="1" x14ac:dyDescent="0.25">
      <c r="A502" s="5">
        <v>576</v>
      </c>
      <c r="B502" t="s">
        <v>2245</v>
      </c>
      <c r="C502" t="s">
        <v>2268</v>
      </c>
      <c r="D502" s="3">
        <f t="shared" si="46"/>
        <v>576</v>
      </c>
      <c r="G502" s="3" t="s">
        <v>1678</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2162</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3223</v>
      </c>
      <c r="AI502" s="41" t="s">
        <v>3232</v>
      </c>
      <c r="AJ502" s="41" t="s">
        <v>3233</v>
      </c>
      <c r="AK502" s="3">
        <f>IF(AND(G502&lt;&gt;"LIBSETS_SETTYPE_BATTLEGROUND",G502&lt;&gt;"LIBSETS_SETTYPE_SPECIAL"),IF(AL502&lt;&gt;"",VLOOKUP(AL502,'ESO zone constants'!$D$5:$H$4955,5,FALSE),""),"")</f>
        <v>380</v>
      </c>
      <c r="AL502" t="s">
        <v>96</v>
      </c>
      <c r="AM502" s="33" t="s">
        <v>3285</v>
      </c>
      <c r="AN502" s="41" t="s">
        <v>3234</v>
      </c>
      <c r="AO502" s="41" t="s">
        <v>1614</v>
      </c>
      <c r="AP502" s="3">
        <f>IF(AND(G502&lt;&gt;"LIBSETS_SETTYPE_BATTLEGROUND",G502&lt;&gt;"LIBSETS_SETTYPE_SPECIAL"),IF(AQ502&lt;&gt;"",VLOOKUP(AQ502,'ESO zone constants'!$D$5:$H$4955,5,FALSE),""),"")</f>
        <v>932</v>
      </c>
      <c r="AQ502" t="s">
        <v>55</v>
      </c>
      <c r="AR502" s="33" t="s">
        <v>3285</v>
      </c>
      <c r="AS502" s="41" t="s">
        <v>1553</v>
      </c>
      <c r="AT502" s="41" t="s">
        <v>1553</v>
      </c>
      <c r="AU502" s="3" t="str">
        <f>IF(AND(G502&lt;&gt;"LIBSETS_SETTYPE_BATTLEGROUND",G502&lt;&gt;"LIBSETS_SETTYPE_SPECIAL"),IF(AV502&lt;&gt;"",VLOOKUP(AV502,'ESO zone constants'!$D$5:$H$4955,5,FALSE),""),"")</f>
        <v/>
      </c>
      <c r="AX502" s="41"/>
      <c r="AY502" s="41"/>
      <c r="AZ502" s="78" t="s">
        <v>2653</v>
      </c>
      <c r="BA502" s="36" t="s">
        <v>3179</v>
      </c>
      <c r="BB502" s="36" t="s">
        <v>3179</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hidden="1" x14ac:dyDescent="0.25">
      <c r="A503" s="5">
        <v>577</v>
      </c>
      <c r="B503" t="s">
        <v>2411</v>
      </c>
      <c r="C503" t="s">
        <v>2412</v>
      </c>
      <c r="D503" s="3">
        <f t="shared" si="46"/>
        <v>577</v>
      </c>
      <c r="E503" s="40"/>
      <c r="G503" s="3" t="s">
        <v>1475</v>
      </c>
      <c r="H503" s="86">
        <v>3</v>
      </c>
      <c r="I503" t="s">
        <v>1462</v>
      </c>
      <c r="J503" t="s">
        <v>91</v>
      </c>
      <c r="K503" s="36">
        <v>437</v>
      </c>
      <c r="L503" s="36">
        <v>437</v>
      </c>
      <c r="M503" s="36">
        <v>437</v>
      </c>
      <c r="O503" s="61" t="s">
        <v>2391</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2411</v>
      </c>
      <c r="X503" s="3" t="s">
        <v>2411</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2653</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hidden="1" x14ac:dyDescent="0.25">
      <c r="A504" s="5">
        <v>578</v>
      </c>
      <c r="B504" t="s">
        <v>2390</v>
      </c>
      <c r="C504" t="s">
        <v>2390</v>
      </c>
      <c r="D504" s="3">
        <f t="shared" si="46"/>
        <v>578</v>
      </c>
      <c r="E504" s="40"/>
      <c r="G504" s="3" t="s">
        <v>1475</v>
      </c>
      <c r="H504" s="86">
        <v>3</v>
      </c>
      <c r="I504" t="s">
        <v>1462</v>
      </c>
      <c r="J504" t="s">
        <v>91</v>
      </c>
      <c r="K504" s="36">
        <v>454</v>
      </c>
      <c r="L504" s="36">
        <v>454</v>
      </c>
      <c r="M504" s="36">
        <v>454</v>
      </c>
      <c r="O504" s="61" t="s">
        <v>2392</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2390</v>
      </c>
      <c r="X504" s="3" t="s">
        <v>2390</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2653</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hidden="1" x14ac:dyDescent="0.25">
      <c r="A505" s="5">
        <v>579</v>
      </c>
      <c r="B505" t="s">
        <v>2464</v>
      </c>
      <c r="C505" t="s">
        <v>2463</v>
      </c>
      <c r="D505" s="3">
        <f t="shared" si="46"/>
        <v>579</v>
      </c>
      <c r="G505" s="3" t="s">
        <v>1476</v>
      </c>
      <c r="I505" t="s">
        <v>91</v>
      </c>
      <c r="J505" t="s">
        <v>91</v>
      </c>
      <c r="K505" s="36">
        <v>458</v>
      </c>
      <c r="L505" s="36">
        <v>458</v>
      </c>
      <c r="M505" s="36">
        <v>458</v>
      </c>
      <c r="O505" s="61" t="s">
        <v>2385</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2385</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2654</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hidden="1" x14ac:dyDescent="0.25">
      <c r="A506" s="5">
        <v>580</v>
      </c>
      <c r="B506" t="s">
        <v>2460</v>
      </c>
      <c r="C506" t="s">
        <v>2461</v>
      </c>
      <c r="D506" s="3">
        <f t="shared" si="46"/>
        <v>580</v>
      </c>
      <c r="G506" s="3" t="s">
        <v>1476</v>
      </c>
      <c r="I506" t="s">
        <v>91</v>
      </c>
      <c r="J506" t="s">
        <v>91</v>
      </c>
      <c r="K506" s="36">
        <v>458</v>
      </c>
      <c r="L506" s="36">
        <v>458</v>
      </c>
      <c r="M506" s="36">
        <v>458</v>
      </c>
      <c r="O506" s="61" t="s">
        <v>2385</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2385</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2653</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hidden="1" x14ac:dyDescent="0.25">
      <c r="A507" s="5">
        <v>581</v>
      </c>
      <c r="B507" t="s">
        <v>2458</v>
      </c>
      <c r="C507" t="s">
        <v>2459</v>
      </c>
      <c r="D507" s="3">
        <f t="shared" si="46"/>
        <v>581</v>
      </c>
      <c r="E507" s="40"/>
      <c r="G507" s="3" t="s">
        <v>1476</v>
      </c>
      <c r="I507" t="s">
        <v>91</v>
      </c>
      <c r="J507" t="s">
        <v>91</v>
      </c>
      <c r="K507" s="36">
        <v>458</v>
      </c>
      <c r="L507" s="36">
        <v>458</v>
      </c>
      <c r="M507" s="36">
        <v>458</v>
      </c>
      <c r="O507" s="61" t="s">
        <v>2385</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2385</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2653</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hidden="1" x14ac:dyDescent="0.25">
      <c r="A508" s="5">
        <v>582</v>
      </c>
      <c r="B508" t="s">
        <v>2457</v>
      </c>
      <c r="C508" t="s">
        <v>2454</v>
      </c>
      <c r="D508" s="3">
        <f t="shared" si="46"/>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3288</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3288</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3288</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2653</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hidden="1" x14ac:dyDescent="0.25">
      <c r="A509" s="5">
        <v>583</v>
      </c>
      <c r="B509" t="s">
        <v>2456</v>
      </c>
      <c r="C509" t="s">
        <v>2455</v>
      </c>
      <c r="D509" s="3">
        <f t="shared" si="46"/>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3288</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3288</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3288</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2653</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hidden="1" x14ac:dyDescent="0.25">
      <c r="A510" s="5">
        <v>584</v>
      </c>
      <c r="B510" t="s">
        <v>2462</v>
      </c>
      <c r="C510" t="s">
        <v>2484</v>
      </c>
      <c r="D510" s="3">
        <f t="shared" si="46"/>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3288</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3288</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3288</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2653</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2473</v>
      </c>
      <c r="C511" t="s">
        <v>2474</v>
      </c>
      <c r="D511" s="3">
        <f t="shared" si="46"/>
        <v>585</v>
      </c>
      <c r="G511" s="3" t="s">
        <v>1477</v>
      </c>
      <c r="I511" t="s">
        <v>91</v>
      </c>
      <c r="J511" t="s">
        <v>91</v>
      </c>
      <c r="K511" s="36">
        <v>468</v>
      </c>
      <c r="L511" s="36">
        <v>468</v>
      </c>
      <c r="M511" s="36">
        <v>468</v>
      </c>
      <c r="O511" s="61" t="s">
        <v>2441</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3266</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3266</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3266</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2653</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2475</v>
      </c>
      <c r="C512" t="s">
        <v>2485</v>
      </c>
      <c r="D512" s="3">
        <f t="shared" si="46"/>
        <v>586</v>
      </c>
      <c r="G512" s="3" t="s">
        <v>1477</v>
      </c>
      <c r="I512" t="s">
        <v>91</v>
      </c>
      <c r="J512" t="s">
        <v>91</v>
      </c>
      <c r="K512" s="36">
        <v>468</v>
      </c>
      <c r="L512" s="36">
        <v>468</v>
      </c>
      <c r="M512" s="36">
        <v>468</v>
      </c>
      <c r="O512" s="61" t="s">
        <v>2441</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3266</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3266</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3266</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2653</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2472</v>
      </c>
      <c r="C513" t="s">
        <v>2486</v>
      </c>
      <c r="D513" s="3">
        <f t="shared" si="46"/>
        <v>587</v>
      </c>
      <c r="G513" s="3" t="s">
        <v>1477</v>
      </c>
      <c r="I513" t="s">
        <v>91</v>
      </c>
      <c r="J513" t="s">
        <v>91</v>
      </c>
      <c r="K513" s="36">
        <v>468</v>
      </c>
      <c r="L513" s="36">
        <v>468</v>
      </c>
      <c r="M513" s="36">
        <v>468</v>
      </c>
      <c r="O513" s="61" t="s">
        <v>2441</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3266</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3266</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3266</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2653</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2468</v>
      </c>
      <c r="C514" t="s">
        <v>2487</v>
      </c>
      <c r="D514" s="3">
        <f t="shared" si="46"/>
        <v>588</v>
      </c>
      <c r="G514" s="3" t="s">
        <v>1477</v>
      </c>
      <c r="I514" t="s">
        <v>91</v>
      </c>
      <c r="J514" t="s">
        <v>91</v>
      </c>
      <c r="K514">
        <v>468</v>
      </c>
      <c r="L514">
        <v>468</v>
      </c>
      <c r="M514">
        <v>468</v>
      </c>
      <c r="O514" s="61" t="s">
        <v>2441</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3266</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3266</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3266</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2653</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2466</v>
      </c>
      <c r="C515" t="s">
        <v>2467</v>
      </c>
      <c r="D515" s="3">
        <f t="shared" ref="D515:D578" si="52">A515</f>
        <v>589</v>
      </c>
      <c r="G515" s="3" t="s">
        <v>1477</v>
      </c>
      <c r="I515" t="s">
        <v>92</v>
      </c>
      <c r="J515" t="s">
        <v>91</v>
      </c>
      <c r="K515" s="36">
        <v>468</v>
      </c>
      <c r="L515" s="36">
        <v>468</v>
      </c>
      <c r="M515" s="36">
        <v>468</v>
      </c>
      <c r="O515" s="61" t="s">
        <v>2441</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3266</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3266</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3266</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2653</v>
      </c>
      <c r="BA515" s="78"/>
      <c r="BB515" s="78"/>
      <c r="BC515" s="78"/>
      <c r="BD515" s="78" t="s">
        <v>3832</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2483</v>
      </c>
      <c r="C516" t="s">
        <v>2483</v>
      </c>
      <c r="D516" s="3">
        <f t="shared" si="52"/>
        <v>590</v>
      </c>
      <c r="G516" s="3" t="s">
        <v>1477</v>
      </c>
      <c r="I516" t="s">
        <v>92</v>
      </c>
      <c r="J516" t="s">
        <v>91</v>
      </c>
      <c r="K516" s="36">
        <v>468</v>
      </c>
      <c r="L516" s="36">
        <v>468</v>
      </c>
      <c r="M516" s="36">
        <v>468</v>
      </c>
      <c r="O516" s="61" t="s">
        <v>2441</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3266</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3266</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3266</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2653</v>
      </c>
      <c r="BA516" s="78"/>
      <c r="BB516" s="78"/>
      <c r="BC516" s="78"/>
      <c r="BD516" s="78" t="s">
        <v>3832</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2465</v>
      </c>
      <c r="C517" t="s">
        <v>2488</v>
      </c>
      <c r="D517" s="3">
        <f t="shared" si="52"/>
        <v>591</v>
      </c>
      <c r="G517" s="3" t="s">
        <v>1477</v>
      </c>
      <c r="I517" t="s">
        <v>92</v>
      </c>
      <c r="J517" t="s">
        <v>91</v>
      </c>
      <c r="K517" s="36">
        <v>468</v>
      </c>
      <c r="L517" s="36">
        <v>468</v>
      </c>
      <c r="M517" s="36">
        <v>468</v>
      </c>
      <c r="O517" s="61" t="s">
        <v>2441</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3266</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3266</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3266</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2653</v>
      </c>
      <c r="BA517" s="78"/>
      <c r="BB517" s="78"/>
      <c r="BC517" s="78"/>
      <c r="BD517" s="78" t="s">
        <v>3832</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2476</v>
      </c>
      <c r="C518" t="s">
        <v>2489</v>
      </c>
      <c r="D518" s="3">
        <f t="shared" si="52"/>
        <v>592</v>
      </c>
      <c r="G518" s="3" t="s">
        <v>1477</v>
      </c>
      <c r="I518" t="s">
        <v>92</v>
      </c>
      <c r="J518" t="s">
        <v>91</v>
      </c>
      <c r="K518" s="36">
        <v>468</v>
      </c>
      <c r="L518" s="36">
        <v>468</v>
      </c>
      <c r="M518" s="36">
        <v>468</v>
      </c>
      <c r="O518" s="61" t="s">
        <v>2441</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3266</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3266</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3266</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2653</v>
      </c>
      <c r="BA518" s="78"/>
      <c r="BB518" s="78"/>
      <c r="BC518" s="78"/>
      <c r="BD518" s="78" t="s">
        <v>3832</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hidden="1" x14ac:dyDescent="0.25">
      <c r="A519" s="5">
        <v>593</v>
      </c>
      <c r="B519" t="s">
        <v>2477</v>
      </c>
      <c r="C519" t="s">
        <v>2477</v>
      </c>
      <c r="D519" s="3">
        <f t="shared" si="52"/>
        <v>593</v>
      </c>
      <c r="G519" s="3" t="s">
        <v>1678</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2384</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3195</v>
      </c>
      <c r="AC519" s="41" t="s">
        <v>3197</v>
      </c>
      <c r="AD519" s="41" t="s">
        <v>3198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3285</v>
      </c>
      <c r="AS519" s="41" t="s">
        <v>32</v>
      </c>
      <c r="AT519" s="41" t="s">
        <v>32</v>
      </c>
      <c r="AU519" s="3" t="str">
        <f>IF(AND(G519&lt;&gt;"LIBSETS_SETTYPE_BATTLEGROUND",G519&lt;&gt;"LIBSETS_SETTYPE_SPECIAL"),IF(AV519&lt;&gt;"",VLOOKUP(AV519,'ESO zone constants'!$D$5:$H$4955,5,FALSE),""),"")</f>
        <v/>
      </c>
      <c r="AX519" s="41"/>
      <c r="AY519" s="41"/>
      <c r="AZ519" s="78" t="s">
        <v>2653</v>
      </c>
      <c r="BA519" s="36" t="s">
        <v>3175</v>
      </c>
      <c r="BB519" s="36" t="s">
        <v>3175</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hidden="1" x14ac:dyDescent="0.25">
      <c r="A520" s="5">
        <v>594</v>
      </c>
      <c r="B520" t="s">
        <v>2482</v>
      </c>
      <c r="C520" t="s">
        <v>2482</v>
      </c>
      <c r="D520" s="3">
        <f t="shared" si="52"/>
        <v>594</v>
      </c>
      <c r="G520" s="3" t="s">
        <v>1678</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2384</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3269</v>
      </c>
      <c r="AC520" s="41" t="s">
        <v>3215</v>
      </c>
      <c r="AD520" s="41" t="s">
        <v>3216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3217</v>
      </c>
      <c r="AI520" s="41" t="s">
        <v>3220</v>
      </c>
      <c r="AJ520" s="41" t="s">
        <v>3221</v>
      </c>
      <c r="AK520" s="3">
        <f>IF(AND(G520&lt;&gt;"LIBSETS_SETTYPE_BATTLEGROUND",G520&lt;&gt;"LIBSETS_SETTYPE_SPECIAL"),IF(AL520&lt;&gt;"",VLOOKUP(AL520,'ESO zone constants'!$D$5:$H$4955,5,FALSE),""),"")</f>
        <v>843</v>
      </c>
      <c r="AL520" t="s">
        <v>53</v>
      </c>
      <c r="AM520" s="33" t="s">
        <v>3285</v>
      </c>
      <c r="AN520" s="41" t="s">
        <v>1361</v>
      </c>
      <c r="AO520" s="41" t="s">
        <v>3222</v>
      </c>
      <c r="AP520" s="3">
        <f>IF(AND(G520&lt;&gt;"LIBSETS_SETTYPE_BATTLEGROUND",G520&lt;&gt;"LIBSETS_SETTYPE_SPECIAL"),IF(AQ520&lt;&gt;"",VLOOKUP(AQ520,'ESO zone constants'!$D$5:$H$4955,5,FALSE),""),"")</f>
        <v>117</v>
      </c>
      <c r="AQ520" t="s">
        <v>114</v>
      </c>
      <c r="AR520" s="33" t="s">
        <v>3597</v>
      </c>
      <c r="AS520" s="41" t="s">
        <v>3226</v>
      </c>
      <c r="AT520" s="41" t="s">
        <v>3227</v>
      </c>
      <c r="AU520" s="3" t="str">
        <f>IF(AND(G520&lt;&gt;"LIBSETS_SETTYPE_BATTLEGROUND",G520&lt;&gt;"LIBSETS_SETTYPE_SPECIAL"),IF(AV520&lt;&gt;"",VLOOKUP(AV520,'ESO zone constants'!$D$5:$H$4955,5,FALSE),""),"")</f>
        <v/>
      </c>
      <c r="AX520" s="41"/>
      <c r="AY520" s="41"/>
      <c r="AZ520" s="78" t="s">
        <v>2653</v>
      </c>
      <c r="BA520" s="36" t="s">
        <v>3176</v>
      </c>
      <c r="BB520" s="36" t="s">
        <v>3176</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hidden="1" x14ac:dyDescent="0.25">
      <c r="A521" s="5">
        <v>596</v>
      </c>
      <c r="B521" t="s">
        <v>2481</v>
      </c>
      <c r="C521" t="s">
        <v>2481</v>
      </c>
      <c r="D521" s="3">
        <f t="shared" si="52"/>
        <v>596</v>
      </c>
      <c r="G521" s="3" t="s">
        <v>1678</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2384</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3269</v>
      </c>
      <c r="AN521" s="41" t="s">
        <v>3202</v>
      </c>
      <c r="AO521" s="41" t="s">
        <v>3203</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2653</v>
      </c>
      <c r="BA521" s="36" t="s">
        <v>3174</v>
      </c>
      <c r="BB521" s="36" t="s">
        <v>3174</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hidden="1" x14ac:dyDescent="0.25">
      <c r="A522" s="5">
        <v>597</v>
      </c>
      <c r="B522" t="s">
        <v>2490</v>
      </c>
      <c r="C522" t="s">
        <v>2490</v>
      </c>
      <c r="D522" s="3">
        <f t="shared" si="52"/>
        <v>597</v>
      </c>
      <c r="G522" s="3" t="s">
        <v>1678</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2384</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3285</v>
      </c>
      <c r="AC522" s="41" t="s">
        <v>1547</v>
      </c>
      <c r="AD522" s="41" t="s">
        <v>3238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3284</v>
      </c>
      <c r="AJ522" s="41" t="s">
        <v>3294</v>
      </c>
      <c r="AK522" s="3">
        <f>IF(AND(G522&lt;&gt;"LIBSETS_SETTYPE_BATTLEGROUND",G522&lt;&gt;"LIBSETS_SETTYPE_SPECIAL"),IF(AL522&lt;&gt;"",VLOOKUP(AL522,'ESO zone constants'!$D$5:$H$4955,5,FALSE),""),"")</f>
        <v>936</v>
      </c>
      <c r="AL522" t="s">
        <v>42</v>
      </c>
      <c r="AM522" s="33" t="s">
        <v>3285</v>
      </c>
      <c r="AN522" s="41" t="s">
        <v>1357</v>
      </c>
      <c r="AO522" s="41" t="s">
        <v>3239</v>
      </c>
      <c r="AP522" s="3">
        <f>IF(AND(G522&lt;&gt;"LIBSETS_SETTYPE_BATTLEGROUND",G522&lt;&gt;"LIBSETS_SETTYPE_SPECIAL"),IF(AQ522&lt;&gt;"",VLOOKUP(AQ522,'ESO zone constants'!$D$5:$H$4955,5,FALSE),""),"")</f>
        <v>1260</v>
      </c>
      <c r="AQ522" t="s">
        <v>2440</v>
      </c>
      <c r="AR522" s="33" t="s">
        <v>1556</v>
      </c>
      <c r="AS522" s="41"/>
      <c r="AT522" s="41"/>
      <c r="AU522" s="3" t="str">
        <f>IF(AND(G522&lt;&gt;"LIBSETS_SETTYPE_BATTLEGROUND",G522&lt;&gt;"LIBSETS_SETTYPE_SPECIAL"),IF(AV522&lt;&gt;"",VLOOKUP(AV522,'ESO zone constants'!$D$5:$H$4955,5,FALSE),""),"")</f>
        <v/>
      </c>
      <c r="AX522" s="41"/>
      <c r="AY522" s="41"/>
      <c r="AZ522" s="78" t="s">
        <v>2654</v>
      </c>
      <c r="BA522" s="36" t="s">
        <v>3182</v>
      </c>
      <c r="BB522" s="36" t="s">
        <v>3182</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hidden="1" x14ac:dyDescent="0.25">
      <c r="A523" s="5">
        <v>598</v>
      </c>
      <c r="B523" t="s">
        <v>2478</v>
      </c>
      <c r="C523" t="s">
        <v>2469</v>
      </c>
      <c r="D523" s="3">
        <f t="shared" si="52"/>
        <v>598</v>
      </c>
      <c r="F523" t="s">
        <v>2758</v>
      </c>
      <c r="G523" s="8" t="s">
        <v>2757</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2384</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3878</v>
      </c>
      <c r="X523" s="3" t="s">
        <v>3879</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2761</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2653</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hidden="1" x14ac:dyDescent="0.25">
      <c r="A524" s="5">
        <v>599</v>
      </c>
      <c r="B524" t="s">
        <v>2479</v>
      </c>
      <c r="C524" t="s">
        <v>2470</v>
      </c>
      <c r="D524" s="3">
        <f t="shared" si="52"/>
        <v>599</v>
      </c>
      <c r="F524" t="s">
        <v>2758</v>
      </c>
      <c r="G524" s="8" t="s">
        <v>2757</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2384</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3877</v>
      </c>
      <c r="X524" s="3" t="s">
        <v>3880</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2761</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2653</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hidden="1" x14ac:dyDescent="0.25">
      <c r="A525" s="5">
        <v>600</v>
      </c>
      <c r="B525" t="s">
        <v>2480</v>
      </c>
      <c r="C525" t="s">
        <v>2471</v>
      </c>
      <c r="D525" s="3">
        <f t="shared" si="52"/>
        <v>600</v>
      </c>
      <c r="F525" t="s">
        <v>2758</v>
      </c>
      <c r="G525" s="8" t="s">
        <v>2757</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2384</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3876</v>
      </c>
      <c r="X525" s="3" t="s">
        <v>3881</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2761</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2653</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hidden="1" x14ac:dyDescent="0.25">
      <c r="A526" s="5">
        <v>602</v>
      </c>
      <c r="B526" t="s">
        <v>2516</v>
      </c>
      <c r="C526" t="s">
        <v>2747</v>
      </c>
      <c r="D526" s="3">
        <f t="shared" si="52"/>
        <v>602</v>
      </c>
      <c r="G526" s="8" t="s">
        <v>1473</v>
      </c>
      <c r="I526" t="s">
        <v>91</v>
      </c>
      <c r="J526" t="s">
        <v>91</v>
      </c>
      <c r="K526">
        <v>469</v>
      </c>
      <c r="L526">
        <v>469</v>
      </c>
      <c r="M526">
        <v>469</v>
      </c>
      <c r="O526" s="61" t="s">
        <v>2499</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3285</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2653</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hidden="1" x14ac:dyDescent="0.25">
      <c r="A527" s="5">
        <v>603</v>
      </c>
      <c r="B527" t="s">
        <v>2514</v>
      </c>
      <c r="C527" t="s">
        <v>2748</v>
      </c>
      <c r="D527" s="3">
        <f t="shared" si="52"/>
        <v>603</v>
      </c>
      <c r="G527" s="8" t="s">
        <v>1473</v>
      </c>
      <c r="I527" t="s">
        <v>91</v>
      </c>
      <c r="J527" t="s">
        <v>91</v>
      </c>
      <c r="K527">
        <v>469</v>
      </c>
      <c r="L527">
        <v>469</v>
      </c>
      <c r="M527">
        <v>469</v>
      </c>
      <c r="O527" s="61" t="s">
        <v>2499</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3285</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2653</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hidden="1" x14ac:dyDescent="0.25">
      <c r="A528" s="5">
        <v>604</v>
      </c>
      <c r="B528" t="s">
        <v>2515</v>
      </c>
      <c r="C528" t="s">
        <v>2492</v>
      </c>
      <c r="D528" s="3">
        <f t="shared" si="52"/>
        <v>604</v>
      </c>
      <c r="G528" s="8" t="s">
        <v>1473</v>
      </c>
      <c r="I528" t="s">
        <v>91</v>
      </c>
      <c r="J528" t="s">
        <v>91</v>
      </c>
      <c r="K528">
        <v>469</v>
      </c>
      <c r="L528">
        <v>469</v>
      </c>
      <c r="M528">
        <v>469</v>
      </c>
      <c r="O528" s="61" t="s">
        <v>2499</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3285</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2653</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hidden="1" x14ac:dyDescent="0.25">
      <c r="A529" s="5">
        <v>605</v>
      </c>
      <c r="B529" t="s">
        <v>2520</v>
      </c>
      <c r="C529" t="s">
        <v>2497</v>
      </c>
      <c r="D529" s="3">
        <f t="shared" si="52"/>
        <v>605</v>
      </c>
      <c r="G529" s="8" t="s">
        <v>1473</v>
      </c>
      <c r="I529" t="s">
        <v>91</v>
      </c>
      <c r="J529" t="s">
        <v>91</v>
      </c>
      <c r="K529">
        <v>470</v>
      </c>
      <c r="L529">
        <v>470</v>
      </c>
      <c r="M529">
        <v>470</v>
      </c>
      <c r="O529" s="61" t="s">
        <v>2494</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3285</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2653</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hidden="1" x14ac:dyDescent="0.25">
      <c r="A530" s="5">
        <v>606</v>
      </c>
      <c r="B530" t="s">
        <v>2518</v>
      </c>
      <c r="C530" t="s">
        <v>2495</v>
      </c>
      <c r="D530" s="3">
        <f t="shared" si="52"/>
        <v>606</v>
      </c>
      <c r="G530" s="8" t="s">
        <v>1473</v>
      </c>
      <c r="I530" t="s">
        <v>91</v>
      </c>
      <c r="J530" t="s">
        <v>91</v>
      </c>
      <c r="K530">
        <v>470</v>
      </c>
      <c r="L530">
        <v>470</v>
      </c>
      <c r="M530">
        <v>470</v>
      </c>
      <c r="O530" s="61" t="s">
        <v>2494</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3285</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2653</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hidden="1" x14ac:dyDescent="0.25">
      <c r="A531" s="5">
        <v>607</v>
      </c>
      <c r="B531" t="s">
        <v>2519</v>
      </c>
      <c r="C531" t="s">
        <v>2496</v>
      </c>
      <c r="D531" s="3">
        <f t="shared" si="52"/>
        <v>607</v>
      </c>
      <c r="G531" s="8" t="s">
        <v>1473</v>
      </c>
      <c r="I531" t="s">
        <v>91</v>
      </c>
      <c r="J531" t="s">
        <v>91</v>
      </c>
      <c r="K531">
        <v>470</v>
      </c>
      <c r="L531">
        <v>470</v>
      </c>
      <c r="M531">
        <v>470</v>
      </c>
      <c r="O531" s="61" t="s">
        <v>2494</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3285</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2653</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hidden="1" x14ac:dyDescent="0.25">
      <c r="A532" s="5">
        <v>608</v>
      </c>
      <c r="B532" t="s">
        <v>2498</v>
      </c>
      <c r="C532" t="s">
        <v>2498</v>
      </c>
      <c r="D532" s="3">
        <f t="shared" si="52"/>
        <v>608</v>
      </c>
      <c r="G532" s="8" t="s">
        <v>1475</v>
      </c>
      <c r="H532" s="86">
        <v>3</v>
      </c>
      <c r="I532" t="s">
        <v>1462</v>
      </c>
      <c r="J532" t="s">
        <v>91</v>
      </c>
      <c r="K532">
        <v>470</v>
      </c>
      <c r="L532">
        <v>470</v>
      </c>
      <c r="M532">
        <v>470</v>
      </c>
      <c r="O532" s="61" t="s">
        <v>2494</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2529</v>
      </c>
      <c r="X532" s="3" t="s">
        <v>2529</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2653</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hidden="1" x14ac:dyDescent="0.25">
      <c r="A533" s="5">
        <v>609</v>
      </c>
      <c r="B533" t="s">
        <v>2517</v>
      </c>
      <c r="C533" t="s">
        <v>2493</v>
      </c>
      <c r="D533" s="3">
        <f t="shared" si="52"/>
        <v>609</v>
      </c>
      <c r="G533" s="8" t="s">
        <v>1475</v>
      </c>
      <c r="H533" s="86">
        <v>3</v>
      </c>
      <c r="I533" t="s">
        <v>1462</v>
      </c>
      <c r="J533" t="s">
        <v>91</v>
      </c>
      <c r="K533">
        <v>469</v>
      </c>
      <c r="L533">
        <v>469</v>
      </c>
      <c r="M533">
        <v>469</v>
      </c>
      <c r="O533" s="61" t="s">
        <v>2499</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2493</v>
      </c>
      <c r="X533" s="3" t="s">
        <v>2517</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2653</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hidden="1" x14ac:dyDescent="0.25">
      <c r="A534" s="5">
        <v>610</v>
      </c>
      <c r="B534" t="s">
        <v>2657</v>
      </c>
      <c r="C534" t="s">
        <v>2699</v>
      </c>
      <c r="D534" s="3">
        <f t="shared" si="52"/>
        <v>610</v>
      </c>
      <c r="G534" s="3" t="s">
        <v>1470</v>
      </c>
      <c r="I534" t="s">
        <v>91</v>
      </c>
      <c r="J534" t="s">
        <v>91</v>
      </c>
      <c r="K534">
        <v>478</v>
      </c>
      <c r="L534">
        <v>478</v>
      </c>
      <c r="M534">
        <v>478</v>
      </c>
      <c r="N534">
        <v>3</v>
      </c>
      <c r="O534" s="61" t="s">
        <v>2442</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3288</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3288</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3288</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hidden="1" x14ac:dyDescent="0.25">
      <c r="A535" s="5">
        <v>611</v>
      </c>
      <c r="B535" t="s">
        <v>2658</v>
      </c>
      <c r="C535" t="s">
        <v>2700</v>
      </c>
      <c r="D535" s="3">
        <f t="shared" si="52"/>
        <v>611</v>
      </c>
      <c r="G535" s="3" t="s">
        <v>1470</v>
      </c>
      <c r="I535" t="s">
        <v>91</v>
      </c>
      <c r="J535" t="s">
        <v>91</v>
      </c>
      <c r="K535" s="36">
        <v>494</v>
      </c>
      <c r="L535" s="36">
        <v>494</v>
      </c>
      <c r="M535" s="36">
        <v>494</v>
      </c>
      <c r="N535">
        <v>7</v>
      </c>
      <c r="O535" s="61" t="s">
        <v>2442</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3288</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3288</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3288</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hidden="1" x14ac:dyDescent="0.25">
      <c r="A536" s="5">
        <v>612</v>
      </c>
      <c r="B536" t="s">
        <v>2659</v>
      </c>
      <c r="C536" t="s">
        <v>2701</v>
      </c>
      <c r="D536" s="3">
        <f t="shared" si="52"/>
        <v>612</v>
      </c>
      <c r="G536" s="3" t="s">
        <v>1470</v>
      </c>
      <c r="I536" t="s">
        <v>91</v>
      </c>
      <c r="J536" t="s">
        <v>91</v>
      </c>
      <c r="K536" s="36">
        <v>489</v>
      </c>
      <c r="L536" s="36">
        <v>489</v>
      </c>
      <c r="M536" s="36">
        <v>489</v>
      </c>
      <c r="N536">
        <v>5</v>
      </c>
      <c r="O536" s="61" t="s">
        <v>2679</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3288</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3288</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3288</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hidden="1" x14ac:dyDescent="0.25">
      <c r="A537" s="5">
        <v>613</v>
      </c>
      <c r="B537" t="s">
        <v>2660</v>
      </c>
      <c r="C537" t="s">
        <v>2707</v>
      </c>
      <c r="D537" s="3">
        <f t="shared" si="52"/>
        <v>613</v>
      </c>
      <c r="G537" s="3" t="s">
        <v>1476</v>
      </c>
      <c r="I537" t="s">
        <v>91</v>
      </c>
      <c r="J537" t="s">
        <v>91</v>
      </c>
      <c r="K537">
        <v>493</v>
      </c>
      <c r="L537">
        <v>493</v>
      </c>
      <c r="M537">
        <v>493</v>
      </c>
      <c r="O537" s="61" t="s">
        <v>2442</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hidden="1" x14ac:dyDescent="0.25">
      <c r="A538" s="5">
        <v>614</v>
      </c>
      <c r="B538" t="s">
        <v>2661</v>
      </c>
      <c r="C538" t="s">
        <v>2706</v>
      </c>
      <c r="D538" s="3">
        <f t="shared" si="52"/>
        <v>614</v>
      </c>
      <c r="G538" s="3" t="s">
        <v>1476</v>
      </c>
      <c r="I538" t="s">
        <v>91</v>
      </c>
      <c r="J538" t="s">
        <v>91</v>
      </c>
      <c r="K538">
        <v>493</v>
      </c>
      <c r="L538">
        <v>493</v>
      </c>
      <c r="M538">
        <v>493</v>
      </c>
      <c r="O538" s="61" t="s">
        <v>2442</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hidden="1" x14ac:dyDescent="0.25">
      <c r="A539" s="5">
        <v>615</v>
      </c>
      <c r="B539" t="s">
        <v>2662</v>
      </c>
      <c r="C539" t="s">
        <v>2705</v>
      </c>
      <c r="D539" s="3">
        <f t="shared" si="52"/>
        <v>615</v>
      </c>
      <c r="G539" s="3" t="s">
        <v>1476</v>
      </c>
      <c r="I539" t="s">
        <v>91</v>
      </c>
      <c r="J539" t="s">
        <v>91</v>
      </c>
      <c r="K539">
        <v>493</v>
      </c>
      <c r="L539">
        <v>493</v>
      </c>
      <c r="M539">
        <v>493</v>
      </c>
      <c r="O539" s="61" t="s">
        <v>2442</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hidden="1" x14ac:dyDescent="0.25">
      <c r="A540" s="5">
        <v>616</v>
      </c>
      <c r="B540" t="s">
        <v>2521</v>
      </c>
      <c r="C540" t="s">
        <v>2512</v>
      </c>
      <c r="D540" s="3">
        <f t="shared" si="52"/>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2527</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3737</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2765</v>
      </c>
      <c r="AK540" s="3">
        <f>IF(AND(G540&lt;&gt;"LIBSETS_SETTYPE_BATTLEGROUND",G540&lt;&gt;"LIBSETS_SETTYPE_SPECIAL"),IF(AL540&lt;&gt;"",VLOOKUP(AL540,'ESO zone constants'!$D$5:$H$4955,5,FALSE),""),"")</f>
        <v>181</v>
      </c>
      <c r="AL540" t="s">
        <v>125</v>
      </c>
      <c r="AM540" s="33" t="s">
        <v>3740</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3236</v>
      </c>
      <c r="AZ540" s="83" t="s">
        <v>2653</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hidden="1" x14ac:dyDescent="0.25">
      <c r="A541" s="5">
        <v>617</v>
      </c>
      <c r="B541" t="s">
        <v>2522</v>
      </c>
      <c r="C541" t="s">
        <v>2513</v>
      </c>
      <c r="D541" s="3">
        <f t="shared" si="52"/>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2527</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3737</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2765</v>
      </c>
      <c r="AK541" s="3">
        <f>IF(AND(G541&lt;&gt;"LIBSETS_SETTYPE_BATTLEGROUND",G541&lt;&gt;"LIBSETS_SETTYPE_SPECIAL"),IF(AL541&lt;&gt;"",VLOOKUP(AL541,'ESO zone constants'!$D$5:$H$4955,5,FALSE),""),"")</f>
        <v>181</v>
      </c>
      <c r="AL541" t="s">
        <v>125</v>
      </c>
      <c r="AM541" s="33" t="s">
        <v>3740</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3236</v>
      </c>
      <c r="AZ541" s="83" t="s">
        <v>2653</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hidden="1" x14ac:dyDescent="0.25">
      <c r="A542" s="5">
        <v>618</v>
      </c>
      <c r="B542" t="s">
        <v>2523</v>
      </c>
      <c r="C542" t="s">
        <v>2652</v>
      </c>
      <c r="D542" s="3">
        <f t="shared" si="52"/>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2527</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3737</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2765</v>
      </c>
      <c r="AK542" s="3">
        <f>IF(AND(G542&lt;&gt;"LIBSETS_SETTYPE_BATTLEGROUND",G542&lt;&gt;"LIBSETS_SETTYPE_SPECIAL"),IF(AL542&lt;&gt;"",VLOOKUP(AL542,'ESO zone constants'!$D$5:$H$4955,5,FALSE),""),"")</f>
        <v>181</v>
      </c>
      <c r="AL542" t="s">
        <v>125</v>
      </c>
      <c r="AM542" s="33" t="s">
        <v>3740</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3236</v>
      </c>
      <c r="AZ542" s="83" t="s">
        <v>2653</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hidden="1" x14ac:dyDescent="0.25">
      <c r="A543" s="71">
        <v>619</v>
      </c>
      <c r="B543" t="s">
        <v>2744</v>
      </c>
      <c r="C543" t="s">
        <v>2743</v>
      </c>
      <c r="D543" s="3">
        <f t="shared" si="52"/>
        <v>619</v>
      </c>
      <c r="G543" s="8" t="s">
        <v>1473</v>
      </c>
      <c r="I543" t="s">
        <v>91</v>
      </c>
      <c r="J543" t="s">
        <v>91</v>
      </c>
      <c r="K543">
        <v>497</v>
      </c>
      <c r="L543">
        <v>497</v>
      </c>
      <c r="M543">
        <v>497</v>
      </c>
      <c r="O543" s="61" t="s">
        <v>2712</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3285</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hidden="1" x14ac:dyDescent="0.25">
      <c r="A544" s="71">
        <v>620</v>
      </c>
      <c r="B544" t="s">
        <v>2742</v>
      </c>
      <c r="C544" t="s">
        <v>2731</v>
      </c>
      <c r="D544" s="3">
        <f t="shared" si="52"/>
        <v>620</v>
      </c>
      <c r="G544" s="8" t="s">
        <v>1473</v>
      </c>
      <c r="I544" t="s">
        <v>91</v>
      </c>
      <c r="J544" t="s">
        <v>91</v>
      </c>
      <c r="K544">
        <v>497</v>
      </c>
      <c r="L544">
        <v>497</v>
      </c>
      <c r="M544">
        <v>497</v>
      </c>
      <c r="O544" s="61" t="s">
        <v>2712</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3285</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hidden="1" x14ac:dyDescent="0.25">
      <c r="A545" s="71">
        <v>621</v>
      </c>
      <c r="B545" t="s">
        <v>2741</v>
      </c>
      <c r="C545" t="s">
        <v>2714</v>
      </c>
      <c r="D545" s="3">
        <f t="shared" si="52"/>
        <v>621</v>
      </c>
      <c r="G545" s="8" t="s">
        <v>1473</v>
      </c>
      <c r="I545" t="s">
        <v>91</v>
      </c>
      <c r="J545" t="s">
        <v>91</v>
      </c>
      <c r="K545">
        <v>497</v>
      </c>
      <c r="L545">
        <v>497</v>
      </c>
      <c r="M545">
        <v>497</v>
      </c>
      <c r="O545" s="61" t="s">
        <v>2712</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3285</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hidden="1" x14ac:dyDescent="0.25">
      <c r="A546" s="71">
        <v>622</v>
      </c>
      <c r="B546" t="s">
        <v>2740</v>
      </c>
      <c r="C546" t="s">
        <v>2716</v>
      </c>
      <c r="D546" s="3">
        <f t="shared" si="52"/>
        <v>622</v>
      </c>
      <c r="G546" s="8" t="s">
        <v>1473</v>
      </c>
      <c r="I546" t="s">
        <v>91</v>
      </c>
      <c r="J546" t="s">
        <v>91</v>
      </c>
      <c r="K546">
        <v>498</v>
      </c>
      <c r="L546">
        <v>498</v>
      </c>
      <c r="M546">
        <v>498</v>
      </c>
      <c r="O546" s="61" t="s">
        <v>2724</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3285</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hidden="1" x14ac:dyDescent="0.25">
      <c r="A547" s="71">
        <v>623</v>
      </c>
      <c r="B547" t="s">
        <v>2739</v>
      </c>
      <c r="C547" t="s">
        <v>2732</v>
      </c>
      <c r="D547" s="3">
        <f t="shared" si="52"/>
        <v>623</v>
      </c>
      <c r="G547" s="8" t="s">
        <v>1473</v>
      </c>
      <c r="I547" t="s">
        <v>91</v>
      </c>
      <c r="J547" t="s">
        <v>91</v>
      </c>
      <c r="K547">
        <v>498</v>
      </c>
      <c r="L547">
        <v>498</v>
      </c>
      <c r="M547">
        <v>498</v>
      </c>
      <c r="O547" s="61" t="s">
        <v>2724</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3285</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hidden="1" x14ac:dyDescent="0.25">
      <c r="A548" s="71">
        <v>624</v>
      </c>
      <c r="B548" t="s">
        <v>2737</v>
      </c>
      <c r="C548" t="s">
        <v>2738</v>
      </c>
      <c r="D548" s="3">
        <f t="shared" si="52"/>
        <v>624</v>
      </c>
      <c r="G548" s="8" t="s">
        <v>1473</v>
      </c>
      <c r="I548" t="s">
        <v>91</v>
      </c>
      <c r="J548" t="s">
        <v>91</v>
      </c>
      <c r="K548">
        <v>498</v>
      </c>
      <c r="L548">
        <v>498</v>
      </c>
      <c r="M548">
        <v>498</v>
      </c>
      <c r="O548" s="61" t="s">
        <v>2724</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3285</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hidden="1" x14ac:dyDescent="0.25">
      <c r="A549" s="5">
        <v>625</v>
      </c>
      <c r="B549" t="s">
        <v>2663</v>
      </c>
      <c r="C549" t="s">
        <v>2703</v>
      </c>
      <c r="D549" s="3">
        <f t="shared" si="52"/>
        <v>625</v>
      </c>
      <c r="G549" s="3" t="s">
        <v>1678</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2656</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3269</v>
      </c>
      <c r="AC549" s="41" t="s">
        <v>3228</v>
      </c>
      <c r="AD549" s="41" t="s">
        <v>3229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3231</v>
      </c>
      <c r="AJ549" s="41" t="s">
        <v>3293</v>
      </c>
      <c r="AK549" s="3">
        <f>IF(AND(G549&lt;&gt;"LIBSETS_SETTYPE_BATTLEGROUND",G549&lt;&gt;"LIBSETS_SETTYPE_SPECIAL"),IF(AL549&lt;&gt;"",VLOOKUP(AL549,'ESO zone constants'!$D$5:$H$4955,5,FALSE),""),"")</f>
        <v>380</v>
      </c>
      <c r="AL549" t="s">
        <v>96</v>
      </c>
      <c r="AM549" s="33" t="s">
        <v>3269</v>
      </c>
      <c r="AN549" s="41" t="s">
        <v>3230</v>
      </c>
      <c r="AO549" s="41" t="s">
        <v>3207</v>
      </c>
      <c r="AP549" s="3">
        <f>IF(AND(G549&lt;&gt;"LIBSETS_SETTYPE_BATTLEGROUND",G549&lt;&gt;"LIBSETS_SETTYPE_SPECIAL"),IF(AQ549&lt;&gt;"",VLOOKUP(AQ549,'ESO zone constants'!$D$5:$H$4955,5,FALSE),""),"")</f>
        <v>935</v>
      </c>
      <c r="AQ549" t="s">
        <v>97</v>
      </c>
      <c r="AR549" s="33" t="s">
        <v>3269</v>
      </c>
      <c r="AS549" s="41" t="s">
        <v>3230</v>
      </c>
      <c r="AT549" s="41" t="s">
        <v>3207</v>
      </c>
      <c r="AU549" s="3">
        <f>IF(AND(G549&lt;&gt;"LIBSETS_SETTYPE_BATTLEGROUND",G549&lt;&gt;"LIBSETS_SETTYPE_SPECIAL"),IF(AV549&lt;&gt;"",VLOOKUP(AV549,'ESO zone constants'!$D$5:$H$4955,5,FALSE),""),"")</f>
        <v>1282</v>
      </c>
      <c r="AV549" t="s">
        <v>2678</v>
      </c>
      <c r="AW549" s="33" t="s">
        <v>3212</v>
      </c>
      <c r="AX549" s="41"/>
      <c r="AY549" s="41"/>
      <c r="AZ549" s="85"/>
      <c r="BA549" s="36" t="s">
        <v>3178</v>
      </c>
      <c r="BB549" s="36" t="s">
        <v>3178</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hidden="1" x14ac:dyDescent="0.25">
      <c r="A550" s="5">
        <v>626</v>
      </c>
      <c r="B550" t="s">
        <v>2664</v>
      </c>
      <c r="C550" t="s">
        <v>2702</v>
      </c>
      <c r="D550" s="3">
        <f t="shared" si="52"/>
        <v>626</v>
      </c>
      <c r="E550" s="40"/>
      <c r="G550" s="3" t="s">
        <v>1678</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2656</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3212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3862</v>
      </c>
      <c r="AD550" s="41" t="s">
        <v>3861</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2391</v>
      </c>
      <c r="AM550" s="33" t="s">
        <v>3269</v>
      </c>
      <c r="AN550" s="41" t="s">
        <v>3230</v>
      </c>
      <c r="AO550" s="41" t="s">
        <v>3207</v>
      </c>
      <c r="AP550" s="3">
        <f>IF(AND(G550&lt;&gt;"LIBSETS_SETTYPE_BATTLEGROUND",G550&lt;&gt;"LIBSETS_SETTYPE_SPECIAL"),IF(AQ550&lt;&gt;"",VLOOKUP(AQ550,'ESO zone constants'!$D$5:$H$4955,5,FALSE),""),"")</f>
        <v>974</v>
      </c>
      <c r="AQ550" t="s">
        <v>44</v>
      </c>
      <c r="AR550" s="33" t="s">
        <v>3209</v>
      </c>
      <c r="AS550" s="41"/>
      <c r="AT550" s="41"/>
      <c r="AU550" s="3" t="str">
        <f>IF(AND(G550&lt;&gt;"LIBSETS_SETTYPE_BATTLEGROUND",G550&lt;&gt;"LIBSETS_SETTYPE_SPECIAL"),IF(AV550&lt;&gt;"",VLOOKUP(AV550,'ESO zone constants'!$D$5:$H$4955,5,FALSE),""),"")</f>
        <v/>
      </c>
      <c r="AV550" s="39"/>
      <c r="AX550" s="41"/>
      <c r="AY550" s="41"/>
      <c r="AZ550" s="85"/>
      <c r="BA550" s="36" t="s">
        <v>3172</v>
      </c>
      <c r="BB550" s="36" t="s">
        <v>3172</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hidden="1" x14ac:dyDescent="0.25">
      <c r="A551" s="5">
        <v>627</v>
      </c>
      <c r="B551" t="s">
        <v>2708</v>
      </c>
      <c r="C551" t="s">
        <v>2704</v>
      </c>
      <c r="D551" s="3">
        <f t="shared" si="52"/>
        <v>627</v>
      </c>
      <c r="G551" s="3" t="s">
        <v>1678</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2656</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3275</v>
      </c>
      <c r="X551" s="3" t="s">
        <v>3275</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3223</v>
      </c>
      <c r="AC551" s="41" t="s">
        <v>3232</v>
      </c>
      <c r="AD551" s="41" t="s">
        <v>3233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3240</v>
      </c>
      <c r="AJ551" s="41" t="s">
        <v>3292</v>
      </c>
      <c r="AK551" s="3">
        <f>IF(AND(G551&lt;&gt;"LIBSETS_SETTYPE_BATTLEGROUND",G551&lt;&gt;"LIBSETS_SETTYPE_SPECIAL"),IF(AL551&lt;&gt;"",VLOOKUP(AL551,'ESO zone constants'!$D$5:$H$4955,5,FALSE),""),"")</f>
        <v>0</v>
      </c>
      <c r="AL551" t="s">
        <v>2227</v>
      </c>
      <c r="AM551" s="33" t="s">
        <v>3269</v>
      </c>
      <c r="AN551" s="41" t="s">
        <v>3241</v>
      </c>
      <c r="AO551" s="41" t="s">
        <v>3242</v>
      </c>
      <c r="AP551" s="3">
        <f>IF(AND(G551&lt;&gt;"LIBSETS_SETTYPE_BATTLEGROUND",G551&lt;&gt;"LIBSETS_SETTYPE_SPECIAL"),IF(AQ551&lt;&gt;"",VLOOKUP(AQ551,'ESO zone constants'!$D$5:$H$4955,5,FALSE),""),"")</f>
        <v>0</v>
      </c>
      <c r="AQ551" t="s">
        <v>2227</v>
      </c>
      <c r="AR551" s="33" t="s">
        <v>3269</v>
      </c>
      <c r="AS551" s="41" t="s">
        <v>3243</v>
      </c>
      <c r="AT551" s="41" t="s">
        <v>3243</v>
      </c>
      <c r="AU551" s="3" t="str">
        <f>IF(AND(G551&lt;&gt;"LIBSETS_SETTYPE_BATTLEGROUND",G551&lt;&gt;"LIBSETS_SETTYPE_SPECIAL"),IF(AV551&lt;&gt;"",VLOOKUP(AV551,'ESO zone constants'!$D$5:$H$4955,5,FALSE),""),"")</f>
        <v/>
      </c>
      <c r="AX551" s="41"/>
      <c r="AY551" s="41"/>
      <c r="AZ551" s="85"/>
      <c r="BA551" s="36" t="s">
        <v>3274</v>
      </c>
      <c r="BB551" s="36" t="s">
        <v>3274</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hidden="1" x14ac:dyDescent="0.25">
      <c r="A552" s="5">
        <v>629</v>
      </c>
      <c r="B552" t="s">
        <v>2733</v>
      </c>
      <c r="C552" t="s">
        <v>2718</v>
      </c>
      <c r="D552" s="3">
        <f t="shared" si="52"/>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2710</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3737</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2765</v>
      </c>
      <c r="AK552" s="3">
        <f>IF(AND(G552&lt;&gt;"LIBSETS_SETTYPE_BATTLEGROUND",G552&lt;&gt;"LIBSETS_SETTYPE_SPECIAL"),IF(AL552&lt;&gt;"",VLOOKUP(AL552,'ESO zone constants'!$D$5:$H$4955,5,FALSE),""),"")</f>
        <v>181</v>
      </c>
      <c r="AL552" t="s">
        <v>125</v>
      </c>
      <c r="AM552" s="33" t="s">
        <v>3740</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3236</v>
      </c>
      <c r="AZ552" s="78" t="s">
        <v>2653</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hidden="1" x14ac:dyDescent="0.25">
      <c r="A553" s="5">
        <v>630</v>
      </c>
      <c r="B553" t="s">
        <v>2734</v>
      </c>
      <c r="C553" t="s">
        <v>2719</v>
      </c>
      <c r="D553" s="3">
        <f t="shared" si="52"/>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2710</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3737</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2765</v>
      </c>
      <c r="AK553" s="3">
        <f>IF(AND(G553&lt;&gt;"LIBSETS_SETTYPE_BATTLEGROUND",G553&lt;&gt;"LIBSETS_SETTYPE_SPECIAL"),IF(AL553&lt;&gt;"",VLOOKUP(AL553,'ESO zone constants'!$D$5:$H$4955,5,FALSE),""),"")</f>
        <v>181</v>
      </c>
      <c r="AL553" t="s">
        <v>125</v>
      </c>
      <c r="AM553" s="33" t="s">
        <v>3740</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3236</v>
      </c>
      <c r="AZ553" s="78" t="s">
        <v>2653</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hidden="1" x14ac:dyDescent="0.25">
      <c r="A554" s="5">
        <v>631</v>
      </c>
      <c r="B554" t="s">
        <v>2735</v>
      </c>
      <c r="C554" t="s">
        <v>2720</v>
      </c>
      <c r="D554" s="3">
        <f t="shared" si="52"/>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2710</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3737</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2765</v>
      </c>
      <c r="AK554" s="3">
        <f>IF(AND(G554&lt;&gt;"LIBSETS_SETTYPE_BATTLEGROUND",G554&lt;&gt;"LIBSETS_SETTYPE_SPECIAL"),IF(AL554&lt;&gt;"",VLOOKUP(AL554,'ESO zone constants'!$D$5:$H$4955,5,FALSE),""),"")</f>
        <v>181</v>
      </c>
      <c r="AL554" t="s">
        <v>125</v>
      </c>
      <c r="AM554" s="33" t="s">
        <v>3740</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3236</v>
      </c>
      <c r="AZ554" s="78" t="s">
        <v>2653</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hidden="1" x14ac:dyDescent="0.25">
      <c r="A555" s="5">
        <v>632</v>
      </c>
      <c r="B555" t="s">
        <v>2715</v>
      </c>
      <c r="C555" t="s">
        <v>2715</v>
      </c>
      <c r="D555" s="3">
        <f t="shared" si="52"/>
        <v>632</v>
      </c>
      <c r="G555" s="8" t="s">
        <v>1475</v>
      </c>
      <c r="H555" s="86">
        <v>3</v>
      </c>
      <c r="I555" t="s">
        <v>1462</v>
      </c>
      <c r="J555" t="s">
        <v>91</v>
      </c>
      <c r="K555">
        <v>497</v>
      </c>
      <c r="L555">
        <v>497</v>
      </c>
      <c r="M555">
        <v>497</v>
      </c>
      <c r="O555" s="61" t="s">
        <v>2712</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2756</v>
      </c>
      <c r="X555" s="3" t="s">
        <v>2756</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hidden="1" x14ac:dyDescent="0.25">
      <c r="A556" s="5">
        <v>633</v>
      </c>
      <c r="B556" t="s">
        <v>2717</v>
      </c>
      <c r="C556" t="s">
        <v>2717</v>
      </c>
      <c r="D556" s="3">
        <f t="shared" si="52"/>
        <v>633</v>
      </c>
      <c r="G556" s="8" t="s">
        <v>1475</v>
      </c>
      <c r="H556" s="86">
        <v>3</v>
      </c>
      <c r="I556" t="s">
        <v>1462</v>
      </c>
      <c r="J556" t="s">
        <v>91</v>
      </c>
      <c r="K556">
        <v>498</v>
      </c>
      <c r="L556">
        <v>498</v>
      </c>
      <c r="M556">
        <v>498</v>
      </c>
      <c r="O556" s="61" t="s">
        <v>2724</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2717</v>
      </c>
      <c r="X556" s="3" t="s">
        <v>2717</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hidden="1" x14ac:dyDescent="0.25">
      <c r="A557" s="5">
        <v>634</v>
      </c>
      <c r="B557" t="s">
        <v>2721</v>
      </c>
      <c r="C557" t="s">
        <v>2721</v>
      </c>
      <c r="D557" s="3">
        <f t="shared" si="52"/>
        <v>634</v>
      </c>
      <c r="F557" t="s">
        <v>2758</v>
      </c>
      <c r="G557" s="8" t="s">
        <v>2757</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2710</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3875</v>
      </c>
      <c r="X557" s="3" t="s">
        <v>3882</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2761</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2653</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hidden="1" x14ac:dyDescent="0.25">
      <c r="A558" s="5">
        <v>635</v>
      </c>
      <c r="B558" t="s">
        <v>2736</v>
      </c>
      <c r="C558" t="s">
        <v>2722</v>
      </c>
      <c r="D558" s="3">
        <f t="shared" si="52"/>
        <v>635</v>
      </c>
      <c r="F558" t="s">
        <v>2758</v>
      </c>
      <c r="G558" s="8" t="s">
        <v>2757</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2710</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3874</v>
      </c>
      <c r="X558" s="3" t="s">
        <v>3883</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2761</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2653</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hidden="1" x14ac:dyDescent="0.25">
      <c r="A559" s="5">
        <v>636</v>
      </c>
      <c r="B559" t="s">
        <v>2723</v>
      </c>
      <c r="C559" t="s">
        <v>2723</v>
      </c>
      <c r="D559" s="3">
        <f t="shared" si="52"/>
        <v>636</v>
      </c>
      <c r="E559" s="40"/>
      <c r="F559" t="s">
        <v>2758</v>
      </c>
      <c r="G559" s="8" t="s">
        <v>2757</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2710</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3873</v>
      </c>
      <c r="X559" s="3" t="s">
        <v>3884</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2761</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2653</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hidden="1" x14ac:dyDescent="0.25">
      <c r="A560" s="93">
        <v>640</v>
      </c>
      <c r="B560" t="s">
        <v>3429</v>
      </c>
      <c r="C560" t="s">
        <v>3370</v>
      </c>
      <c r="D560" s="3">
        <f t="shared" si="52"/>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3288</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3288</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3288</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hidden="1" x14ac:dyDescent="0.25">
      <c r="A561" s="93">
        <v>641</v>
      </c>
      <c r="B561" t="s">
        <v>3430</v>
      </c>
      <c r="C561" s="86" t="s">
        <v>3959</v>
      </c>
      <c r="D561" s="3">
        <f t="shared" si="52"/>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3288</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3288</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3288</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hidden="1" x14ac:dyDescent="0.25">
      <c r="A562" s="93">
        <v>642</v>
      </c>
      <c r="B562" t="s">
        <v>3431</v>
      </c>
      <c r="C562" t="s">
        <v>3371</v>
      </c>
      <c r="D562" s="3">
        <f t="shared" si="52"/>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3288</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3288</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3288</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hidden="1" x14ac:dyDescent="0.25">
      <c r="A563" s="93">
        <v>643</v>
      </c>
      <c r="B563" t="s">
        <v>3432</v>
      </c>
      <c r="C563" t="s">
        <v>3372</v>
      </c>
      <c r="D563" s="3">
        <f t="shared" si="52"/>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3327</v>
      </c>
      <c r="AM563" s="33" t="s">
        <v>1556</v>
      </c>
      <c r="AP563" s="3">
        <f>IF(AND(G563&lt;&gt;"LIBSETS_SETTYPE_BATTLEGROUND",G563&lt;&gt;"LIBSETS_SETTYPE_SPECIAL"),IF(AQ563&lt;&gt;"",VLOOKUP(AQ563,'ESO zone constants'!$D$5:$H$4955,5,FALSE),""),"")</f>
        <v>1318</v>
      </c>
      <c r="AQ563" t="s">
        <v>3327</v>
      </c>
      <c r="AR563" s="33" t="s">
        <v>3223</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hidden="1" x14ac:dyDescent="0.25">
      <c r="A564" s="93">
        <v>644</v>
      </c>
      <c r="B564" t="s">
        <v>3433</v>
      </c>
      <c r="C564" t="s">
        <v>3373</v>
      </c>
      <c r="D564" s="3">
        <f t="shared" si="52"/>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3327</v>
      </c>
      <c r="AM564" s="33" t="s">
        <v>1556</v>
      </c>
      <c r="AP564" s="3">
        <f>IF(AND(G564&lt;&gt;"LIBSETS_SETTYPE_BATTLEGROUND",G564&lt;&gt;"LIBSETS_SETTYPE_SPECIAL"),IF(AQ564&lt;&gt;"",VLOOKUP(AQ564,'ESO zone constants'!$D$5:$H$4955,5,FALSE),""),"")</f>
        <v>1318</v>
      </c>
      <c r="AQ564" t="s">
        <v>3327</v>
      </c>
      <c r="AR564" s="33" t="s">
        <v>3223</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hidden="1" x14ac:dyDescent="0.25">
      <c r="A565" s="93">
        <v>645</v>
      </c>
      <c r="B565" t="s">
        <v>3434</v>
      </c>
      <c r="C565" t="s">
        <v>3374</v>
      </c>
      <c r="D565" s="3">
        <f t="shared" si="52"/>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3327</v>
      </c>
      <c r="AM565" s="33" t="s">
        <v>1556</v>
      </c>
      <c r="AP565" s="3">
        <f>IF(AND(G565&lt;&gt;"LIBSETS_SETTYPE_BATTLEGROUND",G565&lt;&gt;"LIBSETS_SETTYPE_SPECIAL"),IF(AQ565&lt;&gt;"",VLOOKUP(AQ565,'ESO zone constants'!$D$5:$H$4955,5,FALSE),""),"")</f>
        <v>1318</v>
      </c>
      <c r="AQ565" t="s">
        <v>3327</v>
      </c>
      <c r="AR565" s="33" t="s">
        <v>3223</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3435</v>
      </c>
      <c r="C566" t="s">
        <v>3375</v>
      </c>
      <c r="D566" s="3">
        <f t="shared" si="52"/>
        <v>646</v>
      </c>
      <c r="G566" s="3" t="s">
        <v>1477</v>
      </c>
      <c r="I566" t="s">
        <v>91</v>
      </c>
      <c r="J566" t="s">
        <v>91</v>
      </c>
      <c r="K566">
        <v>505</v>
      </c>
      <c r="L566">
        <v>505</v>
      </c>
      <c r="M566">
        <v>505</v>
      </c>
      <c r="O566" s="61" t="s">
        <v>3349</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3266</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3266</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3266</v>
      </c>
      <c r="AK566" s="3"/>
      <c r="AU566" s="3" t="str">
        <f>IF(AND(G566&lt;&gt;"LIBSETS_SETTYPE_BATTLEGROUND",G566&lt;&gt;"LIBSETS_SETTYPE_SPECIAL"),IF(AV566&lt;&gt;"",VLOOKUP(AV566,'ESO zone constants'!$D$5:$H$4955,5,FALSE),""),"")</f>
        <v/>
      </c>
      <c r="BD566" s="96">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3436</v>
      </c>
      <c r="C567" t="s">
        <v>3376</v>
      </c>
      <c r="D567" s="3">
        <f t="shared" si="52"/>
        <v>647</v>
      </c>
      <c r="G567" s="3" t="s">
        <v>1477</v>
      </c>
      <c r="I567" t="s">
        <v>91</v>
      </c>
      <c r="J567" t="s">
        <v>91</v>
      </c>
      <c r="K567">
        <v>505</v>
      </c>
      <c r="L567">
        <v>505</v>
      </c>
      <c r="M567">
        <v>505</v>
      </c>
      <c r="O567" s="61" t="s">
        <v>3349</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3266</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3266</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3266</v>
      </c>
      <c r="AK567" s="3"/>
      <c r="AU567" s="3" t="str">
        <f>IF(AND(G567&lt;&gt;"LIBSETS_SETTYPE_BATTLEGROUND",G567&lt;&gt;"LIBSETS_SETTYPE_SPECIAL"),IF(AV567&lt;&gt;"",VLOOKUP(AV567,'ESO zone constants'!$D$5:$H$4955,5,FALSE),""),"")</f>
        <v/>
      </c>
      <c r="BD567" s="96">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3437</v>
      </c>
      <c r="C568" t="s">
        <v>3377</v>
      </c>
      <c r="D568" s="3">
        <f t="shared" si="52"/>
        <v>648</v>
      </c>
      <c r="G568" s="3" t="s">
        <v>1477</v>
      </c>
      <c r="I568" t="s">
        <v>91</v>
      </c>
      <c r="J568" t="s">
        <v>91</v>
      </c>
      <c r="K568">
        <v>505</v>
      </c>
      <c r="L568">
        <v>505</v>
      </c>
      <c r="M568">
        <v>505</v>
      </c>
      <c r="O568" s="61" t="s">
        <v>3349</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3266</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3266</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3266</v>
      </c>
      <c r="AK568" s="3"/>
      <c r="AU568" s="3" t="str">
        <f>IF(AND(G568&lt;&gt;"LIBSETS_SETTYPE_BATTLEGROUND",G568&lt;&gt;"LIBSETS_SETTYPE_SPECIAL"),IF(AV568&lt;&gt;"",VLOOKUP(AV568,'ESO zone constants'!$D$5:$H$4955,5,FALSE),""),"")</f>
        <v/>
      </c>
      <c r="BD568" s="96">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3438</v>
      </c>
      <c r="C569" t="s">
        <v>3378</v>
      </c>
      <c r="D569" s="3">
        <f t="shared" si="52"/>
        <v>649</v>
      </c>
      <c r="G569" s="3" t="s">
        <v>1477</v>
      </c>
      <c r="I569" t="s">
        <v>91</v>
      </c>
      <c r="J569" t="s">
        <v>91</v>
      </c>
      <c r="K569">
        <v>505</v>
      </c>
      <c r="L569">
        <v>505</v>
      </c>
      <c r="M569">
        <v>505</v>
      </c>
      <c r="O569" s="61" t="s">
        <v>3349</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3266</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3266</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3266</v>
      </c>
      <c r="AK569" s="3"/>
      <c r="AU569" s="3" t="str">
        <f>IF(AND(G569&lt;&gt;"LIBSETS_SETTYPE_BATTLEGROUND",G569&lt;&gt;"LIBSETS_SETTYPE_SPECIAL"),IF(AV569&lt;&gt;"",VLOOKUP(AV569,'ESO zone constants'!$D$5:$H$4955,5,FALSE),""),"")</f>
        <v/>
      </c>
      <c r="BD569" s="96">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3439</v>
      </c>
      <c r="C570" s="86" t="s">
        <v>3958</v>
      </c>
      <c r="D570" s="3">
        <f t="shared" si="52"/>
        <v>650</v>
      </c>
      <c r="G570" s="3" t="s">
        <v>1477</v>
      </c>
      <c r="I570" t="s">
        <v>92</v>
      </c>
      <c r="J570" t="s">
        <v>91</v>
      </c>
      <c r="K570">
        <v>505</v>
      </c>
      <c r="L570">
        <v>505</v>
      </c>
      <c r="M570">
        <v>505</v>
      </c>
      <c r="O570" s="61" t="s">
        <v>3349</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3266</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3266</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3266</v>
      </c>
      <c r="AK570" s="3"/>
      <c r="AU570" s="3" t="str">
        <f>IF(AND(G570&lt;&gt;"LIBSETS_SETTYPE_BATTLEGROUND",G570&lt;&gt;"LIBSETS_SETTYPE_SPECIAL"),IF(AV570&lt;&gt;"",VLOOKUP(AV570,'ESO zone constants'!$D$5:$H$4955,5,FALSE),""),"")</f>
        <v/>
      </c>
      <c r="BD570" s="96" t="s">
        <v>3832</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3440</v>
      </c>
      <c r="C571" t="s">
        <v>3379</v>
      </c>
      <c r="D571" s="3">
        <f t="shared" si="52"/>
        <v>651</v>
      </c>
      <c r="G571" s="3" t="s">
        <v>1477</v>
      </c>
      <c r="I571" t="s">
        <v>92</v>
      </c>
      <c r="J571" t="s">
        <v>91</v>
      </c>
      <c r="K571">
        <v>505</v>
      </c>
      <c r="L571">
        <v>505</v>
      </c>
      <c r="M571">
        <v>505</v>
      </c>
      <c r="O571" s="61" t="s">
        <v>3349</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3266</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3266</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3266</v>
      </c>
      <c r="AK571" s="3"/>
      <c r="AU571" s="3" t="str">
        <f>IF(AND(G571&lt;&gt;"LIBSETS_SETTYPE_BATTLEGROUND",G571&lt;&gt;"LIBSETS_SETTYPE_SPECIAL"),IF(AV571&lt;&gt;"",VLOOKUP(AV571,'ESO zone constants'!$D$5:$H$4955,5,FALSE),""),"")</f>
        <v/>
      </c>
      <c r="BD571" s="96" t="s">
        <v>3832</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3441</v>
      </c>
      <c r="C572" t="s">
        <v>3380</v>
      </c>
      <c r="D572" s="3">
        <f t="shared" si="52"/>
        <v>652</v>
      </c>
      <c r="G572" s="3" t="s">
        <v>1477</v>
      </c>
      <c r="I572" t="s">
        <v>92</v>
      </c>
      <c r="J572" t="s">
        <v>91</v>
      </c>
      <c r="K572">
        <v>505</v>
      </c>
      <c r="L572">
        <v>505</v>
      </c>
      <c r="M572">
        <v>505</v>
      </c>
      <c r="O572" s="61" t="s">
        <v>3349</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3266</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3266</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3266</v>
      </c>
      <c r="AK572" s="3"/>
      <c r="AU572" s="3" t="str">
        <f>IF(AND(G572&lt;&gt;"LIBSETS_SETTYPE_BATTLEGROUND",G572&lt;&gt;"LIBSETS_SETTYPE_SPECIAL"),IF(AV572&lt;&gt;"",VLOOKUP(AV572,'ESO zone constants'!$D$5:$H$4955,5,FALSE),""),"")</f>
        <v/>
      </c>
      <c r="BD572" s="96" t="s">
        <v>3832</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3442</v>
      </c>
      <c r="C573" t="s">
        <v>3381</v>
      </c>
      <c r="D573" s="3">
        <f t="shared" si="52"/>
        <v>653</v>
      </c>
      <c r="G573" s="3" t="s">
        <v>1477</v>
      </c>
      <c r="I573" t="s">
        <v>92</v>
      </c>
      <c r="J573" t="s">
        <v>91</v>
      </c>
      <c r="K573">
        <v>505</v>
      </c>
      <c r="L573">
        <v>505</v>
      </c>
      <c r="M573">
        <v>505</v>
      </c>
      <c r="O573" s="61" t="s">
        <v>3349</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3266</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3266</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3266</v>
      </c>
      <c r="AK573" s="3"/>
      <c r="AU573" s="3" t="str">
        <f>IF(AND(G573&lt;&gt;"LIBSETS_SETTYPE_BATTLEGROUND",G573&lt;&gt;"LIBSETS_SETTYPE_SPECIAL"),IF(AV573&lt;&gt;"",VLOOKUP(AV573,'ESO zone constants'!$D$5:$H$4955,5,FALSE),""),"")</f>
        <v/>
      </c>
      <c r="BD573" s="96" t="s">
        <v>3832</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hidden="1" x14ac:dyDescent="0.25">
      <c r="A574" s="5">
        <v>654</v>
      </c>
      <c r="B574" t="s">
        <v>3443</v>
      </c>
      <c r="C574" s="86" t="s">
        <v>3490</v>
      </c>
      <c r="D574" s="3">
        <f t="shared" si="52"/>
        <v>654</v>
      </c>
      <c r="G574" s="95" t="s">
        <v>1678</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3328</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3269</v>
      </c>
      <c r="W574" s="3" t="s">
        <v>3492</v>
      </c>
      <c r="X574" s="3" t="s">
        <v>3493</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3554</v>
      </c>
      <c r="AC574" s="3" t="s">
        <v>3869</v>
      </c>
      <c r="AD574" s="3" t="s">
        <v>3497</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3269</v>
      </c>
      <c r="AI574" s="3" t="s">
        <v>3498</v>
      </c>
      <c r="AJ574" s="3" t="s">
        <v>3499</v>
      </c>
      <c r="AK574" s="3">
        <f>IF(AND(G574&lt;&gt;"LIBSETS_SETTYPE_BATTLEGROUND",G574&lt;&gt;"LIBSETS_SETTYPE_SPECIAL"),IF(AL574&lt;&gt;"",VLOOKUP(AL574,'ESO zone constants'!$D$5:$H$4955,5,FALSE),""),"")</f>
        <v>1286</v>
      </c>
      <c r="AL574" t="s">
        <v>2442</v>
      </c>
      <c r="AM574" s="33" t="s">
        <v>3597</v>
      </c>
      <c r="AN574" s="3" t="s">
        <v>3603</v>
      </c>
      <c r="AO574" s="3" t="s">
        <v>3604</v>
      </c>
      <c r="AP574" s="3">
        <f>IF(AND(G574&lt;&gt;"LIBSETS_SETTYPE_BATTLEGROUND",G574&lt;&gt;"LIBSETS_SETTYPE_SPECIAL"),IF(AQ574&lt;&gt;"",VLOOKUP(AQ574,'ESO zone constants'!$D$5:$H$4955,5,FALSE),""),"")</f>
        <v>678</v>
      </c>
      <c r="AQ574" t="s">
        <v>52</v>
      </c>
      <c r="AR574" s="33" t="s">
        <v>3285</v>
      </c>
      <c r="AS574" s="3" t="s">
        <v>3500</v>
      </c>
      <c r="AT574" s="3" t="s">
        <v>3501</v>
      </c>
      <c r="AU574" s="3" t="str">
        <f>IF(AND(G574&lt;&gt;"LIBSETS_SETTYPE_BATTLEGROUND",G574&lt;&gt;"LIBSETS_SETTYPE_SPECIAL"),IF(AV574&lt;&gt;"",VLOOKUP(AV574,'ESO zone constants'!$D$5:$H$4955,5,FALSE),""),"")</f>
        <v/>
      </c>
      <c r="BA574" s="96" t="s">
        <v>3515</v>
      </c>
      <c r="BB574" s="96" t="s">
        <v>3515</v>
      </c>
      <c r="BC574" s="96"/>
      <c r="BD574" s="96"/>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hidden="1" x14ac:dyDescent="0.25">
      <c r="A575" s="5">
        <v>655</v>
      </c>
      <c r="B575" t="s">
        <v>3444</v>
      </c>
      <c r="C575" s="86" t="s">
        <v>3382</v>
      </c>
      <c r="D575" s="3">
        <f t="shared" si="52"/>
        <v>655</v>
      </c>
      <c r="G575" s="95" t="s">
        <v>1678</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3328</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3223</v>
      </c>
      <c r="W575" s="3" t="s">
        <v>3232</v>
      </c>
      <c r="X575" s="3" t="s">
        <v>3233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3223</v>
      </c>
      <c r="AC575" s="3" t="s">
        <v>3502</v>
      </c>
      <c r="AD575" s="3" t="s">
        <v>3503</v>
      </c>
      <c r="AF575" s="3">
        <v>1121</v>
      </c>
      <c r="AG575" t="s">
        <v>1343</v>
      </c>
      <c r="AH575" s="33" t="s">
        <v>3269</v>
      </c>
      <c r="AI575" s="3" t="s">
        <v>3504</v>
      </c>
      <c r="AJ575" s="3" t="s">
        <v>3505</v>
      </c>
      <c r="AK575" s="3">
        <f>IF(AND(G575&lt;&gt;"LIBSETS_SETTYPE_BATTLEGROUND",G575&lt;&gt;"LIBSETS_SETTYPE_SPECIAL"),IF(AL575&lt;&gt;"",VLOOKUP(AL575,'ESO zone constants'!$D$5:$H$4955,5,FALSE),""),"")</f>
        <v>1123</v>
      </c>
      <c r="AL575" t="s">
        <v>1483</v>
      </c>
      <c r="AM575" s="33" t="s">
        <v>3285</v>
      </c>
      <c r="AN575" s="3" t="s">
        <v>1504</v>
      </c>
      <c r="AO575" s="3" t="s">
        <v>1504</v>
      </c>
      <c r="AP575" s="3">
        <f>IF(AND(G575&lt;&gt;"LIBSETS_SETTYPE_BATTLEGROUND",G575&lt;&gt;"LIBSETS_SETTYPE_SPECIAL"),IF(AQ575&lt;&gt;"",VLOOKUP(AQ575,'ESO zone constants'!$D$5:$H$4955,5,FALSE),""),"")</f>
        <v>1122</v>
      </c>
      <c r="AQ575" t="s">
        <v>1482</v>
      </c>
      <c r="AR575" s="33" t="s">
        <v>3269</v>
      </c>
      <c r="AS575" s="3" t="s">
        <v>3506</v>
      </c>
      <c r="AT575" s="3" t="s">
        <v>3507</v>
      </c>
      <c r="AU575" s="3" t="str">
        <f>IF(AND(G575&lt;&gt;"LIBSETS_SETTYPE_BATTLEGROUND",G575&lt;&gt;"LIBSETS_SETTYPE_SPECIAL"),IF(AV575&lt;&gt;"",VLOOKUP(AV575,'ESO zone constants'!$D$5:$H$4955,5,FALSE),""),"")</f>
        <v/>
      </c>
      <c r="BA575" s="96" t="s">
        <v>3516</v>
      </c>
      <c r="BB575" s="96" t="s">
        <v>3516</v>
      </c>
      <c r="BC575" s="96"/>
      <c r="BD575" s="96"/>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I575" s="21" t="str">
        <f t="shared" si="57"/>
        <v>, addTooltip={['en']='https://en.uesp.net/wiki/Online:Dov-rha_Sabatons',},}, --Dov-rha Sabatons / Dov-rha-Panzerschuhe   [Northern Elsweyr, Southern Elsweyr, Sunspire, Lair of Maarselok, Moongrave Fane]</v>
      </c>
    </row>
    <row r="576" spans="1:61" hidden="1" x14ac:dyDescent="0.25">
      <c r="A576" s="5">
        <v>656</v>
      </c>
      <c r="B576" t="s">
        <v>3445</v>
      </c>
      <c r="C576" s="86" t="s">
        <v>3508</v>
      </c>
      <c r="D576" s="3">
        <f t="shared" si="52"/>
        <v>656</v>
      </c>
      <c r="G576" s="95" t="s">
        <v>1678</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3328</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3269</v>
      </c>
      <c r="W576" s="3" t="s">
        <v>3509</v>
      </c>
      <c r="X576" s="3" t="s">
        <v>3510</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3511</v>
      </c>
      <c r="AD576" s="3" t="s">
        <v>3512</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2227</v>
      </c>
      <c r="AM576" s="33" t="s">
        <v>3288</v>
      </c>
      <c r="AN576" s="3" t="s">
        <v>3836</v>
      </c>
      <c r="AO576" s="3" t="s">
        <v>3837</v>
      </c>
      <c r="AP576" s="3">
        <f>IF(AND(G576&lt;&gt;"LIBSETS_SETTYPE_BATTLEGROUND",G576&lt;&gt;"LIBSETS_SETTYPE_SPECIAL"),IF(AQ576&lt;&gt;"",VLOOKUP(AQ576,'ESO zone constants'!$D$5:$H$4955,5,FALSE),""),"")</f>
        <v>1011</v>
      </c>
      <c r="AQ576" t="s">
        <v>79</v>
      </c>
      <c r="AR576" s="33" t="s">
        <v>3236</v>
      </c>
      <c r="AS576" s="3" t="s">
        <v>3513</v>
      </c>
      <c r="AT576" s="3" t="s">
        <v>3514</v>
      </c>
      <c r="AU576" s="3" t="str">
        <f>IF(AND(G576&lt;&gt;"LIBSETS_SETTYPE_BATTLEGROUND",G576&lt;&gt;"LIBSETS_SETTYPE_SPECIAL"),IF(AV576&lt;&gt;"",VLOOKUP(AV576,'ESO zone constants'!$D$5:$H$4955,5,FALSE),""),"")</f>
        <v/>
      </c>
      <c r="BA576" s="96" t="s">
        <v>3516</v>
      </c>
      <c r="BB576" s="96" t="s">
        <v>3516</v>
      </c>
      <c r="BC576" s="96"/>
      <c r="BD576" s="96"/>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hidden="1" x14ac:dyDescent="0.25">
      <c r="A577" s="5">
        <v>657</v>
      </c>
      <c r="B577" t="s">
        <v>3446</v>
      </c>
      <c r="C577" s="86" t="s">
        <v>3491</v>
      </c>
      <c r="D577" s="3">
        <f t="shared" si="52"/>
        <v>657</v>
      </c>
      <c r="G577" s="95" t="s">
        <v>1678</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3328</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3223</v>
      </c>
      <c r="W577" s="3" t="s">
        <v>3519</v>
      </c>
      <c r="X577" s="3" t="s">
        <v>3520</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3521</v>
      </c>
      <c r="AD577" s="3" t="s">
        <v>3522</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3523</v>
      </c>
      <c r="AJ577" s="3" t="s">
        <v>3524</v>
      </c>
      <c r="AK577" s="3">
        <f>IF(AND(G577&lt;&gt;"LIBSETS_SETTYPE_BATTLEGROUND",G577&lt;&gt;"LIBSETS_SETTYPE_SPECIAL"),IF(AL577&lt;&gt;"",VLOOKUP(AL577,'ESO zone constants'!$D$5:$H$4955,5,FALSE),""),"")</f>
        <v>0</v>
      </c>
      <c r="AL577" t="s">
        <v>2227</v>
      </c>
      <c r="AM577" s="33" t="s">
        <v>3223</v>
      </c>
      <c r="AN577" s="3" t="s">
        <v>3525</v>
      </c>
      <c r="AO577" s="3" t="s">
        <v>3526</v>
      </c>
      <c r="AP577" s="3">
        <f>IF(AND(G577&lt;&gt;"LIBSETS_SETTYPE_BATTLEGROUND",G577&lt;&gt;"LIBSETS_SETTYPE_SPECIAL"),IF(AQ577&lt;&gt;"",VLOOKUP(AQ577,'ESO zone constants'!$D$5:$H$4955,5,FALSE),""),"")</f>
        <v>57</v>
      </c>
      <c r="AQ577" t="s">
        <v>107</v>
      </c>
      <c r="AR577" s="33" t="s">
        <v>3527</v>
      </c>
      <c r="AS577" s="3" t="s">
        <v>3528</v>
      </c>
      <c r="AT577" s="3" t="s">
        <v>3529</v>
      </c>
      <c r="AU577" s="3">
        <f>IF(AND(G577&lt;&gt;"LIBSETS_SETTYPE_BATTLEGROUND",G577&lt;&gt;"LIBSETS_SETTYPE_SPECIAL"),IF(AV577&lt;&gt;"",VLOOKUP(AV577,'ESO zone constants'!$D$5:$H$4955,5,FALSE),""),"")</f>
        <v>383</v>
      </c>
      <c r="AV577" t="s">
        <v>264</v>
      </c>
      <c r="AW577" s="33" t="s">
        <v>3527</v>
      </c>
      <c r="AX577" s="3" t="s">
        <v>3528</v>
      </c>
      <c r="AY577" s="3" t="s">
        <v>3529</v>
      </c>
      <c r="BA577" s="96" t="s">
        <v>3517</v>
      </c>
      <c r="BB577" s="96" t="s">
        <v>3517</v>
      </c>
      <c r="BC577" s="96"/>
      <c r="BD577" s="96"/>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hidden="1" x14ac:dyDescent="0.25">
      <c r="A578" s="5">
        <v>658</v>
      </c>
      <c r="B578" t="s">
        <v>3447</v>
      </c>
      <c r="C578" s="86" t="s">
        <v>3383</v>
      </c>
      <c r="D578" s="3">
        <f t="shared" si="52"/>
        <v>658</v>
      </c>
      <c r="G578" s="95" t="s">
        <v>1678</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3328</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3236</v>
      </c>
      <c r="W578" s="3" t="s">
        <v>3530</v>
      </c>
      <c r="X578" s="3" t="s">
        <v>3531</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3532</v>
      </c>
      <c r="AD578" s="3" t="s">
        <v>3533</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3269</v>
      </c>
      <c r="AI578" s="3" t="s">
        <v>3534</v>
      </c>
      <c r="AJ578" s="3" t="s">
        <v>3535</v>
      </c>
      <c r="AK578" s="3">
        <f>IF(AND(G578&lt;&gt;"LIBSETS_SETTYPE_BATTLEGROUND",G578&lt;&gt;"LIBSETS_SETTYPE_SPECIAL"),IF(AL578&lt;&gt;"",VLOOKUP(AL578,'ESO zone constants'!$D$5:$H$4955,5,FALSE),""),"")</f>
        <v>3</v>
      </c>
      <c r="AL578" t="s">
        <v>103</v>
      </c>
      <c r="AM578" s="33" t="s">
        <v>3597</v>
      </c>
      <c r="AN578" s="3" t="s">
        <v>3605</v>
      </c>
      <c r="AO578" s="3" t="s">
        <v>3606</v>
      </c>
      <c r="AP578" s="3">
        <f>IF(AND(G578&lt;&gt;"LIBSETS_SETTYPE_BATTLEGROUND",G578&lt;&gt;"LIBSETS_SETTYPE_SPECIAL"),IF(AQ578&lt;&gt;"",VLOOKUP(AQ578,'ESO zone constants'!$D$5:$H$4955,5,FALSE),""),"")</f>
        <v>726</v>
      </c>
      <c r="AQ578" t="s">
        <v>80</v>
      </c>
      <c r="AR578" s="33" t="s">
        <v>3223</v>
      </c>
      <c r="AS578" s="3" t="s">
        <v>3536</v>
      </c>
      <c r="AT578" s="3" t="s">
        <v>3537</v>
      </c>
      <c r="AU578" s="3" t="str">
        <f>IF(AND(G578&lt;&gt;"LIBSETS_SETTYPE_BATTLEGROUND",G578&lt;&gt;"LIBSETS_SETTYPE_SPECIAL"),IF(AV578&lt;&gt;"",VLOOKUP(AV578,'ESO zone constants'!$D$5:$H$4955,5,FALSE),""),"")</f>
        <v/>
      </c>
      <c r="BA578" s="96" t="s">
        <v>3518</v>
      </c>
      <c r="BB578" s="96" t="s">
        <v>3518</v>
      </c>
      <c r="BC578" s="96"/>
      <c r="BD578" s="96"/>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hidden="1" x14ac:dyDescent="0.25">
      <c r="A579" s="5">
        <v>660</v>
      </c>
      <c r="B579" t="s">
        <v>3399</v>
      </c>
      <c r="C579" t="s">
        <v>3390</v>
      </c>
      <c r="D579" s="3">
        <f t="shared" ref="D579:D589" si="58">A579</f>
        <v>660</v>
      </c>
      <c r="G579" s="8" t="s">
        <v>1473</v>
      </c>
      <c r="I579" t="s">
        <v>91</v>
      </c>
      <c r="J579" t="s">
        <v>91</v>
      </c>
      <c r="K579" s="94">
        <v>520</v>
      </c>
      <c r="L579" s="94">
        <v>520</v>
      </c>
      <c r="M579" s="94">
        <v>520</v>
      </c>
      <c r="O579" s="61" t="s">
        <v>3386</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3285</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hidden="1" x14ac:dyDescent="0.25">
      <c r="A580" s="5">
        <v>661</v>
      </c>
      <c r="B580" t="s">
        <v>3400</v>
      </c>
      <c r="C580" t="s">
        <v>3388</v>
      </c>
      <c r="D580" s="3">
        <f t="shared" si="58"/>
        <v>661</v>
      </c>
      <c r="G580" s="8" t="s">
        <v>1473</v>
      </c>
      <c r="I580" t="s">
        <v>91</v>
      </c>
      <c r="J580" t="s">
        <v>91</v>
      </c>
      <c r="K580" s="94">
        <v>520</v>
      </c>
      <c r="L580" s="94">
        <v>520</v>
      </c>
      <c r="M580" s="94">
        <v>520</v>
      </c>
      <c r="O580" s="61" t="s">
        <v>3386</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3285</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hidden="1" x14ac:dyDescent="0.25">
      <c r="A581" s="5">
        <v>662</v>
      </c>
      <c r="B581" t="s">
        <v>3401</v>
      </c>
      <c r="C581" t="s">
        <v>3389</v>
      </c>
      <c r="D581" s="3">
        <f t="shared" si="58"/>
        <v>662</v>
      </c>
      <c r="G581" s="8" t="s">
        <v>1473</v>
      </c>
      <c r="I581" t="s">
        <v>91</v>
      </c>
      <c r="J581" t="s">
        <v>91</v>
      </c>
      <c r="K581" s="94">
        <v>520</v>
      </c>
      <c r="L581" s="94">
        <v>520</v>
      </c>
      <c r="M581" s="94">
        <v>520</v>
      </c>
      <c r="O581" s="61" t="s">
        <v>3386</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3285</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hidden="1" x14ac:dyDescent="0.25">
      <c r="A582" s="5">
        <v>663</v>
      </c>
      <c r="B582" t="s">
        <v>3402</v>
      </c>
      <c r="C582" t="s">
        <v>3394</v>
      </c>
      <c r="D582" s="3">
        <f t="shared" si="58"/>
        <v>663</v>
      </c>
      <c r="G582" s="8" t="s">
        <v>1473</v>
      </c>
      <c r="I582" t="s">
        <v>91</v>
      </c>
      <c r="J582" t="s">
        <v>91</v>
      </c>
      <c r="K582">
        <v>521</v>
      </c>
      <c r="L582">
        <v>521</v>
      </c>
      <c r="M582">
        <v>521</v>
      </c>
      <c r="O582" s="61" t="s">
        <v>3387</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3285</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hidden="1" x14ac:dyDescent="0.25">
      <c r="A583" s="5">
        <v>664</v>
      </c>
      <c r="B583" t="s">
        <v>3409</v>
      </c>
      <c r="C583" t="s">
        <v>3392</v>
      </c>
      <c r="D583" s="3">
        <f t="shared" si="58"/>
        <v>664</v>
      </c>
      <c r="G583" s="8" t="s">
        <v>1473</v>
      </c>
      <c r="I583" t="s">
        <v>91</v>
      </c>
      <c r="J583" t="s">
        <v>91</v>
      </c>
      <c r="K583">
        <v>521</v>
      </c>
      <c r="L583">
        <v>521</v>
      </c>
      <c r="M583">
        <v>521</v>
      </c>
      <c r="O583" s="61" t="s">
        <v>3387</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3285</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hidden="1" x14ac:dyDescent="0.25">
      <c r="A584" s="5">
        <v>665</v>
      </c>
      <c r="B584" t="s">
        <v>3408</v>
      </c>
      <c r="C584" t="s">
        <v>3393</v>
      </c>
      <c r="D584" s="3">
        <f t="shared" si="58"/>
        <v>665</v>
      </c>
      <c r="G584" s="8" t="s">
        <v>1473</v>
      </c>
      <c r="I584" t="s">
        <v>91</v>
      </c>
      <c r="J584" t="s">
        <v>91</v>
      </c>
      <c r="K584">
        <v>521</v>
      </c>
      <c r="L584">
        <v>521</v>
      </c>
      <c r="M584">
        <v>521</v>
      </c>
      <c r="O584" s="61" t="s">
        <v>3387</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3285</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hidden="1" x14ac:dyDescent="0.25">
      <c r="A585" s="5">
        <v>666</v>
      </c>
      <c r="B585" t="s">
        <v>3404</v>
      </c>
      <c r="C585" t="s">
        <v>3391</v>
      </c>
      <c r="D585" s="3">
        <f t="shared" si="58"/>
        <v>666</v>
      </c>
      <c r="G585" s="8" t="s">
        <v>1475</v>
      </c>
      <c r="H585">
        <v>3</v>
      </c>
      <c r="I585" t="s">
        <v>1462</v>
      </c>
      <c r="J585" t="s">
        <v>91</v>
      </c>
      <c r="K585">
        <v>520</v>
      </c>
      <c r="L585">
        <v>520</v>
      </c>
      <c r="M585">
        <v>520</v>
      </c>
      <c r="O585" s="61" t="s">
        <v>3386</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3384</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3391</v>
      </c>
      <c r="X585" s="3" t="s">
        <v>3404</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hidden="1" x14ac:dyDescent="0.25">
      <c r="A586" s="5">
        <v>667</v>
      </c>
      <c r="B586" t="s">
        <v>3403</v>
      </c>
      <c r="C586" t="s">
        <v>3395</v>
      </c>
      <c r="D586" s="3">
        <f t="shared" si="58"/>
        <v>667</v>
      </c>
      <c r="G586" s="8" t="s">
        <v>1475</v>
      </c>
      <c r="H586">
        <v>3</v>
      </c>
      <c r="I586" t="s">
        <v>1462</v>
      </c>
      <c r="J586" t="s">
        <v>91</v>
      </c>
      <c r="K586">
        <v>521</v>
      </c>
      <c r="L586">
        <v>521</v>
      </c>
      <c r="M586">
        <v>521</v>
      </c>
      <c r="O586" s="61" t="s">
        <v>3387</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3384</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3395</v>
      </c>
      <c r="X586" s="3" t="s">
        <v>3403</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hidden="1" x14ac:dyDescent="0.25">
      <c r="A587" s="5">
        <v>668</v>
      </c>
      <c r="B587" t="s">
        <v>3407</v>
      </c>
      <c r="C587" t="s">
        <v>3396</v>
      </c>
      <c r="D587" s="3">
        <f t="shared" si="58"/>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3384</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3737</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2765</v>
      </c>
      <c r="AK587" s="3">
        <f>IF(AND(G587&lt;&gt;"LIBSETS_SETTYPE_BATTLEGROUND",G587&lt;&gt;"LIBSETS_SETTYPE_SPECIAL"),IF(AL587&lt;&gt;"",VLOOKUP(AL587,'ESO zone constants'!$D$5:$H$4955,5,FALSE),""),"")</f>
        <v>181</v>
      </c>
      <c r="AL587" t="s">
        <v>125</v>
      </c>
      <c r="AM587" s="33" t="s">
        <v>3740</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3236</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hidden="1" x14ac:dyDescent="0.25">
      <c r="A588" s="5">
        <v>669</v>
      </c>
      <c r="B588" t="s">
        <v>3405</v>
      </c>
      <c r="C588" t="s">
        <v>3397</v>
      </c>
      <c r="D588" s="3">
        <f t="shared" si="58"/>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3384</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3737</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2765</v>
      </c>
      <c r="AK588" s="3">
        <f>IF(AND(G588&lt;&gt;"LIBSETS_SETTYPE_BATTLEGROUND",G588&lt;&gt;"LIBSETS_SETTYPE_SPECIAL"),IF(AL588&lt;&gt;"",VLOOKUP(AL588,'ESO zone constants'!$D$5:$H$4955,5,FALSE),""),"")</f>
        <v>181</v>
      </c>
      <c r="AL588" t="s">
        <v>125</v>
      </c>
      <c r="AM588" s="33" t="s">
        <v>3740</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3236</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hidden="1" x14ac:dyDescent="0.25">
      <c r="A589" s="5">
        <v>670</v>
      </c>
      <c r="B589" t="s">
        <v>3406</v>
      </c>
      <c r="C589" t="s">
        <v>3398</v>
      </c>
      <c r="D589" s="3">
        <f t="shared" si="58"/>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3384</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3737</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2765</v>
      </c>
      <c r="AK589" s="3">
        <f>IF(AND(G589&lt;&gt;"LIBSETS_SETTYPE_BATTLEGROUND",G589&lt;&gt;"LIBSETS_SETTYPE_SPECIAL"),IF(AL589&lt;&gt;"",VLOOKUP(AL589,'ESO zone constants'!$D$5:$H$4955,5,FALSE),""),"")</f>
        <v>181</v>
      </c>
      <c r="AL589" t="s">
        <v>125</v>
      </c>
      <c r="AM589" s="33" t="s">
        <v>3740</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3236</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hidden="1" x14ac:dyDescent="0.25">
      <c r="A590" s="5">
        <v>671</v>
      </c>
      <c r="B590" t="s">
        <v>3448</v>
      </c>
      <c r="C590" t="s">
        <v>3418</v>
      </c>
      <c r="D590" s="3">
        <f t="shared" ref="D590:D648" si="64">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3470</v>
      </c>
      <c r="AM590" s="33" t="s">
        <v>3223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dlcId=DLC_MORROWIND</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hidden="1" x14ac:dyDescent="0.25">
      <c r="A591" s="5">
        <v>672</v>
      </c>
      <c r="B591" t="s">
        <v>3449</v>
      </c>
      <c r="C591" t="s">
        <v>3419</v>
      </c>
      <c r="D591" s="3">
        <f t="shared" si="64"/>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3470</v>
      </c>
      <c r="AM591" s="33" t="s">
        <v>3223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dlcId=DLC_MORROWIND</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hidden="1" x14ac:dyDescent="0.25">
      <c r="A592" s="5">
        <v>673</v>
      </c>
      <c r="B592" t="s">
        <v>3450</v>
      </c>
      <c r="C592" t="s">
        <v>3420</v>
      </c>
      <c r="D592" s="3">
        <f t="shared" si="64"/>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3470</v>
      </c>
      <c r="AM592" s="33" t="s">
        <v>3223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dlcId=DLC_MORROWIND</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hidden="1" x14ac:dyDescent="0.25">
      <c r="A593" s="5">
        <v>674</v>
      </c>
      <c r="B593" t="s">
        <v>3451</v>
      </c>
      <c r="C593" t="s">
        <v>3426</v>
      </c>
      <c r="D593" s="3">
        <f t="shared" si="64"/>
        <v>674</v>
      </c>
      <c r="G593" s="95" t="s">
        <v>1678</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3421</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3223</v>
      </c>
      <c r="W593" s="3" t="s">
        <v>3536</v>
      </c>
      <c r="X593" s="3" t="s">
        <v>3537</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3595</v>
      </c>
      <c r="AD593" s="3" t="s">
        <v>3596</v>
      </c>
      <c r="AF593" s="3">
        <v>1318</v>
      </c>
      <c r="AG593" t="str">
        <f>IF(AND(AF593&lt;&gt;"",ISNUMBER(AF593),NOT(ISNA(AF593))),VLOOKUP(AF593,'ESO zone constants'!$A$5:$D$10001,4,FALSE),"")</f>
        <v>High Isle</v>
      </c>
      <c r="AH593" s="33" t="s">
        <v>3597</v>
      </c>
      <c r="AI593" s="3" t="s">
        <v>3601</v>
      </c>
      <c r="AJ593" s="3" t="s">
        <v>3602</v>
      </c>
      <c r="AK593" s="3">
        <f>IF(AND(G593&lt;&gt;"LIBSETS_SETTYPE_BATTLEGROUND",G593&lt;&gt;"LIBSETS_SETTYPE_SPECIAL"),IF(AL593&lt;&gt;"",VLOOKUP(AL593,'ESO zone constants'!$D$5:$H$4955,5,FALSE),""),"")</f>
        <v>1318</v>
      </c>
      <c r="AL593" t="s">
        <v>3327</v>
      </c>
      <c r="AM593" s="33" t="s">
        <v>3269</v>
      </c>
      <c r="AN593" s="3" t="s">
        <v>3607</v>
      </c>
      <c r="AO593" s="3" t="s">
        <v>3608</v>
      </c>
      <c r="AP593" s="3">
        <f>IF(AND(G593&lt;&gt;"LIBSETS_SETTYPE_BATTLEGROUND",G593&lt;&gt;"LIBSETS_SETTYPE_SPECIAL"),IF(AQ593&lt;&gt;"",VLOOKUP(AQ593,'ESO zone constants'!$D$5:$H$4955,5,FALSE),""),"")</f>
        <v>1334</v>
      </c>
      <c r="AQ593" t="s">
        <v>3363</v>
      </c>
      <c r="AR593" s="33" t="s">
        <v>1554</v>
      </c>
      <c r="AU593" s="3">
        <f>IF(AND(G593&lt;&gt;"LIBSETS_SETTYPE_BATTLEGROUND",G593&lt;&gt;"LIBSETS_SETTYPE_SPECIAL"),IF(AV593&lt;&gt;"",VLOOKUP(AV593,'ESO zone constants'!$D$5:$H$4955,5,FALSE),""),"")</f>
        <v>162</v>
      </c>
      <c r="AV593" t="s">
        <v>121</v>
      </c>
      <c r="AW593" s="33" t="s">
        <v>1556</v>
      </c>
      <c r="AX593" s="3" t="s">
        <v>3609</v>
      </c>
      <c r="AY593" s="3" t="s">
        <v>3610</v>
      </c>
      <c r="BA593" s="96" t="s">
        <v>3592</v>
      </c>
      <c r="BB593" s="96" t="s">
        <v>3592</v>
      </c>
      <c r="BC593" s="96"/>
      <c r="BD593" s="96"/>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hidden="1" x14ac:dyDescent="0.25">
      <c r="A594" s="5">
        <v>675</v>
      </c>
      <c r="B594" t="s">
        <v>3452</v>
      </c>
      <c r="C594" t="s">
        <v>3427</v>
      </c>
      <c r="D594" s="3">
        <f t="shared" si="64"/>
        <v>675</v>
      </c>
      <c r="G594" s="95" t="s">
        <v>1678</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3421</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3870</v>
      </c>
      <c r="X594" s="3" t="s">
        <v>3871</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3611</v>
      </c>
      <c r="AD594" s="3" t="s">
        <v>3612</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3212</v>
      </c>
      <c r="AI594" s="3" t="s">
        <v>3615</v>
      </c>
      <c r="AJ594" s="3" t="s">
        <v>3616</v>
      </c>
      <c r="AK594" s="3">
        <f>IF(AND(G595&lt;&gt;"LIBSETS_SETTYPE_BATTLEGROUND",G595&lt;&gt;"LIBSETS_SETTYPE_SPECIAL"),IF(AL594&lt;&gt;"",VLOOKUP(AL594,'ESO zone constants'!$D$5:$H$4955,5,FALSE),""),"")</f>
        <v>1383</v>
      </c>
      <c r="AL594" t="s">
        <v>3470</v>
      </c>
      <c r="AM594" s="33" t="s">
        <v>3236</v>
      </c>
      <c r="AN594" s="3" t="s">
        <v>3613</v>
      </c>
      <c r="AO594" s="3" t="s">
        <v>3614</v>
      </c>
      <c r="AP594" s="3">
        <f>IF(AND(G595&lt;&gt;"LIBSETS_SETTYPE_BATTLEGROUND",G595&lt;&gt;"LIBSETS_SETTYPE_SPECIAL"),IF(AQ594&lt;&gt;"",VLOOKUP(AQ594,'ESO zone constants'!$D$5:$H$4955,5,FALSE),""),"")</f>
        <v>1383</v>
      </c>
      <c r="AQ594" t="s">
        <v>3470</v>
      </c>
      <c r="AR594" s="33" t="s">
        <v>3597</v>
      </c>
      <c r="AS594" s="3" t="s">
        <v>3603</v>
      </c>
      <c r="AT594" s="3" t="s">
        <v>3604</v>
      </c>
      <c r="AU594" s="3" t="str">
        <f>IF(AND(G594&lt;&gt;"LIBSETS_SETTYPE_BATTLEGROUND",G594&lt;&gt;"LIBSETS_SETTYPE_SPECIAL"),IF(AV594&lt;&gt;"",VLOOKUP(AV594,'ESO zone constants'!$D$5:$H$4955,5,FALSE),""),"")</f>
        <v/>
      </c>
      <c r="BA594" s="96" t="s">
        <v>3593</v>
      </c>
      <c r="BB594" s="96" t="s">
        <v>3593</v>
      </c>
      <c r="BC594" s="96"/>
      <c r="BD594" s="96"/>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hidden="1" x14ac:dyDescent="0.25">
      <c r="A595" s="5">
        <v>676</v>
      </c>
      <c r="B595" t="s">
        <v>3453</v>
      </c>
      <c r="C595" t="s">
        <v>3428</v>
      </c>
      <c r="D595" s="3">
        <f t="shared" si="64"/>
        <v>676</v>
      </c>
      <c r="G595" s="95" t="s">
        <v>1678</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3421</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3223</v>
      </c>
      <c r="W595" s="3" t="s">
        <v>3617</v>
      </c>
      <c r="X595" s="3" t="s">
        <v>3618</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3620</v>
      </c>
      <c r="AD595" s="3" t="s">
        <v>3619</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3217</v>
      </c>
      <c r="AI595" s="3" t="s">
        <v>3621</v>
      </c>
      <c r="AJ595" s="3" t="s">
        <v>3622</v>
      </c>
      <c r="AK595" s="3">
        <f>IF(AND(G596&lt;&gt;"LIBSETS_SETTYPE_BATTLEGROUND",G596&lt;&gt;"LIBSETS_SETTYPE_SPECIAL"),IF(AL595&lt;&gt;"",VLOOKUP(AL595,'ESO zone constants'!$D$5:$H$4955,5,FALSE),""),"")</f>
        <v>1302</v>
      </c>
      <c r="AL595" t="s">
        <v>2724</v>
      </c>
      <c r="AM595" s="33" t="s">
        <v>3285</v>
      </c>
      <c r="AN595" s="3" t="s">
        <v>3623</v>
      </c>
      <c r="AO595" s="3" t="s">
        <v>3624</v>
      </c>
      <c r="AP595" s="3">
        <f>IF(AND(G596&lt;&gt;"LIBSETS_SETTYPE_BATTLEGROUND",G596&lt;&gt;"LIBSETS_SETTYPE_SPECIAL"),IF(AQ595&lt;&gt;"",VLOOKUP(AQ595,'ESO zone constants'!$D$5:$H$4955,5,FALSE),""),"")</f>
        <v>935</v>
      </c>
      <c r="AQ595" t="s">
        <v>97</v>
      </c>
      <c r="AR595" s="33" t="s">
        <v>3285</v>
      </c>
      <c r="AS595" s="3" t="s">
        <v>1360</v>
      </c>
      <c r="AT595" s="3" t="s">
        <v>1632</v>
      </c>
      <c r="AU595" s="3" t="str">
        <f>IF(AND(G595&lt;&gt;"LIBSETS_SETTYPE_BATTLEGROUND",G595&lt;&gt;"LIBSETS_SETTYPE_SPECIAL"),IF(AV595&lt;&gt;"",VLOOKUP(AV595,'ESO zone constants'!$D$5:$H$4955,5,FALSE),""),"")</f>
        <v/>
      </c>
      <c r="BA595" s="96" t="s">
        <v>3594</v>
      </c>
      <c r="BB595" s="96" t="s">
        <v>3594</v>
      </c>
      <c r="BC595" s="96"/>
      <c r="BD595" s="96"/>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hidden="1" x14ac:dyDescent="0.25">
      <c r="A596" s="5">
        <v>677</v>
      </c>
      <c r="B596" t="s">
        <v>3454</v>
      </c>
      <c r="C596" s="86" t="s">
        <v>3425</v>
      </c>
      <c r="D596" s="3">
        <f t="shared" si="64"/>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3288</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dlcId=DLC_MORROWIND</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hidden="1" x14ac:dyDescent="0.25">
      <c r="A597" s="5">
        <v>678</v>
      </c>
      <c r="B597" t="s">
        <v>3455</v>
      </c>
      <c r="C597" s="86" t="s">
        <v>3423</v>
      </c>
      <c r="D597" s="3">
        <f t="shared" si="64"/>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3288</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dlcId=DLC_MORROWIND</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hidden="1" x14ac:dyDescent="0.25">
      <c r="A598" s="5">
        <v>679</v>
      </c>
      <c r="B598" t="s">
        <v>3456</v>
      </c>
      <c r="C598" s="86" t="s">
        <v>3424</v>
      </c>
      <c r="D598" s="3">
        <f t="shared" si="64"/>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3288</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dlcId=DLC_MORROWIND</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hidden="1" x14ac:dyDescent="0.25">
      <c r="A599" s="5">
        <v>680</v>
      </c>
      <c r="B599" t="s">
        <v>3571</v>
      </c>
      <c r="C599" s="86" t="s">
        <v>3561</v>
      </c>
      <c r="D599" s="3">
        <f t="shared" si="64"/>
        <v>680</v>
      </c>
      <c r="G599" s="8" t="s">
        <v>1473</v>
      </c>
      <c r="I599" t="s">
        <v>91</v>
      </c>
      <c r="J599" t="s">
        <v>91</v>
      </c>
      <c r="K599">
        <v>531</v>
      </c>
      <c r="L599">
        <v>531</v>
      </c>
      <c r="M599">
        <v>531</v>
      </c>
      <c r="O599" s="61" t="s">
        <v>3555</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3285</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hidden="1" x14ac:dyDescent="0.25">
      <c r="A600" s="5">
        <v>681</v>
      </c>
      <c r="B600" t="s">
        <v>3572</v>
      </c>
      <c r="C600" s="86" t="s">
        <v>3562</v>
      </c>
      <c r="D600" s="3">
        <f t="shared" si="64"/>
        <v>681</v>
      </c>
      <c r="G600" s="8" t="s">
        <v>1473</v>
      </c>
      <c r="I600" t="s">
        <v>91</v>
      </c>
      <c r="J600" t="s">
        <v>91</v>
      </c>
      <c r="K600">
        <v>531</v>
      </c>
      <c r="L600">
        <v>531</v>
      </c>
      <c r="M600">
        <v>531</v>
      </c>
      <c r="O600" s="61" t="s">
        <v>3555</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3285</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hidden="1" x14ac:dyDescent="0.25">
      <c r="A601" s="5">
        <v>682</v>
      </c>
      <c r="B601" t="s">
        <v>3573</v>
      </c>
      <c r="C601" s="86" t="s">
        <v>3556</v>
      </c>
      <c r="D601" s="3">
        <f t="shared" si="64"/>
        <v>682</v>
      </c>
      <c r="G601" s="8" t="s">
        <v>1473</v>
      </c>
      <c r="I601" t="s">
        <v>91</v>
      </c>
      <c r="J601" t="s">
        <v>91</v>
      </c>
      <c r="K601">
        <v>531</v>
      </c>
      <c r="L601">
        <v>531</v>
      </c>
      <c r="M601">
        <v>531</v>
      </c>
      <c r="O601" s="61" t="s">
        <v>3555</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3285</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hidden="1" x14ac:dyDescent="0.25">
      <c r="A602" s="5">
        <v>683</v>
      </c>
      <c r="B602" t="s">
        <v>3574</v>
      </c>
      <c r="C602" s="86" t="s">
        <v>3557</v>
      </c>
      <c r="D602" s="3">
        <f t="shared" si="64"/>
        <v>683</v>
      </c>
      <c r="G602" s="8" t="s">
        <v>1475</v>
      </c>
      <c r="H602">
        <v>3</v>
      </c>
      <c r="I602" t="s">
        <v>1462</v>
      </c>
      <c r="K602">
        <v>531</v>
      </c>
      <c r="L602">
        <v>531</v>
      </c>
      <c r="M602">
        <v>531</v>
      </c>
      <c r="O602" s="61" t="s">
        <v>3555</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3557</v>
      </c>
      <c r="X602" s="3" t="s">
        <v>3591</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hidden="1" x14ac:dyDescent="0.25">
      <c r="A603" s="5">
        <v>684</v>
      </c>
      <c r="B603" t="s">
        <v>3575</v>
      </c>
      <c r="C603" s="86" t="s">
        <v>3563</v>
      </c>
      <c r="D603" s="3">
        <f t="shared" si="64"/>
        <v>684</v>
      </c>
      <c r="G603" s="8" t="s">
        <v>1473</v>
      </c>
      <c r="I603" t="s">
        <v>91</v>
      </c>
      <c r="J603" t="s">
        <v>91</v>
      </c>
      <c r="K603">
        <v>532</v>
      </c>
      <c r="L603">
        <v>532</v>
      </c>
      <c r="M603">
        <v>532</v>
      </c>
      <c r="O603" s="61" t="s">
        <v>3584</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3285</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hidden="1" x14ac:dyDescent="0.25">
      <c r="A604" s="5">
        <v>685</v>
      </c>
      <c r="B604" t="s">
        <v>3576</v>
      </c>
      <c r="C604" s="86" t="s">
        <v>3564</v>
      </c>
      <c r="D604" s="3">
        <f t="shared" si="64"/>
        <v>685</v>
      </c>
      <c r="G604" s="8" t="s">
        <v>1473</v>
      </c>
      <c r="I604" t="s">
        <v>91</v>
      </c>
      <c r="J604" t="s">
        <v>91</v>
      </c>
      <c r="K604">
        <v>532</v>
      </c>
      <c r="L604">
        <v>532</v>
      </c>
      <c r="M604">
        <v>532</v>
      </c>
      <c r="O604" s="61" t="s">
        <v>3584</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3285</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hidden="1" x14ac:dyDescent="0.25">
      <c r="A605" s="5">
        <v>686</v>
      </c>
      <c r="B605" t="s">
        <v>3577</v>
      </c>
      <c r="C605" s="86" t="s">
        <v>3559</v>
      </c>
      <c r="D605" s="3">
        <f t="shared" si="64"/>
        <v>686</v>
      </c>
      <c r="G605" s="8" t="s">
        <v>1473</v>
      </c>
      <c r="I605" t="s">
        <v>91</v>
      </c>
      <c r="J605" t="s">
        <v>91</v>
      </c>
      <c r="K605">
        <v>532</v>
      </c>
      <c r="L605">
        <v>532</v>
      </c>
      <c r="M605">
        <v>532</v>
      </c>
      <c r="O605" s="61" t="s">
        <v>3584</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3285</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hidden="1" x14ac:dyDescent="0.25">
      <c r="A606" s="5">
        <v>687</v>
      </c>
      <c r="B606" t="s">
        <v>3578</v>
      </c>
      <c r="C606" s="86" t="s">
        <v>3560</v>
      </c>
      <c r="D606" s="3">
        <f t="shared" si="64"/>
        <v>687</v>
      </c>
      <c r="G606" s="8" t="s">
        <v>1475</v>
      </c>
      <c r="H606">
        <v>3</v>
      </c>
      <c r="I606" t="s">
        <v>1462</v>
      </c>
      <c r="K606">
        <v>532</v>
      </c>
      <c r="L606">
        <v>532</v>
      </c>
      <c r="M606">
        <v>532</v>
      </c>
      <c r="O606" s="61" t="s">
        <v>3584</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3560</v>
      </c>
      <c r="X606" s="3" t="s">
        <v>3578</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hidden="1" x14ac:dyDescent="0.25">
      <c r="A607" s="5">
        <v>688</v>
      </c>
      <c r="B607" t="s">
        <v>3579</v>
      </c>
      <c r="C607" t="s">
        <v>3588</v>
      </c>
      <c r="D607" s="3">
        <f t="shared" si="64"/>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3565</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3737</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2765</v>
      </c>
      <c r="AK607" s="3">
        <f>IF(AND(G607&lt;&gt;"LIBSETS_SETTYPE_BATTLEGROUND",G607&lt;&gt;"LIBSETS_SETTYPE_SPECIAL"),IF(AL607&lt;&gt;"",VLOOKUP(AL607,'ESO zone constants'!$D$5:$H$4955,5,FALSE),""),"")</f>
        <v>181</v>
      </c>
      <c r="AL607" t="s">
        <v>125</v>
      </c>
      <c r="AM607" s="33" t="s">
        <v>3740</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3236</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hidden="1" x14ac:dyDescent="0.25">
      <c r="A608" s="5">
        <v>689</v>
      </c>
      <c r="B608" t="s">
        <v>3580</v>
      </c>
      <c r="C608" t="s">
        <v>3589</v>
      </c>
      <c r="D608" s="3">
        <f t="shared" si="64"/>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3565</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3737</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2765</v>
      </c>
      <c r="AK608" s="3">
        <f>IF(AND(G608&lt;&gt;"LIBSETS_SETTYPE_BATTLEGROUND",G608&lt;&gt;"LIBSETS_SETTYPE_SPECIAL"),IF(AL608&lt;&gt;"",VLOOKUP(AL608,'ESO zone constants'!$D$5:$H$4955,5,FALSE),""),"")</f>
        <v>181</v>
      </c>
      <c r="AL608" t="s">
        <v>125</v>
      </c>
      <c r="AM608" s="33" t="s">
        <v>3740</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3236</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hidden="1" x14ac:dyDescent="0.25">
      <c r="A609" s="5">
        <v>690</v>
      </c>
      <c r="B609" t="s">
        <v>3581</v>
      </c>
      <c r="C609" t="s">
        <v>3590</v>
      </c>
      <c r="D609" s="3">
        <f t="shared" si="64"/>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3565</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3737</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2765</v>
      </c>
      <c r="AK609" s="3">
        <f>IF(AND(G609&lt;&gt;"LIBSETS_SETTYPE_BATTLEGROUND",G609&lt;&gt;"LIBSETS_SETTYPE_SPECIAL"),IF(AL609&lt;&gt;"",VLOOKUP(AL609,'ESO zone constants'!$D$5:$H$4955,5,FALSE),""),"")</f>
        <v>181</v>
      </c>
      <c r="AL609" t="s">
        <v>125</v>
      </c>
      <c r="AM609" s="33" t="s">
        <v>3740</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3236</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hidden="1" x14ac:dyDescent="0.25">
      <c r="A610" s="5">
        <v>691</v>
      </c>
      <c r="B610" t="s">
        <v>3838</v>
      </c>
      <c r="C610" s="36" t="s">
        <v>3650</v>
      </c>
      <c r="D610" s="3">
        <f t="shared" si="64"/>
        <v>691</v>
      </c>
      <c r="G610" s="95" t="s">
        <v>1678</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3648</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3212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3841</v>
      </c>
      <c r="AD610" s="3" t="s">
        <v>3840</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3844</v>
      </c>
      <c r="AJ610" s="3" t="s">
        <v>3839</v>
      </c>
      <c r="AK610" s="3">
        <f>IF(AND(G611&lt;&gt;"LIBSETS_SETTYPE_BATTLEGROUND",G611&lt;&gt;"LIBSETS_SETTYPE_SPECIAL"),IF(AL610&lt;&gt;"",VLOOKUP(AL610,'ESO zone constants'!$D$5:$H$4955,5,FALSE),""),"")</f>
        <v>1414</v>
      </c>
      <c r="AL610" t="s">
        <v>3700</v>
      </c>
      <c r="AM610" s="33" t="s">
        <v>1557</v>
      </c>
      <c r="AP610" s="3">
        <f>IF(AND(G611&lt;&gt;"LIBSETS_SETTYPE_BATTLEGROUND",G611&lt;&gt;"LIBSETS_SETTYPE_SPECIAL"),IF(AQ610&lt;&gt;"",VLOOKUP(AQ610,'ESO zone constants'!$D$5:$H$4955,5,FALSE),""),"")</f>
        <v>1389</v>
      </c>
      <c r="AQ610" t="s">
        <v>3555</v>
      </c>
      <c r="AR610" s="33" t="s">
        <v>3285</v>
      </c>
      <c r="AS610" s="3" t="s">
        <v>3842</v>
      </c>
      <c r="AT610" s="3" t="s">
        <v>3843</v>
      </c>
      <c r="AU610" s="3" t="str">
        <f>IF(AND(G610&lt;&gt;"LIBSETS_SETTYPE_BATTLEGROUND",G610&lt;&gt;"LIBSETS_SETTYPE_SPECIAL"),IF(AV610&lt;&gt;"",VLOOKUP(AV610,'ESO zone constants'!$D$5:$H$4955,5,FALSE),""),"")</f>
        <v/>
      </c>
      <c r="BA610" s="96" t="s">
        <v>3892</v>
      </c>
      <c r="BB610" s="96" t="s">
        <v>3892</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hidden="1" x14ac:dyDescent="0.25">
      <c r="A611" s="5">
        <v>692</v>
      </c>
      <c r="B611" t="s">
        <v>3853</v>
      </c>
      <c r="C611" s="36" t="s">
        <v>3651</v>
      </c>
      <c r="D611" s="3">
        <f t="shared" si="64"/>
        <v>692</v>
      </c>
      <c r="G611" s="95" t="s">
        <v>1678</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3648</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3845</v>
      </c>
      <c r="AD611" s="3" t="s">
        <v>3846</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3847</v>
      </c>
      <c r="AJ611" s="3" t="s">
        <v>3848</v>
      </c>
      <c r="AK611" s="3">
        <f>IF(AND(G612&lt;&gt;"LIBSETS_SETTYPE_BATTLEGROUND",G612&lt;&gt;"LIBSETS_SETTYPE_SPECIAL"),IF(AL611&lt;&gt;"",VLOOKUP(AL611,'ESO zone constants'!$D$5:$H$4955,5,FALSE),""),"")</f>
        <v>1301</v>
      </c>
      <c r="AL611" t="s">
        <v>2712</v>
      </c>
      <c r="AM611" s="33" t="s">
        <v>3285</v>
      </c>
      <c r="AN611" s="3" t="s">
        <v>3849</v>
      </c>
      <c r="AO611" s="3" t="s">
        <v>3850</v>
      </c>
      <c r="AP611" s="3">
        <f>IF(AND(G612&lt;&gt;"LIBSETS_SETTYPE_BATTLEGROUND",G612&lt;&gt;"LIBSETS_SETTYPE_SPECIAL"),IF(AQ611&lt;&gt;"",VLOOKUP(AQ611,'ESO zone constants'!$D$5:$H$4955,5,FALSE),""),"")</f>
        <v>1361</v>
      </c>
      <c r="AQ611" t="s">
        <v>3387</v>
      </c>
      <c r="AR611" s="33" t="s">
        <v>3285</v>
      </c>
      <c r="AS611" s="3" t="s">
        <v>3851</v>
      </c>
      <c r="AT611" s="3" t="s">
        <v>3852</v>
      </c>
      <c r="AU611" s="3" t="str">
        <f>IF(AND(G611&lt;&gt;"LIBSETS_SETTYPE_BATTLEGROUND",G611&lt;&gt;"LIBSETS_SETTYPE_SPECIAL"),IF(AV611&lt;&gt;"",VLOOKUP(AV611,'ESO zone constants'!$D$5:$H$4955,5,FALSE),""),"")</f>
        <v/>
      </c>
      <c r="BA611" s="96" t="s">
        <v>3893</v>
      </c>
      <c r="BB611" s="96" t="s">
        <v>3893</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hidden="1" x14ac:dyDescent="0.25">
      <c r="A612" s="5">
        <v>694</v>
      </c>
      <c r="B612" s="36" t="s">
        <v>3663</v>
      </c>
      <c r="C612" s="36" t="s">
        <v>3663</v>
      </c>
      <c r="D612" s="3">
        <f t="shared" si="64"/>
        <v>694</v>
      </c>
      <c r="G612" s="95" t="s">
        <v>1678</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3648</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3718</v>
      </c>
      <c r="X612" s="3" t="s">
        <v>3718</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3854</v>
      </c>
      <c r="AD612" s="3" t="s">
        <v>3860</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3699</v>
      </c>
      <c r="AJ612" s="3" t="s">
        <v>3855</v>
      </c>
      <c r="AK612" s="3">
        <f>IF(AND(G613&lt;&gt;"LIBSETS_SETTYPE_BATTLEGROUND",G613&lt;&gt;"LIBSETS_SETTYPE_SPECIAL"),IF(AL612&lt;&gt;"",VLOOKUP(AL612,'ESO zone constants'!$D$5:$H$4955,5,FALSE),""),"")</f>
        <v>849</v>
      </c>
      <c r="AL612" t="s">
        <v>530</v>
      </c>
      <c r="AM612" s="33" t="s">
        <v>3212</v>
      </c>
      <c r="AN612" s="3" t="s">
        <v>3856</v>
      </c>
      <c r="AO612" s="3" t="s">
        <v>3857</v>
      </c>
      <c r="AP612" s="3">
        <f>IF(AND(G613&lt;&gt;"LIBSETS_SETTYPE_BATTLEGROUND",G613&lt;&gt;"LIBSETS_SETTYPE_SPECIAL"),IF(AQ612&lt;&gt;"",VLOOKUP(AQ612,'ESO zone constants'!$D$5:$H$4955,5,FALSE),""),"")</f>
        <v>1390</v>
      </c>
      <c r="AQ612" t="s">
        <v>3584</v>
      </c>
      <c r="AR612" s="33" t="s">
        <v>3209</v>
      </c>
      <c r="AS612" s="3" t="s">
        <v>3858</v>
      </c>
      <c r="AT612" s="3" t="s">
        <v>3859</v>
      </c>
      <c r="AU612" s="3" t="str">
        <f>IF(AND(G612&lt;&gt;"LIBSETS_SETTYPE_BATTLEGROUND",G612&lt;&gt;"LIBSETS_SETTYPE_SPECIAL"),IF(AV612&lt;&gt;"",VLOOKUP(AV612,'ESO zone constants'!$D$5:$H$4955,5,FALSE),""),"")</f>
        <v/>
      </c>
      <c r="BA612" s="96" t="s">
        <v>3894</v>
      </c>
      <c r="BB612" s="96" t="s">
        <v>3894</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hidden="1" x14ac:dyDescent="0.25">
      <c r="A613" s="5">
        <v>695</v>
      </c>
      <c r="B613" s="36" t="s">
        <v>3652</v>
      </c>
      <c r="C613" s="36" t="s">
        <v>3652</v>
      </c>
      <c r="D613" s="3">
        <f t="shared" si="64"/>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3648</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3288</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hidden="1" x14ac:dyDescent="0.25">
      <c r="A614" s="5">
        <v>696</v>
      </c>
      <c r="B614" s="36" t="s">
        <v>3653</v>
      </c>
      <c r="C614" s="36" t="s">
        <v>3653</v>
      </c>
      <c r="D614" s="3">
        <f t="shared" si="64"/>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3648</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3288</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hidden="1" x14ac:dyDescent="0.25">
      <c r="A615" s="5">
        <v>697</v>
      </c>
      <c r="B615" s="36" t="s">
        <v>3654</v>
      </c>
      <c r="C615" s="36" t="s">
        <v>3654</v>
      </c>
      <c r="D615" s="3">
        <f t="shared" si="64"/>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3648</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3288</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hidden="1" x14ac:dyDescent="0.25">
      <c r="A616" s="5">
        <v>698</v>
      </c>
      <c r="B616" s="36" t="s">
        <v>3665</v>
      </c>
      <c r="C616" s="36" t="s">
        <v>3665</v>
      </c>
      <c r="D616" s="3">
        <f t="shared" si="64"/>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3648</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3288</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3699</v>
      </c>
      <c r="AM616" s="42" t="s">
        <v>1556</v>
      </c>
      <c r="AP616" s="3">
        <f>IF(AND(G616&lt;&gt;"LIBSETS_SETTYPE_BATTLEGROUND",G616&lt;&gt;"LIBSETS_SETTYPE_SPECIAL"),IF(AQ616&lt;&gt;"",VLOOKUP(AQ616,'ESO zone constants'!$D$5:$H$4955,5,FALSE),""),"")</f>
        <v>1413</v>
      </c>
      <c r="AQ616" t="s">
        <v>3628</v>
      </c>
      <c r="AR616" s="42" t="s">
        <v>3223</v>
      </c>
      <c r="AU616" s="3">
        <f>IF(AND(G616&lt;&gt;"LIBSETS_SETTYPE_BATTLEGROUND",G616&lt;&gt;"LIBSETS_SETTYPE_SPECIAL"),IF(AV616&lt;&gt;"",VLOOKUP(AV616,'ESO zone constants'!$D$5:$H$4955,5,FALSE),""),"")</f>
        <v>1413</v>
      </c>
      <c r="AV616" t="s">
        <v>3628</v>
      </c>
      <c r="AW616" s="33" t="s">
        <v>1555</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hidden="1" x14ac:dyDescent="0.25">
      <c r="A617" s="5">
        <v>699</v>
      </c>
      <c r="B617" s="36" t="s">
        <v>3655</v>
      </c>
      <c r="C617" s="36" t="s">
        <v>3655</v>
      </c>
      <c r="D617" s="3">
        <f t="shared" si="64"/>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3648</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3699</v>
      </c>
      <c r="AM617" s="42" t="s">
        <v>1556</v>
      </c>
      <c r="AP617" s="3">
        <f>IF(AND(G617&lt;&gt;"LIBSETS_SETTYPE_BATTLEGROUND",G617&lt;&gt;"LIBSETS_SETTYPE_SPECIAL"),IF(AQ617&lt;&gt;"",VLOOKUP(AQ617,'ESO zone constants'!$D$5:$H$4955,5,FALSE),""),"")</f>
        <v>1413</v>
      </c>
      <c r="AQ617" t="s">
        <v>3628</v>
      </c>
      <c r="AR617" s="42" t="s">
        <v>3223</v>
      </c>
      <c r="AU617" s="3">
        <f>IF(AND(G617&lt;&gt;"LIBSETS_SETTYPE_BATTLEGROUND",G617&lt;&gt;"LIBSETS_SETTYPE_SPECIAL"),IF(AV617&lt;&gt;"",VLOOKUP(AV617,'ESO zone constants'!$D$5:$H$4955,5,FALSE),""),"")</f>
        <v>1413</v>
      </c>
      <c r="AV617" t="s">
        <v>3628</v>
      </c>
      <c r="AW617" s="33" t="s">
        <v>1555</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hidden="1" x14ac:dyDescent="0.25">
      <c r="A618" s="5">
        <v>700</v>
      </c>
      <c r="B618" s="36" t="s">
        <v>3656</v>
      </c>
      <c r="C618" s="36" t="s">
        <v>3656</v>
      </c>
      <c r="D618" s="3">
        <f t="shared" si="64"/>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3648</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3699</v>
      </c>
      <c r="AM618" s="42" t="s">
        <v>1556</v>
      </c>
      <c r="AP618" s="3">
        <f>IF(AND(G618&lt;&gt;"LIBSETS_SETTYPE_BATTLEGROUND",G618&lt;&gt;"LIBSETS_SETTYPE_SPECIAL"),IF(AQ618&lt;&gt;"",VLOOKUP(AQ618,'ESO zone constants'!$D$5:$H$4955,5,FALSE),""),"")</f>
        <v>1413</v>
      </c>
      <c r="AQ618" t="s">
        <v>3628</v>
      </c>
      <c r="AR618" s="42" t="s">
        <v>3223</v>
      </c>
      <c r="AU618" s="3">
        <f>IF(AND(G618&lt;&gt;"LIBSETS_SETTYPE_BATTLEGROUND",G618&lt;&gt;"LIBSETS_SETTYPE_SPECIAL"),IF(AV618&lt;&gt;"",VLOOKUP(AV618,'ESO zone constants'!$D$5:$H$4955,5,FALSE),""),"")</f>
        <v>1413</v>
      </c>
      <c r="AV618" t="s">
        <v>3628</v>
      </c>
      <c r="AW618" s="33" t="s">
        <v>1555</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3657</v>
      </c>
      <c r="C619" s="36" t="s">
        <v>3657</v>
      </c>
      <c r="D619" s="3">
        <f t="shared" si="64"/>
        <v>701</v>
      </c>
      <c r="G619" s="8" t="s">
        <v>1477</v>
      </c>
      <c r="I619" t="s">
        <v>91</v>
      </c>
      <c r="J619" t="s">
        <v>91</v>
      </c>
      <c r="K619">
        <v>534</v>
      </c>
      <c r="L619">
        <v>534</v>
      </c>
      <c r="M619">
        <v>534</v>
      </c>
      <c r="O619" s="61" t="s">
        <v>3691</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3266</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3266</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3266</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6">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3664</v>
      </c>
      <c r="C620" s="36" t="s">
        <v>3664</v>
      </c>
      <c r="D620" s="3">
        <f t="shared" si="64"/>
        <v>702</v>
      </c>
      <c r="G620" s="8" t="s">
        <v>1477</v>
      </c>
      <c r="I620" t="s">
        <v>91</v>
      </c>
      <c r="J620" t="s">
        <v>91</v>
      </c>
      <c r="K620">
        <v>534</v>
      </c>
      <c r="L620">
        <v>534</v>
      </c>
      <c r="M620">
        <v>534</v>
      </c>
      <c r="O620" s="61" t="s">
        <v>3691</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3266</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3266</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3266</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6">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3658</v>
      </c>
      <c r="C621" s="36" t="s">
        <v>3658</v>
      </c>
      <c r="D621" s="3">
        <f t="shared" si="64"/>
        <v>703</v>
      </c>
      <c r="G621" s="8" t="s">
        <v>1477</v>
      </c>
      <c r="I621" t="s">
        <v>91</v>
      </c>
      <c r="J621" t="s">
        <v>91</v>
      </c>
      <c r="K621">
        <v>534</v>
      </c>
      <c r="L621">
        <v>534</v>
      </c>
      <c r="M621">
        <v>534</v>
      </c>
      <c r="O621" s="61" t="s">
        <v>3691</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3266</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3266</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3266</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6">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3659</v>
      </c>
      <c r="C622" s="36" t="s">
        <v>3659</v>
      </c>
      <c r="D622" s="3">
        <f t="shared" si="64"/>
        <v>704</v>
      </c>
      <c r="G622" s="8" t="s">
        <v>1477</v>
      </c>
      <c r="I622" t="s">
        <v>91</v>
      </c>
      <c r="J622" t="s">
        <v>91</v>
      </c>
      <c r="K622">
        <v>534</v>
      </c>
      <c r="L622">
        <v>534</v>
      </c>
      <c r="M622">
        <v>534</v>
      </c>
      <c r="O622" s="61" t="s">
        <v>3691</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3266</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3266</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3266</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6">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3660</v>
      </c>
      <c r="C623" s="36" t="s">
        <v>3660</v>
      </c>
      <c r="D623" s="3">
        <f t="shared" si="64"/>
        <v>705</v>
      </c>
      <c r="G623" s="8" t="s">
        <v>1477</v>
      </c>
      <c r="I623" t="s">
        <v>92</v>
      </c>
      <c r="J623" t="s">
        <v>91</v>
      </c>
      <c r="K623">
        <v>534</v>
      </c>
      <c r="L623">
        <v>534</v>
      </c>
      <c r="M623">
        <v>534</v>
      </c>
      <c r="O623" s="61" t="s">
        <v>3691</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3266</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3266</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3266</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6" t="s">
        <v>3832</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3661</v>
      </c>
      <c r="C624" s="36" t="s">
        <v>3661</v>
      </c>
      <c r="D624" s="3">
        <f t="shared" si="64"/>
        <v>706</v>
      </c>
      <c r="G624" s="8" t="s">
        <v>1477</v>
      </c>
      <c r="I624" t="s">
        <v>92</v>
      </c>
      <c r="J624" t="s">
        <v>91</v>
      </c>
      <c r="K624">
        <v>534</v>
      </c>
      <c r="L624">
        <v>534</v>
      </c>
      <c r="M624">
        <v>534</v>
      </c>
      <c r="O624" s="61" t="s">
        <v>3691</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3266</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3266</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3266</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6" t="s">
        <v>3832</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3666</v>
      </c>
      <c r="C625" s="36" t="s">
        <v>3666</v>
      </c>
      <c r="D625" s="3">
        <f t="shared" si="64"/>
        <v>707</v>
      </c>
      <c r="G625" s="8" t="s">
        <v>1477</v>
      </c>
      <c r="I625" t="s">
        <v>92</v>
      </c>
      <c r="J625" t="s">
        <v>91</v>
      </c>
      <c r="K625">
        <v>534</v>
      </c>
      <c r="L625">
        <v>534</v>
      </c>
      <c r="M625">
        <v>534</v>
      </c>
      <c r="O625" s="61" t="s">
        <v>3691</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3266</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3266</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3266</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6" t="s">
        <v>3832</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3662</v>
      </c>
      <c r="C626" s="36" t="s">
        <v>3662</v>
      </c>
      <c r="D626" s="3">
        <f t="shared" si="64"/>
        <v>708</v>
      </c>
      <c r="G626" s="8" t="s">
        <v>1477</v>
      </c>
      <c r="I626" t="s">
        <v>92</v>
      </c>
      <c r="J626" t="s">
        <v>91</v>
      </c>
      <c r="K626">
        <v>534</v>
      </c>
      <c r="L626">
        <v>534</v>
      </c>
      <c r="M626">
        <v>534</v>
      </c>
      <c r="O626" s="61" t="s">
        <v>3691</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3266</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3266</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3266</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6" t="s">
        <v>3832</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hidden="1" x14ac:dyDescent="0.25">
      <c r="A627" s="5">
        <v>711</v>
      </c>
      <c r="B627" s="36" t="s">
        <v>3719</v>
      </c>
      <c r="C627" s="36" t="s">
        <v>3719</v>
      </c>
      <c r="D627" s="3">
        <f t="shared" si="64"/>
        <v>711</v>
      </c>
      <c r="F627" t="s">
        <v>3723</v>
      </c>
      <c r="G627" s="8" t="s">
        <v>3722</v>
      </c>
      <c r="I627" t="s">
        <v>3729</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3728</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2765</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2653</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hidden="1" x14ac:dyDescent="0.25">
      <c r="A628" s="5">
        <v>712</v>
      </c>
      <c r="B628" s="36" t="s">
        <v>3720</v>
      </c>
      <c r="C628" s="36" t="s">
        <v>3720</v>
      </c>
      <c r="D628" s="3">
        <f t="shared" si="64"/>
        <v>712</v>
      </c>
      <c r="F628" t="s">
        <v>3723</v>
      </c>
      <c r="G628" s="8" t="s">
        <v>3722</v>
      </c>
      <c r="I628" t="s">
        <v>3729</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3728</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2765</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2653</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hidden="1" x14ac:dyDescent="0.25">
      <c r="A629" s="5">
        <v>713</v>
      </c>
      <c r="B629" s="36" t="s">
        <v>3721</v>
      </c>
      <c r="C629" s="36" t="s">
        <v>3721</v>
      </c>
      <c r="D629" s="3">
        <f t="shared" si="64"/>
        <v>713</v>
      </c>
      <c r="F629" t="s">
        <v>3723</v>
      </c>
      <c r="G629" s="8" t="s">
        <v>3722</v>
      </c>
      <c r="I629" t="s">
        <v>3729</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3728</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2765</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2653</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hidden="1" x14ac:dyDescent="0.25">
      <c r="A630" s="5">
        <v>722</v>
      </c>
      <c r="B630" t="s">
        <v>3765</v>
      </c>
      <c r="C630" t="s">
        <v>3765</v>
      </c>
      <c r="D630" s="3">
        <f t="shared" si="64"/>
        <v>722</v>
      </c>
      <c r="E630" s="36" t="s">
        <v>3777</v>
      </c>
      <c r="G630" s="3" t="s">
        <v>3757</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3752</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3754</v>
      </c>
      <c r="W630" s="3" t="s">
        <v>3777</v>
      </c>
      <c r="X630" s="3" t="s">
        <v>3885</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2653</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hidden="1" x14ac:dyDescent="0.25">
      <c r="A631" s="5">
        <v>723</v>
      </c>
      <c r="B631" t="s">
        <v>3764</v>
      </c>
      <c r="C631" t="s">
        <v>3764</v>
      </c>
      <c r="D631" s="3">
        <f t="shared" si="64"/>
        <v>723</v>
      </c>
      <c r="E631" s="36" t="s">
        <v>3771</v>
      </c>
      <c r="G631" s="3" t="s">
        <v>3757</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3752</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3754</v>
      </c>
      <c r="W631" s="3" t="s">
        <v>3771</v>
      </c>
      <c r="X631" s="3" t="s">
        <v>3886</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2653</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hidden="1" x14ac:dyDescent="0.25">
      <c r="A632" s="5">
        <v>724</v>
      </c>
      <c r="B632" t="s">
        <v>3766</v>
      </c>
      <c r="C632" t="s">
        <v>3763</v>
      </c>
      <c r="D632" s="3">
        <f t="shared" si="64"/>
        <v>724</v>
      </c>
      <c r="E632" s="36" t="s">
        <v>3776</v>
      </c>
      <c r="G632" s="3" t="s">
        <v>3757</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3752</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3754</v>
      </c>
      <c r="W632" s="3" t="s">
        <v>3776</v>
      </c>
      <c r="X632" s="3" t="s">
        <v>3887</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2653</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hidden="1" x14ac:dyDescent="0.25">
      <c r="A633" s="5">
        <v>726</v>
      </c>
      <c r="B633" t="s">
        <v>3767</v>
      </c>
      <c r="C633" t="s">
        <v>3762</v>
      </c>
      <c r="D633" s="3">
        <f t="shared" si="64"/>
        <v>726</v>
      </c>
      <c r="E633" s="36" t="s">
        <v>3774</v>
      </c>
      <c r="G633" s="3" t="s">
        <v>3757</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3752</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3754</v>
      </c>
      <c r="W633" s="3" t="s">
        <v>3774</v>
      </c>
      <c r="X633" s="3" t="s">
        <v>3891</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2653</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hidden="1" x14ac:dyDescent="0.25">
      <c r="A634" s="5">
        <v>727</v>
      </c>
      <c r="B634" t="s">
        <v>3768</v>
      </c>
      <c r="C634" t="s">
        <v>3761</v>
      </c>
      <c r="D634" s="3">
        <f t="shared" si="64"/>
        <v>727</v>
      </c>
      <c r="E634" s="36" t="s">
        <v>3773</v>
      </c>
      <c r="G634" s="3" t="s">
        <v>3757</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3752</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3754</v>
      </c>
      <c r="W634" s="3" t="s">
        <v>3773</v>
      </c>
      <c r="X634" s="3" t="s">
        <v>3888</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2653</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hidden="1" x14ac:dyDescent="0.25">
      <c r="A635" s="5">
        <v>728</v>
      </c>
      <c r="B635" t="s">
        <v>3769</v>
      </c>
      <c r="C635" t="s">
        <v>3760</v>
      </c>
      <c r="D635" s="3">
        <f t="shared" si="64"/>
        <v>728</v>
      </c>
      <c r="E635" s="36" t="s">
        <v>3772</v>
      </c>
      <c r="G635" s="3" t="s">
        <v>3757</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3752</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3754</v>
      </c>
      <c r="W635" s="3" t="s">
        <v>3772</v>
      </c>
      <c r="X635" s="3" t="s">
        <v>3889</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2653</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hidden="1" x14ac:dyDescent="0.25">
      <c r="A636" s="5">
        <v>729</v>
      </c>
      <c r="B636" t="s">
        <v>3770</v>
      </c>
      <c r="C636" t="s">
        <v>3759</v>
      </c>
      <c r="D636" s="3">
        <f t="shared" si="64"/>
        <v>729</v>
      </c>
      <c r="E636" s="36" t="s">
        <v>3775</v>
      </c>
      <c r="G636" s="3" t="s">
        <v>3757</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3752</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3754</v>
      </c>
      <c r="W636" s="3" t="s">
        <v>3775</v>
      </c>
      <c r="X636" s="3" t="s">
        <v>3890</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2653</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hidden="1" x14ac:dyDescent="0.25">
      <c r="A637" s="53">
        <v>735</v>
      </c>
      <c r="B637" s="53" t="s">
        <v>3899</v>
      </c>
      <c r="C637" s="53" t="s">
        <v>3899</v>
      </c>
      <c r="D637" s="3">
        <f t="shared" si="64"/>
        <v>735</v>
      </c>
      <c r="G637" s="8" t="s">
        <v>1473</v>
      </c>
      <c r="I637" t="s">
        <v>91</v>
      </c>
      <c r="J637" t="s">
        <v>91</v>
      </c>
      <c r="K637" s="53">
        <v>-1</v>
      </c>
      <c r="L637" s="53">
        <v>-1</v>
      </c>
      <c r="M637" s="53">
        <v>-1</v>
      </c>
      <c r="O637" s="61" t="s">
        <v>3896</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3897</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3285</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2653</v>
      </c>
      <c r="BA637" s="78"/>
      <c r="BB637" s="78"/>
      <c r="BC637"/>
      <c r="BD637"/>
      <c r="BE637" s="21" t="str">
        <f t="shared" si="59"/>
        <v>[735] = {wayshrines={-1,-1,-1,}, dlcId=DLC_SCIONS_OF_ITHELIA</v>
      </c>
      <c r="BF637" s="21" t="str">
        <f t="shared" si="60"/>
        <v>, zoneIds={1471}, veteran=false</v>
      </c>
      <c r="BG637" s="21" t="str">
        <f t="shared" si="61"/>
        <v>, setType=LIBSETS_SETTYPE_DUNGEON</v>
      </c>
      <c r="BH637" s="21" t="str">
        <f t="shared" si="62"/>
        <v>, dropMechanic={LIBSETS_DROP_MECHANIC_GROUP_DUNGEON_BOSS}</v>
      </c>
      <c r="BI637" s="21" t="str">
        <f t="shared" si="63"/>
        <v>}, --Blind Path Induction / Blind Path Induction   [Bedlam Veil]</v>
      </c>
    </row>
    <row r="638" spans="1:61" hidden="1" x14ac:dyDescent="0.25">
      <c r="A638" s="53">
        <v>736</v>
      </c>
      <c r="B638" s="53" t="s">
        <v>3900</v>
      </c>
      <c r="C638" s="53" t="s">
        <v>3900</v>
      </c>
      <c r="D638" s="3">
        <f t="shared" si="64"/>
        <v>736</v>
      </c>
      <c r="G638" s="8" t="s">
        <v>1473</v>
      </c>
      <c r="I638" t="s">
        <v>91</v>
      </c>
      <c r="J638" t="s">
        <v>91</v>
      </c>
      <c r="K638" s="53">
        <v>-1</v>
      </c>
      <c r="L638" s="53">
        <v>-1</v>
      </c>
      <c r="M638" s="53">
        <v>-1</v>
      </c>
      <c r="O638" s="61" t="s">
        <v>3896</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3897</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3285</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2653</v>
      </c>
      <c r="BA638" s="78"/>
      <c r="BB638" s="78"/>
      <c r="BC638"/>
      <c r="BD638"/>
      <c r="BE638" s="21" t="str">
        <f t="shared" si="59"/>
        <v>[736] = {wayshrines={-1,-1,-1,}, dlcId=DLC_SCIONS_OF_ITHELIA</v>
      </c>
      <c r="BF638" s="21" t="str">
        <f t="shared" si="60"/>
        <v>, zoneIds={1471}, veteran=false</v>
      </c>
      <c r="BG638" s="21" t="str">
        <f t="shared" si="61"/>
        <v>, setType=LIBSETS_SETTYPE_DUNGEON</v>
      </c>
      <c r="BH638" s="21" t="str">
        <f t="shared" si="62"/>
        <v>, dropMechanic={LIBSETS_DROP_MECHANIC_GROUP_DUNGEON_BOSS}</v>
      </c>
      <c r="BI638" s="21" t="str">
        <f t="shared" si="63"/>
        <v>}, --Tarnished Nightmare / Tarnished Nightmare   [Bedlam Veil]</v>
      </c>
    </row>
    <row r="639" spans="1:61" hidden="1" x14ac:dyDescent="0.25">
      <c r="A639" s="53">
        <v>737</v>
      </c>
      <c r="B639" s="53" t="s">
        <v>3901</v>
      </c>
      <c r="C639" s="53" t="s">
        <v>3901</v>
      </c>
      <c r="D639" s="3">
        <f t="shared" si="64"/>
        <v>737</v>
      </c>
      <c r="G639" s="8" t="s">
        <v>1473</v>
      </c>
      <c r="I639" t="s">
        <v>91</v>
      </c>
      <c r="J639" t="s">
        <v>91</v>
      </c>
      <c r="K639" s="53">
        <v>-1</v>
      </c>
      <c r="L639" s="53">
        <v>-1</v>
      </c>
      <c r="M639" s="53">
        <v>-1</v>
      </c>
      <c r="O639" s="61" t="s">
        <v>3896</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3897</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3285</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2653</v>
      </c>
      <c r="BA639" s="78"/>
      <c r="BB639" s="78"/>
      <c r="BC639"/>
      <c r="BD639"/>
      <c r="BE639" s="21" t="str">
        <f t="shared" si="59"/>
        <v>[737] = {wayshrines={-1,-1,-1,}, dlcId=DLC_SCIONS_OF_ITHELIA</v>
      </c>
      <c r="BF639" s="21" t="str">
        <f t="shared" si="60"/>
        <v>, zoneIds={1471}, veteran=false</v>
      </c>
      <c r="BG639" s="21" t="str">
        <f t="shared" si="61"/>
        <v>, setType=LIBSETS_SETTYPE_DUNGEON</v>
      </c>
      <c r="BH639" s="21" t="str">
        <f t="shared" si="62"/>
        <v>, dropMechanic={LIBSETS_DROP_MECHANIC_GROUP_DUNGEON_BOSS}</v>
      </c>
      <c r="BI639" s="21" t="str">
        <f t="shared" si="63"/>
        <v>}, --Reflected Fury / Reflected Fury   [Bedlam Veil]</v>
      </c>
    </row>
    <row r="640" spans="1:61" hidden="1" x14ac:dyDescent="0.25">
      <c r="A640" s="53">
        <v>730</v>
      </c>
      <c r="B640" s="53" t="s">
        <v>3902</v>
      </c>
      <c r="C640" s="53" t="s">
        <v>3902</v>
      </c>
      <c r="D640" s="3">
        <f t="shared" si="64"/>
        <v>730</v>
      </c>
      <c r="G640" s="8" t="s">
        <v>1473</v>
      </c>
      <c r="I640" t="s">
        <v>91</v>
      </c>
      <c r="J640" t="s">
        <v>91</v>
      </c>
      <c r="K640" s="53">
        <v>-1</v>
      </c>
      <c r="L640" s="53">
        <v>-1</v>
      </c>
      <c r="M640" s="53">
        <v>-1</v>
      </c>
      <c r="O640" s="61" t="s">
        <v>3895</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3897</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3285</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2653</v>
      </c>
      <c r="BA640" s="78"/>
      <c r="BB640" s="78"/>
      <c r="BC640"/>
      <c r="BD640"/>
      <c r="BE640" s="21" t="str">
        <f t="shared" si="59"/>
        <v>[730] = {wayshrines={-1,-1,-1,}, dlcId=DLC_SCIONS_OF_ITHELIA</v>
      </c>
      <c r="BF640" s="21" t="str">
        <f t="shared" si="60"/>
        <v>, zoneIds={1470}, veteran=false</v>
      </c>
      <c r="BG640" s="21" t="str">
        <f t="shared" si="61"/>
        <v>, setType=LIBSETS_SETTYPE_DUNGEON</v>
      </c>
      <c r="BH640" s="21" t="str">
        <f t="shared" si="62"/>
        <v>, dropMechanic={LIBSETS_DROP_MECHANIC_GROUP_DUNGEON_BOSS}</v>
      </c>
      <c r="BI640" s="21" t="str">
        <f t="shared" si="63"/>
        <v>}, --Cinders of Anthelmir / Cinders of Anthelmir   [Oathsworn Pit]</v>
      </c>
    </row>
    <row r="641" spans="1:61" hidden="1" x14ac:dyDescent="0.25">
      <c r="A641" s="53">
        <v>731</v>
      </c>
      <c r="B641" s="53" t="s">
        <v>3904</v>
      </c>
      <c r="C641" s="53" t="s">
        <v>3904</v>
      </c>
      <c r="D641" s="3">
        <f t="shared" si="64"/>
        <v>731</v>
      </c>
      <c r="G641" s="8" t="s">
        <v>1473</v>
      </c>
      <c r="I641" t="s">
        <v>91</v>
      </c>
      <c r="J641" t="s">
        <v>91</v>
      </c>
      <c r="K641" s="53">
        <v>-1</v>
      </c>
      <c r="L641" s="53">
        <v>-1</v>
      </c>
      <c r="M641" s="53">
        <v>-1</v>
      </c>
      <c r="O641" s="61" t="s">
        <v>3895</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3897</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3285</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2653</v>
      </c>
      <c r="BA641" s="78"/>
      <c r="BB641" s="78"/>
      <c r="BC641"/>
      <c r="BD641"/>
      <c r="BE641" s="21" t="str">
        <f t="shared" si="59"/>
        <v>[731] = {wayshrines={-1,-1,-1,}, dlcId=DLC_SCIONS_OF_ITHELIA</v>
      </c>
      <c r="BF641" s="21" t="str">
        <f t="shared" si="60"/>
        <v>, zoneIds={1470}, veteran=false</v>
      </c>
      <c r="BG641" s="21" t="str">
        <f t="shared" si="61"/>
        <v>, setType=LIBSETS_SETTYPE_DUNGEON</v>
      </c>
      <c r="BH641" s="21" t="str">
        <f t="shared" si="62"/>
        <v>, dropMechanic={LIBSETS_DROP_MECHANIC_GROUP_DUNGEON_BOSS}</v>
      </c>
      <c r="BI641" s="21" t="str">
        <f t="shared" si="63"/>
        <v>}, --Sluthrug\'s Hunger / Sluthrug\'s Hunger   [Oathsworn Pit]</v>
      </c>
    </row>
    <row r="642" spans="1:61" hidden="1" x14ac:dyDescent="0.25">
      <c r="A642" s="53">
        <v>732</v>
      </c>
      <c r="B642" s="53" t="s">
        <v>3903</v>
      </c>
      <c r="C642" s="53" t="s">
        <v>3903</v>
      </c>
      <c r="D642" s="3">
        <f t="shared" si="64"/>
        <v>732</v>
      </c>
      <c r="G642" s="8" t="s">
        <v>1473</v>
      </c>
      <c r="I642" t="s">
        <v>91</v>
      </c>
      <c r="J642" t="s">
        <v>91</v>
      </c>
      <c r="K642" s="53">
        <v>-1</v>
      </c>
      <c r="L642" s="53">
        <v>-1</v>
      </c>
      <c r="M642" s="53">
        <v>-1</v>
      </c>
      <c r="O642" s="61" t="s">
        <v>3895</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3897</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3285</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2653</v>
      </c>
      <c r="BA642" s="78"/>
      <c r="BB642" s="78"/>
      <c r="BC642"/>
      <c r="BD642"/>
      <c r="BE642" s="21" t="str">
        <f t="shared" si="59"/>
        <v>[732] = {wayshrines={-1,-1,-1,}, dlcId=DLC_SCIONS_OF_ITHELIA</v>
      </c>
      <c r="BF642" s="21" t="str">
        <f t="shared" si="60"/>
        <v>, zoneIds={1470}, veteran=false</v>
      </c>
      <c r="BG642" s="21" t="str">
        <f t="shared" si="61"/>
        <v>, setType=LIBSETS_SETTYPE_DUNGEON</v>
      </c>
      <c r="BH642" s="21" t="str">
        <f t="shared" si="62"/>
        <v>, dropMechanic={LIBSETS_DROP_MECHANIC_GROUP_DUNGEON_BOSS}</v>
      </c>
      <c r="BI642" s="21" t="str">
        <f t="shared" si="63"/>
        <v>}, --Black-Grove Grounding / Black-Grove Grounding   [Oathsworn Pit]</v>
      </c>
    </row>
    <row r="643" spans="1:61" hidden="1" x14ac:dyDescent="0.25">
      <c r="A643" s="53">
        <v>738</v>
      </c>
      <c r="B643" s="53" t="s">
        <v>3906</v>
      </c>
      <c r="C643" s="53" t="s">
        <v>3905</v>
      </c>
      <c r="D643" s="3">
        <f t="shared" si="64"/>
        <v>738</v>
      </c>
      <c r="G643" s="8" t="s">
        <v>1475</v>
      </c>
      <c r="I643" t="s">
        <v>91</v>
      </c>
      <c r="J643" t="s">
        <v>91</v>
      </c>
      <c r="K643" s="53">
        <v>-1</v>
      </c>
      <c r="L643" s="53">
        <v>-1</v>
      </c>
      <c r="M643" s="53">
        <v>-1</v>
      </c>
      <c r="O643" s="61" t="s">
        <v>3896</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3897</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3905</v>
      </c>
      <c r="X643" s="3" t="s">
        <v>3906</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2653</v>
      </c>
      <c r="BA643" s="78"/>
      <c r="BB643" s="78"/>
      <c r="BC643"/>
      <c r="BD643"/>
      <c r="BE643" s="21" t="str">
        <f t="shared" si="59"/>
        <v>[738] = {wayshrines={-1,-1,-1,}, dlcId=DLC_SCIONS_OF_ITHELIA</v>
      </c>
      <c r="BF643" s="21" t="str">
        <f t="shared" si="60"/>
        <v>, zoneIds={1471},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v>
      </c>
    </row>
    <row r="644" spans="1:61" hidden="1" x14ac:dyDescent="0.25">
      <c r="A644" s="53">
        <v>734</v>
      </c>
      <c r="B644" s="53" t="s">
        <v>3907</v>
      </c>
      <c r="C644" s="53" t="s">
        <v>3908</v>
      </c>
      <c r="D644" s="3">
        <f t="shared" si="64"/>
        <v>734</v>
      </c>
      <c r="G644" s="8" t="s">
        <v>1475</v>
      </c>
      <c r="I644" t="s">
        <v>91</v>
      </c>
      <c r="J644" t="s">
        <v>91</v>
      </c>
      <c r="K644" s="53">
        <v>-1</v>
      </c>
      <c r="L644" s="53">
        <v>-1</v>
      </c>
      <c r="M644" s="53">
        <v>-1</v>
      </c>
      <c r="O644" s="61" t="s">
        <v>3895</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3897</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3907</v>
      </c>
      <c r="X644" s="3" t="s">
        <v>3908</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2653</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1" hidden="1" x14ac:dyDescent="0.25">
      <c r="A645" s="53">
        <v>693</v>
      </c>
      <c r="B645" s="53" t="s">
        <v>3909</v>
      </c>
      <c r="C645" s="53" t="s">
        <v>3909</v>
      </c>
      <c r="D645" s="3">
        <f t="shared" si="64"/>
        <v>693</v>
      </c>
      <c r="G645" s="8" t="s">
        <v>1678</v>
      </c>
      <c r="I645" t="s">
        <v>91</v>
      </c>
      <c r="J645" t="s">
        <v>91</v>
      </c>
      <c r="K645" s="53">
        <v>-1</v>
      </c>
      <c r="L645" s="53">
        <v>-1</v>
      </c>
      <c r="M645" s="53">
        <v>-1</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3897</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112" t="s">
        <v>3269</v>
      </c>
      <c r="W645" s="92" t="s">
        <v>3957</v>
      </c>
      <c r="Y645" s="61"/>
      <c r="Z645" s="3" t="str">
        <f>IF(AND(G645&lt;&gt;"LIBSETS_SETTYPE_BATTLEGROUND",G645&lt;&gt;"LIBSETS_SETTYPE_SPECIAL"),
IF(AND(Y645&lt;&gt;"",ISNUMBER(Y645),NOT(ISNA(Y645))),Y645,
   IF(AND(L645&lt;&gt;"",ISNUMBER(L645),L645&gt;0,NOT(ISNA(L645))),VLOOKUP(L645,'ESO dumped WayshrineInfo'!$K$3:$L$9972,2,FALSE),"")
),"")</f>
        <v/>
      </c>
      <c r="AA645" t="str">
        <f>IF(AND(Z645&lt;&gt;"",ISNUMBER(Z645),NOT(ISNA(Z645))),VLOOKUP(Z645,'ESO zone constants'!$A$5:$D$10001,4,FALSE),"")</f>
        <v/>
      </c>
      <c r="AB645" s="89"/>
      <c r="AC645" s="39"/>
      <c r="AD645" s="39"/>
      <c r="AE645" s="39"/>
      <c r="AF645" s="3" t="str">
        <f>IF(AND(G645&lt;&gt;"LIBSETS_SETTYPE_BATTLEGROUND",G645&lt;&gt;"LIBSETS_SETTYPE_SPECIAL"),
IF(AND(AE645&lt;&gt;"",ISNUMBER(AE645),NOT(ISNA(AE645))),AE645,
   IF(AND(M645&lt;&gt;"",ISNUMBER(M645),M645&gt;0,NOT(ISNA(M645))),VLOOKUP(M645,'ESO dumped WayshrineInfo'!$K$3:$L$9972,2,FALSE),"")
),"")</f>
        <v/>
      </c>
      <c r="AG645" t="str">
        <f>IF(AND(AF645&lt;&gt;"",ISNUMBER(AF645),NOT(ISNA(AF645))),VLOOKUP(AF645,'ESO zone constants'!$A$5:$D$10001,4,FALSE),"")</f>
        <v/>
      </c>
      <c r="AH645" s="42"/>
      <c r="AI645" s="39"/>
      <c r="AJ645" s="39"/>
      <c r="AK645" s="3" t="str">
        <f>IF(AND(G645&lt;&gt;"LIBSETS_SETTYPE_BATTLEGROUND",G645&lt;&gt;"LIBSETS_SETTYPE_SPECIAL"),IF(AL645&lt;&gt;"",VLOOKUP(AL645,'ESO zone constants'!$D$5:$H$4955,5,FALSE),""),"")</f>
        <v/>
      </c>
      <c r="AM645" s="42"/>
      <c r="AN645" s="39"/>
      <c r="AO645" s="39"/>
      <c r="AP645" s="3" t="str">
        <f>IF(AND(G645&lt;&gt;"LIBSETS_SETTYPE_BATTLEGROUND",G645&lt;&gt;"LIBSETS_SETTYPE_SPECIAL"),IF(AQ645&lt;&gt;"",VLOOKUP(AQ645,'ESO zone constants'!$D$5:$H$4955,5,FALSE),""),"")</f>
        <v/>
      </c>
      <c r="AR645" s="42"/>
      <c r="AS645" s="39"/>
      <c r="AT645" s="39"/>
      <c r="AU645" s="3" t="str">
        <f>IF(AND(G645&lt;&gt;"LIBSETS_SETTYPE_BATTLEGROUND",G645&lt;&gt;"LIBSETS_SETTYPE_SPECIAL"),IF(AV645&lt;&gt;"",VLOOKUP(AV645,'ESO zone constants'!$D$5:$H$4955,5,FALSE),""),"")</f>
        <v/>
      </c>
      <c r="AW645" s="42"/>
      <c r="AX645" s="39"/>
      <c r="AY645" s="39"/>
      <c r="AZ645" s="78" t="s">
        <v>2653</v>
      </c>
      <c r="BA645" s="78"/>
      <c r="BB645" s="78"/>
      <c r="BC645"/>
      <c r="BD645"/>
      <c r="BE645" s="21" t="str">
        <f t="shared" si="65"/>
        <v>[693] = {wayshrines={-1,-1,-1,}, dlcId=DLC_SCIONS_OF_ITHELIA</v>
      </c>
      <c r="BF645" s="21" t="str">
        <f t="shared" si="66"/>
        <v>, zoneIds={1413}, veteran=false</v>
      </c>
      <c r="BG645" s="21" t="str">
        <f t="shared" si="67"/>
        <v>, setType=LIBSETS_SETTYPE_MYTHIC</v>
      </c>
      <c r="BH645" s="21" t="str">
        <f t="shared" si="68"/>
        <v>, dropMechanic={LIBSETS_DROP_MECHANIC_MOB_TYPE}, dropMechanicDropLocationNames={['en']={'Unknown yet','','','','','',},}</v>
      </c>
      <c r="BI645" s="21" t="str">
        <f t="shared" si="69"/>
        <v>}, --Torc of the Last Ayleid King / Torc of the Last Ayleid King   [Apocrypha]</v>
      </c>
    </row>
    <row r="646" spans="1:61" hidden="1" x14ac:dyDescent="0.25">
      <c r="A646" s="53">
        <v>754</v>
      </c>
      <c r="B646" s="53" t="s">
        <v>3910</v>
      </c>
      <c r="C646" s="53" t="s">
        <v>3910</v>
      </c>
      <c r="D646" s="3">
        <f t="shared" si="64"/>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3897</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3737</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2765</v>
      </c>
      <c r="AI646" s="39"/>
      <c r="AJ646" s="39"/>
      <c r="AK646" s="3">
        <f>IF(AND(G646&lt;&gt;"LIBSETS_SETTYPE_BATTLEGROUND",G646&lt;&gt;"LIBSETS_SETTYPE_SPECIAL"),IF(AL646&lt;&gt;"",VLOOKUP(AL646,'ESO zone constants'!$D$5:$H$4955,5,FALSE),""),"")</f>
        <v>181</v>
      </c>
      <c r="AL646" t="s">
        <v>125</v>
      </c>
      <c r="AM646" s="33" t="s">
        <v>3740</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3236</v>
      </c>
      <c r="AX646" s="39"/>
      <c r="AY646" s="39"/>
      <c r="AZ646" s="78" t="s">
        <v>2653</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hidden="1" x14ac:dyDescent="0.25">
      <c r="A647" s="53">
        <v>755</v>
      </c>
      <c r="B647" s="53" t="s">
        <v>3911</v>
      </c>
      <c r="C647" s="53" t="s">
        <v>3911</v>
      </c>
      <c r="D647" s="3">
        <f t="shared" si="64"/>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3897</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3737</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2765</v>
      </c>
      <c r="AI647" s="39"/>
      <c r="AJ647" s="39"/>
      <c r="AK647" s="3">
        <f>IF(AND(G647&lt;&gt;"LIBSETS_SETTYPE_BATTLEGROUND",G647&lt;&gt;"LIBSETS_SETTYPE_SPECIAL"),IF(AL647&lt;&gt;"",VLOOKUP(AL647,'ESO zone constants'!$D$5:$H$4955,5,FALSE),""),"")</f>
        <v>181</v>
      </c>
      <c r="AL647" t="s">
        <v>125</v>
      </c>
      <c r="AM647" s="33" t="s">
        <v>3740</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3236</v>
      </c>
      <c r="AX647" s="39"/>
      <c r="AY647" s="39"/>
      <c r="AZ647" s="78" t="s">
        <v>2653</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hidden="1" x14ac:dyDescent="0.25">
      <c r="A648" s="53">
        <v>756</v>
      </c>
      <c r="B648" s="53" t="s">
        <v>3912</v>
      </c>
      <c r="C648" s="53" t="s">
        <v>3912</v>
      </c>
      <c r="D648" s="3">
        <f t="shared" si="64"/>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3897</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3737</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3740</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3236</v>
      </c>
      <c r="AX648" s="39"/>
      <c r="AY648" s="39"/>
      <c r="AZ648" s="78" t="s">
        <v>2653</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sheetData>
  <autoFilter ref="A2:BI648" xr:uid="{00000000-0001-0000-0000-000000000000}">
    <filterColumn colId="6">
      <filters>
        <filter val="LIBSETS_SETTYPE_ARENA"/>
        <filter val="LIBSETS_SETTYPE_TRIAL"/>
      </filters>
    </filterColumn>
    <filterColumn colId="55">
      <customFilters>
        <customFilter operator="notEqual" val=" "/>
      </customFilters>
    </filterColumn>
  </autoFilter>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4" t="s">
        <v>1672</v>
      </c>
      <c r="B1" s="114"/>
      <c r="C1" s="114"/>
      <c r="D1" s="44" t="s">
        <v>1673</v>
      </c>
    </row>
    <row r="2" spans="1:4" x14ac:dyDescent="0.25">
      <c r="A2" s="6" t="s">
        <v>83</v>
      </c>
      <c r="B2" s="7" t="s">
        <v>1670</v>
      </c>
      <c r="C2" s="7" t="s">
        <v>1671</v>
      </c>
      <c r="D2" s="1" t="s">
        <v>1669</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9"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5" t="s">
        <v>3927</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6"/>
    </row>
    <row r="2" spans="1:52" ht="30" x14ac:dyDescent="0.25">
      <c r="A2" s="10" t="s">
        <v>95</v>
      </c>
      <c r="B2" s="1" t="s">
        <v>93</v>
      </c>
      <c r="C2" s="1" t="s">
        <v>1342</v>
      </c>
      <c r="D2" s="3" t="s">
        <v>94</v>
      </c>
      <c r="E2" s="3" t="s">
        <v>1611</v>
      </c>
      <c r="F2" s="3" t="s">
        <v>1487</v>
      </c>
      <c r="G2" s="3" t="s">
        <v>1612</v>
      </c>
      <c r="H2" s="15" t="s">
        <v>1341</v>
      </c>
      <c r="I2" s="18" t="s">
        <v>1507</v>
      </c>
      <c r="J2" s="17" t="s">
        <v>1340</v>
      </c>
      <c r="K2" s="102" t="s">
        <v>3872</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 t="shared" ref="K3:K34" si="0">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 t="shared" si="0"/>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 t="shared" si="0"/>
        <v/>
      </c>
    </row>
    <row r="9" spans="1:52" x14ac:dyDescent="0.25">
      <c r="A9" s="81" t="s">
        <v>3555</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 t="shared" si="0"/>
        <v/>
      </c>
    </row>
    <row r="11" spans="1:52" x14ac:dyDescent="0.25">
      <c r="A11" s="109" t="s">
        <v>3896</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 t="shared" si="0"/>
        <v/>
      </c>
    </row>
    <row r="13" spans="1:52" x14ac:dyDescent="0.25">
      <c r="A13" s="2" t="s">
        <v>2391</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 t="shared" si="0"/>
        <v/>
      </c>
    </row>
    <row r="21" spans="1:11" x14ac:dyDescent="0.25">
      <c r="A21" s="2" t="s">
        <v>1799</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 t="shared" si="0"/>
        <v/>
      </c>
    </row>
    <row r="23" spans="1:11" x14ac:dyDescent="0.25">
      <c r="A23" s="2" t="s">
        <v>1799</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 t="shared" si="0"/>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 t="shared" si="0"/>
        <v/>
      </c>
    </row>
    <row r="31" spans="1:11" x14ac:dyDescent="0.25">
      <c r="A31" s="81" t="s">
        <v>2712</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 t="shared" si="0"/>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 t="shared" ref="K35:K66" si="1">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 t="shared" si="1"/>
        <v/>
      </c>
    </row>
    <row r="47" spans="1:11" x14ac:dyDescent="0.25">
      <c r="A47" s="2" t="s">
        <v>2491</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 t="shared" si="1"/>
        <v/>
      </c>
    </row>
    <row r="49" spans="1:11" x14ac:dyDescent="0.25">
      <c r="A49" t="s">
        <v>3349</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 t="shared" si="1"/>
        <v/>
      </c>
    </row>
    <row r="51" spans="1:11" x14ac:dyDescent="0.25">
      <c r="A51" s="81" t="s">
        <v>3386</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 t="shared" si="1"/>
        <v/>
      </c>
    </row>
    <row r="57" spans="1:11" x14ac:dyDescent="0.25">
      <c r="A57" s="2" t="s">
        <v>3755</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 t="shared" si="1"/>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 t="shared" si="2"/>
        <v/>
      </c>
    </row>
    <row r="69" spans="1:11" x14ac:dyDescent="0.25">
      <c r="A69" s="81" t="s">
        <v>3387</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 t="shared" si="2"/>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 t="shared" si="2"/>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 t="shared" si="2"/>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 t="shared" si="2"/>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 t="shared" si="2"/>
        <v/>
      </c>
    </row>
    <row r="75" spans="1:11" x14ac:dyDescent="0.25">
      <c r="A75" s="2" t="s">
        <v>1643</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 t="shared" si="2"/>
        <v/>
      </c>
    </row>
    <row r="79" spans="1:11" x14ac:dyDescent="0.25">
      <c r="A79" s="2" t="s">
        <v>1703</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 t="shared" si="2"/>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 t="shared" si="2"/>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 t="shared" si="2"/>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 t="shared" si="2"/>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 t="shared" si="2"/>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 t="shared" si="2"/>
        <v/>
      </c>
    </row>
    <row r="91" spans="1:11" x14ac:dyDescent="0.25">
      <c r="A91" s="53" t="s">
        <v>3895</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 t="shared" si="2"/>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 t="shared" si="2"/>
        <v/>
      </c>
    </row>
    <row r="93" spans="1:11" x14ac:dyDescent="0.25">
      <c r="A93" s="2" t="s">
        <v>2494</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 t="shared" si="2"/>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 t="shared" si="2"/>
        <v>[843]={parentZoneId=117,isTrial=false},   --Ruins of Mazzatun</v>
      </c>
    </row>
    <row r="96" spans="1:11" hidden="1" x14ac:dyDescent="0.25">
      <c r="A96" s="2" t="s">
        <v>1643</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 t="shared" si="2"/>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 t="shared" si="2"/>
        <v>[639]={parentZoneId=888,isTrial=true},   --Sanctum Ophidia</v>
      </c>
    </row>
    <row r="98" spans="1:11" hidden="1" x14ac:dyDescent="0.25">
      <c r="A98" s="2" t="s">
        <v>1642</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 t="shared" si="2"/>
        <v/>
      </c>
    </row>
    <row r="99" spans="1:11" x14ac:dyDescent="0.25">
      <c r="A99" s="2" t="s">
        <v>3691</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 t="shared" ref="K99:K130" si="3">IF(B99="false","["&amp;D99&amp;"]={parentZoneId="&amp;F99&amp;",isTrial="&amp;C99&amp;"},   --"&amp;E99,"")</f>
        <v>[1427]={parentZoneId=1414,isTrial=true},   --Sanity's Edge</v>
      </c>
    </row>
    <row r="100" spans="1:11" hidden="1" x14ac:dyDescent="0.25">
      <c r="A100" s="2" t="s">
        <v>1703</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 t="shared" si="3"/>
        <v>[1010]={parentZoneId=19,isTrial=false},   --Scalecaller Peak</v>
      </c>
    </row>
    <row r="102" spans="1:11" x14ac:dyDescent="0.25">
      <c r="A102" s="81" t="s">
        <v>3558</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 t="shared" si="3"/>
        <v>[31]={parentZoneId=382,isTrial=false},   --Selene's Web</v>
      </c>
    </row>
    <row r="104" spans="1:11" hidden="1" x14ac:dyDescent="0.25">
      <c r="A104" s="2" t="s">
        <v>1804</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 t="shared" si="3"/>
        <v/>
      </c>
    </row>
    <row r="105" spans="1:11" x14ac:dyDescent="0.25">
      <c r="A105" s="81" t="s">
        <v>2713</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 t="shared" si="3"/>
        <v>[1302]={parentZoneId=20,isTrial=false},   --Shipwright's Regret</v>
      </c>
    </row>
    <row r="106" spans="1:11" hidden="1" x14ac:dyDescent="0.25">
      <c r="A106" s="2" t="s">
        <v>2391</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 t="shared" si="3"/>
        <v>[144]={parentZoneId=3,isTrial=false},   --Spindleclutch I</v>
      </c>
    </row>
    <row r="108" spans="1:11" hidden="1" x14ac:dyDescent="0.25">
      <c r="A108" s="2" t="s">
        <v>2392</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 t="shared" si="3"/>
        <v>[936]={parentZoneId=3,isTrial=false},   --Spindleclutch II</v>
      </c>
    </row>
    <row r="110" spans="1:11" hidden="1" x14ac:dyDescent="0.25">
      <c r="A110" s="2" t="s">
        <v>2491</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 t="shared" si="3"/>
        <v/>
      </c>
    </row>
    <row r="111" spans="1:11" x14ac:dyDescent="0.25">
      <c r="A111" s="2" t="s">
        <v>1804</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 t="shared" si="3"/>
        <v>[1197]={parentZoneId=1161,isTrial=false},   --Stone Garden</v>
      </c>
    </row>
    <row r="112" spans="1:11" hidden="1" x14ac:dyDescent="0.25">
      <c r="A112" s="2" t="s">
        <v>2494</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 t="shared" si="3"/>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 t="shared" si="3"/>
        <v>[1121]={parentZoneId=1086,isTrial=true},   --Sunspire</v>
      </c>
    </row>
    <row r="114" spans="1:11" hidden="1" x14ac:dyDescent="0.25">
      <c r="A114" s="81" t="s">
        <v>2712</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 t="shared" si="3"/>
        <v>[131]={parentZoneId=58,isTrial=false},   --Tempest Island</v>
      </c>
    </row>
    <row r="116" spans="1:11" hidden="1" x14ac:dyDescent="0.25">
      <c r="A116" s="81" t="s">
        <v>2713</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 t="shared" si="3"/>
        <v>[380]={parentZoneId=381,isTrial=false},   --The Banished Cells I</v>
      </c>
    </row>
    <row r="118" spans="1:11" hidden="1" x14ac:dyDescent="0.25">
      <c r="A118" t="s">
        <v>3349</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 t="shared" si="3"/>
        <v>[935]={parentZoneId=381,isTrial=false},   --The Banished Cells II</v>
      </c>
    </row>
    <row r="120" spans="1:11" hidden="1" x14ac:dyDescent="0.25">
      <c r="A120" s="81" t="s">
        <v>3386</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 t="shared" si="3"/>
        <v/>
      </c>
    </row>
    <row r="121" spans="1:11" x14ac:dyDescent="0.25">
      <c r="A121" s="2" t="s">
        <v>2392</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 t="shared" si="3"/>
        <v>[1229]={parentZoneId=57,isTrial=false},   --The Cauldron</v>
      </c>
    </row>
    <row r="122" spans="1:11" hidden="1" x14ac:dyDescent="0.25">
      <c r="A122" s="81" t="s">
        <v>3387</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 t="shared" si="3"/>
        <v/>
      </c>
    </row>
    <row r="123" spans="1:11" x14ac:dyDescent="0.25">
      <c r="A123" s="2" t="s">
        <v>1642</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 t="shared" si="3"/>
        <v>[1153]={parentZoneId=92,isTrial=false},   --Unhallowed Grave</v>
      </c>
    </row>
    <row r="124" spans="1:11" hidden="1" x14ac:dyDescent="0.25">
      <c r="A124" s="81" t="s">
        <v>3555</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 t="shared" si="3"/>
        <v>[11]={parentZoneId=347,isTrial=false},   --Vaults of Madness</v>
      </c>
    </row>
    <row r="126" spans="1:11" hidden="1" x14ac:dyDescent="0.25">
      <c r="A126" s="81" t="s">
        <v>3558</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 t="shared" si="3"/>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7" t="s">
        <v>3928</v>
      </c>
      <c r="B1" s="117"/>
      <c r="C1" s="117"/>
      <c r="D1" s="117"/>
      <c r="E1" s="117"/>
      <c r="F1" s="117"/>
      <c r="G1" s="117"/>
      <c r="H1" s="117"/>
      <c r="I1" s="117"/>
      <c r="J1" s="117"/>
      <c r="K1" s="117"/>
      <c r="L1" s="118"/>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10">
        <v>-99</v>
      </c>
      <c r="B3" s="110" t="s">
        <v>3835</v>
      </c>
      <c r="C3" s="110"/>
      <c r="D3" s="104" t="s">
        <v>3834</v>
      </c>
      <c r="E3" s="104"/>
      <c r="F3" s="104" t="s">
        <v>3832</v>
      </c>
      <c r="G3" s="104" t="s">
        <v>3834</v>
      </c>
      <c r="H3" s="106">
        <v>-99</v>
      </c>
      <c r="I3" s="106">
        <v>-99</v>
      </c>
      <c r="J3" s="104"/>
      <c r="K3" s="104" t="str">
        <f>VLOOKUP(J3,'LibSets constants'!$A$4:$B$1012,2,FALSE)</f>
        <v>DLC_BASE_GAME</v>
      </c>
      <c r="L3" s="104" t="str">
        <f>VLOOKUP(J3,'LibSets constants'!$A$4:$C$1012,3,FALSE)</f>
        <v>Included in base game</v>
      </c>
    </row>
    <row r="4" spans="1:12" x14ac:dyDescent="0.25">
      <c r="A4" s="110">
        <v>-98</v>
      </c>
      <c r="B4" s="110" t="s">
        <v>3835</v>
      </c>
      <c r="C4" s="110"/>
      <c r="D4" s="105" t="s">
        <v>2372</v>
      </c>
      <c r="E4" s="104"/>
      <c r="F4" s="104" t="s">
        <v>3832</v>
      </c>
      <c r="G4" s="104" t="s">
        <v>3833</v>
      </c>
      <c r="H4" s="106">
        <v>-98</v>
      </c>
      <c r="I4" s="108">
        <v>-98</v>
      </c>
      <c r="J4" s="104"/>
      <c r="K4" s="104" t="str">
        <f>VLOOKUP(J4,'LibSets constants'!$A$4:$B$1012,2,FALSE)</f>
        <v>DLC_BASE_GAME</v>
      </c>
      <c r="L4" s="104" t="str">
        <f>VLOOKUP(J4,'LibSets constants'!$A$4:$C$1012,3,FALSE)</f>
        <v>Included in base game</v>
      </c>
    </row>
    <row r="5" spans="1:12" x14ac:dyDescent="0.25">
      <c r="A5" s="111">
        <v>0</v>
      </c>
      <c r="B5" s="111">
        <v>4294967296</v>
      </c>
      <c r="C5" s="111">
        <v>0</v>
      </c>
      <c r="D5" s="41" t="s">
        <v>2227</v>
      </c>
      <c r="E5" s="41" t="str">
        <f t="array" ref="E5">IF(OR(EXACT(A5,'ESO Dungeon constants'!$D$3:$D$987)),"X","")</f>
        <v/>
      </c>
      <c r="F5" s="41" t="str">
        <f t="shared" ref="F5:F68" si="0">IF(EXACT(A5,C5),"X","")</f>
        <v>X</v>
      </c>
      <c r="G5" s="41" t="str">
        <f t="shared" ref="G5:G68" si="1">IF(A5&lt;&gt;C5,VLOOKUP(C5,$A$5:$D$9954,4,FALSE),"")</f>
        <v/>
      </c>
      <c r="H5" s="107">
        <f t="shared" ref="H5:H68" si="2">A5</f>
        <v>0</v>
      </c>
      <c r="I5" s="107">
        <f t="shared" ref="I5:I68" si="3">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 t="shared" si="0"/>
        <v/>
      </c>
      <c r="G8" s="3" t="str">
        <f t="shared" si="1"/>
        <v>Coldharbour</v>
      </c>
      <c r="H8" s="17">
        <f t="shared" si="2"/>
        <v>11</v>
      </c>
      <c r="I8" s="17">
        <f t="shared" si="3"/>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3913</v>
      </c>
      <c r="E41" s="3" t="str">
        <f t="array" ref="E41">IF(OR(EXACT(A41,'ESO Dungeon constants'!$D$3:$D$987)),"X","")</f>
        <v/>
      </c>
      <c r="F41" s="3" t="str">
        <f t="shared" si="0"/>
        <v>X</v>
      </c>
      <c r="G41" s="3" t="str">
        <f t="shared" si="1"/>
        <v/>
      </c>
      <c r="H41" s="17">
        <f t="shared" si="2"/>
        <v>174</v>
      </c>
      <c r="I41" s="17">
        <f t="shared" si="3"/>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3914</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3916</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1710</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2422</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3923</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 t="shared" si="32"/>
        <v/>
      </c>
      <c r="G542" s="3" t="str">
        <f t="shared" si="33"/>
        <v>Vvardenfell</v>
      </c>
      <c r="H542" s="17">
        <f t="shared" si="34"/>
        <v>925</v>
      </c>
      <c r="I542" s="17">
        <f t="shared" si="35"/>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3832</v>
      </c>
      <c r="F626" s="3" t="str">
        <f t="shared" si="36"/>
        <v/>
      </c>
      <c r="G626" s="3" t="str">
        <f t="shared" si="37"/>
        <v>Summerset</v>
      </c>
      <c r="H626" s="17">
        <f t="shared" si="38"/>
        <v>1015</v>
      </c>
      <c r="I626" s="17">
        <f t="shared" si="39"/>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 t="shared" si="36"/>
        <v/>
      </c>
      <c r="G627" s="3" t="str">
        <f t="shared" si="37"/>
        <v>Summerset</v>
      </c>
      <c r="H627" s="17">
        <f t="shared" si="38"/>
        <v>1016</v>
      </c>
      <c r="I627" s="17">
        <f t="shared" si="39"/>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 t="shared" si="36"/>
        <v/>
      </c>
      <c r="G628" s="3" t="str">
        <f t="shared" si="37"/>
        <v>Summerset</v>
      </c>
      <c r="H628" s="17">
        <f t="shared" si="38"/>
        <v>1017</v>
      </c>
      <c r="I628" s="17">
        <f t="shared" si="39"/>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 t="shared" si="36"/>
        <v/>
      </c>
      <c r="G629" s="3" t="str">
        <f t="shared" si="37"/>
        <v>Summerset</v>
      </c>
      <c r="H629" s="17">
        <f t="shared" si="38"/>
        <v>1018</v>
      </c>
      <c r="I629" s="17">
        <f t="shared" si="39"/>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 t="shared" si="36"/>
        <v/>
      </c>
      <c r="G630" s="3" t="str">
        <f t="shared" si="37"/>
        <v>Summerset</v>
      </c>
      <c r="H630" s="17">
        <f t="shared" si="38"/>
        <v>1019</v>
      </c>
      <c r="I630" s="17">
        <f t="shared" si="39"/>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 t="shared" si="36"/>
        <v/>
      </c>
      <c r="G631" s="3" t="str">
        <f t="shared" si="37"/>
        <v>Summerset</v>
      </c>
      <c r="H631" s="17">
        <f t="shared" si="38"/>
        <v>1020</v>
      </c>
      <c r="I631" s="17">
        <f t="shared" si="39"/>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 t="shared" si="36"/>
        <v/>
      </c>
      <c r="G632" s="3" t="str">
        <f t="shared" si="37"/>
        <v>Summerset</v>
      </c>
      <c r="H632" s="17">
        <f t="shared" si="38"/>
        <v>1021</v>
      </c>
      <c r="I632" s="17">
        <f t="shared" si="39"/>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 t="shared" si="36"/>
        <v/>
      </c>
      <c r="G633" s="3" t="str">
        <f t="shared" si="37"/>
        <v>Summerset</v>
      </c>
      <c r="H633" s="17">
        <f t="shared" si="38"/>
        <v>1022</v>
      </c>
      <c r="I633" s="17">
        <f t="shared" si="39"/>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 t="shared" si="36"/>
        <v/>
      </c>
      <c r="G634" s="3" t="str">
        <f t="shared" si="37"/>
        <v>Summerset</v>
      </c>
      <c r="H634" s="17">
        <f t="shared" si="38"/>
        <v>1023</v>
      </c>
      <c r="I634" s="17">
        <f t="shared" si="39"/>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 t="shared" si="36"/>
        <v/>
      </c>
      <c r="G635" s="41" t="str">
        <f t="shared" si="37"/>
        <v>Summerset</v>
      </c>
      <c r="H635" s="107">
        <f t="shared" si="38"/>
        <v>1024</v>
      </c>
      <c r="I635" s="107">
        <f t="shared" si="39"/>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1643</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1642</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1684</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1714</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1685</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1713</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1686</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1712</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1687</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1711</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1688</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1709</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1689</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1690</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1691</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1692</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1693</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1694</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1695</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2393</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1696</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1697</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1708</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1698</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1699</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1707</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1700</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1701</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1701</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1657</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1656</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1702</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1703</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1804</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1655</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1654</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1799</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2149</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2151</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2150</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2210</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2211</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2212</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2213</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2225</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2224</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2399</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2223</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2222</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2221</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2220</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1704</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1705</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1706</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2214</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2215</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2219</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2218</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2217</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2216</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2209</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2391</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2392</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2147</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2148</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2394</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2398</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2423</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2420</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2424</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2425</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2426</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2427</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2428</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2429</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2430</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2421</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2431</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2432</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2433</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2434</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2435</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2436</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2416</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2437</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2438</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2419</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2418</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2439</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2440</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2385</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2397</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2441</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2208</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2207</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2417</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2494</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2499</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2396</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2395</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3915</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2503</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2443</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2444</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2415</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2502</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2501</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2504</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2504</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2678</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2679</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2693</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2692</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2442</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2691</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2690</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2689</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2688</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2687</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2686</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2685</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2684</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2683</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3922</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2682</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2681</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2712</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2724</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2680</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2500</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2505</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3915</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2725</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2728</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3369</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2727</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3368</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3351</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3344</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3327</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3352</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3367</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3353</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3354</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3355</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3356</v>
      </c>
      <c r="E895" s="3" t="str">
        <f t="array" ref="E895">IF(OR(EXACT(A895,'ESO Dungeon constants'!$D$3:$D$987)),"X","")</f>
        <v/>
      </c>
      <c r="F895" s="3" t="str">
        <f t="shared" si="52"/>
        <v/>
      </c>
      <c r="G895" s="3" t="str">
        <f t="shared" si="53"/>
        <v>High Isle</v>
      </c>
      <c r="H895" s="17">
        <f t="shared" si="54"/>
        <v>1326</v>
      </c>
      <c r="I895" s="17">
        <f t="shared" si="55"/>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1702</v>
      </c>
      <c r="E896" s="3" t="str">
        <f t="array" ref="E896">IF(OR(EXACT(A896,'ESO Dungeon constants'!$D$3:$D$987)),"X","")</f>
        <v/>
      </c>
      <c r="F896" s="3" t="str">
        <f t="shared" si="52"/>
        <v/>
      </c>
      <c r="G896" s="3" t="str">
        <f t="shared" si="53"/>
        <v>High Isle</v>
      </c>
      <c r="H896" s="17">
        <f t="shared" si="54"/>
        <v>1327</v>
      </c>
      <c r="I896" s="17">
        <f t="shared" si="55"/>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3357</v>
      </c>
      <c r="E897" s="3" t="str">
        <f t="array" ref="E897">IF(OR(EXACT(A897,'ESO Dungeon constants'!$D$3:$D$987)),"X","")</f>
        <v/>
      </c>
      <c r="F897" s="3" t="str">
        <f t="shared" si="52"/>
        <v/>
      </c>
      <c r="G897" s="3" t="str">
        <f t="shared" si="53"/>
        <v>High Isle</v>
      </c>
      <c r="H897" s="17">
        <f t="shared" si="54"/>
        <v>1328</v>
      </c>
      <c r="I897" s="17">
        <f t="shared" si="55"/>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3356</v>
      </c>
      <c r="E898" s="3" t="str">
        <f t="array" ref="E898">IF(OR(EXACT(A898,'ESO Dungeon constants'!$D$3:$D$987)),"X","")</f>
        <v/>
      </c>
      <c r="F898" s="3" t="str">
        <f t="shared" si="52"/>
        <v/>
      </c>
      <c r="G898" s="3" t="str">
        <f t="shared" si="53"/>
        <v>High Isle</v>
      </c>
      <c r="H898" s="17">
        <f t="shared" si="54"/>
        <v>1329</v>
      </c>
      <c r="I898" s="17">
        <f t="shared" si="55"/>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3366</v>
      </c>
      <c r="E899" s="3" t="str">
        <f t="array" ref="E899">IF(OR(EXACT(A899,'ESO Dungeon constants'!$D$3:$D$987)),"X","")</f>
        <v/>
      </c>
      <c r="F899" s="3" t="str">
        <f t="shared" si="52"/>
        <v/>
      </c>
      <c r="G899" s="3" t="str">
        <f t="shared" si="53"/>
        <v>High Isle</v>
      </c>
      <c r="H899" s="17">
        <f t="shared" si="54"/>
        <v>1330</v>
      </c>
      <c r="I899" s="17">
        <f t="shared" si="55"/>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3358</v>
      </c>
      <c r="E900" s="3" t="str">
        <f t="array" ref="E900">IF(OR(EXACT(A900,'ESO Dungeon constants'!$D$3:$D$987)),"X","")</f>
        <v/>
      </c>
      <c r="F900" s="3" t="str">
        <f t="shared" si="52"/>
        <v/>
      </c>
      <c r="G900" s="3" t="str">
        <f t="shared" si="53"/>
        <v>High Isle</v>
      </c>
      <c r="H900" s="17">
        <f t="shared" si="54"/>
        <v>1331</v>
      </c>
      <c r="I900" s="17">
        <f t="shared" si="55"/>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3365</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1332</v>
      </c>
      <c r="I901" s="17">
        <f t="shared" ref="I901:I964" si="59">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3364</v>
      </c>
      <c r="E902" s="3" t="str">
        <f t="array" ref="E902">IF(OR(EXACT(A902,'ESO Dungeon constants'!$D$3:$D$987)),"X","")</f>
        <v/>
      </c>
      <c r="F902" s="3" t="str">
        <f t="shared" si="56"/>
        <v/>
      </c>
      <c r="G902" s="3" t="str">
        <f t="shared" si="57"/>
        <v>High Isle</v>
      </c>
      <c r="H902" s="17">
        <f t="shared" si="58"/>
        <v>1333</v>
      </c>
      <c r="I902" s="17">
        <f t="shared" si="59"/>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3363</v>
      </c>
      <c r="E903" s="3" t="str">
        <f t="array" ref="E903">IF(OR(EXACT(A903,'ESO Dungeon constants'!$D$3:$D$987)),"X","")</f>
        <v/>
      </c>
      <c r="F903" s="3" t="str">
        <f t="shared" si="56"/>
        <v/>
      </c>
      <c r="G903" s="3" t="str">
        <f t="shared" si="57"/>
        <v>High Isle</v>
      </c>
      <c r="H903" s="17">
        <f t="shared" si="58"/>
        <v>1334</v>
      </c>
      <c r="I903" s="17">
        <f t="shared" si="59"/>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3362</v>
      </c>
      <c r="E904" s="3" t="str">
        <f t="array" ref="E904">IF(OR(EXACT(A904,'ESO Dungeon constants'!$D$3:$D$987)),"X","")</f>
        <v/>
      </c>
      <c r="F904" s="3" t="str">
        <f t="shared" si="56"/>
        <v/>
      </c>
      <c r="G904" s="3" t="str">
        <f t="shared" si="57"/>
        <v>High Isle</v>
      </c>
      <c r="H904" s="17">
        <f t="shared" si="58"/>
        <v>1335</v>
      </c>
      <c r="I904" s="17">
        <f t="shared" si="59"/>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3361</v>
      </c>
      <c r="E905" s="3" t="str">
        <f t="array" ref="E905">IF(OR(EXACT(A905,'ESO Dungeon constants'!$D$3:$D$987)),"X","")</f>
        <v/>
      </c>
      <c r="F905" s="3" t="str">
        <f t="shared" si="56"/>
        <v/>
      </c>
      <c r="G905" s="3" t="str">
        <f t="shared" si="57"/>
        <v>High Isle</v>
      </c>
      <c r="H905" s="17">
        <f t="shared" si="58"/>
        <v>1336</v>
      </c>
      <c r="I905" s="17">
        <f t="shared" si="59"/>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3360</v>
      </c>
      <c r="E906" s="3" t="str">
        <f t="array" ref="E906">IF(OR(EXACT(A906,'ESO Dungeon constants'!$D$3:$D$987)),"X","")</f>
        <v/>
      </c>
      <c r="F906" s="3" t="str">
        <f t="shared" si="56"/>
        <v/>
      </c>
      <c r="G906" s="3" t="str">
        <f t="shared" si="57"/>
        <v>High Isle</v>
      </c>
      <c r="H906" s="17">
        <f t="shared" si="58"/>
        <v>1337</v>
      </c>
      <c r="I906" s="17">
        <f t="shared" si="59"/>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3359</v>
      </c>
      <c r="E907" s="3" t="str">
        <f t="array" ref="E907">IF(OR(EXACT(A907,'ESO Dungeon constants'!$D$3:$D$987)),"X","")</f>
        <v/>
      </c>
      <c r="F907" s="3" t="str">
        <f t="shared" si="56"/>
        <v/>
      </c>
      <c r="G907" s="3" t="str">
        <f t="shared" si="57"/>
        <v>High Isle</v>
      </c>
      <c r="H907" s="17">
        <f t="shared" si="58"/>
        <v>1338</v>
      </c>
      <c r="I907" s="17">
        <f t="shared" si="59"/>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2676</v>
      </c>
      <c r="E908" s="3" t="str">
        <f t="array" ref="E908">IF(OR(EXACT(A908,'ESO Dungeon constants'!$D$3:$D$987)),"X","")</f>
        <v/>
      </c>
      <c r="F908" s="3" t="str">
        <f t="shared" si="56"/>
        <v/>
      </c>
      <c r="G908" s="3" t="str">
        <f t="shared" si="57"/>
        <v>Fargrave</v>
      </c>
      <c r="H908" s="17">
        <f t="shared" si="58"/>
        <v>1342</v>
      </c>
      <c r="I908" s="17">
        <f t="shared" si="59"/>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2677</v>
      </c>
      <c r="E909" s="3" t="str">
        <f t="array" ref="E909">IF(OR(EXACT(A909,'ESO Dungeon constants'!$D$3:$D$987)),"X","")</f>
        <v/>
      </c>
      <c r="F909" s="3" t="str">
        <f t="shared" si="56"/>
        <v/>
      </c>
      <c r="G909" s="3" t="str">
        <f t="shared" si="57"/>
        <v>The Deadlands</v>
      </c>
      <c r="H909" s="17">
        <f t="shared" si="58"/>
        <v>1343</v>
      </c>
      <c r="I909" s="17">
        <f t="shared" si="59"/>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3349</v>
      </c>
      <c r="E910" s="3" t="str">
        <f t="array" ref="E910">IF(OR(EXACT(A910,'ESO Dungeon constants'!$D$3:$D$987)),"X","")</f>
        <v>X</v>
      </c>
      <c r="F910" s="3" t="str">
        <f t="shared" si="56"/>
        <v/>
      </c>
      <c r="G910" s="3" t="str">
        <f t="shared" si="57"/>
        <v>High Isle</v>
      </c>
      <c r="H910" s="17">
        <f t="shared" si="58"/>
        <v>1344</v>
      </c>
      <c r="I910" s="17">
        <f t="shared" si="59"/>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2726</v>
      </c>
      <c r="E911" s="3" t="str">
        <f t="array" ref="E911">IF(OR(EXACT(A911,'ESO Dungeon constants'!$D$3:$D$987)),"X","")</f>
        <v/>
      </c>
      <c r="F911" s="3" t="str">
        <f t="shared" si="56"/>
        <v/>
      </c>
      <c r="G911" s="3" t="str">
        <f t="shared" si="57"/>
        <v>Betnikh</v>
      </c>
      <c r="H911" s="17">
        <f t="shared" si="58"/>
        <v>1345</v>
      </c>
      <c r="I911" s="17">
        <f t="shared" si="59"/>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3386</v>
      </c>
      <c r="E912" s="3" t="str">
        <f t="array" ref="E912">IF(OR(EXACT(A912,'ESO Dungeon constants'!$D$3:$D$987)),"X","")</f>
        <v>X</v>
      </c>
      <c r="F912" s="3" t="str">
        <f t="shared" si="56"/>
        <v/>
      </c>
      <c r="G912" s="3" t="str">
        <f t="shared" si="57"/>
        <v>High Isle</v>
      </c>
      <c r="H912" s="17">
        <f t="shared" si="58"/>
        <v>1360</v>
      </c>
      <c r="I912" s="17">
        <f t="shared" si="59"/>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3387</v>
      </c>
      <c r="E913" s="3" t="str">
        <f t="array" ref="E913">IF(OR(EXACT(A913,'ESO Dungeon constants'!$D$3:$D$987)),"X","")</f>
        <v>X</v>
      </c>
      <c r="F913" s="3" t="str">
        <f t="shared" si="56"/>
        <v/>
      </c>
      <c r="G913" s="3" t="str">
        <f t="shared" si="57"/>
        <v>High Isle</v>
      </c>
      <c r="H913" s="17">
        <f t="shared" si="58"/>
        <v>1361</v>
      </c>
      <c r="I913" s="17">
        <f t="shared" si="59"/>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3348</v>
      </c>
      <c r="E914" s="3" t="str">
        <f t="array" ref="E914">IF(OR(EXACT(A914,'ESO Dungeon constants'!$D$3:$D$987)),"X","")</f>
        <v/>
      </c>
      <c r="F914" s="3" t="str">
        <f t="shared" si="56"/>
        <v/>
      </c>
      <c r="G914" s="3" t="str">
        <f t="shared" si="57"/>
        <v>High Isle</v>
      </c>
      <c r="H914" s="17">
        <f t="shared" si="58"/>
        <v>1363</v>
      </c>
      <c r="I914" s="17">
        <f t="shared" si="59"/>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3347</v>
      </c>
      <c r="E915" s="3" t="str">
        <f t="array" ref="E915">IF(OR(EXACT(A915,'ESO Dungeon constants'!$D$3:$D$987)),"X","")</f>
        <v/>
      </c>
      <c r="F915" s="3" t="str">
        <f t="shared" si="56"/>
        <v/>
      </c>
      <c r="G915" s="3" t="str">
        <f t="shared" si="57"/>
        <v>High Isle</v>
      </c>
      <c r="H915" s="17">
        <f t="shared" si="58"/>
        <v>1364</v>
      </c>
      <c r="I915" s="17">
        <f t="shared" si="59"/>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3412</v>
      </c>
      <c r="E916" s="3" t="str">
        <f t="array" ref="E916">IF(OR(EXACT(A916,'ESO Dungeon constants'!$D$3:$D$987)),"X","")</f>
        <v/>
      </c>
      <c r="F916" s="3" t="str">
        <f t="shared" si="56"/>
        <v/>
      </c>
      <c r="G916" s="3" t="str">
        <f t="shared" si="57"/>
        <v>Glenumbra</v>
      </c>
      <c r="H916" s="17">
        <f t="shared" si="58"/>
        <v>1365</v>
      </c>
      <c r="I916" s="17">
        <f t="shared" si="59"/>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3411</v>
      </c>
      <c r="E917" s="3" t="str">
        <f t="array" ref="E917">IF(OR(EXACT(A917,'ESO Dungeon constants'!$D$3:$D$987)),"X","")</f>
        <v/>
      </c>
      <c r="F917" s="3" t="str">
        <f t="shared" si="56"/>
        <v/>
      </c>
      <c r="G917" s="3" t="str">
        <f t="shared" si="57"/>
        <v>Bangkorai</v>
      </c>
      <c r="H917" s="17">
        <f t="shared" si="58"/>
        <v>1366</v>
      </c>
      <c r="I917" s="17">
        <f t="shared" si="59"/>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3457</v>
      </c>
      <c r="E918" s="3" t="str">
        <f t="array" ref="E918">IF(OR(EXACT(A918,'ESO Dungeon constants'!$D$3:$D$987)),"X","")</f>
        <v/>
      </c>
      <c r="F918" s="3" t="str">
        <f t="shared" si="56"/>
        <v/>
      </c>
      <c r="G918" s="3" t="str">
        <f t="shared" si="57"/>
        <v>Galen</v>
      </c>
      <c r="H918" s="17">
        <f t="shared" si="58"/>
        <v>1367</v>
      </c>
      <c r="I918" s="17">
        <f t="shared" si="59"/>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3458</v>
      </c>
      <c r="E919" s="3" t="str">
        <f t="array" ref="E919">IF(OR(EXACT(A919,'ESO Dungeon constants'!$D$3:$D$987)),"X","")</f>
        <v/>
      </c>
      <c r="F919" s="3" t="str">
        <f t="shared" si="56"/>
        <v/>
      </c>
      <c r="G919" s="3" t="str">
        <f t="shared" si="57"/>
        <v>Galen</v>
      </c>
      <c r="H919" s="17">
        <f t="shared" si="58"/>
        <v>1368</v>
      </c>
      <c r="I919" s="17">
        <f t="shared" si="59"/>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3459</v>
      </c>
      <c r="E920" s="3" t="str">
        <f t="array" ref="E920">IF(OR(EXACT(A920,'ESO Dungeon constants'!$D$3:$D$987)),"X","")</f>
        <v/>
      </c>
      <c r="F920" s="3" t="str">
        <f t="shared" si="56"/>
        <v/>
      </c>
      <c r="G920" s="3" t="str">
        <f t="shared" si="57"/>
        <v>Galen</v>
      </c>
      <c r="H920" s="17">
        <f t="shared" si="58"/>
        <v>1369</v>
      </c>
      <c r="I920" s="17">
        <f t="shared" si="59"/>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3474</v>
      </c>
      <c r="E921" s="3" t="str">
        <f t="array" ref="E921">IF(OR(EXACT(A921,'ESO Dungeon constants'!$D$3:$D$987)),"X","")</f>
        <v/>
      </c>
      <c r="F921" s="3" t="str">
        <f t="shared" si="56"/>
        <v/>
      </c>
      <c r="G921" s="3" t="str">
        <f t="shared" si="57"/>
        <v>Galen</v>
      </c>
      <c r="H921" s="17">
        <f t="shared" si="58"/>
        <v>1370</v>
      </c>
      <c r="I921" s="17">
        <f t="shared" si="59"/>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3473</v>
      </c>
      <c r="E922" s="3" t="str">
        <f t="array" ref="E922">IF(OR(EXACT(A922,'ESO Dungeon constants'!$D$3:$D$987)),"X","")</f>
        <v/>
      </c>
      <c r="F922" s="3" t="str">
        <f t="shared" si="56"/>
        <v/>
      </c>
      <c r="G922" s="3" t="str">
        <f t="shared" si="57"/>
        <v>Galen</v>
      </c>
      <c r="H922" s="17">
        <f t="shared" si="58"/>
        <v>1371</v>
      </c>
      <c r="I922" s="17">
        <f t="shared" si="59"/>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3460</v>
      </c>
      <c r="E923" s="3" t="str">
        <f t="array" ref="E923">IF(OR(EXACT(A923,'ESO Dungeon constants'!$D$3:$D$987)),"X","")</f>
        <v/>
      </c>
      <c r="F923" s="3" t="str">
        <f t="shared" si="56"/>
        <v/>
      </c>
      <c r="G923" s="3" t="str">
        <f t="shared" si="57"/>
        <v>Galen</v>
      </c>
      <c r="H923" s="17">
        <f t="shared" si="58"/>
        <v>1372</v>
      </c>
      <c r="I923" s="17">
        <f t="shared" si="59"/>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3461</v>
      </c>
      <c r="E924" s="3" t="str">
        <f t="array" ref="E924">IF(OR(EXACT(A924,'ESO Dungeon constants'!$D$3:$D$987)),"X","")</f>
        <v/>
      </c>
      <c r="F924" s="3" t="str">
        <f t="shared" si="56"/>
        <v/>
      </c>
      <c r="G924" s="3" t="str">
        <f t="shared" si="57"/>
        <v>Galen</v>
      </c>
      <c r="H924" s="17">
        <f t="shared" si="58"/>
        <v>1373</v>
      </c>
      <c r="I924" s="17">
        <f t="shared" si="59"/>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3462</v>
      </c>
      <c r="E925" s="3" t="str">
        <f t="array" ref="E925">IF(OR(EXACT(A925,'ESO Dungeon constants'!$D$3:$D$987)),"X","")</f>
        <v/>
      </c>
      <c r="F925" s="3" t="str">
        <f t="shared" si="56"/>
        <v/>
      </c>
      <c r="G925" s="3" t="str">
        <f t="shared" si="57"/>
        <v>Galen</v>
      </c>
      <c r="H925" s="17">
        <f t="shared" si="58"/>
        <v>1374</v>
      </c>
      <c r="I925" s="17">
        <f t="shared" si="59"/>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3463</v>
      </c>
      <c r="E926" s="3" t="str">
        <f t="array" ref="E926">IF(OR(EXACT(A926,'ESO Dungeon constants'!$D$3:$D$987)),"X","")</f>
        <v/>
      </c>
      <c r="F926" s="3" t="str">
        <f t="shared" si="56"/>
        <v/>
      </c>
      <c r="G926" s="3" t="str">
        <f t="shared" si="57"/>
        <v>Galen</v>
      </c>
      <c r="H926" s="17">
        <f t="shared" si="58"/>
        <v>1375</v>
      </c>
      <c r="I926" s="17">
        <f t="shared" si="59"/>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3464</v>
      </c>
      <c r="E927" s="3" t="str">
        <f t="array" ref="E927">IF(OR(EXACT(A927,'ESO Dungeon constants'!$D$3:$D$987)),"X","")</f>
        <v/>
      </c>
      <c r="F927" s="3" t="str">
        <f t="shared" si="56"/>
        <v/>
      </c>
      <c r="G927" s="3" t="str">
        <f t="shared" si="57"/>
        <v>Galen</v>
      </c>
      <c r="H927" s="17">
        <f t="shared" si="58"/>
        <v>1376</v>
      </c>
      <c r="I927" s="17">
        <f t="shared" si="59"/>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3472</v>
      </c>
      <c r="E928" s="3" t="str">
        <f t="array" ref="E928">IF(OR(EXACT(A928,'ESO Dungeon constants'!$D$3:$D$987)),"X","")</f>
        <v/>
      </c>
      <c r="F928" s="3" t="str">
        <f t="shared" si="56"/>
        <v/>
      </c>
      <c r="G928" s="3" t="str">
        <f t="shared" si="57"/>
        <v>Galen</v>
      </c>
      <c r="H928" s="17">
        <f t="shared" si="58"/>
        <v>1377</v>
      </c>
      <c r="I928" s="17">
        <f t="shared" si="59"/>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3471</v>
      </c>
      <c r="E929" s="3" t="str">
        <f t="array" ref="E929">IF(OR(EXACT(A929,'ESO Dungeon constants'!$D$3:$D$987)),"X","")</f>
        <v/>
      </c>
      <c r="F929" s="3" t="str">
        <f t="shared" si="56"/>
        <v/>
      </c>
      <c r="G929" s="3" t="str">
        <f t="shared" si="57"/>
        <v>Galen</v>
      </c>
      <c r="H929" s="17">
        <f t="shared" si="58"/>
        <v>1378</v>
      </c>
      <c r="I929" s="17">
        <f t="shared" si="59"/>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3465</v>
      </c>
      <c r="E930" s="3" t="str">
        <f t="array" ref="E930">IF(OR(EXACT(A930,'ESO Dungeon constants'!$D$3:$D$987)),"X","")</f>
        <v/>
      </c>
      <c r="F930" s="3" t="str">
        <f t="shared" si="56"/>
        <v/>
      </c>
      <c r="G930" s="3" t="str">
        <f t="shared" si="57"/>
        <v>Galen</v>
      </c>
      <c r="H930" s="17">
        <f t="shared" si="58"/>
        <v>1379</v>
      </c>
      <c r="I930" s="17">
        <f t="shared" si="59"/>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3466</v>
      </c>
      <c r="E931" s="3" t="str">
        <f t="array" ref="E931">IF(OR(EXACT(A931,'ESO Dungeon constants'!$D$3:$D$987)),"X","")</f>
        <v/>
      </c>
      <c r="F931" s="3" t="str">
        <f t="shared" si="56"/>
        <v/>
      </c>
      <c r="G931" s="3" t="str">
        <f t="shared" si="57"/>
        <v>Galen</v>
      </c>
      <c r="H931" s="17">
        <f t="shared" si="58"/>
        <v>1380</v>
      </c>
      <c r="I931" s="17">
        <f t="shared" si="59"/>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3467</v>
      </c>
      <c r="E932" s="3" t="str">
        <f t="array" ref="E932">IF(OR(EXACT(A932,'ESO Dungeon constants'!$D$3:$D$987)),"X","")</f>
        <v/>
      </c>
      <c r="F932" s="3" t="str">
        <f t="shared" si="56"/>
        <v/>
      </c>
      <c r="G932" s="3" t="str">
        <f t="shared" si="57"/>
        <v>Galen</v>
      </c>
      <c r="H932" s="17">
        <f t="shared" si="58"/>
        <v>1381</v>
      </c>
      <c r="I932" s="17">
        <f t="shared" si="59"/>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3917</v>
      </c>
      <c r="E933" s="3" t="str">
        <f t="array" ref="E933">IF(OR(EXACT(A933,'ESO Dungeon constants'!$D$3:$D$987)),"X","")</f>
        <v/>
      </c>
      <c r="F933" s="3" t="str">
        <f t="shared" si="56"/>
        <v/>
      </c>
      <c r="G933" s="3" t="str">
        <f t="shared" si="57"/>
        <v>Galen</v>
      </c>
      <c r="H933" s="17">
        <f t="shared" si="58"/>
        <v>1382</v>
      </c>
      <c r="I933" s="17">
        <f t="shared" si="59"/>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3470</v>
      </c>
      <c r="E934" s="3" t="str">
        <f t="array" ref="E934">IF(OR(EXACT(A934,'ESO Dungeon constants'!$D$3:$D$987)),"X","")</f>
        <v/>
      </c>
      <c r="F934" s="3" t="str">
        <f t="shared" si="56"/>
        <v>X</v>
      </c>
      <c r="G934" s="3" t="str">
        <f t="shared" si="57"/>
        <v/>
      </c>
      <c r="H934" s="17">
        <f t="shared" si="58"/>
        <v>1383</v>
      </c>
      <c r="I934" s="17">
        <f t="shared" si="59"/>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3469</v>
      </c>
      <c r="E935" s="3" t="str">
        <f t="array" ref="E935">IF(OR(EXACT(A935,'ESO Dungeon constants'!$D$3:$D$987)),"X","")</f>
        <v/>
      </c>
      <c r="F935" s="3" t="str">
        <f t="shared" si="56"/>
        <v/>
      </c>
      <c r="G935" s="3" t="str">
        <f t="shared" si="57"/>
        <v>Galen</v>
      </c>
      <c r="H935" s="17">
        <f t="shared" si="58"/>
        <v>1385</v>
      </c>
      <c r="I935" s="17">
        <f t="shared" si="59"/>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3460</v>
      </c>
      <c r="E936" s="3" t="str">
        <f t="array" ref="E936">IF(OR(EXACT(A936,'ESO Dungeon constants'!$D$3:$D$987)),"X","")</f>
        <v/>
      </c>
      <c r="F936" s="3" t="str">
        <f t="shared" si="56"/>
        <v/>
      </c>
      <c r="G936" s="3" t="str">
        <f t="shared" si="57"/>
        <v>Galen</v>
      </c>
      <c r="H936" s="17">
        <f t="shared" si="58"/>
        <v>1386</v>
      </c>
      <c r="I936" s="17">
        <f t="shared" si="59"/>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3468</v>
      </c>
      <c r="E937" s="3" t="str">
        <f t="array" ref="E937">IF(OR(EXACT(A937,'ESO Dungeon constants'!$D$3:$D$987)),"X","")</f>
        <v/>
      </c>
      <c r="F937" s="3" t="str">
        <f t="shared" si="56"/>
        <v/>
      </c>
      <c r="G937" s="3" t="str">
        <f t="shared" si="57"/>
        <v>Galen</v>
      </c>
      <c r="H937" s="17">
        <f t="shared" si="58"/>
        <v>1387</v>
      </c>
      <c r="I937" s="17">
        <f t="shared" si="59"/>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3555</v>
      </c>
      <c r="E938" s="3" t="str">
        <f t="array" ref="E938">IF(OR(EXACT(A938,'ESO Dungeon constants'!$D$3:$D$987)),"X","")</f>
        <v>X</v>
      </c>
      <c r="F938" s="3" t="str">
        <f t="shared" si="56"/>
        <v/>
      </c>
      <c r="G938" s="3" t="str">
        <f t="shared" si="57"/>
        <v>Stonefalls</v>
      </c>
      <c r="H938" s="17">
        <f t="shared" si="58"/>
        <v>1389</v>
      </c>
      <c r="I938" s="17">
        <f t="shared" si="59"/>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3584</v>
      </c>
      <c r="E939" s="3" t="str">
        <f t="array" ref="E939">IF(OR(EXACT(A939,'ESO Dungeon constants'!$D$3:$D$987)),"X","")</f>
        <v>X</v>
      </c>
      <c r="F939" s="3" t="str">
        <f t="shared" si="56"/>
        <v/>
      </c>
      <c r="G939" s="3" t="str">
        <f t="shared" si="57"/>
        <v>The Rift</v>
      </c>
      <c r="H939" s="17">
        <f t="shared" si="58"/>
        <v>1390</v>
      </c>
      <c r="I939" s="17">
        <f t="shared" si="59"/>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3583</v>
      </c>
      <c r="E940" s="3" t="str">
        <f t="array" ref="E940">IF(OR(EXACT(A940,'ESO Dungeon constants'!$D$3:$D$987)),"X","")</f>
        <v/>
      </c>
      <c r="F940" s="3" t="str">
        <f t="shared" si="56"/>
        <v/>
      </c>
      <c r="G940" s="3" t="str">
        <f t="shared" si="57"/>
        <v>Khenarthi's Roost</v>
      </c>
      <c r="H940" s="17">
        <f t="shared" si="58"/>
        <v>1391</v>
      </c>
      <c r="I940" s="17">
        <f t="shared" si="59"/>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3582</v>
      </c>
      <c r="E941" s="3" t="str">
        <f t="array" ref="E941">IF(OR(EXACT(A941,'ESO Dungeon constants'!$D$3:$D$987)),"X","")</f>
        <v/>
      </c>
      <c r="F941" s="3" t="str">
        <f t="shared" si="56"/>
        <v/>
      </c>
      <c r="G941" s="3" t="str">
        <f t="shared" si="57"/>
        <v>Khenarthi's Roost</v>
      </c>
      <c r="H941" s="17">
        <f t="shared" si="58"/>
        <v>1392</v>
      </c>
      <c r="I941" s="17">
        <f t="shared" si="59"/>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3714</v>
      </c>
      <c r="E942" s="3" t="str">
        <f t="array" ref="E942">IF(OR(EXACT(A942,'ESO Dungeon constants'!$D$3:$D$987)),"X","")</f>
        <v/>
      </c>
      <c r="F942" s="3" t="str">
        <f t="shared" si="56"/>
        <v/>
      </c>
      <c r="G942" s="3" t="str">
        <f t="shared" si="57"/>
        <v>Telvanni Peninsula</v>
      </c>
      <c r="H942" s="17">
        <f t="shared" si="58"/>
        <v>1393</v>
      </c>
      <c r="I942" s="17">
        <f t="shared" si="59"/>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3713</v>
      </c>
      <c r="E943" s="3" t="str">
        <f t="array" ref="E943">IF(OR(EXACT(A943,'ESO Dungeon constants'!$D$3:$D$987)),"X","")</f>
        <v/>
      </c>
      <c r="F943" s="3" t="str">
        <f t="shared" si="56"/>
        <v/>
      </c>
      <c r="G943" s="3" t="str">
        <f t="shared" si="57"/>
        <v>Telvanni Peninsula</v>
      </c>
      <c r="H943" s="17">
        <f t="shared" si="58"/>
        <v>1394</v>
      </c>
      <c r="I943" s="17">
        <f t="shared" si="59"/>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3713</v>
      </c>
      <c r="E944" s="3" t="str">
        <f t="array" ref="E944">IF(OR(EXACT(A944,'ESO Dungeon constants'!$D$3:$D$987)),"X","")</f>
        <v/>
      </c>
      <c r="F944" s="3" t="str">
        <f t="shared" si="56"/>
        <v/>
      </c>
      <c r="G944" s="3" t="str">
        <f t="shared" si="57"/>
        <v>Telvanni Peninsula</v>
      </c>
      <c r="H944" s="17">
        <f t="shared" si="58"/>
        <v>1395</v>
      </c>
      <c r="I944" s="17">
        <f t="shared" si="59"/>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3712</v>
      </c>
      <c r="E945" s="3" t="str">
        <f t="array" ref="E945">IF(OR(EXACT(A945,'ESO Dungeon constants'!$D$3:$D$987)),"X","")</f>
        <v/>
      </c>
      <c r="F945" s="3" t="str">
        <f t="shared" si="56"/>
        <v/>
      </c>
      <c r="G945" s="3" t="str">
        <f t="shared" si="57"/>
        <v>Telvanni Peninsula</v>
      </c>
      <c r="H945" s="17">
        <f t="shared" si="58"/>
        <v>1396</v>
      </c>
      <c r="I945" s="17">
        <f t="shared" si="59"/>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3688</v>
      </c>
      <c r="E946" s="3" t="str">
        <f t="array" ref="E946">IF(OR(EXACT(A946,'ESO Dungeon constants'!$D$3:$D$987)),"X","")</f>
        <v/>
      </c>
      <c r="F946" s="3" t="str">
        <f t="shared" si="56"/>
        <v/>
      </c>
      <c r="G946" s="3" t="str">
        <f t="shared" si="57"/>
        <v>Telvanni Peninsula</v>
      </c>
      <c r="H946" s="17">
        <f t="shared" si="58"/>
        <v>1397</v>
      </c>
      <c r="I946" s="17">
        <f t="shared" si="59"/>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3711</v>
      </c>
      <c r="E947" s="3" t="str">
        <f t="array" ref="E947">IF(OR(EXACT(A947,'ESO Dungeon constants'!$D$3:$D$987)),"X","")</f>
        <v/>
      </c>
      <c r="F947" s="3" t="str">
        <f t="shared" si="56"/>
        <v/>
      </c>
      <c r="G947" s="3" t="str">
        <f t="shared" si="57"/>
        <v>Telvanni Peninsula</v>
      </c>
      <c r="H947" s="17">
        <f t="shared" si="58"/>
        <v>1398</v>
      </c>
      <c r="I947" s="17">
        <f t="shared" si="59"/>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3710</v>
      </c>
      <c r="E948" s="3" t="str">
        <f t="array" ref="E948">IF(OR(EXACT(A948,'ESO Dungeon constants'!$D$3:$D$987)),"X","")</f>
        <v/>
      </c>
      <c r="F948" s="3" t="str">
        <f t="shared" si="56"/>
        <v/>
      </c>
      <c r="G948" s="3" t="str">
        <f t="shared" si="57"/>
        <v>Telvanni Peninsula</v>
      </c>
      <c r="H948" s="17">
        <f t="shared" si="58"/>
        <v>1399</v>
      </c>
      <c r="I948" s="17">
        <f t="shared" si="59"/>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3709</v>
      </c>
      <c r="E949" s="3" t="str">
        <f t="array" ref="E949">IF(OR(EXACT(A949,'ESO Dungeon constants'!$D$3:$D$987)),"X","")</f>
        <v/>
      </c>
      <c r="F949" s="3" t="str">
        <f t="shared" si="56"/>
        <v/>
      </c>
      <c r="G949" s="3" t="str">
        <f t="shared" si="57"/>
        <v>Telvanni Peninsula</v>
      </c>
      <c r="H949" s="17">
        <f t="shared" si="58"/>
        <v>1400</v>
      </c>
      <c r="I949" s="17">
        <f t="shared" si="59"/>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3708</v>
      </c>
      <c r="E950" s="3" t="str">
        <f t="array" ref="E950">IF(OR(EXACT(A950,'ESO Dungeon constants'!$D$3:$D$987)),"X","")</f>
        <v/>
      </c>
      <c r="F950" s="3" t="str">
        <f t="shared" si="56"/>
        <v/>
      </c>
      <c r="G950" s="3" t="str">
        <f t="shared" si="57"/>
        <v>Telvanni Peninsula</v>
      </c>
      <c r="H950" s="17">
        <f t="shared" si="58"/>
        <v>1401</v>
      </c>
      <c r="I950" s="17">
        <f t="shared" si="59"/>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3707</v>
      </c>
      <c r="E951" s="3" t="str">
        <f t="array" ref="E951">IF(OR(EXACT(A951,'ESO Dungeon constants'!$D$3:$D$987)),"X","")</f>
        <v/>
      </c>
      <c r="F951" s="3" t="str">
        <f t="shared" si="56"/>
        <v/>
      </c>
      <c r="G951" s="3" t="str">
        <f t="shared" si="57"/>
        <v>Telvanni Peninsula</v>
      </c>
      <c r="H951" s="17">
        <f t="shared" si="58"/>
        <v>1402</v>
      </c>
      <c r="I951" s="17">
        <f t="shared" si="59"/>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3706</v>
      </c>
      <c r="E952" s="3" t="str">
        <f t="array" ref="E952">IF(OR(EXACT(A952,'ESO Dungeon constants'!$D$3:$D$987)),"X","")</f>
        <v/>
      </c>
      <c r="F952" s="3" t="str">
        <f t="shared" si="56"/>
        <v/>
      </c>
      <c r="G952" s="3" t="str">
        <f t="shared" si="57"/>
        <v>Telvanni Peninsula</v>
      </c>
      <c r="H952" s="17">
        <f t="shared" si="58"/>
        <v>1403</v>
      </c>
      <c r="I952" s="17">
        <f t="shared" si="59"/>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3715</v>
      </c>
      <c r="E953" s="3" t="str">
        <f t="array" ref="E953">IF(OR(EXACT(A953,'ESO Dungeon constants'!$D$3:$D$987)),"X","")</f>
        <v/>
      </c>
      <c r="F953" s="3" t="str">
        <f t="shared" si="56"/>
        <v/>
      </c>
      <c r="G953" s="3" t="str">
        <f t="shared" si="57"/>
        <v>Telvanni Peninsula</v>
      </c>
      <c r="H953" s="17">
        <f t="shared" si="58"/>
        <v>1404</v>
      </c>
      <c r="I953" s="17">
        <f t="shared" si="59"/>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3716</v>
      </c>
      <c r="E954" s="3" t="str">
        <f t="array" ref="E954">IF(OR(EXACT(A954,'ESO Dungeon constants'!$D$3:$D$987)),"X","")</f>
        <v/>
      </c>
      <c r="F954" s="3" t="str">
        <f t="shared" si="56"/>
        <v/>
      </c>
      <c r="G954" s="3" t="str">
        <f t="shared" si="57"/>
        <v>Telvanni Peninsula</v>
      </c>
      <c r="H954" s="17">
        <f t="shared" si="58"/>
        <v>1405</v>
      </c>
      <c r="I954" s="17">
        <f t="shared" si="59"/>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3717</v>
      </c>
      <c r="E955" s="3" t="str">
        <f t="array" ref="E955">IF(OR(EXACT(A955,'ESO Dungeon constants'!$D$3:$D$987)),"X","")</f>
        <v/>
      </c>
      <c r="F955" s="3" t="str">
        <f t="shared" si="56"/>
        <v/>
      </c>
      <c r="G955" s="3" t="str">
        <f t="shared" si="57"/>
        <v>Telvanni Peninsula</v>
      </c>
      <c r="H955" s="17">
        <f t="shared" si="58"/>
        <v>1406</v>
      </c>
      <c r="I955" s="17">
        <f t="shared" si="59"/>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3705</v>
      </c>
      <c r="E956" s="3" t="str">
        <f t="array" ref="E956">IF(OR(EXACT(A956,'ESO Dungeon constants'!$D$3:$D$987)),"X","")</f>
        <v/>
      </c>
      <c r="F956" s="3" t="str">
        <f t="shared" si="56"/>
        <v/>
      </c>
      <c r="G956" s="3" t="str">
        <f t="shared" si="57"/>
        <v>Telvanni Peninsula</v>
      </c>
      <c r="H956" s="17">
        <f t="shared" si="58"/>
        <v>1407</v>
      </c>
      <c r="I956" s="17">
        <f t="shared" si="59"/>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3689</v>
      </c>
      <c r="E957" s="3" t="str">
        <f t="array" ref="E957">IF(OR(EXACT(A957,'ESO Dungeon constants'!$D$3:$D$987)),"X","")</f>
        <v/>
      </c>
      <c r="F957" s="3" t="str">
        <f t="shared" si="56"/>
        <v/>
      </c>
      <c r="G957" s="3" t="str">
        <f t="shared" si="57"/>
        <v>Telvanni Peninsula</v>
      </c>
      <c r="H957" s="17">
        <f t="shared" si="58"/>
        <v>1408</v>
      </c>
      <c r="I957" s="17">
        <f t="shared" si="59"/>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3704</v>
      </c>
      <c r="E958" s="3" t="str">
        <f t="array" ref="E958">IF(OR(EXACT(A958,'ESO Dungeon constants'!$D$3:$D$987)),"X","")</f>
        <v/>
      </c>
      <c r="F958" s="3" t="str">
        <f t="shared" si="56"/>
        <v/>
      </c>
      <c r="G958" s="3" t="str">
        <f t="shared" si="57"/>
        <v>Telvanni Peninsula</v>
      </c>
      <c r="H958" s="17">
        <f t="shared" si="58"/>
        <v>1409</v>
      </c>
      <c r="I958" s="17">
        <f t="shared" si="59"/>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3703</v>
      </c>
      <c r="E959" s="3" t="str">
        <f t="array" ref="E959">IF(OR(EXACT(A959,'ESO Dungeon constants'!$D$3:$D$987)),"X","")</f>
        <v/>
      </c>
      <c r="F959" s="3" t="str">
        <f t="shared" si="56"/>
        <v/>
      </c>
      <c r="G959" s="3" t="str">
        <f t="shared" si="57"/>
        <v>Telvanni Peninsula</v>
      </c>
      <c r="H959" s="17">
        <f t="shared" si="58"/>
        <v>1410</v>
      </c>
      <c r="I959" s="17">
        <f t="shared" si="59"/>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3702</v>
      </c>
      <c r="E960" s="3" t="str">
        <f t="array" ref="E960">IF(OR(EXACT(A960,'ESO Dungeon constants'!$D$3:$D$987)),"X","")</f>
        <v/>
      </c>
      <c r="F960" s="3" t="str">
        <f t="shared" si="56"/>
        <v/>
      </c>
      <c r="G960" s="3" t="str">
        <f t="shared" si="57"/>
        <v>Telvanni Peninsula</v>
      </c>
      <c r="H960" s="17">
        <f t="shared" si="58"/>
        <v>1411</v>
      </c>
      <c r="I960" s="17">
        <f t="shared" si="59"/>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3701</v>
      </c>
      <c r="E961" s="3" t="str">
        <f t="array" ref="E961">IF(OR(EXACT(A961,'ESO Dungeon constants'!$D$3:$D$987)),"X","")</f>
        <v/>
      </c>
      <c r="F961" s="3" t="str">
        <f t="shared" si="56"/>
        <v/>
      </c>
      <c r="G961" s="3" t="str">
        <f t="shared" si="57"/>
        <v>Telvanni Peninsula</v>
      </c>
      <c r="H961" s="17">
        <f t="shared" si="58"/>
        <v>1412</v>
      </c>
      <c r="I961" s="17">
        <f t="shared" si="59"/>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3628</v>
      </c>
      <c r="E962" s="3" t="str">
        <f t="array" ref="E962">IF(OR(EXACT(A962,'ESO Dungeon constants'!$D$3:$D$987)),"X","")</f>
        <v/>
      </c>
      <c r="F962" s="3" t="str">
        <f t="shared" si="56"/>
        <v/>
      </c>
      <c r="G962" s="3" t="str">
        <f t="shared" si="57"/>
        <v>Telvanni Peninsula</v>
      </c>
      <c r="H962" s="17">
        <f t="shared" si="58"/>
        <v>1413</v>
      </c>
      <c r="I962" s="17">
        <f t="shared" si="59"/>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3700</v>
      </c>
      <c r="E963" s="3" t="str">
        <f t="array" ref="E963">IF(OR(EXACT(A963,'ESO Dungeon constants'!$D$3:$D$987)),"X","")</f>
        <v/>
      </c>
      <c r="F963" s="3" t="str">
        <f t="shared" si="56"/>
        <v>X</v>
      </c>
      <c r="G963" s="3" t="str">
        <f t="shared" si="57"/>
        <v/>
      </c>
      <c r="H963" s="17">
        <f t="shared" si="58"/>
        <v>1414</v>
      </c>
      <c r="I963" s="17">
        <f t="shared" si="59"/>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3690</v>
      </c>
      <c r="E964" s="3" t="str">
        <f t="array" ref="E964">IF(OR(EXACT(A964,'ESO Dungeon constants'!$D$3:$D$987)),"X","")</f>
        <v/>
      </c>
      <c r="F964" s="3" t="str">
        <f t="shared" si="56"/>
        <v/>
      </c>
      <c r="G964" s="3" t="str">
        <f t="shared" si="57"/>
        <v>Telvanni Peninsula</v>
      </c>
      <c r="H964" s="17">
        <f t="shared" si="58"/>
        <v>1415</v>
      </c>
      <c r="I964" s="17">
        <f t="shared" si="59"/>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3699</v>
      </c>
      <c r="E965" s="3" t="str">
        <f t="array" ref="E965">IF(OR(EXACT(A965,'ESO Dungeon constants'!$D$3:$D$987)),"X","")</f>
        <v/>
      </c>
      <c r="F965" s="3" t="str">
        <f t="shared" ref="F965:F987" si="60">IF(EXACT(A965,C965),"X","")</f>
        <v/>
      </c>
      <c r="G965" s="3" t="str">
        <f t="shared" ref="G965:G987" si="61">IF(A965&lt;&gt;C965,VLOOKUP(C965,$A$5:$D$9954,4,FALSE),"")</f>
        <v>Telvanni Peninsula</v>
      </c>
      <c r="H965" s="17">
        <f t="shared" ref="H965:H987" si="62">A965</f>
        <v>1416</v>
      </c>
      <c r="I965" s="17">
        <f t="shared" ref="I965:I987" si="63">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3698</v>
      </c>
      <c r="E966" s="3" t="str">
        <f t="array" ref="E966">IF(OR(EXACT(A966,'ESO Dungeon constants'!$D$3:$D$987)),"X","")</f>
        <v/>
      </c>
      <c r="F966" s="3" t="str">
        <f t="shared" si="60"/>
        <v/>
      </c>
      <c r="G966" s="3" t="str">
        <f t="shared" si="61"/>
        <v>Telvanni Peninsula</v>
      </c>
      <c r="H966" s="17">
        <f t="shared" si="62"/>
        <v>1417</v>
      </c>
      <c r="I966" s="17">
        <f t="shared" si="63"/>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3697</v>
      </c>
      <c r="E967" s="3" t="str">
        <f t="array" ref="E967">IF(OR(EXACT(A967,'ESO Dungeon constants'!$D$3:$D$987)),"X","")</f>
        <v/>
      </c>
      <c r="F967" s="3" t="str">
        <f t="shared" si="60"/>
        <v/>
      </c>
      <c r="G967" s="3" t="str">
        <f t="shared" si="61"/>
        <v>Telvanni Peninsula</v>
      </c>
      <c r="H967" s="17">
        <f t="shared" si="62"/>
        <v>1420</v>
      </c>
      <c r="I967" s="17">
        <f t="shared" si="63"/>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3696</v>
      </c>
      <c r="E968" s="3" t="str">
        <f t="array" ref="E968">IF(OR(EXACT(A968,'ESO Dungeon constants'!$D$3:$D$987)),"X","")</f>
        <v/>
      </c>
      <c r="F968" s="3" t="str">
        <f t="shared" si="60"/>
        <v/>
      </c>
      <c r="G968" s="3" t="str">
        <f t="shared" si="61"/>
        <v>Telvanni Peninsula</v>
      </c>
      <c r="H968" s="17">
        <f t="shared" si="62"/>
        <v>1421</v>
      </c>
      <c r="I968" s="17">
        <f t="shared" si="63"/>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3695</v>
      </c>
      <c r="E969" s="3" t="str">
        <f t="array" ref="E969">IF(OR(EXACT(A969,'ESO Dungeon constants'!$D$3:$D$987)),"X","")</f>
        <v/>
      </c>
      <c r="F969" s="3" t="str">
        <f t="shared" si="60"/>
        <v/>
      </c>
      <c r="G969" s="3" t="str">
        <f t="shared" si="61"/>
        <v>Telvanni Peninsula</v>
      </c>
      <c r="H969" s="17">
        <f t="shared" si="62"/>
        <v>1422</v>
      </c>
      <c r="I969" s="17">
        <f t="shared" si="63"/>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3694</v>
      </c>
      <c r="E970" s="3" t="str">
        <f t="array" ref="E970">IF(OR(EXACT(A970,'ESO Dungeon constants'!$D$3:$D$987)),"X","")</f>
        <v/>
      </c>
      <c r="F970" s="3" t="str">
        <f t="shared" si="60"/>
        <v/>
      </c>
      <c r="G970" s="3" t="str">
        <f t="shared" si="61"/>
        <v>Telvanni Peninsula</v>
      </c>
      <c r="H970" s="17">
        <f t="shared" si="62"/>
        <v>1423</v>
      </c>
      <c r="I970" s="17">
        <f t="shared" si="63"/>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3693</v>
      </c>
      <c r="E971" s="3" t="str">
        <f t="array" ref="E971">IF(OR(EXACT(A971,'ESO Dungeon constants'!$D$3:$D$987)),"X","")</f>
        <v/>
      </c>
      <c r="F971" s="3" t="str">
        <f t="shared" si="60"/>
        <v/>
      </c>
      <c r="G971" s="3" t="str">
        <f t="shared" si="61"/>
        <v>Telvanni Peninsula</v>
      </c>
      <c r="H971" s="17">
        <f t="shared" si="62"/>
        <v>1424</v>
      </c>
      <c r="I971" s="17">
        <f t="shared" si="63"/>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3692</v>
      </c>
      <c r="E972" s="3" t="str">
        <f t="array" ref="E972">IF(OR(EXACT(A972,'ESO Dungeon constants'!$D$3:$D$987)),"X","")</f>
        <v/>
      </c>
      <c r="F972" s="3" t="str">
        <f t="shared" si="60"/>
        <v/>
      </c>
      <c r="G972" s="3" t="str">
        <f t="shared" si="61"/>
        <v>Telvanni Peninsula</v>
      </c>
      <c r="H972" s="17">
        <f t="shared" si="62"/>
        <v>1425</v>
      </c>
      <c r="I972" s="17">
        <f t="shared" si="63"/>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3691</v>
      </c>
      <c r="E973" s="3" t="str">
        <f t="array" ref="E973">IF(OR(EXACT(A973,'ESO Dungeon constants'!$D$3:$D$987)),"X","")</f>
        <v>X</v>
      </c>
      <c r="F973" s="3" t="str">
        <f t="shared" si="60"/>
        <v/>
      </c>
      <c r="G973" s="3" t="str">
        <f t="shared" si="61"/>
        <v>Telvanni Peninsula</v>
      </c>
      <c r="H973" s="17">
        <f t="shared" si="62"/>
        <v>1427</v>
      </c>
      <c r="I973" s="17">
        <f t="shared" si="63"/>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3570</v>
      </c>
      <c r="E974" s="3" t="str">
        <f t="array" ref="E974">IF(OR(EXACT(A974,'ESO Dungeon constants'!$D$3:$D$987)),"X","")</f>
        <v/>
      </c>
      <c r="F974" s="3" t="str">
        <f t="shared" si="60"/>
        <v/>
      </c>
      <c r="G974" s="3" t="str">
        <f t="shared" si="61"/>
        <v>High Isle</v>
      </c>
      <c r="H974" s="17">
        <f t="shared" si="62"/>
        <v>1432</v>
      </c>
      <c r="I974" s="17">
        <f t="shared" si="63"/>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3685</v>
      </c>
      <c r="E975" s="3" t="str">
        <f t="array" ref="E975">IF(OR(EXACT(A975,'ESO Dungeon constants'!$D$3:$D$987)),"X","")</f>
        <v/>
      </c>
      <c r="F975" s="3" t="str">
        <f t="shared" si="60"/>
        <v/>
      </c>
      <c r="G975" s="3" t="str">
        <f t="shared" si="61"/>
        <v>Telvanni Peninsula</v>
      </c>
      <c r="H975" s="17">
        <f t="shared" si="62"/>
        <v>1433</v>
      </c>
      <c r="I975" s="17">
        <f t="shared" si="63"/>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3686</v>
      </c>
      <c r="E976" s="3" t="str">
        <f t="array" ref="E976">IF(OR(EXACT(A976,'ESO Dungeon constants'!$D$3:$D$987)),"X","")</f>
        <v/>
      </c>
      <c r="F976" s="3" t="str">
        <f t="shared" si="60"/>
        <v/>
      </c>
      <c r="G976" s="3" t="str">
        <f t="shared" si="61"/>
        <v>Telvanni Peninsula</v>
      </c>
      <c r="H976" s="17">
        <f t="shared" si="62"/>
        <v>1434</v>
      </c>
      <c r="I976" s="17">
        <f t="shared" si="63"/>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3684</v>
      </c>
      <c r="E977" s="3" t="str">
        <f t="array" ref="E977">IF(OR(EXACT(A977,'ESO Dungeon constants'!$D$3:$D$987)),"X","")</f>
        <v/>
      </c>
      <c r="F977" s="3" t="str">
        <f t="shared" si="60"/>
        <v/>
      </c>
      <c r="G977" s="3" t="str">
        <f t="shared" si="61"/>
        <v>Galen</v>
      </c>
      <c r="H977" s="17">
        <f t="shared" si="62"/>
        <v>1435</v>
      </c>
      <c r="I977" s="17">
        <f t="shared" si="63"/>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3921</v>
      </c>
      <c r="E978" s="3" t="str">
        <f t="array" ref="E978">IF(OR(EXACT(A978,'ESO Dungeon constants'!$D$3:$D$987)),"X","")</f>
        <v>X</v>
      </c>
      <c r="F978" s="3" t="str">
        <f t="shared" si="60"/>
        <v/>
      </c>
      <c r="G978" s="3" t="str">
        <f t="shared" si="61"/>
        <v>Apocrypha</v>
      </c>
      <c r="H978" s="17">
        <f t="shared" si="62"/>
        <v>1436</v>
      </c>
      <c r="I978" s="17">
        <f t="shared" si="63"/>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3780</v>
      </c>
      <c r="E979" s="3" t="str">
        <f t="array" ref="E979">IF(OR(EXACT(A979,'ESO Dungeon constants'!$D$3:$D$987)),"X","")</f>
        <v/>
      </c>
      <c r="F979" s="3" t="str">
        <f t="shared" si="60"/>
        <v/>
      </c>
      <c r="G979" s="3" t="str">
        <f t="shared" si="61"/>
        <v>The Brass Fortress</v>
      </c>
      <c r="H979" s="17">
        <f t="shared" si="62"/>
        <v>1437</v>
      </c>
      <c r="I979" s="17">
        <f t="shared" si="63"/>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3920</v>
      </c>
      <c r="E980" s="3" t="str">
        <f t="array" ref="E980">IF(OR(EXACT(A980,'ESO Dungeon constants'!$D$3:$D$987)),"X","")</f>
        <v/>
      </c>
      <c r="F980" s="3" t="str">
        <f t="shared" si="60"/>
        <v/>
      </c>
      <c r="G980" s="3" t="str">
        <f t="shared" si="61"/>
        <v>Alik'r Desert</v>
      </c>
      <c r="H980" s="17">
        <f t="shared" si="62"/>
        <v>1438</v>
      </c>
      <c r="I980" s="17">
        <f t="shared" si="63"/>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3919</v>
      </c>
      <c r="E981" s="3" t="str">
        <f t="array" ref="E981">IF(OR(EXACT(A981,'ESO Dungeon constants'!$D$3:$D$987)),"X","")</f>
        <v/>
      </c>
      <c r="F981" s="3" t="str">
        <f t="shared" si="60"/>
        <v/>
      </c>
      <c r="G981" s="3" t="str">
        <f t="shared" si="61"/>
        <v>Vvardenfell</v>
      </c>
      <c r="H981" s="17">
        <f t="shared" si="62"/>
        <v>1439</v>
      </c>
      <c r="I981" s="17">
        <f t="shared" si="63"/>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3779</v>
      </c>
      <c r="E982" s="3" t="str">
        <f t="array" ref="E982">IF(OR(EXACT(A982,'ESO Dungeon constants'!$D$3:$D$987)),"X","")</f>
        <v/>
      </c>
      <c r="F982" s="3" t="str">
        <f t="shared" si="60"/>
        <v/>
      </c>
      <c r="G982" s="3" t="str">
        <f t="shared" si="61"/>
        <v>Telvanni Peninsula</v>
      </c>
      <c r="H982" s="17">
        <f t="shared" si="62"/>
        <v>1468</v>
      </c>
      <c r="I982" s="17">
        <f t="shared" si="63"/>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3895</v>
      </c>
      <c r="E983" s="3" t="str">
        <f t="array" ref="E983">IF(OR(EXACT(A983,'ESO Dungeon constants'!$D$3:$D$987)),"X","")</f>
        <v>X</v>
      </c>
      <c r="F983" s="3" t="str">
        <f t="shared" si="60"/>
        <v/>
      </c>
      <c r="G983" s="3" t="str">
        <f t="shared" si="61"/>
        <v>The Reach</v>
      </c>
      <c r="H983" s="17">
        <f t="shared" si="62"/>
        <v>1470</v>
      </c>
      <c r="I983" s="17">
        <f t="shared" si="63"/>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3896</v>
      </c>
      <c r="E984" s="3" t="str">
        <f t="array" ref="E984">IF(OR(EXACT(A984,'ESO Dungeon constants'!$D$3:$D$987)),"X","")</f>
        <v>X</v>
      </c>
      <c r="F984" s="3" t="str">
        <f t="shared" si="60"/>
        <v/>
      </c>
      <c r="G984" s="3" t="str">
        <f t="shared" si="61"/>
        <v>Wrothgar</v>
      </c>
      <c r="H984" s="17">
        <f t="shared" si="62"/>
        <v>1471</v>
      </c>
      <c r="I984" s="17">
        <f t="shared" si="63"/>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3781</v>
      </c>
      <c r="E985" s="3" t="str">
        <f t="array" ref="E985">IF(OR(EXACT(A985,'ESO Dungeon constants'!$D$3:$D$987)),"X","")</f>
        <v/>
      </c>
      <c r="F985" s="3" t="str">
        <f t="shared" si="60"/>
        <v/>
      </c>
      <c r="G985" s="3" t="str">
        <f t="shared" si="61"/>
        <v>Galen</v>
      </c>
      <c r="H985" s="17">
        <f t="shared" si="62"/>
        <v>1472</v>
      </c>
      <c r="I985" s="17">
        <f t="shared" si="63"/>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3782</v>
      </c>
      <c r="E986" s="3" t="str">
        <f t="array" ref="E986">IF(OR(EXACT(A986,'ESO Dungeon constants'!$D$3:$D$987)),"X","")</f>
        <v/>
      </c>
      <c r="F986" s="3" t="str">
        <f t="shared" si="60"/>
        <v/>
      </c>
      <c r="G986" s="3" t="str">
        <f t="shared" si="61"/>
        <v>Apocrypha</v>
      </c>
      <c r="H986" s="17">
        <f t="shared" si="62"/>
        <v>1473</v>
      </c>
      <c r="I986" s="17">
        <f t="shared" si="63"/>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3918</v>
      </c>
      <c r="E987" s="3" t="str">
        <f t="array" ref="E987">IF(OR(EXACT(A987,'ESO Dungeon constants'!$D$3:$D$987)),"X","")</f>
        <v/>
      </c>
      <c r="F987" s="3" t="str">
        <f t="shared" si="60"/>
        <v/>
      </c>
      <c r="G987" s="3" t="str">
        <f t="shared" si="61"/>
        <v>Blackwood</v>
      </c>
      <c r="H987" s="17">
        <f t="shared" si="62"/>
        <v>1479</v>
      </c>
      <c r="I987" s="17">
        <f t="shared" si="63"/>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9" t="s">
        <v>3930</v>
      </c>
      <c r="B1" s="119"/>
      <c r="C1" s="119"/>
      <c r="D1" s="119"/>
      <c r="E1" s="119"/>
    </row>
    <row r="2" spans="1:11" s="1" customFormat="1" x14ac:dyDescent="0.25">
      <c r="A2" s="1" t="s">
        <v>94</v>
      </c>
      <c r="B2" s="1" t="s">
        <v>101</v>
      </c>
      <c r="C2" s="1" t="s">
        <v>98</v>
      </c>
      <c r="D2" s="1" t="s">
        <v>99</v>
      </c>
      <c r="E2" s="1" t="s">
        <v>725</v>
      </c>
      <c r="F2" s="1" t="s">
        <v>1372</v>
      </c>
      <c r="G2" s="1" t="s">
        <v>1371</v>
      </c>
      <c r="H2" s="1" t="s">
        <v>1417</v>
      </c>
      <c r="I2" s="1" t="s">
        <v>1506</v>
      </c>
      <c r="J2" s="1" t="s">
        <v>1418</v>
      </c>
      <c r="K2" s="102" t="s">
        <v>3872</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1700</v>
      </c>
      <c r="E27" t="s">
        <v>1714</v>
      </c>
      <c r="F27">
        <v>1187</v>
      </c>
      <c r="G27">
        <v>1161</v>
      </c>
      <c r="H27">
        <v>18</v>
      </c>
      <c r="I27" t="s">
        <v>1606</v>
      </c>
      <c r="J27" t="s">
        <v>1607</v>
      </c>
      <c r="K27" s="21" t="str">
        <f t="shared" si="0"/>
        <v>[1187]={parentZoneId=1161, DLCID=DLC_GREYMOOR},   --Nchuthnkarst</v>
      </c>
    </row>
    <row r="28" spans="1:11" x14ac:dyDescent="0.25">
      <c r="A28">
        <v>1186</v>
      </c>
      <c r="B28">
        <v>766</v>
      </c>
      <c r="C28">
        <v>1160</v>
      </c>
      <c r="D28" t="s">
        <v>1707</v>
      </c>
      <c r="E28" t="s">
        <v>1684</v>
      </c>
      <c r="F28">
        <v>1186</v>
      </c>
      <c r="G28">
        <v>1160</v>
      </c>
      <c r="H28">
        <v>18</v>
      </c>
      <c r="I28" t="s">
        <v>1606</v>
      </c>
      <c r="J28" t="s">
        <v>1607</v>
      </c>
      <c r="K28" s="21" t="str">
        <f t="shared" si="0"/>
        <v>[1186]={parentZoneId=1160, DLCID=DLC_GREYMOOR},   --Labyrinthian</v>
      </c>
    </row>
    <row r="29" spans="1:11" x14ac:dyDescent="0.25">
      <c r="A29">
        <v>1260</v>
      </c>
      <c r="B29">
        <v>833</v>
      </c>
      <c r="C29">
        <v>1261</v>
      </c>
      <c r="D29" t="s">
        <v>2440</v>
      </c>
      <c r="E29" t="s">
        <v>2385</v>
      </c>
      <c r="F29">
        <v>1260</v>
      </c>
      <c r="G29">
        <v>1261</v>
      </c>
      <c r="H29">
        <v>22</v>
      </c>
      <c r="I29" t="s">
        <v>2384</v>
      </c>
      <c r="J29" t="s">
        <v>2385</v>
      </c>
      <c r="K29" s="21" t="str">
        <f t="shared" si="0"/>
        <v>[1260]={parentZoneId=1261, DLCID=DLC_BLACKWOOD},   --The Silent Halls</v>
      </c>
    </row>
    <row r="30" spans="1:11" x14ac:dyDescent="0.25">
      <c r="A30">
        <v>1259</v>
      </c>
      <c r="B30">
        <v>832</v>
      </c>
      <c r="C30">
        <v>1261</v>
      </c>
      <c r="D30" t="s">
        <v>2439</v>
      </c>
      <c r="E30" t="s">
        <v>2385</v>
      </c>
      <c r="F30">
        <v>1259</v>
      </c>
      <c r="G30">
        <v>1261</v>
      </c>
      <c r="H30">
        <v>22</v>
      </c>
      <c r="I30" t="s">
        <v>2384</v>
      </c>
      <c r="J30" t="s">
        <v>2385</v>
      </c>
      <c r="K30" s="21" t="str">
        <f t="shared" si="0"/>
        <v>[1259]={parentZoneId=1261, DLCID=DLC_BLACKWOOD},   --Zenithar's Abbey</v>
      </c>
    </row>
    <row r="31" spans="1:11" x14ac:dyDescent="0.25">
      <c r="A31">
        <v>1338</v>
      </c>
      <c r="B31">
        <v>901</v>
      </c>
      <c r="C31">
        <v>1318</v>
      </c>
      <c r="D31" t="s">
        <v>3359</v>
      </c>
      <c r="E31" t="s">
        <v>3327</v>
      </c>
      <c r="F31">
        <v>1338</v>
      </c>
      <c r="G31">
        <v>1318</v>
      </c>
      <c r="H31">
        <v>26</v>
      </c>
      <c r="I31" t="s">
        <v>3328</v>
      </c>
      <c r="J31" t="s">
        <v>3327</v>
      </c>
      <c r="K31" s="21" t="str">
        <f t="shared" si="0"/>
        <v>[1338]={parentZoneId=1318, DLCID=DLC_HIGH_ISLE},   --Ghost Haven Bay</v>
      </c>
    </row>
    <row r="32" spans="1:11" x14ac:dyDescent="0.25">
      <c r="A32">
        <v>1337</v>
      </c>
      <c r="B32">
        <v>900</v>
      </c>
      <c r="C32">
        <v>1318</v>
      </c>
      <c r="D32" t="s">
        <v>3360</v>
      </c>
      <c r="E32" t="s">
        <v>3327</v>
      </c>
      <c r="F32">
        <v>1337</v>
      </c>
      <c r="G32">
        <v>1318</v>
      </c>
      <c r="H32">
        <v>26</v>
      </c>
      <c r="I32" t="s">
        <v>3328</v>
      </c>
      <c r="J32" t="s">
        <v>3327</v>
      </c>
      <c r="K32" s="21" t="str">
        <f t="shared" si="0"/>
        <v>[1337]={parentZoneId=1318, DLCID=DLC_HIGH_ISLE},   --Spire of the Crimson Coin</v>
      </c>
    </row>
    <row r="33" spans="1:11" x14ac:dyDescent="0.25">
      <c r="A33">
        <v>1416</v>
      </c>
      <c r="B33">
        <v>960</v>
      </c>
      <c r="C33">
        <v>1413</v>
      </c>
      <c r="D33" t="s">
        <v>3699</v>
      </c>
      <c r="E33" t="s">
        <v>3628</v>
      </c>
      <c r="F33">
        <v>1416</v>
      </c>
      <c r="G33">
        <v>1413</v>
      </c>
      <c r="H33">
        <v>30</v>
      </c>
      <c r="I33" t="s">
        <v>3648</v>
      </c>
      <c r="J33" t="s">
        <v>3649</v>
      </c>
      <c r="K33" s="21" t="str">
        <f t="shared" si="0"/>
        <v>[1416]={parentZoneId=1413, DLCID=DLC_NECROM},   --The Underweave</v>
      </c>
    </row>
    <row r="34" spans="1:11" x14ac:dyDescent="0.25">
      <c r="A34">
        <v>1415</v>
      </c>
      <c r="B34">
        <v>959</v>
      </c>
      <c r="C34">
        <v>1414</v>
      </c>
      <c r="D34" t="s">
        <v>3690</v>
      </c>
      <c r="E34" t="s">
        <v>3700</v>
      </c>
      <c r="F34">
        <v>1415</v>
      </c>
      <c r="G34">
        <v>1414</v>
      </c>
      <c r="H34">
        <v>30</v>
      </c>
      <c r="I34" t="s">
        <v>3648</v>
      </c>
      <c r="J34" t="s">
        <v>3649</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2" sqref="C1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3784</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1684</v>
      </c>
      <c r="D38">
        <v>1160</v>
      </c>
      <c r="E38" s="3" t="str">
        <f>VLOOKUP(D38,'ESO zone constants'!$A$5:$D$10001,4,FALSE)</f>
        <v>Western Skyrim</v>
      </c>
      <c r="F38" s="3">
        <f>VLOOKUP(D38,'ESO zone constants'!$A$5:$B$10001,2,FALSE)</f>
        <v>744</v>
      </c>
      <c r="G38"/>
    </row>
    <row r="39" spans="1:7" x14ac:dyDescent="0.25">
      <c r="A39">
        <v>1747</v>
      </c>
      <c r="B39">
        <v>39</v>
      </c>
      <c r="C39" t="s">
        <v>1714</v>
      </c>
      <c r="D39">
        <v>1161</v>
      </c>
      <c r="E39" s="3" t="str">
        <f>VLOOKUP(D39,'ESO zone constants'!$A$5:$D$10001,4,FALSE)</f>
        <v>Blackreach: Greymoor Caverns</v>
      </c>
      <c r="F39" s="3">
        <f>VLOOKUP(D39,'ESO zone constants'!$A$5:$B$10001,2,FALSE)</f>
        <v>745</v>
      </c>
      <c r="G39"/>
    </row>
    <row r="40" spans="1:7" x14ac:dyDescent="0.25">
      <c r="A40">
        <v>1814</v>
      </c>
      <c r="B40">
        <v>42</v>
      </c>
      <c r="C40" t="s">
        <v>2210</v>
      </c>
      <c r="D40">
        <v>1207</v>
      </c>
      <c r="E40" s="3" t="str">
        <f>VLOOKUP(D40,'ESO zone constants'!$A$5:$D$10001,4,FALSE)</f>
        <v>The Reach</v>
      </c>
      <c r="F40" s="3">
        <f>VLOOKUP(D40,'ESO zone constants'!$A$5:$B$10001,2,FALSE)</f>
        <v>784</v>
      </c>
      <c r="G40"/>
    </row>
    <row r="41" spans="1:7" x14ac:dyDescent="0.25">
      <c r="A41">
        <v>1850</v>
      </c>
      <c r="B41">
        <v>41</v>
      </c>
      <c r="C41" t="s">
        <v>2211</v>
      </c>
      <c r="D41">
        <v>1208</v>
      </c>
      <c r="E41" s="3" t="str">
        <f>VLOOKUP(D41,'ESO zone constants'!$A$5:$D$10001,4,FALSE)</f>
        <v>Blackreach: Arkthzand Cavern</v>
      </c>
      <c r="F41" s="3">
        <f>VLOOKUP(D41,'ESO zone constants'!$A$5:$B$10001,2,FALSE)</f>
        <v>785</v>
      </c>
      <c r="G41"/>
    </row>
    <row r="42" spans="1:7" x14ac:dyDescent="0.25">
      <c r="A42">
        <v>1887</v>
      </c>
      <c r="B42">
        <v>43</v>
      </c>
      <c r="C42" t="s">
        <v>2385</v>
      </c>
      <c r="D42">
        <v>1261</v>
      </c>
      <c r="E42" s="3" t="str">
        <f>VLOOKUP(D42,'ESO zone constants'!$A$5:$D$10001,4,FALSE)</f>
        <v>Blackwood</v>
      </c>
      <c r="F42" s="3">
        <f>VLOOKUP(D42,'ESO zone constants'!$A$5:$B$10001,2,FALSE)</f>
        <v>835</v>
      </c>
      <c r="G42"/>
    </row>
    <row r="43" spans="1:7" x14ac:dyDescent="0.25">
      <c r="A43">
        <v>2021</v>
      </c>
      <c r="B43">
        <v>45</v>
      </c>
      <c r="C43" t="s">
        <v>2442</v>
      </c>
      <c r="D43">
        <v>1286</v>
      </c>
      <c r="E43" s="3" t="str">
        <f>VLOOKUP(D43,'ESO zone constants'!$A$5:$D$10001,4,FALSE)</f>
        <v>The Deadlands</v>
      </c>
      <c r="F43" s="3">
        <f>VLOOKUP(D43,'ESO zone constants'!$A$5:$B$10001,2,FALSE)</f>
        <v>858</v>
      </c>
      <c r="G43"/>
    </row>
    <row r="44" spans="1:7" x14ac:dyDescent="0.25">
      <c r="A44">
        <v>2035</v>
      </c>
      <c r="B44">
        <v>47</v>
      </c>
      <c r="C44" t="s">
        <v>3413</v>
      </c>
      <c r="D44">
        <v>1282</v>
      </c>
      <c r="E44" s="3" t="str">
        <f>VLOOKUP(D44,'ESO zone constants'!$A$5:$D$10001,4,FALSE)</f>
        <v>Fargrave</v>
      </c>
      <c r="F44" s="3">
        <f>VLOOKUP(D44,'ESO zone constants'!$A$5:$B$10001,2,FALSE)</f>
        <v>854</v>
      </c>
      <c r="G44"/>
    </row>
    <row r="45" spans="1:7" x14ac:dyDescent="0.25">
      <c r="A45">
        <v>2114</v>
      </c>
      <c r="B45">
        <v>46</v>
      </c>
      <c r="C45" t="s">
        <v>3350</v>
      </c>
      <c r="D45">
        <v>1318</v>
      </c>
      <c r="E45" s="3" t="str">
        <f>VLOOKUP(D45,'ESO zone constants'!$A$5:$D$10001,4,FALSE)</f>
        <v>High Isle</v>
      </c>
      <c r="F45" s="3">
        <f>VLOOKUP(D45,'ESO zone constants'!$A$5:$B$10001,2,FALSE)</f>
        <v>884</v>
      </c>
      <c r="G45"/>
    </row>
    <row r="46" spans="1:7" x14ac:dyDescent="0.25">
      <c r="A46">
        <v>2119</v>
      </c>
      <c r="B46">
        <v>44</v>
      </c>
      <c r="C46" t="s">
        <v>2678</v>
      </c>
      <c r="D46">
        <v>1283</v>
      </c>
      <c r="E46" s="3" t="str">
        <f>VLOOKUP(D46,'ESO zone constants'!$A$5:$D$10001,4,FALSE)</f>
        <v>The Shambles</v>
      </c>
      <c r="F46" s="3">
        <f>VLOOKUP(D46,'ESO zone constants'!$A$5:$B$10001,2,FALSE)</f>
        <v>855</v>
      </c>
    </row>
    <row r="47" spans="1:7" x14ac:dyDescent="0.25">
      <c r="A47">
        <v>2212</v>
      </c>
      <c r="B47">
        <v>48</v>
      </c>
      <c r="C47" t="s">
        <v>3475</v>
      </c>
      <c r="D47">
        <v>1383</v>
      </c>
      <c r="E47" s="3" t="str">
        <f>VLOOKUP(D47,'ESO zone constants'!$A$5:$D$10001,4,FALSE)</f>
        <v>Galen</v>
      </c>
      <c r="F47" s="3">
        <f>VLOOKUP(D47,'ESO zone constants'!$A$5:$B$10001,2,FALSE)</f>
        <v>929</v>
      </c>
    </row>
    <row r="48" spans="1:7" x14ac:dyDescent="0.25">
      <c r="A48" s="5">
        <v>2274</v>
      </c>
      <c r="B48" s="5">
        <v>49</v>
      </c>
      <c r="C48" s="5" t="s">
        <v>3700</v>
      </c>
      <c r="D48" s="5">
        <v>1414</v>
      </c>
      <c r="E48" s="3" t="s">
        <v>3700</v>
      </c>
      <c r="F48" s="3">
        <f>VLOOKUP(D48,'ESO zone constants'!$A$5:$B$10001,2,FALSE)</f>
        <v>958</v>
      </c>
    </row>
    <row r="49" spans="1:6" x14ac:dyDescent="0.25">
      <c r="A49" s="5">
        <v>2275</v>
      </c>
      <c r="B49" s="5">
        <v>50</v>
      </c>
      <c r="C49" s="5" t="s">
        <v>3628</v>
      </c>
      <c r="D49" s="5">
        <v>1413</v>
      </c>
      <c r="E49" s="3" t="s">
        <v>3628</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49">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3784</v>
      </c>
      <c r="J1" s="30"/>
      <c r="K1" s="3"/>
      <c r="L1" s="3"/>
      <c r="M1" s="3"/>
      <c r="N1" s="3"/>
    </row>
    <row r="2" spans="1:14" x14ac:dyDescent="0.25">
      <c r="A2" s="54" t="s">
        <v>1715</v>
      </c>
      <c r="B2" s="1" t="s">
        <v>1716</v>
      </c>
      <c r="C2" s="1" t="s">
        <v>1717</v>
      </c>
      <c r="D2" s="1" t="s">
        <v>1718</v>
      </c>
      <c r="E2" s="1" t="s">
        <v>1720</v>
      </c>
      <c r="F2" s="1" t="s">
        <v>1719</v>
      </c>
      <c r="G2" s="1" t="s">
        <v>1721</v>
      </c>
      <c r="H2" s="1" t="s">
        <v>1722</v>
      </c>
      <c r="I2" s="1" t="s">
        <v>3193</v>
      </c>
      <c r="J2" s="30" t="s">
        <v>2402</v>
      </c>
      <c r="K2" s="3" t="s">
        <v>1715</v>
      </c>
      <c r="L2" s="3" t="s">
        <v>1370</v>
      </c>
      <c r="M2" s="3" t="s">
        <v>1367</v>
      </c>
      <c r="N2" s="3" t="s">
        <v>99</v>
      </c>
    </row>
    <row r="3" spans="1:14" x14ac:dyDescent="0.25">
      <c r="A3" s="94">
        <v>1</v>
      </c>
      <c r="B3">
        <v>2</v>
      </c>
      <c r="C3">
        <v>1</v>
      </c>
      <c r="D3" t="s">
        <v>103</v>
      </c>
      <c r="E3">
        <v>2</v>
      </c>
      <c r="F3">
        <v>3</v>
      </c>
      <c r="G3" t="s">
        <v>103</v>
      </c>
      <c r="H3">
        <v>1</v>
      </c>
      <c r="I3" t="s">
        <v>2779</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2780</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2781</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2782</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3787</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2783</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2784</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2785</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4">
        <v>9</v>
      </c>
      <c r="B11">
        <v>3</v>
      </c>
      <c r="C11">
        <v>10</v>
      </c>
      <c r="D11" t="s">
        <v>2305</v>
      </c>
      <c r="E11">
        <v>5</v>
      </c>
      <c r="F11">
        <v>20</v>
      </c>
      <c r="G11" t="s">
        <v>2305</v>
      </c>
      <c r="H11">
        <v>1</v>
      </c>
      <c r="I11" t="s">
        <v>2786</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4">
        <v>10</v>
      </c>
      <c r="B12">
        <v>3</v>
      </c>
      <c r="C12">
        <v>10</v>
      </c>
      <c r="D12" t="s">
        <v>2305</v>
      </c>
      <c r="E12">
        <v>5</v>
      </c>
      <c r="F12">
        <v>20</v>
      </c>
      <c r="G12" t="s">
        <v>2305</v>
      </c>
      <c r="H12">
        <v>1</v>
      </c>
      <c r="I12" t="s">
        <v>2787</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4">
        <v>11</v>
      </c>
      <c r="B13">
        <v>3</v>
      </c>
      <c r="C13">
        <v>10</v>
      </c>
      <c r="D13" t="s">
        <v>2305</v>
      </c>
      <c r="E13">
        <v>5</v>
      </c>
      <c r="F13">
        <v>20</v>
      </c>
      <c r="G13" t="s">
        <v>2305</v>
      </c>
      <c r="H13">
        <v>1</v>
      </c>
      <c r="I13" t="s">
        <v>2788</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4">
        <v>12</v>
      </c>
      <c r="B14">
        <v>3</v>
      </c>
      <c r="C14">
        <v>10</v>
      </c>
      <c r="D14" t="s">
        <v>2305</v>
      </c>
      <c r="E14">
        <v>5</v>
      </c>
      <c r="F14">
        <v>20</v>
      </c>
      <c r="G14" t="s">
        <v>2305</v>
      </c>
      <c r="H14">
        <v>1</v>
      </c>
      <c r="I14" t="s">
        <v>2789</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4">
        <v>13</v>
      </c>
      <c r="B15">
        <v>3</v>
      </c>
      <c r="C15">
        <v>10</v>
      </c>
      <c r="D15" t="s">
        <v>2305</v>
      </c>
      <c r="E15">
        <v>5</v>
      </c>
      <c r="F15">
        <v>20</v>
      </c>
      <c r="G15" t="s">
        <v>2305</v>
      </c>
      <c r="H15">
        <v>1</v>
      </c>
      <c r="I15" t="s">
        <v>2790</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4">
        <v>14</v>
      </c>
      <c r="B16">
        <v>4</v>
      </c>
      <c r="C16">
        <v>12</v>
      </c>
      <c r="D16" t="s">
        <v>2306</v>
      </c>
      <c r="E16">
        <v>4</v>
      </c>
      <c r="F16">
        <v>19</v>
      </c>
      <c r="G16" t="s">
        <v>2306</v>
      </c>
      <c r="H16">
        <v>1</v>
      </c>
      <c r="I16" t="s">
        <v>3788</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4">
        <v>15</v>
      </c>
      <c r="B17">
        <v>4</v>
      </c>
      <c r="C17">
        <v>12</v>
      </c>
      <c r="D17" t="s">
        <v>2306</v>
      </c>
      <c r="E17">
        <v>4</v>
      </c>
      <c r="F17">
        <v>19</v>
      </c>
      <c r="G17" t="s">
        <v>2306</v>
      </c>
      <c r="H17">
        <v>1</v>
      </c>
      <c r="I17" t="s">
        <v>3789</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4">
        <v>16</v>
      </c>
      <c r="B18">
        <v>4</v>
      </c>
      <c r="C18">
        <v>12</v>
      </c>
      <c r="D18" t="s">
        <v>2306</v>
      </c>
      <c r="E18">
        <v>4</v>
      </c>
      <c r="F18">
        <v>19</v>
      </c>
      <c r="G18" t="s">
        <v>2306</v>
      </c>
      <c r="H18">
        <v>1</v>
      </c>
      <c r="I18" t="s">
        <v>3790</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4">
        <v>17</v>
      </c>
      <c r="B19">
        <v>4</v>
      </c>
      <c r="C19">
        <v>12</v>
      </c>
      <c r="D19" t="s">
        <v>2306</v>
      </c>
      <c r="E19">
        <v>4</v>
      </c>
      <c r="F19">
        <v>19</v>
      </c>
      <c r="G19" t="s">
        <v>2306</v>
      </c>
      <c r="H19">
        <v>1</v>
      </c>
      <c r="I19" t="s">
        <v>3791</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4">
        <v>18</v>
      </c>
      <c r="B20">
        <v>4</v>
      </c>
      <c r="C20">
        <v>12</v>
      </c>
      <c r="D20" t="s">
        <v>2306</v>
      </c>
      <c r="E20">
        <v>4</v>
      </c>
      <c r="F20">
        <v>19</v>
      </c>
      <c r="G20" t="s">
        <v>2306</v>
      </c>
      <c r="H20">
        <v>1</v>
      </c>
      <c r="I20" t="s">
        <v>3792</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4">
        <v>19</v>
      </c>
      <c r="B21">
        <v>4</v>
      </c>
      <c r="C21">
        <v>12</v>
      </c>
      <c r="D21" t="s">
        <v>2306</v>
      </c>
      <c r="E21">
        <v>4</v>
      </c>
      <c r="F21">
        <v>19</v>
      </c>
      <c r="G21" t="s">
        <v>2306</v>
      </c>
      <c r="H21">
        <v>1</v>
      </c>
      <c r="I21" t="s">
        <v>3793</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2791</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4">
        <v>21</v>
      </c>
      <c r="B23">
        <v>7</v>
      </c>
      <c r="C23">
        <v>9</v>
      </c>
      <c r="D23" t="s">
        <v>2289</v>
      </c>
      <c r="E23">
        <v>181</v>
      </c>
      <c r="F23">
        <v>383</v>
      </c>
      <c r="G23" t="s">
        <v>2289</v>
      </c>
      <c r="H23">
        <v>1</v>
      </c>
      <c r="I23" t="s">
        <v>2792</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4">
        <v>22</v>
      </c>
      <c r="B24">
        <v>4</v>
      </c>
      <c r="C24">
        <v>12</v>
      </c>
      <c r="D24" t="s">
        <v>2306</v>
      </c>
      <c r="E24">
        <v>4</v>
      </c>
      <c r="F24">
        <v>19</v>
      </c>
      <c r="G24" t="s">
        <v>2306</v>
      </c>
      <c r="H24">
        <v>1</v>
      </c>
      <c r="I24" t="s">
        <v>3794</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4">
        <v>23</v>
      </c>
      <c r="B25">
        <v>4</v>
      </c>
      <c r="C25">
        <v>12</v>
      </c>
      <c r="D25" t="s">
        <v>2306</v>
      </c>
      <c r="E25">
        <v>4</v>
      </c>
      <c r="F25">
        <v>19</v>
      </c>
      <c r="G25" t="s">
        <v>2306</v>
      </c>
      <c r="H25">
        <v>1</v>
      </c>
      <c r="I25" t="s">
        <v>3795</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2793</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2794</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2795</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2796</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2797</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3186</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2798</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4">
        <v>31</v>
      </c>
      <c r="B33">
        <v>4</v>
      </c>
      <c r="C33">
        <v>12</v>
      </c>
      <c r="D33" t="s">
        <v>2306</v>
      </c>
      <c r="E33">
        <v>4</v>
      </c>
      <c r="F33">
        <v>19</v>
      </c>
      <c r="G33" t="s">
        <v>2306</v>
      </c>
      <c r="H33">
        <v>1</v>
      </c>
      <c r="I33" t="s">
        <v>3796</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2799</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2800</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2801</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2802</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2803</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2804</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2805</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2806</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2807</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4">
        <v>41</v>
      </c>
      <c r="B43">
        <v>11</v>
      </c>
      <c r="C43">
        <v>7</v>
      </c>
      <c r="D43" t="s">
        <v>2310</v>
      </c>
      <c r="E43">
        <v>9</v>
      </c>
      <c r="F43">
        <v>41</v>
      </c>
      <c r="G43" t="s">
        <v>2310</v>
      </c>
      <c r="H43">
        <v>1</v>
      </c>
      <c r="I43" t="s">
        <v>2808</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4">
        <v>42</v>
      </c>
      <c r="B44">
        <v>5</v>
      </c>
      <c r="C44">
        <v>30</v>
      </c>
      <c r="D44" t="s">
        <v>3187</v>
      </c>
      <c r="E44">
        <v>17</v>
      </c>
      <c r="F44">
        <v>104</v>
      </c>
      <c r="G44" t="s">
        <v>2304</v>
      </c>
      <c r="H44">
        <v>1</v>
      </c>
      <c r="I44" t="s">
        <v>2809</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4">
        <v>43</v>
      </c>
      <c r="B45">
        <v>5</v>
      </c>
      <c r="C45">
        <v>30</v>
      </c>
      <c r="D45" t="s">
        <v>3187</v>
      </c>
      <c r="E45">
        <v>17</v>
      </c>
      <c r="F45">
        <v>104</v>
      </c>
      <c r="G45" t="s">
        <v>2304</v>
      </c>
      <c r="H45">
        <v>1</v>
      </c>
      <c r="I45" t="s">
        <v>2810</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4">
        <v>44</v>
      </c>
      <c r="B46">
        <v>5</v>
      </c>
      <c r="C46">
        <v>30</v>
      </c>
      <c r="D46" t="s">
        <v>3187</v>
      </c>
      <c r="E46">
        <v>17</v>
      </c>
      <c r="F46">
        <v>104</v>
      </c>
      <c r="G46" t="s">
        <v>2304</v>
      </c>
      <c r="H46">
        <v>1</v>
      </c>
      <c r="I46" t="s">
        <v>2811</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4">
        <v>45</v>
      </c>
      <c r="B47">
        <v>5</v>
      </c>
      <c r="C47">
        <v>30</v>
      </c>
      <c r="D47" t="s">
        <v>3187</v>
      </c>
      <c r="E47">
        <v>17</v>
      </c>
      <c r="F47">
        <v>104</v>
      </c>
      <c r="G47" t="s">
        <v>2304</v>
      </c>
      <c r="H47">
        <v>1</v>
      </c>
      <c r="I47" t="s">
        <v>2812</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4">
        <v>46</v>
      </c>
      <c r="B48">
        <v>5</v>
      </c>
      <c r="C48">
        <v>30</v>
      </c>
      <c r="D48" t="s">
        <v>3187</v>
      </c>
      <c r="E48">
        <v>17</v>
      </c>
      <c r="F48">
        <v>104</v>
      </c>
      <c r="G48" t="s">
        <v>2304</v>
      </c>
      <c r="H48">
        <v>1</v>
      </c>
      <c r="I48" t="s">
        <v>2813</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4">
        <v>47</v>
      </c>
      <c r="B49">
        <v>9</v>
      </c>
      <c r="C49">
        <v>26</v>
      </c>
      <c r="D49" t="s">
        <v>2309</v>
      </c>
      <c r="E49">
        <v>19</v>
      </c>
      <c r="F49">
        <v>117</v>
      </c>
      <c r="G49" t="s">
        <v>2309</v>
      </c>
      <c r="H49">
        <v>1</v>
      </c>
      <c r="I49" t="s">
        <v>2814</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4">
        <v>48</v>
      </c>
      <c r="B50">
        <v>9</v>
      </c>
      <c r="C50">
        <v>26</v>
      </c>
      <c r="D50" t="s">
        <v>2309</v>
      </c>
      <c r="E50">
        <v>19</v>
      </c>
      <c r="F50">
        <v>117</v>
      </c>
      <c r="G50" t="s">
        <v>2309</v>
      </c>
      <c r="H50">
        <v>1</v>
      </c>
      <c r="I50" t="s">
        <v>2815</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4">
        <v>49</v>
      </c>
      <c r="B51">
        <v>9</v>
      </c>
      <c r="C51">
        <v>26</v>
      </c>
      <c r="D51" t="s">
        <v>2309</v>
      </c>
      <c r="E51">
        <v>19</v>
      </c>
      <c r="F51">
        <v>117</v>
      </c>
      <c r="G51" t="s">
        <v>2309</v>
      </c>
      <c r="H51">
        <v>1</v>
      </c>
      <c r="I51" t="s">
        <v>2816</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4">
        <v>50</v>
      </c>
      <c r="B52">
        <v>9</v>
      </c>
      <c r="C52">
        <v>26</v>
      </c>
      <c r="D52" t="s">
        <v>2309</v>
      </c>
      <c r="E52">
        <v>19</v>
      </c>
      <c r="F52">
        <v>117</v>
      </c>
      <c r="G52" t="s">
        <v>2309</v>
      </c>
      <c r="H52">
        <v>1</v>
      </c>
      <c r="I52" t="s">
        <v>2817</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4">
        <v>51</v>
      </c>
      <c r="B53">
        <v>9</v>
      </c>
      <c r="C53">
        <v>26</v>
      </c>
      <c r="D53" t="s">
        <v>2309</v>
      </c>
      <c r="E53">
        <v>19</v>
      </c>
      <c r="F53">
        <v>117</v>
      </c>
      <c r="G53" t="s">
        <v>2309</v>
      </c>
      <c r="H53">
        <v>1</v>
      </c>
      <c r="I53" t="s">
        <v>2818</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4">
        <v>52</v>
      </c>
      <c r="B54">
        <v>9</v>
      </c>
      <c r="C54">
        <v>26</v>
      </c>
      <c r="D54" t="s">
        <v>2309</v>
      </c>
      <c r="E54">
        <v>19</v>
      </c>
      <c r="F54">
        <v>117</v>
      </c>
      <c r="G54" t="s">
        <v>2309</v>
      </c>
      <c r="H54">
        <v>1</v>
      </c>
      <c r="I54" t="s">
        <v>2819</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4">
        <v>53</v>
      </c>
      <c r="B55">
        <v>9</v>
      </c>
      <c r="C55">
        <v>26</v>
      </c>
      <c r="D55" t="s">
        <v>2309</v>
      </c>
      <c r="E55">
        <v>19</v>
      </c>
      <c r="F55">
        <v>117</v>
      </c>
      <c r="G55" t="s">
        <v>2309</v>
      </c>
      <c r="H55">
        <v>1</v>
      </c>
      <c r="I55" t="s">
        <v>2820</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4">
        <v>55</v>
      </c>
      <c r="B56">
        <v>3</v>
      </c>
      <c r="C56">
        <v>10</v>
      </c>
      <c r="D56" t="s">
        <v>2305</v>
      </c>
      <c r="E56">
        <v>5</v>
      </c>
      <c r="F56">
        <v>20</v>
      </c>
      <c r="G56" t="s">
        <v>2305</v>
      </c>
      <c r="H56">
        <v>1</v>
      </c>
      <c r="I56" t="s">
        <v>2821</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4">
        <v>56</v>
      </c>
      <c r="B57">
        <v>4</v>
      </c>
      <c r="C57">
        <v>12</v>
      </c>
      <c r="D57" t="s">
        <v>2306</v>
      </c>
      <c r="E57">
        <v>4</v>
      </c>
      <c r="F57">
        <v>19</v>
      </c>
      <c r="G57" t="s">
        <v>2306</v>
      </c>
      <c r="H57">
        <v>1</v>
      </c>
      <c r="I57" t="s">
        <v>3797</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4">
        <v>57</v>
      </c>
      <c r="B58">
        <v>5</v>
      </c>
      <c r="C58">
        <v>30</v>
      </c>
      <c r="D58" t="s">
        <v>3187</v>
      </c>
      <c r="E58">
        <v>17</v>
      </c>
      <c r="F58">
        <v>104</v>
      </c>
      <c r="G58" t="s">
        <v>2304</v>
      </c>
      <c r="H58">
        <v>1</v>
      </c>
      <c r="I58" t="s">
        <v>2822</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4">
        <v>58</v>
      </c>
      <c r="B59">
        <v>5</v>
      </c>
      <c r="C59">
        <v>30</v>
      </c>
      <c r="D59" t="s">
        <v>3187</v>
      </c>
      <c r="E59">
        <v>17</v>
      </c>
      <c r="F59">
        <v>104</v>
      </c>
      <c r="G59" t="s">
        <v>2304</v>
      </c>
      <c r="H59">
        <v>1</v>
      </c>
      <c r="I59" t="s">
        <v>2823</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4">
        <v>59</v>
      </c>
      <c r="B60">
        <v>5</v>
      </c>
      <c r="C60">
        <v>30</v>
      </c>
      <c r="D60" t="s">
        <v>3187</v>
      </c>
      <c r="E60">
        <v>17</v>
      </c>
      <c r="F60">
        <v>104</v>
      </c>
      <c r="G60" t="s">
        <v>2304</v>
      </c>
      <c r="H60">
        <v>1</v>
      </c>
      <c r="I60" t="s">
        <v>2824</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4">
        <v>60</v>
      </c>
      <c r="B61">
        <v>5</v>
      </c>
      <c r="C61">
        <v>30</v>
      </c>
      <c r="D61" t="s">
        <v>3187</v>
      </c>
      <c r="E61">
        <v>17</v>
      </c>
      <c r="F61">
        <v>104</v>
      </c>
      <c r="G61" t="s">
        <v>2304</v>
      </c>
      <c r="H61">
        <v>1</v>
      </c>
      <c r="I61" t="s">
        <v>2825</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4">
        <v>61</v>
      </c>
      <c r="B62">
        <v>5</v>
      </c>
      <c r="C62">
        <v>30</v>
      </c>
      <c r="D62" t="s">
        <v>3187</v>
      </c>
      <c r="E62">
        <v>17</v>
      </c>
      <c r="F62">
        <v>104</v>
      </c>
      <c r="G62" t="s">
        <v>2304</v>
      </c>
      <c r="H62">
        <v>1</v>
      </c>
      <c r="I62" t="s">
        <v>2826</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2827</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2828</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2829</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4">
        <v>65</v>
      </c>
      <c r="B66">
        <v>11</v>
      </c>
      <c r="C66">
        <v>7</v>
      </c>
      <c r="D66" t="s">
        <v>2310</v>
      </c>
      <c r="E66">
        <v>9</v>
      </c>
      <c r="F66">
        <v>41</v>
      </c>
      <c r="G66" t="s">
        <v>2310</v>
      </c>
      <c r="H66">
        <v>1</v>
      </c>
      <c r="I66" t="s">
        <v>2830</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4">
        <v>66</v>
      </c>
      <c r="B67">
        <v>11</v>
      </c>
      <c r="C67">
        <v>7</v>
      </c>
      <c r="D67" t="s">
        <v>2310</v>
      </c>
      <c r="E67">
        <v>9</v>
      </c>
      <c r="F67">
        <v>41</v>
      </c>
      <c r="G67" t="s">
        <v>2310</v>
      </c>
      <c r="H67">
        <v>1</v>
      </c>
      <c r="I67" t="s">
        <v>2831</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4">
        <v>67</v>
      </c>
      <c r="B68">
        <v>11</v>
      </c>
      <c r="C68">
        <v>7</v>
      </c>
      <c r="D68" t="s">
        <v>2310</v>
      </c>
      <c r="E68">
        <v>9</v>
      </c>
      <c r="F68">
        <v>41</v>
      </c>
      <c r="G68" t="s">
        <v>2310</v>
      </c>
      <c r="H68">
        <v>1</v>
      </c>
      <c r="I68" t="s">
        <v>2832</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4">
        <v>68</v>
      </c>
      <c r="B69">
        <v>11</v>
      </c>
      <c r="C69">
        <v>7</v>
      </c>
      <c r="D69" t="s">
        <v>2310</v>
      </c>
      <c r="E69">
        <v>9</v>
      </c>
      <c r="F69">
        <v>41</v>
      </c>
      <c r="G69" t="s">
        <v>2310</v>
      </c>
      <c r="H69">
        <v>1</v>
      </c>
      <c r="I69" t="s">
        <v>2833</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4">
        <v>69</v>
      </c>
      <c r="B70">
        <v>11</v>
      </c>
      <c r="C70">
        <v>7</v>
      </c>
      <c r="D70" t="s">
        <v>2310</v>
      </c>
      <c r="E70">
        <v>9</v>
      </c>
      <c r="F70">
        <v>41</v>
      </c>
      <c r="G70" t="s">
        <v>2310</v>
      </c>
      <c r="H70">
        <v>1</v>
      </c>
      <c r="I70" t="s">
        <v>2834</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4">
        <v>71</v>
      </c>
      <c r="B71">
        <v>11</v>
      </c>
      <c r="C71">
        <v>7</v>
      </c>
      <c r="D71" t="s">
        <v>2310</v>
      </c>
      <c r="E71">
        <v>9</v>
      </c>
      <c r="F71">
        <v>41</v>
      </c>
      <c r="G71" t="s">
        <v>2310</v>
      </c>
      <c r="H71">
        <v>1</v>
      </c>
      <c r="I71" t="s">
        <v>2835</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4">
        <v>72</v>
      </c>
      <c r="B72">
        <v>11</v>
      </c>
      <c r="C72">
        <v>7</v>
      </c>
      <c r="D72" t="s">
        <v>2310</v>
      </c>
      <c r="E72">
        <v>9</v>
      </c>
      <c r="F72">
        <v>41</v>
      </c>
      <c r="G72" t="s">
        <v>2310</v>
      </c>
      <c r="H72">
        <v>1</v>
      </c>
      <c r="I72" t="s">
        <v>2836</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4">
        <v>73</v>
      </c>
      <c r="B73">
        <v>11</v>
      </c>
      <c r="C73">
        <v>7</v>
      </c>
      <c r="D73" t="s">
        <v>2310</v>
      </c>
      <c r="E73">
        <v>9</v>
      </c>
      <c r="F73">
        <v>41</v>
      </c>
      <c r="G73" t="s">
        <v>2310</v>
      </c>
      <c r="H73">
        <v>1</v>
      </c>
      <c r="I73" t="s">
        <v>2837</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4">
        <v>74</v>
      </c>
      <c r="B74">
        <v>11</v>
      </c>
      <c r="C74">
        <v>7</v>
      </c>
      <c r="D74" t="s">
        <v>2310</v>
      </c>
      <c r="E74">
        <v>9</v>
      </c>
      <c r="F74">
        <v>41</v>
      </c>
      <c r="G74" t="s">
        <v>2310</v>
      </c>
      <c r="H74">
        <v>1</v>
      </c>
      <c r="I74" t="s">
        <v>2838</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4">
        <v>75</v>
      </c>
      <c r="B75">
        <v>11</v>
      </c>
      <c r="C75">
        <v>7</v>
      </c>
      <c r="D75" t="s">
        <v>2310</v>
      </c>
      <c r="E75">
        <v>9</v>
      </c>
      <c r="F75">
        <v>41</v>
      </c>
      <c r="G75" t="s">
        <v>2310</v>
      </c>
      <c r="H75">
        <v>1</v>
      </c>
      <c r="I75" t="s">
        <v>2839</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4">
        <v>76</v>
      </c>
      <c r="B76">
        <v>11</v>
      </c>
      <c r="C76">
        <v>7</v>
      </c>
      <c r="D76" t="s">
        <v>2310</v>
      </c>
      <c r="E76">
        <v>9</v>
      </c>
      <c r="F76">
        <v>41</v>
      </c>
      <c r="G76" t="s">
        <v>2310</v>
      </c>
      <c r="H76">
        <v>1</v>
      </c>
      <c r="I76" t="s">
        <v>2840</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4">
        <v>77</v>
      </c>
      <c r="B77">
        <v>11</v>
      </c>
      <c r="C77">
        <v>7</v>
      </c>
      <c r="D77" t="s">
        <v>2310</v>
      </c>
      <c r="E77">
        <v>9</v>
      </c>
      <c r="F77">
        <v>41</v>
      </c>
      <c r="G77" t="s">
        <v>2310</v>
      </c>
      <c r="H77">
        <v>1</v>
      </c>
      <c r="I77" t="s">
        <v>2841</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4">
        <v>78</v>
      </c>
      <c r="B78">
        <v>9</v>
      </c>
      <c r="C78">
        <v>26</v>
      </c>
      <c r="D78" t="s">
        <v>2309</v>
      </c>
      <c r="E78">
        <v>19</v>
      </c>
      <c r="F78">
        <v>117</v>
      </c>
      <c r="G78" t="s">
        <v>2309</v>
      </c>
      <c r="H78">
        <v>1</v>
      </c>
      <c r="I78" t="s">
        <v>2842</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2843</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2844</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2845</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4">
        <v>82</v>
      </c>
      <c r="B82">
        <v>3</v>
      </c>
      <c r="C82">
        <v>10</v>
      </c>
      <c r="D82" t="s">
        <v>2305</v>
      </c>
      <c r="E82">
        <v>5</v>
      </c>
      <c r="F82">
        <v>20</v>
      </c>
      <c r="G82" t="s">
        <v>2305</v>
      </c>
      <c r="H82">
        <v>1</v>
      </c>
      <c r="I82" t="s">
        <v>2846</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4">
        <v>83</v>
      </c>
      <c r="B83">
        <v>3</v>
      </c>
      <c r="C83">
        <v>10</v>
      </c>
      <c r="D83" t="s">
        <v>2305</v>
      </c>
      <c r="E83">
        <v>5</v>
      </c>
      <c r="F83">
        <v>20</v>
      </c>
      <c r="G83" t="s">
        <v>2305</v>
      </c>
      <c r="H83">
        <v>1</v>
      </c>
      <c r="I83" t="s">
        <v>2847</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4">
        <v>84</v>
      </c>
      <c r="B84">
        <v>3</v>
      </c>
      <c r="C84">
        <v>10</v>
      </c>
      <c r="D84" t="s">
        <v>2305</v>
      </c>
      <c r="E84">
        <v>5</v>
      </c>
      <c r="F84">
        <v>20</v>
      </c>
      <c r="G84" t="s">
        <v>2305</v>
      </c>
      <c r="H84">
        <v>1</v>
      </c>
      <c r="I84" t="s">
        <v>2848</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4">
        <v>85</v>
      </c>
      <c r="B85">
        <v>9</v>
      </c>
      <c r="C85">
        <v>26</v>
      </c>
      <c r="D85" t="s">
        <v>2309</v>
      </c>
      <c r="E85">
        <v>19</v>
      </c>
      <c r="F85">
        <v>117</v>
      </c>
      <c r="G85" t="s">
        <v>2309</v>
      </c>
      <c r="H85">
        <v>1</v>
      </c>
      <c r="I85" t="s">
        <v>2849</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4">
        <v>86</v>
      </c>
      <c r="B86">
        <v>3</v>
      </c>
      <c r="C86">
        <v>10</v>
      </c>
      <c r="D86" t="s">
        <v>2305</v>
      </c>
      <c r="E86">
        <v>5</v>
      </c>
      <c r="F86">
        <v>20</v>
      </c>
      <c r="G86" t="s">
        <v>2305</v>
      </c>
      <c r="H86">
        <v>1</v>
      </c>
      <c r="I86" t="s">
        <v>2850</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4">
        <v>87</v>
      </c>
      <c r="B87">
        <v>13</v>
      </c>
      <c r="C87">
        <v>61</v>
      </c>
      <c r="D87" t="s">
        <v>2307</v>
      </c>
      <c r="E87">
        <v>15</v>
      </c>
      <c r="F87">
        <v>101</v>
      </c>
      <c r="G87" t="s">
        <v>2307</v>
      </c>
      <c r="H87">
        <v>1</v>
      </c>
      <c r="I87" t="s">
        <v>3257</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4">
        <v>88</v>
      </c>
      <c r="B88">
        <v>13</v>
      </c>
      <c r="C88">
        <v>61</v>
      </c>
      <c r="D88" t="s">
        <v>2307</v>
      </c>
      <c r="E88">
        <v>15</v>
      </c>
      <c r="F88">
        <v>101</v>
      </c>
      <c r="G88" t="s">
        <v>2307</v>
      </c>
      <c r="H88">
        <v>1</v>
      </c>
      <c r="I88" t="s">
        <v>3254</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4">
        <v>89</v>
      </c>
      <c r="B89">
        <v>13</v>
      </c>
      <c r="C89">
        <v>61</v>
      </c>
      <c r="D89" t="s">
        <v>2307</v>
      </c>
      <c r="E89">
        <v>15</v>
      </c>
      <c r="F89">
        <v>101</v>
      </c>
      <c r="G89" t="s">
        <v>2307</v>
      </c>
      <c r="H89">
        <v>1</v>
      </c>
      <c r="I89" t="s">
        <v>3259</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4">
        <v>90</v>
      </c>
      <c r="B90">
        <v>13</v>
      </c>
      <c r="C90">
        <v>61</v>
      </c>
      <c r="D90" t="s">
        <v>2307</v>
      </c>
      <c r="E90">
        <v>15</v>
      </c>
      <c r="F90">
        <v>101</v>
      </c>
      <c r="G90" t="s">
        <v>2307</v>
      </c>
      <c r="H90">
        <v>1</v>
      </c>
      <c r="I90" t="s">
        <v>3260</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4">
        <v>91</v>
      </c>
      <c r="B91">
        <v>13</v>
      </c>
      <c r="C91">
        <v>61</v>
      </c>
      <c r="D91" t="s">
        <v>2307</v>
      </c>
      <c r="E91">
        <v>15</v>
      </c>
      <c r="F91">
        <v>101</v>
      </c>
      <c r="G91" t="s">
        <v>2307</v>
      </c>
      <c r="H91">
        <v>1</v>
      </c>
      <c r="I91" t="s">
        <v>3261</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4">
        <v>92</v>
      </c>
      <c r="B92">
        <v>13</v>
      </c>
      <c r="C92">
        <v>61</v>
      </c>
      <c r="D92" t="s">
        <v>2307</v>
      </c>
      <c r="E92">
        <v>15</v>
      </c>
      <c r="F92">
        <v>101</v>
      </c>
      <c r="G92" t="s">
        <v>2307</v>
      </c>
      <c r="H92">
        <v>1</v>
      </c>
      <c r="I92" t="s">
        <v>3256</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4">
        <v>93</v>
      </c>
      <c r="B93">
        <v>13</v>
      </c>
      <c r="C93">
        <v>61</v>
      </c>
      <c r="D93" t="s">
        <v>2307</v>
      </c>
      <c r="E93">
        <v>15</v>
      </c>
      <c r="F93">
        <v>101</v>
      </c>
      <c r="G93" t="s">
        <v>2307</v>
      </c>
      <c r="H93">
        <v>1</v>
      </c>
      <c r="I93" t="s">
        <v>3263</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4">
        <v>94</v>
      </c>
      <c r="B94">
        <v>13</v>
      </c>
      <c r="C94">
        <v>61</v>
      </c>
      <c r="D94" t="s">
        <v>2307</v>
      </c>
      <c r="E94">
        <v>15</v>
      </c>
      <c r="F94">
        <v>101</v>
      </c>
      <c r="G94" t="s">
        <v>2307</v>
      </c>
      <c r="H94">
        <v>1</v>
      </c>
      <c r="I94" t="s">
        <v>3264</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4">
        <v>95</v>
      </c>
      <c r="B95">
        <v>13</v>
      </c>
      <c r="C95">
        <v>61</v>
      </c>
      <c r="D95" t="s">
        <v>2307</v>
      </c>
      <c r="E95">
        <v>15</v>
      </c>
      <c r="F95">
        <v>101</v>
      </c>
      <c r="G95" t="s">
        <v>2307</v>
      </c>
      <c r="H95">
        <v>1</v>
      </c>
      <c r="I95" t="s">
        <v>3265</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4">
        <v>96</v>
      </c>
      <c r="B96">
        <v>13</v>
      </c>
      <c r="C96">
        <v>61</v>
      </c>
      <c r="D96" t="s">
        <v>2307</v>
      </c>
      <c r="E96">
        <v>15</v>
      </c>
      <c r="F96">
        <v>101</v>
      </c>
      <c r="G96" t="s">
        <v>2307</v>
      </c>
      <c r="H96">
        <v>1</v>
      </c>
      <c r="I96" t="s">
        <v>3250</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4">
        <v>97</v>
      </c>
      <c r="B97">
        <v>13</v>
      </c>
      <c r="C97">
        <v>61</v>
      </c>
      <c r="D97" t="s">
        <v>2307</v>
      </c>
      <c r="E97">
        <v>15</v>
      </c>
      <c r="F97">
        <v>101</v>
      </c>
      <c r="G97" t="s">
        <v>2307</v>
      </c>
      <c r="H97">
        <v>1</v>
      </c>
      <c r="I97" t="s">
        <v>3251</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4">
        <v>98</v>
      </c>
      <c r="B98">
        <v>11</v>
      </c>
      <c r="C98">
        <v>7</v>
      </c>
      <c r="D98" t="s">
        <v>2310</v>
      </c>
      <c r="E98">
        <v>9</v>
      </c>
      <c r="F98">
        <v>41</v>
      </c>
      <c r="G98" t="s">
        <v>2310</v>
      </c>
      <c r="H98">
        <v>6</v>
      </c>
      <c r="I98" t="s">
        <v>2851</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2852</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2853</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3188</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2854</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2855</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2856</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2857</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3798</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2858</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4">
        <v>108</v>
      </c>
      <c r="B108">
        <v>11</v>
      </c>
      <c r="C108">
        <v>7</v>
      </c>
      <c r="D108" t="s">
        <v>2310</v>
      </c>
      <c r="E108">
        <v>9</v>
      </c>
      <c r="F108">
        <v>41</v>
      </c>
      <c r="G108" t="s">
        <v>2310</v>
      </c>
      <c r="H108">
        <v>1</v>
      </c>
      <c r="I108" t="s">
        <v>2859</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4">
        <v>109</v>
      </c>
      <c r="B109">
        <v>12</v>
      </c>
      <c r="C109">
        <v>125</v>
      </c>
      <c r="D109" t="s">
        <v>2308</v>
      </c>
      <c r="E109">
        <v>16</v>
      </c>
      <c r="F109">
        <v>103</v>
      </c>
      <c r="G109" t="s">
        <v>2308</v>
      </c>
      <c r="H109">
        <v>1</v>
      </c>
      <c r="I109" t="s">
        <v>2860</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4">
        <v>110</v>
      </c>
      <c r="B110">
        <v>12</v>
      </c>
      <c r="C110">
        <v>125</v>
      </c>
      <c r="D110" t="s">
        <v>2308</v>
      </c>
      <c r="E110">
        <v>16</v>
      </c>
      <c r="F110">
        <v>103</v>
      </c>
      <c r="G110" t="s">
        <v>2308</v>
      </c>
      <c r="H110">
        <v>1</v>
      </c>
      <c r="I110" t="s">
        <v>2861</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4">
        <v>111</v>
      </c>
      <c r="B111">
        <v>12</v>
      </c>
      <c r="C111">
        <v>125</v>
      </c>
      <c r="D111" t="s">
        <v>2308</v>
      </c>
      <c r="E111">
        <v>16</v>
      </c>
      <c r="F111">
        <v>103</v>
      </c>
      <c r="G111" t="s">
        <v>2308</v>
      </c>
      <c r="H111">
        <v>1</v>
      </c>
      <c r="I111" t="s">
        <v>2862</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4">
        <v>112</v>
      </c>
      <c r="B112">
        <v>12</v>
      </c>
      <c r="C112">
        <v>125</v>
      </c>
      <c r="D112" t="s">
        <v>2308</v>
      </c>
      <c r="E112">
        <v>16</v>
      </c>
      <c r="F112">
        <v>103</v>
      </c>
      <c r="G112" t="s">
        <v>2308</v>
      </c>
      <c r="H112">
        <v>1</v>
      </c>
      <c r="I112" t="s">
        <v>2863</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4">
        <v>113</v>
      </c>
      <c r="B113">
        <v>12</v>
      </c>
      <c r="C113">
        <v>125</v>
      </c>
      <c r="D113" t="s">
        <v>2308</v>
      </c>
      <c r="E113">
        <v>16</v>
      </c>
      <c r="F113">
        <v>103</v>
      </c>
      <c r="G113" t="s">
        <v>2308</v>
      </c>
      <c r="H113">
        <v>1</v>
      </c>
      <c r="I113" t="s">
        <v>2864</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4">
        <v>114</v>
      </c>
      <c r="B114">
        <v>12</v>
      </c>
      <c r="C114">
        <v>125</v>
      </c>
      <c r="D114" t="s">
        <v>2308</v>
      </c>
      <c r="E114">
        <v>16</v>
      </c>
      <c r="F114">
        <v>103</v>
      </c>
      <c r="G114" t="s">
        <v>2308</v>
      </c>
      <c r="H114">
        <v>1</v>
      </c>
      <c r="I114" t="s">
        <v>2865</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4">
        <v>115</v>
      </c>
      <c r="B115">
        <v>12</v>
      </c>
      <c r="C115">
        <v>125</v>
      </c>
      <c r="D115" t="s">
        <v>2308</v>
      </c>
      <c r="E115">
        <v>16</v>
      </c>
      <c r="F115">
        <v>103</v>
      </c>
      <c r="G115" t="s">
        <v>2308</v>
      </c>
      <c r="H115">
        <v>1</v>
      </c>
      <c r="I115" t="s">
        <v>2866</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4">
        <v>116</v>
      </c>
      <c r="B116">
        <v>12</v>
      </c>
      <c r="C116">
        <v>125</v>
      </c>
      <c r="D116" t="s">
        <v>2308</v>
      </c>
      <c r="E116">
        <v>16</v>
      </c>
      <c r="F116">
        <v>103</v>
      </c>
      <c r="G116" t="s">
        <v>2308</v>
      </c>
      <c r="H116">
        <v>1</v>
      </c>
      <c r="I116" t="s">
        <v>2867</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4">
        <v>117</v>
      </c>
      <c r="B117">
        <v>12</v>
      </c>
      <c r="C117">
        <v>125</v>
      </c>
      <c r="D117" t="s">
        <v>2308</v>
      </c>
      <c r="E117">
        <v>16</v>
      </c>
      <c r="F117">
        <v>103</v>
      </c>
      <c r="G117" t="s">
        <v>2308</v>
      </c>
      <c r="H117">
        <v>1</v>
      </c>
      <c r="I117" t="s">
        <v>2868</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4">
        <v>118</v>
      </c>
      <c r="B118">
        <v>12</v>
      </c>
      <c r="C118">
        <v>125</v>
      </c>
      <c r="D118" t="s">
        <v>2308</v>
      </c>
      <c r="E118">
        <v>16</v>
      </c>
      <c r="F118">
        <v>103</v>
      </c>
      <c r="G118" t="s">
        <v>2308</v>
      </c>
      <c r="H118">
        <v>1</v>
      </c>
      <c r="I118" t="s">
        <v>2869</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4">
        <v>119</v>
      </c>
      <c r="B119">
        <v>12</v>
      </c>
      <c r="C119">
        <v>125</v>
      </c>
      <c r="D119" t="s">
        <v>2308</v>
      </c>
      <c r="E119">
        <v>16</v>
      </c>
      <c r="F119">
        <v>103</v>
      </c>
      <c r="G119" t="s">
        <v>2308</v>
      </c>
      <c r="H119">
        <v>1</v>
      </c>
      <c r="I119" t="s">
        <v>2870</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4">
        <v>120</v>
      </c>
      <c r="B120">
        <v>12</v>
      </c>
      <c r="C120">
        <v>125</v>
      </c>
      <c r="D120" t="s">
        <v>2308</v>
      </c>
      <c r="E120">
        <v>16</v>
      </c>
      <c r="F120">
        <v>103</v>
      </c>
      <c r="G120" t="s">
        <v>2308</v>
      </c>
      <c r="H120">
        <v>1</v>
      </c>
      <c r="I120" t="s">
        <v>2871</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2872</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2873</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2874</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2875</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2876</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2877</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2878</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4">
        <v>128</v>
      </c>
      <c r="B128">
        <v>23</v>
      </c>
      <c r="C128">
        <v>255</v>
      </c>
      <c r="D128" t="s">
        <v>2366</v>
      </c>
      <c r="E128">
        <v>155</v>
      </c>
      <c r="F128">
        <v>347</v>
      </c>
      <c r="G128" t="s">
        <v>2366</v>
      </c>
      <c r="H128">
        <v>1</v>
      </c>
      <c r="I128" t="s">
        <v>2879</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2366</v>
      </c>
      <c r="E129">
        <v>155</v>
      </c>
      <c r="F129">
        <v>347</v>
      </c>
      <c r="G129" t="s">
        <v>2366</v>
      </c>
      <c r="H129">
        <v>1</v>
      </c>
      <c r="I129" t="s">
        <v>2880</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4">
        <v>130</v>
      </c>
      <c r="B130">
        <v>23</v>
      </c>
      <c r="C130">
        <v>255</v>
      </c>
      <c r="D130" t="s">
        <v>2366</v>
      </c>
      <c r="E130">
        <v>155</v>
      </c>
      <c r="F130">
        <v>347</v>
      </c>
      <c r="G130" t="s">
        <v>2366</v>
      </c>
      <c r="H130">
        <v>1</v>
      </c>
      <c r="I130" t="s">
        <v>2881</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4">
        <v>131</v>
      </c>
      <c r="B131">
        <v>23</v>
      </c>
      <c r="C131">
        <v>255</v>
      </c>
      <c r="D131" t="s">
        <v>2366</v>
      </c>
      <c r="E131">
        <v>155</v>
      </c>
      <c r="F131">
        <v>347</v>
      </c>
      <c r="G131" t="s">
        <v>2366</v>
      </c>
      <c r="H131">
        <v>1</v>
      </c>
      <c r="I131" t="s">
        <v>2882</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2366</v>
      </c>
      <c r="E132">
        <v>155</v>
      </c>
      <c r="F132">
        <v>347</v>
      </c>
      <c r="G132" t="s">
        <v>2366</v>
      </c>
      <c r="H132">
        <v>1</v>
      </c>
      <c r="I132" t="s">
        <v>2883</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4">
        <v>133</v>
      </c>
      <c r="B133">
        <v>23</v>
      </c>
      <c r="C133">
        <v>255</v>
      </c>
      <c r="D133" t="s">
        <v>2366</v>
      </c>
      <c r="E133">
        <v>155</v>
      </c>
      <c r="F133">
        <v>347</v>
      </c>
      <c r="G133" t="s">
        <v>2366</v>
      </c>
      <c r="H133">
        <v>1</v>
      </c>
      <c r="I133" t="s">
        <v>2884</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2366</v>
      </c>
      <c r="E134">
        <v>155</v>
      </c>
      <c r="F134">
        <v>347</v>
      </c>
      <c r="G134" t="s">
        <v>2366</v>
      </c>
      <c r="H134">
        <v>1</v>
      </c>
      <c r="I134" t="s">
        <v>2885</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4">
        <v>135</v>
      </c>
      <c r="B135">
        <v>23</v>
      </c>
      <c r="C135">
        <v>255</v>
      </c>
      <c r="D135" t="s">
        <v>2366</v>
      </c>
      <c r="E135">
        <v>155</v>
      </c>
      <c r="F135">
        <v>347</v>
      </c>
      <c r="G135" t="s">
        <v>2366</v>
      </c>
      <c r="H135">
        <v>1</v>
      </c>
      <c r="I135" t="s">
        <v>2886</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4">
        <v>136</v>
      </c>
      <c r="B136">
        <v>23</v>
      </c>
      <c r="C136">
        <v>255</v>
      </c>
      <c r="D136" t="s">
        <v>2366</v>
      </c>
      <c r="E136">
        <v>155</v>
      </c>
      <c r="F136">
        <v>347</v>
      </c>
      <c r="G136" t="s">
        <v>2366</v>
      </c>
      <c r="H136">
        <v>1</v>
      </c>
      <c r="I136" t="s">
        <v>2887</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4">
        <v>137</v>
      </c>
      <c r="B137">
        <v>5</v>
      </c>
      <c r="C137">
        <v>30</v>
      </c>
      <c r="D137" t="s">
        <v>3187</v>
      </c>
      <c r="E137">
        <v>17</v>
      </c>
      <c r="F137">
        <v>104</v>
      </c>
      <c r="G137" t="s">
        <v>2304</v>
      </c>
      <c r="H137">
        <v>1</v>
      </c>
      <c r="I137" t="s">
        <v>2888</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2889</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4">
        <v>139</v>
      </c>
      <c r="B139">
        <v>23</v>
      </c>
      <c r="C139">
        <v>255</v>
      </c>
      <c r="D139" t="s">
        <v>2366</v>
      </c>
      <c r="E139">
        <v>155</v>
      </c>
      <c r="F139">
        <v>347</v>
      </c>
      <c r="G139" t="s">
        <v>2366</v>
      </c>
      <c r="H139">
        <v>1</v>
      </c>
      <c r="I139" t="s">
        <v>2890</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4">
        <v>140</v>
      </c>
      <c r="B140">
        <v>23</v>
      </c>
      <c r="C140">
        <v>255</v>
      </c>
      <c r="D140" t="s">
        <v>2366</v>
      </c>
      <c r="E140">
        <v>155</v>
      </c>
      <c r="F140">
        <v>347</v>
      </c>
      <c r="G140" t="s">
        <v>2366</v>
      </c>
      <c r="H140">
        <v>1</v>
      </c>
      <c r="I140" t="s">
        <v>2891</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4">
        <v>141</v>
      </c>
      <c r="B141">
        <v>21</v>
      </c>
      <c r="C141">
        <v>258</v>
      </c>
      <c r="D141" t="s">
        <v>2892</v>
      </c>
      <c r="E141">
        <v>307</v>
      </c>
      <c r="F141">
        <v>537</v>
      </c>
      <c r="G141" t="s">
        <v>2892</v>
      </c>
      <c r="H141">
        <v>1</v>
      </c>
      <c r="I141" t="s">
        <v>2893</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2892</v>
      </c>
      <c r="E142">
        <v>307</v>
      </c>
      <c r="F142">
        <v>537</v>
      </c>
      <c r="G142" t="s">
        <v>2892</v>
      </c>
      <c r="H142">
        <v>1</v>
      </c>
      <c r="I142" t="s">
        <v>2894</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4">
        <v>143</v>
      </c>
      <c r="B143">
        <v>16</v>
      </c>
      <c r="C143">
        <v>300</v>
      </c>
      <c r="D143" t="s">
        <v>2291</v>
      </c>
      <c r="E143">
        <v>18</v>
      </c>
      <c r="F143">
        <v>108</v>
      </c>
      <c r="G143" t="s">
        <v>2291</v>
      </c>
      <c r="H143">
        <v>1</v>
      </c>
      <c r="I143" t="s">
        <v>2895</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4">
        <v>144</v>
      </c>
      <c r="B144">
        <v>17</v>
      </c>
      <c r="C144">
        <v>256</v>
      </c>
      <c r="D144" t="s">
        <v>2292</v>
      </c>
      <c r="E144">
        <v>180</v>
      </c>
      <c r="F144">
        <v>382</v>
      </c>
      <c r="G144" t="s">
        <v>2292</v>
      </c>
      <c r="H144">
        <v>1</v>
      </c>
      <c r="I144" t="s">
        <v>2896</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4">
        <v>145</v>
      </c>
      <c r="B145">
        <v>23</v>
      </c>
      <c r="C145">
        <v>255</v>
      </c>
      <c r="D145" t="s">
        <v>2366</v>
      </c>
      <c r="E145">
        <v>155</v>
      </c>
      <c r="F145">
        <v>347</v>
      </c>
      <c r="G145" t="s">
        <v>2366</v>
      </c>
      <c r="H145">
        <v>1</v>
      </c>
      <c r="I145" t="s">
        <v>2897</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2366</v>
      </c>
      <c r="E146">
        <v>155</v>
      </c>
      <c r="F146">
        <v>347</v>
      </c>
      <c r="G146" t="s">
        <v>2366</v>
      </c>
      <c r="H146">
        <v>1</v>
      </c>
      <c r="I146" t="s">
        <v>2898</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2291</v>
      </c>
      <c r="E147">
        <v>18</v>
      </c>
      <c r="F147">
        <v>108</v>
      </c>
      <c r="G147" t="s">
        <v>2291</v>
      </c>
      <c r="H147">
        <v>1</v>
      </c>
      <c r="I147" t="s">
        <v>2899</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4">
        <v>148</v>
      </c>
      <c r="B148">
        <v>16</v>
      </c>
      <c r="C148">
        <v>300</v>
      </c>
      <c r="D148" t="s">
        <v>2291</v>
      </c>
      <c r="E148">
        <v>18</v>
      </c>
      <c r="F148">
        <v>108</v>
      </c>
      <c r="G148" t="s">
        <v>2291</v>
      </c>
      <c r="H148">
        <v>1</v>
      </c>
      <c r="I148" t="s">
        <v>2900</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4">
        <v>149</v>
      </c>
      <c r="B149">
        <v>16</v>
      </c>
      <c r="C149">
        <v>300</v>
      </c>
      <c r="D149" t="s">
        <v>2291</v>
      </c>
      <c r="E149">
        <v>18</v>
      </c>
      <c r="F149">
        <v>108</v>
      </c>
      <c r="G149" t="s">
        <v>2291</v>
      </c>
      <c r="H149">
        <v>1</v>
      </c>
      <c r="I149" t="s">
        <v>2901</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4">
        <v>150</v>
      </c>
      <c r="B150">
        <v>16</v>
      </c>
      <c r="C150">
        <v>300</v>
      </c>
      <c r="D150" t="s">
        <v>2291</v>
      </c>
      <c r="E150">
        <v>18</v>
      </c>
      <c r="F150">
        <v>108</v>
      </c>
      <c r="G150" t="s">
        <v>2291</v>
      </c>
      <c r="H150">
        <v>1</v>
      </c>
      <c r="I150" t="s">
        <v>2902</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4">
        <v>151</v>
      </c>
      <c r="B151">
        <v>16</v>
      </c>
      <c r="C151">
        <v>300</v>
      </c>
      <c r="D151" t="s">
        <v>2291</v>
      </c>
      <c r="E151">
        <v>18</v>
      </c>
      <c r="F151">
        <v>108</v>
      </c>
      <c r="G151" t="s">
        <v>2291</v>
      </c>
      <c r="H151">
        <v>1</v>
      </c>
      <c r="I151" t="s">
        <v>2903</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4">
        <v>152</v>
      </c>
      <c r="B152">
        <v>16</v>
      </c>
      <c r="C152">
        <v>300</v>
      </c>
      <c r="D152" t="s">
        <v>2291</v>
      </c>
      <c r="E152">
        <v>18</v>
      </c>
      <c r="F152">
        <v>108</v>
      </c>
      <c r="G152" t="s">
        <v>2291</v>
      </c>
      <c r="H152">
        <v>1</v>
      </c>
      <c r="I152" t="s">
        <v>2904</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4">
        <v>153</v>
      </c>
      <c r="B153">
        <v>16</v>
      </c>
      <c r="C153">
        <v>300</v>
      </c>
      <c r="D153" t="s">
        <v>2291</v>
      </c>
      <c r="E153">
        <v>18</v>
      </c>
      <c r="F153">
        <v>108</v>
      </c>
      <c r="G153" t="s">
        <v>2291</v>
      </c>
      <c r="H153">
        <v>1</v>
      </c>
      <c r="I153" t="s">
        <v>2905</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4">
        <v>154</v>
      </c>
      <c r="B154">
        <v>16</v>
      </c>
      <c r="C154">
        <v>300</v>
      </c>
      <c r="D154" t="s">
        <v>2291</v>
      </c>
      <c r="E154">
        <v>18</v>
      </c>
      <c r="F154">
        <v>108</v>
      </c>
      <c r="G154" t="s">
        <v>2291</v>
      </c>
      <c r="H154">
        <v>1</v>
      </c>
      <c r="I154" t="s">
        <v>2906</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4">
        <v>155</v>
      </c>
      <c r="B155">
        <v>5</v>
      </c>
      <c r="C155">
        <v>30</v>
      </c>
      <c r="D155" t="s">
        <v>3187</v>
      </c>
      <c r="E155">
        <v>17</v>
      </c>
      <c r="F155">
        <v>104</v>
      </c>
      <c r="G155" t="s">
        <v>2304</v>
      </c>
      <c r="H155">
        <v>1</v>
      </c>
      <c r="I155" t="s">
        <v>2907</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2292</v>
      </c>
      <c r="E156">
        <v>180</v>
      </c>
      <c r="F156">
        <v>382</v>
      </c>
      <c r="G156" t="s">
        <v>2292</v>
      </c>
      <c r="H156">
        <v>1</v>
      </c>
      <c r="I156" t="s">
        <v>2908</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2292</v>
      </c>
      <c r="E157">
        <v>180</v>
      </c>
      <c r="F157">
        <v>382</v>
      </c>
      <c r="G157" t="s">
        <v>2292</v>
      </c>
      <c r="H157">
        <v>1</v>
      </c>
      <c r="I157" t="s">
        <v>2909</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2292</v>
      </c>
      <c r="E158">
        <v>180</v>
      </c>
      <c r="F158">
        <v>382</v>
      </c>
      <c r="G158" t="s">
        <v>2292</v>
      </c>
      <c r="H158">
        <v>1</v>
      </c>
      <c r="I158" t="s">
        <v>2910</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4">
        <v>159</v>
      </c>
      <c r="B159">
        <v>17</v>
      </c>
      <c r="C159">
        <v>256</v>
      </c>
      <c r="D159" t="s">
        <v>2292</v>
      </c>
      <c r="E159">
        <v>180</v>
      </c>
      <c r="F159">
        <v>382</v>
      </c>
      <c r="G159" t="s">
        <v>2292</v>
      </c>
      <c r="H159">
        <v>1</v>
      </c>
      <c r="I159" t="s">
        <v>2911</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4">
        <v>160</v>
      </c>
      <c r="B160">
        <v>17</v>
      </c>
      <c r="C160">
        <v>256</v>
      </c>
      <c r="D160" t="s">
        <v>2292</v>
      </c>
      <c r="E160">
        <v>180</v>
      </c>
      <c r="F160">
        <v>382</v>
      </c>
      <c r="G160" t="s">
        <v>2292</v>
      </c>
      <c r="H160">
        <v>1</v>
      </c>
      <c r="I160" t="s">
        <v>2912</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4">
        <v>161</v>
      </c>
      <c r="B161">
        <v>17</v>
      </c>
      <c r="C161">
        <v>256</v>
      </c>
      <c r="D161" t="s">
        <v>2292</v>
      </c>
      <c r="E161">
        <v>180</v>
      </c>
      <c r="F161">
        <v>382</v>
      </c>
      <c r="G161" t="s">
        <v>2292</v>
      </c>
      <c r="H161">
        <v>1</v>
      </c>
      <c r="I161" t="s">
        <v>2913</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4">
        <v>162</v>
      </c>
      <c r="B162">
        <v>17</v>
      </c>
      <c r="C162">
        <v>256</v>
      </c>
      <c r="D162" t="s">
        <v>2292</v>
      </c>
      <c r="E162">
        <v>180</v>
      </c>
      <c r="F162">
        <v>382</v>
      </c>
      <c r="G162" t="s">
        <v>2292</v>
      </c>
      <c r="H162">
        <v>1</v>
      </c>
      <c r="I162" t="s">
        <v>3189</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4">
        <v>163</v>
      </c>
      <c r="B163">
        <v>17</v>
      </c>
      <c r="C163">
        <v>256</v>
      </c>
      <c r="D163" t="s">
        <v>2292</v>
      </c>
      <c r="E163">
        <v>180</v>
      </c>
      <c r="F163">
        <v>382</v>
      </c>
      <c r="G163" t="s">
        <v>2292</v>
      </c>
      <c r="H163">
        <v>1</v>
      </c>
      <c r="I163" t="s">
        <v>3190</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4">
        <v>164</v>
      </c>
      <c r="B164">
        <v>7</v>
      </c>
      <c r="C164">
        <v>9</v>
      </c>
      <c r="D164" t="s">
        <v>2289</v>
      </c>
      <c r="E164">
        <v>181</v>
      </c>
      <c r="F164">
        <v>383</v>
      </c>
      <c r="G164" t="s">
        <v>2289</v>
      </c>
      <c r="H164">
        <v>1</v>
      </c>
      <c r="I164" t="s">
        <v>2914</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4">
        <v>165</v>
      </c>
      <c r="B165">
        <v>7</v>
      </c>
      <c r="C165">
        <v>9</v>
      </c>
      <c r="D165" t="s">
        <v>2289</v>
      </c>
      <c r="E165">
        <v>181</v>
      </c>
      <c r="F165">
        <v>383</v>
      </c>
      <c r="G165" t="s">
        <v>2289</v>
      </c>
      <c r="H165">
        <v>1</v>
      </c>
      <c r="I165" t="s">
        <v>2915</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4">
        <v>166</v>
      </c>
      <c r="B166">
        <v>7</v>
      </c>
      <c r="C166">
        <v>9</v>
      </c>
      <c r="D166" t="s">
        <v>2289</v>
      </c>
      <c r="E166">
        <v>181</v>
      </c>
      <c r="F166">
        <v>383</v>
      </c>
      <c r="G166" t="s">
        <v>2289</v>
      </c>
      <c r="H166">
        <v>1</v>
      </c>
      <c r="I166" t="s">
        <v>2916</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4">
        <v>167</v>
      </c>
      <c r="B167">
        <v>7</v>
      </c>
      <c r="C167">
        <v>9</v>
      </c>
      <c r="D167" t="s">
        <v>2289</v>
      </c>
      <c r="E167">
        <v>181</v>
      </c>
      <c r="F167">
        <v>383</v>
      </c>
      <c r="G167" t="s">
        <v>2289</v>
      </c>
      <c r="H167">
        <v>1</v>
      </c>
      <c r="I167" t="s">
        <v>2917</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4">
        <v>168</v>
      </c>
      <c r="B168">
        <v>7</v>
      </c>
      <c r="C168">
        <v>9</v>
      </c>
      <c r="D168" t="s">
        <v>2289</v>
      </c>
      <c r="E168">
        <v>181</v>
      </c>
      <c r="F168">
        <v>383</v>
      </c>
      <c r="G168" t="s">
        <v>2289</v>
      </c>
      <c r="H168">
        <v>1</v>
      </c>
      <c r="I168" t="s">
        <v>2918</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4">
        <v>169</v>
      </c>
      <c r="B169">
        <v>7</v>
      </c>
      <c r="C169">
        <v>9</v>
      </c>
      <c r="D169" t="s">
        <v>2289</v>
      </c>
      <c r="E169">
        <v>181</v>
      </c>
      <c r="F169">
        <v>383</v>
      </c>
      <c r="G169" t="s">
        <v>2289</v>
      </c>
      <c r="H169">
        <v>1</v>
      </c>
      <c r="I169" t="s">
        <v>2919</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2920</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4">
        <v>171</v>
      </c>
      <c r="B171">
        <v>9</v>
      </c>
      <c r="C171">
        <v>26</v>
      </c>
      <c r="D171" t="s">
        <v>2309</v>
      </c>
      <c r="E171">
        <v>19</v>
      </c>
      <c r="F171">
        <v>117</v>
      </c>
      <c r="G171" t="s">
        <v>2309</v>
      </c>
      <c r="H171">
        <v>1</v>
      </c>
      <c r="I171" t="s">
        <v>2921</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4">
        <v>172</v>
      </c>
      <c r="B172">
        <v>22</v>
      </c>
      <c r="C172">
        <v>74</v>
      </c>
      <c r="D172" t="s">
        <v>3799</v>
      </c>
      <c r="E172">
        <v>110</v>
      </c>
      <c r="F172">
        <v>280</v>
      </c>
      <c r="G172" t="s">
        <v>3799</v>
      </c>
      <c r="H172">
        <v>1</v>
      </c>
      <c r="I172" t="s">
        <v>3800</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2922</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2923</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2924</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2925</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2926</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2927</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2928</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2929</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2930</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2931</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2932</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4">
        <v>184</v>
      </c>
      <c r="B184">
        <v>23</v>
      </c>
      <c r="C184">
        <v>255</v>
      </c>
      <c r="D184" t="s">
        <v>2366</v>
      </c>
      <c r="E184">
        <v>155</v>
      </c>
      <c r="F184">
        <v>347</v>
      </c>
      <c r="G184" t="s">
        <v>2366</v>
      </c>
      <c r="H184">
        <v>6</v>
      </c>
      <c r="I184" t="s">
        <v>2933</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4">
        <v>185</v>
      </c>
      <c r="B185">
        <v>17</v>
      </c>
      <c r="C185">
        <v>256</v>
      </c>
      <c r="D185" t="s">
        <v>2292</v>
      </c>
      <c r="E185">
        <v>180</v>
      </c>
      <c r="F185">
        <v>382</v>
      </c>
      <c r="G185" t="s">
        <v>2292</v>
      </c>
      <c r="H185">
        <v>6</v>
      </c>
      <c r="I185" t="s">
        <v>2934</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2935</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4">
        <v>187</v>
      </c>
      <c r="B187">
        <v>12</v>
      </c>
      <c r="C187">
        <v>125</v>
      </c>
      <c r="D187" t="s">
        <v>2308</v>
      </c>
      <c r="E187">
        <v>16</v>
      </c>
      <c r="F187">
        <v>103</v>
      </c>
      <c r="G187" t="s">
        <v>2308</v>
      </c>
      <c r="H187">
        <v>6</v>
      </c>
      <c r="I187" t="s">
        <v>2936</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2937</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4">
        <v>189</v>
      </c>
      <c r="B189">
        <v>4</v>
      </c>
      <c r="C189">
        <v>12</v>
      </c>
      <c r="D189" t="s">
        <v>2306</v>
      </c>
      <c r="E189">
        <v>4</v>
      </c>
      <c r="F189">
        <v>19</v>
      </c>
      <c r="G189" t="s">
        <v>2306</v>
      </c>
      <c r="H189">
        <v>6</v>
      </c>
      <c r="I189" t="s">
        <v>3801</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4">
        <v>190</v>
      </c>
      <c r="B190">
        <v>3</v>
      </c>
      <c r="C190">
        <v>10</v>
      </c>
      <c r="D190" t="s">
        <v>2305</v>
      </c>
      <c r="E190">
        <v>5</v>
      </c>
      <c r="F190">
        <v>20</v>
      </c>
      <c r="G190" t="s">
        <v>2305</v>
      </c>
      <c r="H190">
        <v>6</v>
      </c>
      <c r="I190" t="s">
        <v>2938</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4">
        <v>191</v>
      </c>
      <c r="B191">
        <v>7</v>
      </c>
      <c r="C191">
        <v>9</v>
      </c>
      <c r="D191" t="s">
        <v>2289</v>
      </c>
      <c r="E191">
        <v>181</v>
      </c>
      <c r="F191">
        <v>383</v>
      </c>
      <c r="G191" t="s">
        <v>2289</v>
      </c>
      <c r="H191">
        <v>6</v>
      </c>
      <c r="I191" t="s">
        <v>2939</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4">
        <v>192</v>
      </c>
      <c r="B192">
        <v>9</v>
      </c>
      <c r="C192">
        <v>26</v>
      </c>
      <c r="D192" t="s">
        <v>2309</v>
      </c>
      <c r="E192">
        <v>19</v>
      </c>
      <c r="F192">
        <v>117</v>
      </c>
      <c r="G192" t="s">
        <v>2309</v>
      </c>
      <c r="H192">
        <v>6</v>
      </c>
      <c r="I192" t="s">
        <v>2940</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2941</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2942</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4">
        <v>195</v>
      </c>
      <c r="B195">
        <v>13</v>
      </c>
      <c r="C195">
        <v>61</v>
      </c>
      <c r="D195" t="s">
        <v>2307</v>
      </c>
      <c r="E195">
        <v>15</v>
      </c>
      <c r="F195">
        <v>101</v>
      </c>
      <c r="G195" t="s">
        <v>2307</v>
      </c>
      <c r="H195">
        <v>6</v>
      </c>
      <c r="I195" t="s">
        <v>3253</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4">
        <v>196</v>
      </c>
      <c r="B196">
        <v>5</v>
      </c>
      <c r="C196">
        <v>30</v>
      </c>
      <c r="D196" t="s">
        <v>3187</v>
      </c>
      <c r="E196">
        <v>17</v>
      </c>
      <c r="F196">
        <v>104</v>
      </c>
      <c r="G196" t="s">
        <v>2304</v>
      </c>
      <c r="H196">
        <v>6</v>
      </c>
      <c r="I196" t="s">
        <v>2943</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4">
        <v>197</v>
      </c>
      <c r="B197">
        <v>16</v>
      </c>
      <c r="C197">
        <v>300</v>
      </c>
      <c r="D197" t="s">
        <v>2291</v>
      </c>
      <c r="E197">
        <v>18</v>
      </c>
      <c r="F197">
        <v>108</v>
      </c>
      <c r="G197" t="s">
        <v>2291</v>
      </c>
      <c r="H197">
        <v>6</v>
      </c>
      <c r="I197" t="s">
        <v>2944</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2945</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2946</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2947</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2948</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2949</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2950</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2951</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2952</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2953</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4">
        <v>207</v>
      </c>
      <c r="B207">
        <v>7</v>
      </c>
      <c r="C207">
        <v>9</v>
      </c>
      <c r="D207" t="s">
        <v>2289</v>
      </c>
      <c r="E207">
        <v>181</v>
      </c>
      <c r="F207">
        <v>383</v>
      </c>
      <c r="G207" t="s">
        <v>2289</v>
      </c>
      <c r="H207">
        <v>1</v>
      </c>
      <c r="I207" t="s">
        <v>2954</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4">
        <v>208</v>
      </c>
      <c r="B208">
        <v>3</v>
      </c>
      <c r="C208">
        <v>10</v>
      </c>
      <c r="D208" t="s">
        <v>2305</v>
      </c>
      <c r="E208">
        <v>5</v>
      </c>
      <c r="F208">
        <v>20</v>
      </c>
      <c r="G208" t="s">
        <v>2305</v>
      </c>
      <c r="H208">
        <v>1</v>
      </c>
      <c r="I208" t="s">
        <v>2955</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2956</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2956</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4">
        <v>212</v>
      </c>
      <c r="B211">
        <v>11</v>
      </c>
      <c r="C211">
        <v>7</v>
      </c>
      <c r="D211" t="s">
        <v>2310</v>
      </c>
      <c r="E211">
        <v>9</v>
      </c>
      <c r="F211">
        <v>41</v>
      </c>
      <c r="G211" t="s">
        <v>2310</v>
      </c>
      <c r="H211">
        <v>1</v>
      </c>
      <c r="I211" t="s">
        <v>2956</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4">
        <v>213</v>
      </c>
      <c r="B212">
        <v>7</v>
      </c>
      <c r="C212">
        <v>9</v>
      </c>
      <c r="D212" t="s">
        <v>2289</v>
      </c>
      <c r="E212">
        <v>181</v>
      </c>
      <c r="F212">
        <v>383</v>
      </c>
      <c r="G212" t="s">
        <v>2289</v>
      </c>
      <c r="H212">
        <v>1</v>
      </c>
      <c r="I212" t="s">
        <v>2957</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4">
        <v>214</v>
      </c>
      <c r="B213">
        <v>7</v>
      </c>
      <c r="C213">
        <v>9</v>
      </c>
      <c r="D213" t="s">
        <v>2289</v>
      </c>
      <c r="E213">
        <v>181</v>
      </c>
      <c r="F213">
        <v>383</v>
      </c>
      <c r="G213" t="s">
        <v>2289</v>
      </c>
      <c r="H213">
        <v>1</v>
      </c>
      <c r="I213" t="s">
        <v>2958</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2959</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4">
        <v>217</v>
      </c>
      <c r="B215">
        <v>25</v>
      </c>
      <c r="C215">
        <v>1126</v>
      </c>
      <c r="D215" t="s">
        <v>2367</v>
      </c>
      <c r="E215">
        <v>501</v>
      </c>
      <c r="F215">
        <v>888</v>
      </c>
      <c r="G215" t="s">
        <v>2367</v>
      </c>
      <c r="H215">
        <v>1</v>
      </c>
      <c r="I215" t="s">
        <v>3802</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4">
        <v>218</v>
      </c>
      <c r="B216">
        <v>25</v>
      </c>
      <c r="C216">
        <v>1126</v>
      </c>
      <c r="D216" t="s">
        <v>2367</v>
      </c>
      <c r="E216">
        <v>501</v>
      </c>
      <c r="F216">
        <v>888</v>
      </c>
      <c r="G216" t="s">
        <v>2367</v>
      </c>
      <c r="H216">
        <v>1</v>
      </c>
      <c r="I216" t="s">
        <v>3803</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4">
        <v>219</v>
      </c>
      <c r="B217">
        <v>25</v>
      </c>
      <c r="C217">
        <v>1126</v>
      </c>
      <c r="D217" t="s">
        <v>2367</v>
      </c>
      <c r="E217">
        <v>501</v>
      </c>
      <c r="F217">
        <v>888</v>
      </c>
      <c r="G217" t="s">
        <v>2367</v>
      </c>
      <c r="H217">
        <v>1</v>
      </c>
      <c r="I217" t="s">
        <v>3804</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4">
        <v>220</v>
      </c>
      <c r="B218">
        <v>25</v>
      </c>
      <c r="C218">
        <v>1126</v>
      </c>
      <c r="D218" t="s">
        <v>2367</v>
      </c>
      <c r="E218">
        <v>501</v>
      </c>
      <c r="F218">
        <v>888</v>
      </c>
      <c r="G218" t="s">
        <v>2367</v>
      </c>
      <c r="H218">
        <v>1</v>
      </c>
      <c r="I218" t="s">
        <v>3805</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4">
        <v>225</v>
      </c>
      <c r="B219">
        <v>25</v>
      </c>
      <c r="C219">
        <v>1126</v>
      </c>
      <c r="D219" t="s">
        <v>2367</v>
      </c>
      <c r="E219">
        <v>501</v>
      </c>
      <c r="F219">
        <v>888</v>
      </c>
      <c r="G219" t="s">
        <v>2367</v>
      </c>
      <c r="H219">
        <v>1</v>
      </c>
      <c r="I219" t="s">
        <v>3806</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4">
        <v>226</v>
      </c>
      <c r="B220">
        <v>25</v>
      </c>
      <c r="C220">
        <v>1126</v>
      </c>
      <c r="D220" t="s">
        <v>2367</v>
      </c>
      <c r="E220">
        <v>501</v>
      </c>
      <c r="F220">
        <v>888</v>
      </c>
      <c r="G220" t="s">
        <v>2367</v>
      </c>
      <c r="H220">
        <v>1</v>
      </c>
      <c r="I220" t="s">
        <v>3807</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2367</v>
      </c>
      <c r="E221">
        <v>501</v>
      </c>
      <c r="F221">
        <v>888</v>
      </c>
      <c r="G221" t="s">
        <v>2367</v>
      </c>
      <c r="H221">
        <v>1</v>
      </c>
      <c r="I221" t="s">
        <v>3808</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4">
        <v>229</v>
      </c>
      <c r="B222">
        <v>25</v>
      </c>
      <c r="C222">
        <v>1126</v>
      </c>
      <c r="D222" t="s">
        <v>2367</v>
      </c>
      <c r="E222">
        <v>501</v>
      </c>
      <c r="F222">
        <v>888</v>
      </c>
      <c r="G222" t="s">
        <v>2367</v>
      </c>
      <c r="H222">
        <v>1</v>
      </c>
      <c r="I222" t="s">
        <v>3809</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4">
        <v>230</v>
      </c>
      <c r="B223">
        <v>25</v>
      </c>
      <c r="C223">
        <v>1126</v>
      </c>
      <c r="D223" t="s">
        <v>2367</v>
      </c>
      <c r="E223">
        <v>501</v>
      </c>
      <c r="F223">
        <v>888</v>
      </c>
      <c r="G223" t="s">
        <v>2367</v>
      </c>
      <c r="H223">
        <v>3</v>
      </c>
      <c r="I223" t="s">
        <v>3810</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4">
        <v>231</v>
      </c>
      <c r="B224">
        <v>25</v>
      </c>
      <c r="C224">
        <v>1126</v>
      </c>
      <c r="D224" t="s">
        <v>2367</v>
      </c>
      <c r="E224">
        <v>501</v>
      </c>
      <c r="F224">
        <v>888</v>
      </c>
      <c r="G224" t="s">
        <v>2367</v>
      </c>
      <c r="H224">
        <v>3</v>
      </c>
      <c r="I224" t="s">
        <v>3811</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4">
        <v>232</v>
      </c>
      <c r="B225">
        <v>25</v>
      </c>
      <c r="C225">
        <v>1126</v>
      </c>
      <c r="D225" t="s">
        <v>2367</v>
      </c>
      <c r="E225">
        <v>501</v>
      </c>
      <c r="F225">
        <v>888</v>
      </c>
      <c r="G225" t="s">
        <v>2367</v>
      </c>
      <c r="H225">
        <v>3</v>
      </c>
      <c r="I225" t="s">
        <v>3812</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4">
        <v>233</v>
      </c>
      <c r="B226">
        <v>25</v>
      </c>
      <c r="C226">
        <v>1126</v>
      </c>
      <c r="D226" t="s">
        <v>2367</v>
      </c>
      <c r="E226">
        <v>501</v>
      </c>
      <c r="F226">
        <v>888</v>
      </c>
      <c r="G226" t="s">
        <v>2367</v>
      </c>
      <c r="H226">
        <v>1</v>
      </c>
      <c r="I226" t="s">
        <v>3813</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4">
        <v>234</v>
      </c>
      <c r="B227">
        <v>25</v>
      </c>
      <c r="C227">
        <v>1126</v>
      </c>
      <c r="D227" t="s">
        <v>2367</v>
      </c>
      <c r="E227">
        <v>501</v>
      </c>
      <c r="F227">
        <v>888</v>
      </c>
      <c r="G227" t="s">
        <v>2367</v>
      </c>
      <c r="H227">
        <v>1</v>
      </c>
      <c r="I227" t="s">
        <v>3814</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4">
        <v>235</v>
      </c>
      <c r="B228">
        <v>25</v>
      </c>
      <c r="C228">
        <v>1126</v>
      </c>
      <c r="D228" t="s">
        <v>2367</v>
      </c>
      <c r="E228">
        <v>501</v>
      </c>
      <c r="F228">
        <v>888</v>
      </c>
      <c r="G228" t="s">
        <v>2367</v>
      </c>
      <c r="H228">
        <v>1</v>
      </c>
      <c r="I228" t="s">
        <v>3815</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2960</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2029</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2030</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2031</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2032</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2033</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2034</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2035</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2036</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2037</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2038</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2961</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4">
        <v>251</v>
      </c>
      <c r="B243">
        <v>29</v>
      </c>
      <c r="C243">
        <v>1006</v>
      </c>
      <c r="D243" t="s">
        <v>2311</v>
      </c>
      <c r="E243">
        <v>449</v>
      </c>
      <c r="F243">
        <v>823</v>
      </c>
      <c r="G243" t="s">
        <v>2962</v>
      </c>
      <c r="H243">
        <v>1</v>
      </c>
      <c r="I243" t="s">
        <v>2963</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4">
        <v>252</v>
      </c>
      <c r="B244">
        <v>29</v>
      </c>
      <c r="C244">
        <v>1006</v>
      </c>
      <c r="D244" t="s">
        <v>2311</v>
      </c>
      <c r="E244">
        <v>449</v>
      </c>
      <c r="F244">
        <v>823</v>
      </c>
      <c r="G244" t="s">
        <v>2962</v>
      </c>
      <c r="H244">
        <v>1</v>
      </c>
      <c r="I244" t="s">
        <v>2964</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4">
        <v>253</v>
      </c>
      <c r="B245">
        <v>29</v>
      </c>
      <c r="C245">
        <v>1006</v>
      </c>
      <c r="D245" t="s">
        <v>2311</v>
      </c>
      <c r="E245">
        <v>449</v>
      </c>
      <c r="F245">
        <v>823</v>
      </c>
      <c r="G245" t="s">
        <v>2962</v>
      </c>
      <c r="H245">
        <v>1</v>
      </c>
      <c r="I245" t="s">
        <v>2965</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4">
        <v>254</v>
      </c>
      <c r="B246">
        <v>29</v>
      </c>
      <c r="C246">
        <v>1006</v>
      </c>
      <c r="D246" t="s">
        <v>2311</v>
      </c>
      <c r="E246">
        <v>449</v>
      </c>
      <c r="F246">
        <v>823</v>
      </c>
      <c r="G246" t="s">
        <v>2962</v>
      </c>
      <c r="H246">
        <v>1</v>
      </c>
      <c r="I246" t="s">
        <v>2966</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4">
        <v>255</v>
      </c>
      <c r="B247">
        <v>28</v>
      </c>
      <c r="C247">
        <v>994</v>
      </c>
      <c r="D247" t="s">
        <v>2312</v>
      </c>
      <c r="E247">
        <v>443</v>
      </c>
      <c r="F247">
        <v>816</v>
      </c>
      <c r="G247" t="s">
        <v>2312</v>
      </c>
      <c r="H247">
        <v>1</v>
      </c>
      <c r="I247" t="s">
        <v>2967</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4">
        <v>256</v>
      </c>
      <c r="B248">
        <v>28</v>
      </c>
      <c r="C248">
        <v>994</v>
      </c>
      <c r="D248" t="s">
        <v>2312</v>
      </c>
      <c r="E248">
        <v>443</v>
      </c>
      <c r="F248">
        <v>816</v>
      </c>
      <c r="G248" t="s">
        <v>2312</v>
      </c>
      <c r="H248">
        <v>1</v>
      </c>
      <c r="I248" t="s">
        <v>2968</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4">
        <v>257</v>
      </c>
      <c r="B249">
        <v>28</v>
      </c>
      <c r="C249">
        <v>994</v>
      </c>
      <c r="D249" t="s">
        <v>2312</v>
      </c>
      <c r="E249">
        <v>443</v>
      </c>
      <c r="F249">
        <v>816</v>
      </c>
      <c r="G249" t="s">
        <v>2312</v>
      </c>
      <c r="H249">
        <v>1</v>
      </c>
      <c r="I249" t="s">
        <v>2969</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4">
        <v>258</v>
      </c>
      <c r="B250">
        <v>17</v>
      </c>
      <c r="C250">
        <v>256</v>
      </c>
      <c r="D250" t="s">
        <v>2292</v>
      </c>
      <c r="E250">
        <v>180</v>
      </c>
      <c r="F250">
        <v>382</v>
      </c>
      <c r="G250" t="s">
        <v>2292</v>
      </c>
      <c r="H250">
        <v>3</v>
      </c>
      <c r="I250" t="s">
        <v>2970</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4">
        <v>260</v>
      </c>
      <c r="B251">
        <v>9</v>
      </c>
      <c r="C251">
        <v>26</v>
      </c>
      <c r="D251" t="s">
        <v>2309</v>
      </c>
      <c r="E251">
        <v>19</v>
      </c>
      <c r="F251">
        <v>117</v>
      </c>
      <c r="G251" t="s">
        <v>2309</v>
      </c>
      <c r="H251">
        <v>6</v>
      </c>
      <c r="I251" t="s">
        <v>2971</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4">
        <v>261</v>
      </c>
      <c r="B252">
        <v>9</v>
      </c>
      <c r="C252">
        <v>26</v>
      </c>
      <c r="D252" t="s">
        <v>2309</v>
      </c>
      <c r="E252">
        <v>19</v>
      </c>
      <c r="F252">
        <v>117</v>
      </c>
      <c r="G252" t="s">
        <v>2309</v>
      </c>
      <c r="H252">
        <v>6</v>
      </c>
      <c r="I252" t="s">
        <v>2972</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2973</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4">
        <v>263</v>
      </c>
      <c r="B254">
        <v>4</v>
      </c>
      <c r="C254">
        <v>12</v>
      </c>
      <c r="D254" t="s">
        <v>2306</v>
      </c>
      <c r="E254">
        <v>4</v>
      </c>
      <c r="F254">
        <v>19</v>
      </c>
      <c r="G254" t="s">
        <v>2306</v>
      </c>
      <c r="H254">
        <v>6</v>
      </c>
      <c r="I254" t="s">
        <v>3816</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2974</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4">
        <v>265</v>
      </c>
      <c r="B256">
        <v>7</v>
      </c>
      <c r="C256">
        <v>9</v>
      </c>
      <c r="D256" t="s">
        <v>2289</v>
      </c>
      <c r="E256">
        <v>181</v>
      </c>
      <c r="F256">
        <v>383</v>
      </c>
      <c r="G256" t="s">
        <v>2289</v>
      </c>
      <c r="H256">
        <v>6</v>
      </c>
      <c r="I256" t="s">
        <v>2975</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4">
        <v>266</v>
      </c>
      <c r="B257">
        <v>11</v>
      </c>
      <c r="C257">
        <v>7</v>
      </c>
      <c r="D257" t="s">
        <v>2310</v>
      </c>
      <c r="E257">
        <v>9</v>
      </c>
      <c r="F257">
        <v>41</v>
      </c>
      <c r="G257" t="s">
        <v>2310</v>
      </c>
      <c r="H257">
        <v>6</v>
      </c>
      <c r="I257" t="s">
        <v>2976</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2977</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4">
        <v>268</v>
      </c>
      <c r="B259">
        <v>16</v>
      </c>
      <c r="C259">
        <v>300</v>
      </c>
      <c r="D259" t="s">
        <v>2291</v>
      </c>
      <c r="E259">
        <v>18</v>
      </c>
      <c r="F259">
        <v>108</v>
      </c>
      <c r="G259" t="s">
        <v>2291</v>
      </c>
      <c r="H259">
        <v>6</v>
      </c>
      <c r="I259" t="s">
        <v>2978</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4">
        <v>269</v>
      </c>
      <c r="B260">
        <v>3</v>
      </c>
      <c r="C260">
        <v>10</v>
      </c>
      <c r="D260" t="s">
        <v>2305</v>
      </c>
      <c r="E260">
        <v>5</v>
      </c>
      <c r="F260">
        <v>20</v>
      </c>
      <c r="G260" t="s">
        <v>2305</v>
      </c>
      <c r="H260">
        <v>6</v>
      </c>
      <c r="I260" t="s">
        <v>2979</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2367</v>
      </c>
      <c r="E261">
        <v>501</v>
      </c>
      <c r="F261">
        <v>888</v>
      </c>
      <c r="G261" t="s">
        <v>2367</v>
      </c>
      <c r="H261">
        <v>2</v>
      </c>
      <c r="I261" t="s">
        <v>3817</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2980</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2981</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3191</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2982</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2983</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2984</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2985</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2986</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2987</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2988</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2989</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2990</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2991</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4">
        <v>286</v>
      </c>
      <c r="B275">
        <v>5</v>
      </c>
      <c r="C275">
        <v>30</v>
      </c>
      <c r="D275" t="s">
        <v>3187</v>
      </c>
      <c r="E275">
        <v>17</v>
      </c>
      <c r="F275">
        <v>104</v>
      </c>
      <c r="G275" t="s">
        <v>2304</v>
      </c>
      <c r="H275">
        <v>7</v>
      </c>
      <c r="I275" t="s">
        <v>2992</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2993</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2994</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2995</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4">
        <v>290</v>
      </c>
      <c r="B279">
        <v>11</v>
      </c>
      <c r="C279">
        <v>7</v>
      </c>
      <c r="D279" t="s">
        <v>2310</v>
      </c>
      <c r="E279">
        <v>9</v>
      </c>
      <c r="F279">
        <v>41</v>
      </c>
      <c r="G279" t="s">
        <v>2310</v>
      </c>
      <c r="H279">
        <v>7</v>
      </c>
      <c r="I279" t="s">
        <v>2996</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4">
        <v>291</v>
      </c>
      <c r="B280">
        <v>17</v>
      </c>
      <c r="C280">
        <v>256</v>
      </c>
      <c r="D280" t="s">
        <v>2292</v>
      </c>
      <c r="E280">
        <v>180</v>
      </c>
      <c r="F280">
        <v>382</v>
      </c>
      <c r="G280" t="s">
        <v>2292</v>
      </c>
      <c r="H280">
        <v>7</v>
      </c>
      <c r="I280" t="s">
        <v>2997</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2998</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4">
        <v>293</v>
      </c>
      <c r="B282">
        <v>11</v>
      </c>
      <c r="C282">
        <v>7</v>
      </c>
      <c r="D282" t="s">
        <v>2310</v>
      </c>
      <c r="E282">
        <v>9</v>
      </c>
      <c r="F282">
        <v>41</v>
      </c>
      <c r="G282" t="s">
        <v>2310</v>
      </c>
      <c r="H282">
        <v>7</v>
      </c>
      <c r="I282" t="s">
        <v>2999</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3000</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3001</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4">
        <v>296</v>
      </c>
      <c r="B285">
        <v>7</v>
      </c>
      <c r="C285">
        <v>9</v>
      </c>
      <c r="D285" t="s">
        <v>2289</v>
      </c>
      <c r="E285">
        <v>181</v>
      </c>
      <c r="F285">
        <v>383</v>
      </c>
      <c r="G285" t="s">
        <v>2289</v>
      </c>
      <c r="H285">
        <v>7</v>
      </c>
      <c r="I285" t="s">
        <v>3002</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3192</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4">
        <v>298</v>
      </c>
      <c r="B287">
        <v>11</v>
      </c>
      <c r="C287">
        <v>7</v>
      </c>
      <c r="D287" t="s">
        <v>2310</v>
      </c>
      <c r="E287">
        <v>9</v>
      </c>
      <c r="F287">
        <v>41</v>
      </c>
      <c r="G287" t="s">
        <v>2310</v>
      </c>
      <c r="H287">
        <v>7</v>
      </c>
      <c r="I287" t="s">
        <v>3003</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3004</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4">
        <v>300</v>
      </c>
      <c r="B289">
        <v>21</v>
      </c>
      <c r="C289">
        <v>258</v>
      </c>
      <c r="D289" t="s">
        <v>2892</v>
      </c>
      <c r="E289">
        <v>307</v>
      </c>
      <c r="F289">
        <v>537</v>
      </c>
      <c r="G289" t="s">
        <v>2892</v>
      </c>
      <c r="H289">
        <v>7</v>
      </c>
      <c r="I289" t="s">
        <v>3005</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4">
        <v>301</v>
      </c>
      <c r="B290">
        <v>12</v>
      </c>
      <c r="C290">
        <v>125</v>
      </c>
      <c r="D290" t="s">
        <v>2308</v>
      </c>
      <c r="E290">
        <v>16</v>
      </c>
      <c r="F290">
        <v>103</v>
      </c>
      <c r="G290" t="s">
        <v>2308</v>
      </c>
      <c r="H290">
        <v>7</v>
      </c>
      <c r="I290" t="s">
        <v>3006</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4">
        <v>302</v>
      </c>
      <c r="B291">
        <v>4</v>
      </c>
      <c r="C291">
        <v>12</v>
      </c>
      <c r="D291" t="s">
        <v>2306</v>
      </c>
      <c r="E291">
        <v>4</v>
      </c>
      <c r="F291">
        <v>19</v>
      </c>
      <c r="G291" t="s">
        <v>2306</v>
      </c>
      <c r="H291">
        <v>7</v>
      </c>
      <c r="I291" t="s">
        <v>3818</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3007</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4">
        <v>304</v>
      </c>
      <c r="B293">
        <v>16</v>
      </c>
      <c r="C293">
        <v>300</v>
      </c>
      <c r="D293" t="s">
        <v>2291</v>
      </c>
      <c r="E293">
        <v>18</v>
      </c>
      <c r="F293">
        <v>108</v>
      </c>
      <c r="G293" t="s">
        <v>2291</v>
      </c>
      <c r="H293">
        <v>7</v>
      </c>
      <c r="I293" t="s">
        <v>3008</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4">
        <v>305</v>
      </c>
      <c r="B294">
        <v>9</v>
      </c>
      <c r="C294">
        <v>26</v>
      </c>
      <c r="D294" t="s">
        <v>2309</v>
      </c>
      <c r="E294">
        <v>19</v>
      </c>
      <c r="F294">
        <v>117</v>
      </c>
      <c r="G294" t="s">
        <v>2309</v>
      </c>
      <c r="H294">
        <v>7</v>
      </c>
      <c r="I294" t="s">
        <v>3009</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4">
        <v>306</v>
      </c>
      <c r="B295">
        <v>16</v>
      </c>
      <c r="C295">
        <v>300</v>
      </c>
      <c r="D295" t="s">
        <v>2291</v>
      </c>
      <c r="E295">
        <v>18</v>
      </c>
      <c r="F295">
        <v>108</v>
      </c>
      <c r="G295" t="s">
        <v>2291</v>
      </c>
      <c r="H295">
        <v>7</v>
      </c>
      <c r="I295" t="s">
        <v>3010</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4">
        <v>307</v>
      </c>
      <c r="B296">
        <v>3</v>
      </c>
      <c r="C296">
        <v>10</v>
      </c>
      <c r="D296" t="s">
        <v>2305</v>
      </c>
      <c r="E296">
        <v>5</v>
      </c>
      <c r="F296">
        <v>20</v>
      </c>
      <c r="G296" t="s">
        <v>2305</v>
      </c>
      <c r="H296">
        <v>7</v>
      </c>
      <c r="I296" t="s">
        <v>3011</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3012</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4">
        <v>310</v>
      </c>
      <c r="B298">
        <v>25</v>
      </c>
      <c r="C298">
        <v>1126</v>
      </c>
      <c r="D298" t="s">
        <v>2367</v>
      </c>
      <c r="E298">
        <v>501</v>
      </c>
      <c r="F298">
        <v>888</v>
      </c>
      <c r="G298" t="s">
        <v>2367</v>
      </c>
      <c r="H298">
        <v>7</v>
      </c>
      <c r="I298" t="s">
        <v>549</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4">
        <v>311</v>
      </c>
      <c r="B299">
        <v>17</v>
      </c>
      <c r="C299">
        <v>256</v>
      </c>
      <c r="D299" t="s">
        <v>2292</v>
      </c>
      <c r="E299">
        <v>180</v>
      </c>
      <c r="F299">
        <v>382</v>
      </c>
      <c r="G299" t="s">
        <v>2292</v>
      </c>
      <c r="H299">
        <v>7</v>
      </c>
      <c r="I299" t="s">
        <v>3013</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4">
        <v>312</v>
      </c>
      <c r="B300">
        <v>13</v>
      </c>
      <c r="C300">
        <v>61</v>
      </c>
      <c r="D300" t="s">
        <v>2307</v>
      </c>
      <c r="E300">
        <v>15</v>
      </c>
      <c r="F300">
        <v>101</v>
      </c>
      <c r="G300" t="s">
        <v>2307</v>
      </c>
      <c r="H300">
        <v>7</v>
      </c>
      <c r="I300" t="s">
        <v>3258</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3014</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4">
        <v>314</v>
      </c>
      <c r="B302">
        <v>5</v>
      </c>
      <c r="C302">
        <v>30</v>
      </c>
      <c r="D302" t="s">
        <v>3187</v>
      </c>
      <c r="E302">
        <v>17</v>
      </c>
      <c r="F302">
        <v>104</v>
      </c>
      <c r="G302" t="s">
        <v>2304</v>
      </c>
      <c r="H302">
        <v>7</v>
      </c>
      <c r="I302" t="s">
        <v>3015</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3016</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4">
        <v>316</v>
      </c>
      <c r="B304">
        <v>9</v>
      </c>
      <c r="C304">
        <v>26</v>
      </c>
      <c r="D304" t="s">
        <v>2309</v>
      </c>
      <c r="E304">
        <v>19</v>
      </c>
      <c r="F304">
        <v>117</v>
      </c>
      <c r="G304" t="s">
        <v>2309</v>
      </c>
      <c r="H304">
        <v>7</v>
      </c>
      <c r="I304" t="s">
        <v>3017</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4">
        <v>317</v>
      </c>
      <c r="B305">
        <v>7</v>
      </c>
      <c r="C305">
        <v>9</v>
      </c>
      <c r="D305" t="s">
        <v>2289</v>
      </c>
      <c r="E305">
        <v>181</v>
      </c>
      <c r="F305">
        <v>383</v>
      </c>
      <c r="G305" t="s">
        <v>2289</v>
      </c>
      <c r="H305">
        <v>7</v>
      </c>
      <c r="I305" t="s">
        <v>3018</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4">
        <v>318</v>
      </c>
      <c r="B306">
        <v>4</v>
      </c>
      <c r="C306">
        <v>12</v>
      </c>
      <c r="D306" t="s">
        <v>2306</v>
      </c>
      <c r="E306">
        <v>4</v>
      </c>
      <c r="F306">
        <v>19</v>
      </c>
      <c r="G306" t="s">
        <v>2306</v>
      </c>
      <c r="H306">
        <v>7</v>
      </c>
      <c r="I306" t="s">
        <v>3819</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4">
        <v>320</v>
      </c>
      <c r="B308">
        <v>17</v>
      </c>
      <c r="C308">
        <v>256</v>
      </c>
      <c r="D308" t="s">
        <v>2292</v>
      </c>
      <c r="E308">
        <v>180</v>
      </c>
      <c r="F308">
        <v>382</v>
      </c>
      <c r="G308" t="s">
        <v>2292</v>
      </c>
      <c r="H308">
        <v>7</v>
      </c>
      <c r="I308" t="s">
        <v>3019</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2292</v>
      </c>
      <c r="E309">
        <v>180</v>
      </c>
      <c r="F309">
        <v>382</v>
      </c>
      <c r="G309" t="s">
        <v>2292</v>
      </c>
      <c r="H309">
        <v>7</v>
      </c>
      <c r="I309" t="s">
        <v>3020</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4">
        <v>322</v>
      </c>
      <c r="B310">
        <v>12</v>
      </c>
      <c r="C310">
        <v>125</v>
      </c>
      <c r="D310" t="s">
        <v>2308</v>
      </c>
      <c r="E310">
        <v>16</v>
      </c>
      <c r="F310">
        <v>103</v>
      </c>
      <c r="G310" t="s">
        <v>2308</v>
      </c>
      <c r="H310">
        <v>7</v>
      </c>
      <c r="I310" t="s">
        <v>3021</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3022</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3023</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4">
        <v>325</v>
      </c>
      <c r="B313">
        <v>7</v>
      </c>
      <c r="C313">
        <v>9</v>
      </c>
      <c r="D313" t="s">
        <v>2289</v>
      </c>
      <c r="E313">
        <v>181</v>
      </c>
      <c r="F313">
        <v>383</v>
      </c>
      <c r="G313" t="s">
        <v>2289</v>
      </c>
      <c r="H313">
        <v>7</v>
      </c>
      <c r="I313" t="s">
        <v>3024</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4">
        <v>326</v>
      </c>
      <c r="B314">
        <v>25</v>
      </c>
      <c r="C314">
        <v>1126</v>
      </c>
      <c r="D314" t="s">
        <v>2367</v>
      </c>
      <c r="E314">
        <v>501</v>
      </c>
      <c r="F314">
        <v>888</v>
      </c>
      <c r="G314" t="s">
        <v>2367</v>
      </c>
      <c r="H314">
        <v>6</v>
      </c>
      <c r="I314" t="s">
        <v>3820</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4">
        <v>327</v>
      </c>
      <c r="B315">
        <v>25</v>
      </c>
      <c r="C315">
        <v>1126</v>
      </c>
      <c r="D315" t="s">
        <v>2367</v>
      </c>
      <c r="E315">
        <v>501</v>
      </c>
      <c r="F315">
        <v>888</v>
      </c>
      <c r="G315" t="s">
        <v>2367</v>
      </c>
      <c r="H315">
        <v>7</v>
      </c>
      <c r="I315" t="s">
        <v>3821</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3025</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3026</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3027</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3028</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2367</v>
      </c>
      <c r="E320">
        <v>501</v>
      </c>
      <c r="F320">
        <v>888</v>
      </c>
      <c r="G320" t="s">
        <v>2367</v>
      </c>
      <c r="H320">
        <v>6</v>
      </c>
      <c r="I320" t="s">
        <v>3822</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3029</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3030</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3031</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4">
        <v>337</v>
      </c>
      <c r="B325">
        <v>31</v>
      </c>
      <c r="C325">
        <v>1313</v>
      </c>
      <c r="D325" t="s">
        <v>2315</v>
      </c>
      <c r="E325">
        <v>590</v>
      </c>
      <c r="F325">
        <v>980</v>
      </c>
      <c r="G325" t="s">
        <v>3032</v>
      </c>
      <c r="H325">
        <v>1</v>
      </c>
      <c r="I325" t="s">
        <v>3033</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2315</v>
      </c>
      <c r="E326">
        <v>590</v>
      </c>
      <c r="F326">
        <v>980</v>
      </c>
      <c r="G326" t="s">
        <v>3032</v>
      </c>
      <c r="H326">
        <v>1</v>
      </c>
      <c r="I326" t="s">
        <v>3034</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2315</v>
      </c>
      <c r="E327">
        <v>590</v>
      </c>
      <c r="F327">
        <v>980</v>
      </c>
      <c r="G327" t="s">
        <v>3032</v>
      </c>
      <c r="H327">
        <v>1</v>
      </c>
      <c r="I327" t="s">
        <v>3035</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2315</v>
      </c>
      <c r="E328">
        <v>590</v>
      </c>
      <c r="F328">
        <v>980</v>
      </c>
      <c r="G328" t="s">
        <v>3032</v>
      </c>
      <c r="H328">
        <v>1</v>
      </c>
      <c r="I328" t="s">
        <v>3036</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3037</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3038</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4">
        <v>343</v>
      </c>
      <c r="B331">
        <v>29</v>
      </c>
      <c r="C331">
        <v>1006</v>
      </c>
      <c r="D331" t="s">
        <v>2311</v>
      </c>
      <c r="E331">
        <v>449</v>
      </c>
      <c r="F331">
        <v>823</v>
      </c>
      <c r="G331" t="s">
        <v>2962</v>
      </c>
      <c r="H331">
        <v>7</v>
      </c>
      <c r="I331" t="s">
        <v>3039</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4">
        <v>344</v>
      </c>
      <c r="B332">
        <v>23</v>
      </c>
      <c r="C332">
        <v>255</v>
      </c>
      <c r="D332" t="s">
        <v>2366</v>
      </c>
      <c r="E332">
        <v>155</v>
      </c>
      <c r="F332">
        <v>347</v>
      </c>
      <c r="G332" t="s">
        <v>2366</v>
      </c>
      <c r="H332">
        <v>7</v>
      </c>
      <c r="I332" t="s">
        <v>3040</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2367</v>
      </c>
      <c r="E333">
        <v>501</v>
      </c>
      <c r="F333">
        <v>888</v>
      </c>
      <c r="G333" t="s">
        <v>2367</v>
      </c>
      <c r="H333">
        <v>7</v>
      </c>
      <c r="I333" t="s">
        <v>3823</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4">
        <v>346</v>
      </c>
      <c r="B334">
        <v>31</v>
      </c>
      <c r="C334">
        <v>1313</v>
      </c>
      <c r="D334" t="s">
        <v>2315</v>
      </c>
      <c r="E334">
        <v>590</v>
      </c>
      <c r="F334">
        <v>980</v>
      </c>
      <c r="G334" t="s">
        <v>3032</v>
      </c>
      <c r="H334">
        <v>3</v>
      </c>
      <c r="I334" t="s">
        <v>3041</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2315</v>
      </c>
      <c r="E335">
        <v>590</v>
      </c>
      <c r="F335">
        <v>980</v>
      </c>
      <c r="G335" t="s">
        <v>3032</v>
      </c>
      <c r="H335">
        <v>7</v>
      </c>
      <c r="I335" t="s">
        <v>3042</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4">
        <v>349</v>
      </c>
      <c r="B337">
        <v>32</v>
      </c>
      <c r="C337">
        <v>1349</v>
      </c>
      <c r="D337" t="s">
        <v>2314</v>
      </c>
      <c r="E337">
        <v>617</v>
      </c>
      <c r="F337">
        <v>1011</v>
      </c>
      <c r="G337" t="s">
        <v>2314</v>
      </c>
      <c r="H337">
        <v>1</v>
      </c>
      <c r="I337" t="s">
        <v>3043</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2314</v>
      </c>
      <c r="E338">
        <v>617</v>
      </c>
      <c r="F338">
        <v>1011</v>
      </c>
      <c r="G338" t="s">
        <v>2314</v>
      </c>
      <c r="H338">
        <v>1</v>
      </c>
      <c r="I338" t="s">
        <v>3044</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4">
        <v>351</v>
      </c>
      <c r="B339">
        <v>32</v>
      </c>
      <c r="C339">
        <v>1349</v>
      </c>
      <c r="D339" t="s">
        <v>2314</v>
      </c>
      <c r="E339">
        <v>617</v>
      </c>
      <c r="F339">
        <v>1011</v>
      </c>
      <c r="G339" t="s">
        <v>2314</v>
      </c>
      <c r="H339">
        <v>1</v>
      </c>
      <c r="I339" t="s">
        <v>3045</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4">
        <v>352</v>
      </c>
      <c r="B340">
        <v>32</v>
      </c>
      <c r="C340">
        <v>1349</v>
      </c>
      <c r="D340" t="s">
        <v>2314</v>
      </c>
      <c r="E340">
        <v>617</v>
      </c>
      <c r="F340">
        <v>1011</v>
      </c>
      <c r="G340" t="s">
        <v>2314</v>
      </c>
      <c r="H340">
        <v>1</v>
      </c>
      <c r="I340" t="s">
        <v>3046</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2314</v>
      </c>
      <c r="E341">
        <v>617</v>
      </c>
      <c r="F341">
        <v>1011</v>
      </c>
      <c r="G341" t="s">
        <v>2314</v>
      </c>
      <c r="H341">
        <v>1</v>
      </c>
      <c r="I341" t="s">
        <v>3047</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4">
        <v>354</v>
      </c>
      <c r="B342">
        <v>32</v>
      </c>
      <c r="C342">
        <v>1349</v>
      </c>
      <c r="D342" t="s">
        <v>2314</v>
      </c>
      <c r="E342">
        <v>617</v>
      </c>
      <c r="F342">
        <v>1011</v>
      </c>
      <c r="G342" t="s">
        <v>2314</v>
      </c>
      <c r="H342">
        <v>1</v>
      </c>
      <c r="I342" t="s">
        <v>3048</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4">
        <v>355</v>
      </c>
      <c r="B343">
        <v>32</v>
      </c>
      <c r="C343">
        <v>1349</v>
      </c>
      <c r="D343" t="s">
        <v>2314</v>
      </c>
      <c r="E343">
        <v>617</v>
      </c>
      <c r="F343">
        <v>1011</v>
      </c>
      <c r="G343" t="s">
        <v>2314</v>
      </c>
      <c r="H343">
        <v>1</v>
      </c>
      <c r="I343" t="s">
        <v>3049</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4">
        <v>356</v>
      </c>
      <c r="B344">
        <v>32</v>
      </c>
      <c r="C344">
        <v>1349</v>
      </c>
      <c r="D344" t="s">
        <v>2314</v>
      </c>
      <c r="E344">
        <v>617</v>
      </c>
      <c r="F344">
        <v>1011</v>
      </c>
      <c r="G344" t="s">
        <v>2314</v>
      </c>
      <c r="H344">
        <v>1</v>
      </c>
      <c r="I344" t="s">
        <v>3050</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4">
        <v>357</v>
      </c>
      <c r="B345">
        <v>32</v>
      </c>
      <c r="C345">
        <v>1349</v>
      </c>
      <c r="D345" t="s">
        <v>2314</v>
      </c>
      <c r="E345">
        <v>617</v>
      </c>
      <c r="F345">
        <v>1011</v>
      </c>
      <c r="G345" t="s">
        <v>2314</v>
      </c>
      <c r="H345">
        <v>1</v>
      </c>
      <c r="I345" t="s">
        <v>3051</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4">
        <v>358</v>
      </c>
      <c r="B346">
        <v>32</v>
      </c>
      <c r="C346">
        <v>1349</v>
      </c>
      <c r="D346" t="s">
        <v>2314</v>
      </c>
      <c r="E346">
        <v>617</v>
      </c>
      <c r="F346">
        <v>1011</v>
      </c>
      <c r="G346" t="s">
        <v>2314</v>
      </c>
      <c r="H346">
        <v>1</v>
      </c>
      <c r="I346" t="s">
        <v>3052</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2314</v>
      </c>
      <c r="E347">
        <v>617</v>
      </c>
      <c r="F347">
        <v>1011</v>
      </c>
      <c r="G347" t="s">
        <v>2314</v>
      </c>
      <c r="H347">
        <v>1</v>
      </c>
      <c r="I347" t="s">
        <v>3053</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3054</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4">
        <v>361</v>
      </c>
      <c r="B349">
        <v>28</v>
      </c>
      <c r="C349">
        <v>994</v>
      </c>
      <c r="D349" t="s">
        <v>2312</v>
      </c>
      <c r="E349">
        <v>443</v>
      </c>
      <c r="F349">
        <v>816</v>
      </c>
      <c r="G349" t="s">
        <v>2312</v>
      </c>
      <c r="H349">
        <v>7</v>
      </c>
      <c r="I349" t="s">
        <v>3055</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4">
        <v>362</v>
      </c>
      <c r="B350">
        <v>29</v>
      </c>
      <c r="C350">
        <v>1006</v>
      </c>
      <c r="D350" t="s">
        <v>2311</v>
      </c>
      <c r="E350">
        <v>449</v>
      </c>
      <c r="F350">
        <v>823</v>
      </c>
      <c r="G350" t="s">
        <v>2962</v>
      </c>
      <c r="H350">
        <v>7</v>
      </c>
      <c r="I350" t="s">
        <v>3056</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4">
        <v>363</v>
      </c>
      <c r="B351">
        <v>4</v>
      </c>
      <c r="C351">
        <v>12</v>
      </c>
      <c r="D351" t="s">
        <v>2306</v>
      </c>
      <c r="E351">
        <v>4</v>
      </c>
      <c r="F351">
        <v>19</v>
      </c>
      <c r="G351" t="s">
        <v>2306</v>
      </c>
      <c r="H351">
        <v>6</v>
      </c>
      <c r="I351" t="s">
        <v>3824</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4">
        <v>364</v>
      </c>
      <c r="B352">
        <v>32</v>
      </c>
      <c r="C352">
        <v>1349</v>
      </c>
      <c r="D352" t="s">
        <v>2314</v>
      </c>
      <c r="E352">
        <v>617</v>
      </c>
      <c r="F352">
        <v>1011</v>
      </c>
      <c r="G352" t="s">
        <v>2314</v>
      </c>
      <c r="H352">
        <v>3</v>
      </c>
      <c r="I352" t="s">
        <v>3057</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4">
        <v>365</v>
      </c>
      <c r="B353">
        <v>32</v>
      </c>
      <c r="C353">
        <v>1349</v>
      </c>
      <c r="D353" t="s">
        <v>2314</v>
      </c>
      <c r="E353">
        <v>617</v>
      </c>
      <c r="F353">
        <v>1011</v>
      </c>
      <c r="G353" t="s">
        <v>2314</v>
      </c>
      <c r="H353">
        <v>1</v>
      </c>
      <c r="I353" t="s">
        <v>3058</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4">
        <v>366</v>
      </c>
      <c r="B354">
        <v>32</v>
      </c>
      <c r="C354">
        <v>1349</v>
      </c>
      <c r="D354" t="s">
        <v>2314</v>
      </c>
      <c r="E354">
        <v>617</v>
      </c>
      <c r="F354">
        <v>1011</v>
      </c>
      <c r="G354" t="s">
        <v>2314</v>
      </c>
      <c r="H354">
        <v>7</v>
      </c>
      <c r="I354" t="s">
        <v>3059</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4">
        <v>367</v>
      </c>
      <c r="B355">
        <v>32</v>
      </c>
      <c r="C355">
        <v>1349</v>
      </c>
      <c r="D355" t="s">
        <v>2314</v>
      </c>
      <c r="E355">
        <v>617</v>
      </c>
      <c r="F355">
        <v>1011</v>
      </c>
      <c r="G355" t="s">
        <v>2314</v>
      </c>
      <c r="H355">
        <v>7</v>
      </c>
      <c r="I355" t="s">
        <v>3060</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4">
        <v>368</v>
      </c>
      <c r="B356">
        <v>32</v>
      </c>
      <c r="C356">
        <v>1349</v>
      </c>
      <c r="D356" t="s">
        <v>2314</v>
      </c>
      <c r="E356">
        <v>617</v>
      </c>
      <c r="F356">
        <v>1011</v>
      </c>
      <c r="G356" t="s">
        <v>2314</v>
      </c>
      <c r="H356">
        <v>7</v>
      </c>
      <c r="I356" t="s">
        <v>3061</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4">
        <v>369</v>
      </c>
      <c r="B357">
        <v>32</v>
      </c>
      <c r="C357">
        <v>1349</v>
      </c>
      <c r="D357" t="s">
        <v>2314</v>
      </c>
      <c r="E357">
        <v>617</v>
      </c>
      <c r="F357">
        <v>1011</v>
      </c>
      <c r="G357" t="s">
        <v>2314</v>
      </c>
      <c r="H357">
        <v>1</v>
      </c>
      <c r="I357" t="s">
        <v>3062</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4">
        <v>370</v>
      </c>
      <c r="B358">
        <v>16</v>
      </c>
      <c r="C358">
        <v>300</v>
      </c>
      <c r="D358" t="s">
        <v>2291</v>
      </c>
      <c r="E358">
        <v>18</v>
      </c>
      <c r="F358">
        <v>108</v>
      </c>
      <c r="G358" t="s">
        <v>2291</v>
      </c>
      <c r="H358">
        <v>6</v>
      </c>
      <c r="I358" t="s">
        <v>3063</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2292</v>
      </c>
      <c r="E359">
        <v>180</v>
      </c>
      <c r="F359">
        <v>382</v>
      </c>
      <c r="G359" t="s">
        <v>2292</v>
      </c>
      <c r="H359">
        <v>6</v>
      </c>
      <c r="I359" t="s">
        <v>3064</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2308</v>
      </c>
      <c r="E360">
        <v>16</v>
      </c>
      <c r="F360">
        <v>103</v>
      </c>
      <c r="G360" t="s">
        <v>2308</v>
      </c>
      <c r="H360">
        <v>7</v>
      </c>
      <c r="I360" t="s">
        <v>3065</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3066</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4">
        <v>374</v>
      </c>
      <c r="B362">
        <v>34</v>
      </c>
      <c r="C362">
        <v>1484</v>
      </c>
      <c r="D362" t="s">
        <v>2317</v>
      </c>
      <c r="E362">
        <v>408</v>
      </c>
      <c r="F362">
        <v>726</v>
      </c>
      <c r="G362" t="s">
        <v>2317</v>
      </c>
      <c r="H362">
        <v>1</v>
      </c>
      <c r="I362" t="s">
        <v>3067</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4">
        <v>375</v>
      </c>
      <c r="B363">
        <v>34</v>
      </c>
      <c r="C363">
        <v>1484</v>
      </c>
      <c r="D363" t="s">
        <v>2317</v>
      </c>
      <c r="E363">
        <v>408</v>
      </c>
      <c r="F363">
        <v>726</v>
      </c>
      <c r="G363" t="s">
        <v>2317</v>
      </c>
      <c r="H363">
        <v>1</v>
      </c>
      <c r="I363" t="s">
        <v>3068</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4">
        <v>376</v>
      </c>
      <c r="B364">
        <v>34</v>
      </c>
      <c r="C364">
        <v>1484</v>
      </c>
      <c r="D364" t="s">
        <v>2317</v>
      </c>
      <c r="E364">
        <v>408</v>
      </c>
      <c r="F364">
        <v>726</v>
      </c>
      <c r="G364" t="s">
        <v>2317</v>
      </c>
      <c r="H364">
        <v>1</v>
      </c>
      <c r="I364" t="s">
        <v>3069</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4">
        <v>377</v>
      </c>
      <c r="B365">
        <v>34</v>
      </c>
      <c r="C365">
        <v>1484</v>
      </c>
      <c r="D365" t="s">
        <v>2317</v>
      </c>
      <c r="E365">
        <v>408</v>
      </c>
      <c r="F365">
        <v>726</v>
      </c>
      <c r="G365" t="s">
        <v>2317</v>
      </c>
      <c r="H365">
        <v>1</v>
      </c>
      <c r="I365" t="s">
        <v>3070</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4">
        <v>378</v>
      </c>
      <c r="B366">
        <v>34</v>
      </c>
      <c r="C366">
        <v>1484</v>
      </c>
      <c r="D366" t="s">
        <v>2317</v>
      </c>
      <c r="E366">
        <v>408</v>
      </c>
      <c r="F366">
        <v>726</v>
      </c>
      <c r="G366" t="s">
        <v>2317</v>
      </c>
      <c r="H366">
        <v>6</v>
      </c>
      <c r="I366" t="s">
        <v>3071</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4">
        <v>379</v>
      </c>
      <c r="B367">
        <v>34</v>
      </c>
      <c r="C367">
        <v>1484</v>
      </c>
      <c r="D367" t="s">
        <v>2317</v>
      </c>
      <c r="E367">
        <v>408</v>
      </c>
      <c r="F367">
        <v>726</v>
      </c>
      <c r="G367" t="s">
        <v>2317</v>
      </c>
      <c r="H367">
        <v>1</v>
      </c>
      <c r="I367" t="s">
        <v>3072</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4">
        <v>380</v>
      </c>
      <c r="B368">
        <v>13</v>
      </c>
      <c r="C368">
        <v>61</v>
      </c>
      <c r="D368" t="s">
        <v>2307</v>
      </c>
      <c r="E368">
        <v>15</v>
      </c>
      <c r="F368">
        <v>101</v>
      </c>
      <c r="G368" t="s">
        <v>2307</v>
      </c>
      <c r="H368">
        <v>7</v>
      </c>
      <c r="I368" t="s">
        <v>3262</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4">
        <v>381</v>
      </c>
      <c r="B369">
        <v>36</v>
      </c>
      <c r="C369">
        <v>1555</v>
      </c>
      <c r="D369" t="s">
        <v>3073</v>
      </c>
      <c r="E369">
        <v>682</v>
      </c>
      <c r="F369">
        <v>1086</v>
      </c>
      <c r="G369" t="s">
        <v>3073</v>
      </c>
      <c r="H369">
        <v>1</v>
      </c>
      <c r="I369" t="s">
        <v>3074</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3073</v>
      </c>
      <c r="E370">
        <v>682</v>
      </c>
      <c r="F370">
        <v>1086</v>
      </c>
      <c r="G370" t="s">
        <v>3073</v>
      </c>
      <c r="H370">
        <v>1</v>
      </c>
      <c r="I370" t="s">
        <v>3075</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4">
        <v>383</v>
      </c>
      <c r="B371">
        <v>36</v>
      </c>
      <c r="C371">
        <v>1555</v>
      </c>
      <c r="D371" t="s">
        <v>3073</v>
      </c>
      <c r="E371">
        <v>682</v>
      </c>
      <c r="F371">
        <v>1086</v>
      </c>
      <c r="G371" t="s">
        <v>3073</v>
      </c>
      <c r="H371">
        <v>1</v>
      </c>
      <c r="I371" t="s">
        <v>3076</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3073</v>
      </c>
      <c r="E372">
        <v>682</v>
      </c>
      <c r="F372">
        <v>1086</v>
      </c>
      <c r="G372" t="s">
        <v>3073</v>
      </c>
      <c r="H372">
        <v>1</v>
      </c>
      <c r="I372" t="s">
        <v>3077</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3073</v>
      </c>
      <c r="E373">
        <v>682</v>
      </c>
      <c r="F373">
        <v>1086</v>
      </c>
      <c r="G373" t="s">
        <v>3073</v>
      </c>
      <c r="H373">
        <v>1</v>
      </c>
      <c r="I373" t="s">
        <v>3078</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3073</v>
      </c>
      <c r="E374">
        <v>682</v>
      </c>
      <c r="F374">
        <v>1086</v>
      </c>
      <c r="G374" t="s">
        <v>3073</v>
      </c>
      <c r="H374">
        <v>1</v>
      </c>
      <c r="I374" t="s">
        <v>3079</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2317</v>
      </c>
      <c r="E375">
        <v>408</v>
      </c>
      <c r="F375">
        <v>726</v>
      </c>
      <c r="G375" t="s">
        <v>2317</v>
      </c>
      <c r="H375">
        <v>7</v>
      </c>
      <c r="I375" t="s">
        <v>3080</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4">
        <v>389</v>
      </c>
      <c r="B376">
        <v>13</v>
      </c>
      <c r="C376">
        <v>61</v>
      </c>
      <c r="D376" t="s">
        <v>2307</v>
      </c>
      <c r="E376">
        <v>15</v>
      </c>
      <c r="F376">
        <v>101</v>
      </c>
      <c r="G376" t="s">
        <v>2307</v>
      </c>
      <c r="H376">
        <v>6</v>
      </c>
      <c r="I376" t="s">
        <v>3255</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4">
        <v>390</v>
      </c>
      <c r="B377">
        <v>29</v>
      </c>
      <c r="C377">
        <v>1006</v>
      </c>
      <c r="D377" t="s">
        <v>2311</v>
      </c>
      <c r="E377">
        <v>449</v>
      </c>
      <c r="F377">
        <v>823</v>
      </c>
      <c r="G377" t="s">
        <v>2962</v>
      </c>
      <c r="H377">
        <v>6</v>
      </c>
      <c r="I377" t="s">
        <v>3081</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4">
        <v>391</v>
      </c>
      <c r="B378">
        <v>36</v>
      </c>
      <c r="C378">
        <v>1555</v>
      </c>
      <c r="D378" t="s">
        <v>3073</v>
      </c>
      <c r="E378">
        <v>682</v>
      </c>
      <c r="F378">
        <v>1086</v>
      </c>
      <c r="G378" t="s">
        <v>3073</v>
      </c>
      <c r="H378">
        <v>6</v>
      </c>
      <c r="I378" t="s">
        <v>3082</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2307</v>
      </c>
      <c r="E379">
        <v>15</v>
      </c>
      <c r="F379">
        <v>101</v>
      </c>
      <c r="G379" t="s">
        <v>2307</v>
      </c>
      <c r="H379">
        <v>7</v>
      </c>
      <c r="I379" t="s">
        <v>3252</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4">
        <v>395</v>
      </c>
      <c r="B380">
        <v>25</v>
      </c>
      <c r="C380">
        <v>1126</v>
      </c>
      <c r="D380" t="s">
        <v>2367</v>
      </c>
      <c r="E380">
        <v>501</v>
      </c>
      <c r="F380">
        <v>888</v>
      </c>
      <c r="G380" t="s">
        <v>2367</v>
      </c>
      <c r="H380">
        <v>7</v>
      </c>
      <c r="I380" t="s">
        <v>3825</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4">
        <v>396</v>
      </c>
      <c r="B381">
        <v>36</v>
      </c>
      <c r="C381">
        <v>1555</v>
      </c>
      <c r="D381" t="s">
        <v>3073</v>
      </c>
      <c r="E381">
        <v>682</v>
      </c>
      <c r="F381">
        <v>1086</v>
      </c>
      <c r="G381" t="s">
        <v>3073</v>
      </c>
      <c r="H381">
        <v>7</v>
      </c>
      <c r="I381" t="s">
        <v>3083</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4">
        <v>397</v>
      </c>
      <c r="B382">
        <v>36</v>
      </c>
      <c r="C382">
        <v>1555</v>
      </c>
      <c r="D382" t="s">
        <v>3073</v>
      </c>
      <c r="E382">
        <v>682</v>
      </c>
      <c r="F382">
        <v>1086</v>
      </c>
      <c r="G382" t="s">
        <v>3073</v>
      </c>
      <c r="H382">
        <v>1</v>
      </c>
      <c r="I382" t="s">
        <v>3084</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4">
        <v>398</v>
      </c>
      <c r="B383">
        <v>7</v>
      </c>
      <c r="C383">
        <v>9</v>
      </c>
      <c r="D383" t="s">
        <v>2289</v>
      </c>
      <c r="E383">
        <v>181</v>
      </c>
      <c r="F383">
        <v>383</v>
      </c>
      <c r="G383" t="s">
        <v>2289</v>
      </c>
      <c r="H383">
        <v>6</v>
      </c>
      <c r="I383" t="s">
        <v>3085</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4">
        <v>399</v>
      </c>
      <c r="B384">
        <v>36</v>
      </c>
      <c r="C384">
        <v>1555</v>
      </c>
      <c r="D384" t="s">
        <v>3073</v>
      </c>
      <c r="E384">
        <v>682</v>
      </c>
      <c r="F384">
        <v>1086</v>
      </c>
      <c r="G384" t="s">
        <v>3073</v>
      </c>
      <c r="H384">
        <v>3</v>
      </c>
      <c r="I384" t="s">
        <v>3086</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4">
        <v>400</v>
      </c>
      <c r="B385">
        <v>36</v>
      </c>
      <c r="C385">
        <v>1555</v>
      </c>
      <c r="D385" t="s">
        <v>3073</v>
      </c>
      <c r="E385">
        <v>682</v>
      </c>
      <c r="F385">
        <v>1086</v>
      </c>
      <c r="G385" t="s">
        <v>3073</v>
      </c>
      <c r="H385">
        <v>7</v>
      </c>
      <c r="I385" t="s">
        <v>3087</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3073</v>
      </c>
      <c r="E386">
        <v>682</v>
      </c>
      <c r="F386">
        <v>1086</v>
      </c>
      <c r="G386" t="s">
        <v>3073</v>
      </c>
      <c r="H386">
        <v>7</v>
      </c>
      <c r="I386" t="s">
        <v>3088</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4">
        <v>402</v>
      </c>
      <c r="B387">
        <v>37</v>
      </c>
      <c r="C387">
        <v>1654</v>
      </c>
      <c r="D387" t="s">
        <v>3089</v>
      </c>
      <c r="E387">
        <v>721</v>
      </c>
      <c r="F387">
        <v>1133</v>
      </c>
      <c r="G387" t="s">
        <v>3089</v>
      </c>
      <c r="H387">
        <v>1</v>
      </c>
      <c r="I387" t="s">
        <v>3090</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3089</v>
      </c>
      <c r="E388">
        <v>721</v>
      </c>
      <c r="F388">
        <v>1133</v>
      </c>
      <c r="G388" t="s">
        <v>3089</v>
      </c>
      <c r="H388">
        <v>1</v>
      </c>
      <c r="I388" t="s">
        <v>3091</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3089</v>
      </c>
      <c r="E389">
        <v>721</v>
      </c>
      <c r="F389">
        <v>1133</v>
      </c>
      <c r="G389" t="s">
        <v>3089</v>
      </c>
      <c r="H389">
        <v>1</v>
      </c>
      <c r="I389" t="s">
        <v>3092</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3089</v>
      </c>
      <c r="E390">
        <v>721</v>
      </c>
      <c r="F390">
        <v>1133</v>
      </c>
      <c r="G390" t="s">
        <v>3089</v>
      </c>
      <c r="H390">
        <v>1</v>
      </c>
      <c r="I390" t="s">
        <v>3093</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3089</v>
      </c>
      <c r="E391">
        <v>721</v>
      </c>
      <c r="F391">
        <v>1133</v>
      </c>
      <c r="G391" t="s">
        <v>3089</v>
      </c>
      <c r="H391">
        <v>1</v>
      </c>
      <c r="I391" t="s">
        <v>3094</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3089</v>
      </c>
      <c r="E392">
        <v>721</v>
      </c>
      <c r="F392">
        <v>1133</v>
      </c>
      <c r="G392" t="s">
        <v>3089</v>
      </c>
      <c r="H392">
        <v>1</v>
      </c>
      <c r="I392" t="s">
        <v>3725</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2305</v>
      </c>
      <c r="E393">
        <v>5</v>
      </c>
      <c r="F393">
        <v>20</v>
      </c>
      <c r="G393" t="s">
        <v>2305</v>
      </c>
      <c r="H393">
        <v>7</v>
      </c>
      <c r="I393" t="s">
        <v>3095</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4">
        <v>410</v>
      </c>
      <c r="B394">
        <v>36</v>
      </c>
      <c r="C394">
        <v>1555</v>
      </c>
      <c r="D394" t="s">
        <v>3073</v>
      </c>
      <c r="E394">
        <v>682</v>
      </c>
      <c r="F394">
        <v>1086</v>
      </c>
      <c r="G394" t="s">
        <v>3073</v>
      </c>
      <c r="H394">
        <v>7</v>
      </c>
      <c r="I394" t="s">
        <v>3096</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4">
        <v>411</v>
      </c>
      <c r="B395">
        <v>40</v>
      </c>
      <c r="C395">
        <v>1782</v>
      </c>
      <c r="D395" t="s">
        <v>3097</v>
      </c>
      <c r="E395">
        <v>4294967296</v>
      </c>
      <c r="F395">
        <v>0</v>
      </c>
      <c r="H395">
        <v>1</v>
      </c>
      <c r="I395" t="s">
        <v>3098</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4">
        <v>412</v>
      </c>
      <c r="B396">
        <v>40</v>
      </c>
      <c r="C396">
        <v>1782</v>
      </c>
      <c r="D396" t="s">
        <v>3097</v>
      </c>
      <c r="E396">
        <v>4294967296</v>
      </c>
      <c r="F396">
        <v>0</v>
      </c>
      <c r="H396">
        <v>1</v>
      </c>
      <c r="I396" t="s">
        <v>3099</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4">
        <v>413</v>
      </c>
      <c r="B397">
        <v>40</v>
      </c>
      <c r="C397">
        <v>1782</v>
      </c>
      <c r="D397" t="s">
        <v>3097</v>
      </c>
      <c r="E397">
        <v>4294967296</v>
      </c>
      <c r="F397">
        <v>0</v>
      </c>
      <c r="H397">
        <v>1</v>
      </c>
      <c r="I397" t="s">
        <v>3100</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3097</v>
      </c>
      <c r="E398">
        <v>4294967296</v>
      </c>
      <c r="F398">
        <v>0</v>
      </c>
      <c r="H398">
        <v>1</v>
      </c>
      <c r="I398" t="s">
        <v>3101</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4">
        <v>415</v>
      </c>
      <c r="B399">
        <v>38</v>
      </c>
      <c r="C399">
        <v>1719</v>
      </c>
      <c r="D399" t="s">
        <v>3102</v>
      </c>
      <c r="E399">
        <v>744</v>
      </c>
      <c r="F399">
        <v>1160</v>
      </c>
      <c r="G399" t="s">
        <v>3102</v>
      </c>
      <c r="H399">
        <v>1</v>
      </c>
      <c r="I399" t="s">
        <v>3103</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3102</v>
      </c>
      <c r="E400">
        <v>744</v>
      </c>
      <c r="F400">
        <v>1160</v>
      </c>
      <c r="G400" t="s">
        <v>3102</v>
      </c>
      <c r="H400">
        <v>1</v>
      </c>
      <c r="I400" t="s">
        <v>3104</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4">
        <v>417</v>
      </c>
      <c r="B401">
        <v>38</v>
      </c>
      <c r="C401">
        <v>1719</v>
      </c>
      <c r="D401" t="s">
        <v>3102</v>
      </c>
      <c r="E401">
        <v>744</v>
      </c>
      <c r="F401">
        <v>1160</v>
      </c>
      <c r="G401" t="s">
        <v>3102</v>
      </c>
      <c r="H401">
        <v>1</v>
      </c>
      <c r="I401" t="s">
        <v>3105</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4">
        <v>418</v>
      </c>
      <c r="B402">
        <v>38</v>
      </c>
      <c r="C402">
        <v>1719</v>
      </c>
      <c r="D402" t="s">
        <v>3102</v>
      </c>
      <c r="E402">
        <v>744</v>
      </c>
      <c r="F402">
        <v>1160</v>
      </c>
      <c r="G402" t="s">
        <v>3102</v>
      </c>
      <c r="H402">
        <v>1</v>
      </c>
      <c r="I402" t="s">
        <v>3106</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3102</v>
      </c>
      <c r="E403">
        <v>744</v>
      </c>
      <c r="F403">
        <v>1160</v>
      </c>
      <c r="G403" t="s">
        <v>3102</v>
      </c>
      <c r="H403">
        <v>1</v>
      </c>
      <c r="I403" t="s">
        <v>3107</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3102</v>
      </c>
      <c r="E404">
        <v>744</v>
      </c>
      <c r="F404">
        <v>1160</v>
      </c>
      <c r="G404" t="s">
        <v>3102</v>
      </c>
      <c r="H404">
        <v>1</v>
      </c>
      <c r="I404" t="s">
        <v>3108</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3102</v>
      </c>
      <c r="E405">
        <v>744</v>
      </c>
      <c r="F405">
        <v>1160</v>
      </c>
      <c r="G405" t="s">
        <v>3102</v>
      </c>
      <c r="H405">
        <v>1</v>
      </c>
      <c r="I405" t="s">
        <v>3109</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4">
        <v>422</v>
      </c>
      <c r="B406">
        <v>37</v>
      </c>
      <c r="C406">
        <v>1654</v>
      </c>
      <c r="D406" t="s">
        <v>3089</v>
      </c>
      <c r="E406">
        <v>721</v>
      </c>
      <c r="F406">
        <v>1133</v>
      </c>
      <c r="G406" t="s">
        <v>3089</v>
      </c>
      <c r="H406">
        <v>7</v>
      </c>
      <c r="I406" t="s">
        <v>3110</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4">
        <v>423</v>
      </c>
      <c r="B407">
        <v>37</v>
      </c>
      <c r="C407">
        <v>1654</v>
      </c>
      <c r="D407" t="s">
        <v>3089</v>
      </c>
      <c r="E407">
        <v>721</v>
      </c>
      <c r="F407">
        <v>1133</v>
      </c>
      <c r="G407" t="s">
        <v>3089</v>
      </c>
      <c r="H407">
        <v>7</v>
      </c>
      <c r="I407" t="s">
        <v>3111</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2134</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3112</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4">
        <v>426</v>
      </c>
      <c r="B410">
        <v>38</v>
      </c>
      <c r="C410">
        <v>1719</v>
      </c>
      <c r="D410" t="s">
        <v>3102</v>
      </c>
      <c r="E410">
        <v>744</v>
      </c>
      <c r="F410">
        <v>1160</v>
      </c>
      <c r="G410" t="s">
        <v>3102</v>
      </c>
      <c r="H410">
        <v>1</v>
      </c>
      <c r="I410" t="s">
        <v>3113</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3114</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1655</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4">
        <v>429</v>
      </c>
      <c r="B413">
        <v>38</v>
      </c>
      <c r="C413">
        <v>1719</v>
      </c>
      <c r="D413" t="s">
        <v>3102</v>
      </c>
      <c r="E413">
        <v>744</v>
      </c>
      <c r="F413">
        <v>1160</v>
      </c>
      <c r="G413" t="s">
        <v>3102</v>
      </c>
      <c r="H413">
        <v>1</v>
      </c>
      <c r="I413" t="s">
        <v>3115</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3097</v>
      </c>
      <c r="E414">
        <v>4294967296</v>
      </c>
      <c r="F414">
        <v>0</v>
      </c>
      <c r="H414">
        <v>1</v>
      </c>
      <c r="I414" t="s">
        <v>3116</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4">
        <v>431</v>
      </c>
      <c r="B415">
        <v>40</v>
      </c>
      <c r="C415">
        <v>1782</v>
      </c>
      <c r="D415" t="s">
        <v>3097</v>
      </c>
      <c r="E415">
        <v>4294967296</v>
      </c>
      <c r="F415">
        <v>0</v>
      </c>
      <c r="H415">
        <v>1</v>
      </c>
      <c r="I415" t="s">
        <v>3117</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4">
        <v>432</v>
      </c>
      <c r="B416">
        <v>40</v>
      </c>
      <c r="C416">
        <v>1782</v>
      </c>
      <c r="D416" t="s">
        <v>3097</v>
      </c>
      <c r="E416">
        <v>4294967296</v>
      </c>
      <c r="F416">
        <v>0</v>
      </c>
      <c r="H416">
        <v>1</v>
      </c>
      <c r="I416" t="s">
        <v>3118</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4">
        <v>433</v>
      </c>
      <c r="B417">
        <v>40</v>
      </c>
      <c r="C417">
        <v>1782</v>
      </c>
      <c r="D417" t="s">
        <v>3097</v>
      </c>
      <c r="E417">
        <v>4294967296</v>
      </c>
      <c r="F417">
        <v>0</v>
      </c>
      <c r="H417">
        <v>1</v>
      </c>
      <c r="I417" t="s">
        <v>3119</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4">
        <v>434</v>
      </c>
      <c r="B418">
        <v>38</v>
      </c>
      <c r="C418">
        <v>1719</v>
      </c>
      <c r="D418" t="s">
        <v>3102</v>
      </c>
      <c r="E418">
        <v>744</v>
      </c>
      <c r="F418">
        <v>1160</v>
      </c>
      <c r="G418" t="s">
        <v>3102</v>
      </c>
      <c r="H418">
        <v>3</v>
      </c>
      <c r="I418" t="s">
        <v>3120</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4">
        <v>435</v>
      </c>
      <c r="B419">
        <v>40</v>
      </c>
      <c r="C419">
        <v>1782</v>
      </c>
      <c r="D419" t="s">
        <v>3097</v>
      </c>
      <c r="E419">
        <v>4294967296</v>
      </c>
      <c r="F419">
        <v>0</v>
      </c>
      <c r="H419">
        <v>6</v>
      </c>
      <c r="I419" t="s">
        <v>3121</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4">
        <v>436</v>
      </c>
      <c r="B420">
        <v>38</v>
      </c>
      <c r="C420">
        <v>1719</v>
      </c>
      <c r="D420" t="s">
        <v>3102</v>
      </c>
      <c r="E420">
        <v>744</v>
      </c>
      <c r="F420">
        <v>1160</v>
      </c>
      <c r="G420" t="s">
        <v>3102</v>
      </c>
      <c r="H420">
        <v>6</v>
      </c>
      <c r="I420" t="s">
        <v>3122</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4">
        <v>437</v>
      </c>
      <c r="B421">
        <v>29</v>
      </c>
      <c r="C421">
        <v>1006</v>
      </c>
      <c r="D421" t="s">
        <v>2311</v>
      </c>
      <c r="E421">
        <v>449</v>
      </c>
      <c r="F421">
        <v>823</v>
      </c>
      <c r="G421" t="s">
        <v>2962</v>
      </c>
      <c r="H421">
        <v>6</v>
      </c>
      <c r="I421" t="s">
        <v>3123</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4">
        <v>438</v>
      </c>
      <c r="B422">
        <v>38</v>
      </c>
      <c r="C422">
        <v>1719</v>
      </c>
      <c r="D422" t="s">
        <v>3102</v>
      </c>
      <c r="E422">
        <v>744</v>
      </c>
      <c r="F422">
        <v>1160</v>
      </c>
      <c r="G422" t="s">
        <v>3102</v>
      </c>
      <c r="H422">
        <v>7</v>
      </c>
      <c r="I422" t="s">
        <v>3124</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3102</v>
      </c>
      <c r="E423">
        <v>744</v>
      </c>
      <c r="F423">
        <v>1160</v>
      </c>
      <c r="G423" t="s">
        <v>3102</v>
      </c>
      <c r="H423">
        <v>7</v>
      </c>
      <c r="I423" t="s">
        <v>3125</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3097</v>
      </c>
      <c r="E424">
        <v>4294967296</v>
      </c>
      <c r="F424">
        <v>0</v>
      </c>
      <c r="G424"/>
      <c r="H424">
        <v>7</v>
      </c>
      <c r="I424" t="s">
        <v>3126</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2210</v>
      </c>
      <c r="E425">
        <v>784</v>
      </c>
      <c r="F425">
        <v>1207</v>
      </c>
      <c r="G425" t="s">
        <v>2210</v>
      </c>
      <c r="H425">
        <v>1</v>
      </c>
      <c r="I425" t="s">
        <v>2198</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2210</v>
      </c>
      <c r="E426">
        <v>784</v>
      </c>
      <c r="F426">
        <v>1207</v>
      </c>
      <c r="G426" t="s">
        <v>2210</v>
      </c>
      <c r="H426">
        <v>1</v>
      </c>
      <c r="I426" t="s">
        <v>2199</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2210</v>
      </c>
      <c r="E427">
        <v>784</v>
      </c>
      <c r="F427">
        <v>1207</v>
      </c>
      <c r="G427" t="s">
        <v>2210</v>
      </c>
      <c r="H427">
        <v>1</v>
      </c>
      <c r="I427" t="s">
        <v>2200</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2210</v>
      </c>
      <c r="E428">
        <v>784</v>
      </c>
      <c r="F428">
        <v>1207</v>
      </c>
      <c r="G428" t="s">
        <v>2210</v>
      </c>
      <c r="H428">
        <v>1</v>
      </c>
      <c r="I428" t="s">
        <v>2201</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2210</v>
      </c>
      <c r="E429">
        <v>784</v>
      </c>
      <c r="F429">
        <v>1207</v>
      </c>
      <c r="G429" t="s">
        <v>2210</v>
      </c>
      <c r="H429">
        <v>1</v>
      </c>
      <c r="I429" t="s">
        <v>2202</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4">
        <v>446</v>
      </c>
      <c r="B430">
        <v>40</v>
      </c>
      <c r="C430">
        <v>1782</v>
      </c>
      <c r="D430" t="s">
        <v>3097</v>
      </c>
      <c r="E430">
        <v>4294967296</v>
      </c>
      <c r="F430">
        <v>0</v>
      </c>
      <c r="H430">
        <v>1</v>
      </c>
      <c r="I430" t="s">
        <v>3127</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2210</v>
      </c>
      <c r="E431">
        <v>784</v>
      </c>
      <c r="F431">
        <v>1207</v>
      </c>
      <c r="G431" t="s">
        <v>2210</v>
      </c>
      <c r="H431">
        <v>1</v>
      </c>
      <c r="I431" t="s">
        <v>2204</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4">
        <v>448</v>
      </c>
      <c r="B432">
        <v>40</v>
      </c>
      <c r="C432">
        <v>1782</v>
      </c>
      <c r="D432" t="s">
        <v>3097</v>
      </c>
      <c r="E432">
        <v>4294967296</v>
      </c>
      <c r="F432">
        <v>0</v>
      </c>
      <c r="H432">
        <v>1</v>
      </c>
      <c r="I432" t="s">
        <v>3128</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2210</v>
      </c>
      <c r="E433">
        <v>784</v>
      </c>
      <c r="F433">
        <v>1207</v>
      </c>
      <c r="G433" t="s">
        <v>2210</v>
      </c>
      <c r="H433">
        <v>1</v>
      </c>
      <c r="I433" t="s">
        <v>2206</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4">
        <v>450</v>
      </c>
      <c r="B434">
        <v>38</v>
      </c>
      <c r="C434">
        <v>1719</v>
      </c>
      <c r="D434" t="s">
        <v>3102</v>
      </c>
      <c r="E434">
        <v>744</v>
      </c>
      <c r="F434">
        <v>1160</v>
      </c>
      <c r="G434" t="s">
        <v>3102</v>
      </c>
      <c r="H434">
        <v>1</v>
      </c>
      <c r="I434" t="s">
        <v>3129</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3102</v>
      </c>
      <c r="E435">
        <v>744</v>
      </c>
      <c r="F435">
        <v>1160</v>
      </c>
      <c r="G435" t="s">
        <v>3102</v>
      </c>
      <c r="H435">
        <v>1</v>
      </c>
      <c r="I435" t="s">
        <v>3130</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3102</v>
      </c>
      <c r="E436">
        <v>744</v>
      </c>
      <c r="F436">
        <v>1160</v>
      </c>
      <c r="G436" t="s">
        <v>3102</v>
      </c>
      <c r="H436">
        <v>7</v>
      </c>
      <c r="I436" t="s">
        <v>3131</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3102</v>
      </c>
      <c r="E437">
        <v>744</v>
      </c>
      <c r="F437">
        <v>1160</v>
      </c>
      <c r="G437" t="s">
        <v>3102</v>
      </c>
      <c r="H437">
        <v>7</v>
      </c>
      <c r="I437" t="s">
        <v>3132</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3133</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4">
        <v>455</v>
      </c>
      <c r="B439">
        <v>38</v>
      </c>
      <c r="C439">
        <v>1719</v>
      </c>
      <c r="D439" t="s">
        <v>3102</v>
      </c>
      <c r="E439">
        <v>744</v>
      </c>
      <c r="F439">
        <v>1160</v>
      </c>
      <c r="G439" t="s">
        <v>3102</v>
      </c>
      <c r="H439">
        <v>7</v>
      </c>
      <c r="I439" t="s">
        <v>3134</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2210</v>
      </c>
      <c r="E440">
        <v>784</v>
      </c>
      <c r="F440">
        <v>1207</v>
      </c>
      <c r="G440" t="s">
        <v>2210</v>
      </c>
      <c r="H440">
        <v>7</v>
      </c>
      <c r="I440" t="s">
        <v>2208</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2210</v>
      </c>
      <c r="E441">
        <v>784</v>
      </c>
      <c r="F441">
        <v>1207</v>
      </c>
      <c r="G441" t="s">
        <v>2210</v>
      </c>
      <c r="H441">
        <v>0</v>
      </c>
      <c r="I441" t="s">
        <v>2209</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4">
        <v>458</v>
      </c>
      <c r="B442">
        <v>43</v>
      </c>
      <c r="C442">
        <v>1887</v>
      </c>
      <c r="D442" t="s">
        <v>3135</v>
      </c>
      <c r="E442">
        <v>835</v>
      </c>
      <c r="F442">
        <v>1261</v>
      </c>
      <c r="G442" t="s">
        <v>3135</v>
      </c>
      <c r="H442">
        <v>1</v>
      </c>
      <c r="I442" t="s">
        <v>3136</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4">
        <v>459</v>
      </c>
      <c r="B443">
        <v>43</v>
      </c>
      <c r="C443">
        <v>1887</v>
      </c>
      <c r="D443" t="s">
        <v>3135</v>
      </c>
      <c r="E443">
        <v>835</v>
      </c>
      <c r="F443">
        <v>1261</v>
      </c>
      <c r="G443" t="s">
        <v>3135</v>
      </c>
      <c r="H443">
        <v>1</v>
      </c>
      <c r="I443" t="s">
        <v>3137</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4">
        <v>460</v>
      </c>
      <c r="B444">
        <v>43</v>
      </c>
      <c r="C444">
        <v>1887</v>
      </c>
      <c r="D444" t="s">
        <v>3135</v>
      </c>
      <c r="E444">
        <v>835</v>
      </c>
      <c r="F444">
        <v>1261</v>
      </c>
      <c r="G444" t="s">
        <v>3135</v>
      </c>
      <c r="H444">
        <v>1</v>
      </c>
      <c r="I444" t="s">
        <v>3138</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4">
        <v>461</v>
      </c>
      <c r="B445">
        <v>43</v>
      </c>
      <c r="C445">
        <v>1887</v>
      </c>
      <c r="D445" t="s">
        <v>3135</v>
      </c>
      <c r="E445">
        <v>835</v>
      </c>
      <c r="F445">
        <v>1261</v>
      </c>
      <c r="G445" t="s">
        <v>3135</v>
      </c>
      <c r="H445">
        <v>1</v>
      </c>
      <c r="I445" t="s">
        <v>3139</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4">
        <v>462</v>
      </c>
      <c r="B446">
        <v>43</v>
      </c>
      <c r="C446">
        <v>1887</v>
      </c>
      <c r="D446" t="s">
        <v>3135</v>
      </c>
      <c r="E446">
        <v>835</v>
      </c>
      <c r="F446">
        <v>1261</v>
      </c>
      <c r="G446" t="s">
        <v>3135</v>
      </c>
      <c r="H446">
        <v>1</v>
      </c>
      <c r="I446" t="s">
        <v>3140</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4">
        <v>463</v>
      </c>
      <c r="B447">
        <v>43</v>
      </c>
      <c r="C447">
        <v>1887</v>
      </c>
      <c r="D447" t="s">
        <v>3135</v>
      </c>
      <c r="E447">
        <v>835</v>
      </c>
      <c r="F447">
        <v>1261</v>
      </c>
      <c r="G447" t="s">
        <v>3135</v>
      </c>
      <c r="H447">
        <v>1</v>
      </c>
      <c r="I447" t="s">
        <v>3141</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4">
        <v>464</v>
      </c>
      <c r="B448">
        <v>43</v>
      </c>
      <c r="C448">
        <v>1887</v>
      </c>
      <c r="D448" t="s">
        <v>3135</v>
      </c>
      <c r="E448">
        <v>835</v>
      </c>
      <c r="F448">
        <v>1261</v>
      </c>
      <c r="G448" t="s">
        <v>3135</v>
      </c>
      <c r="H448">
        <v>1</v>
      </c>
      <c r="I448" t="s">
        <v>3142</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3143</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4">
        <v>466</v>
      </c>
      <c r="B450">
        <v>29</v>
      </c>
      <c r="C450">
        <v>1006</v>
      </c>
      <c r="D450" t="s">
        <v>2311</v>
      </c>
      <c r="E450">
        <v>449</v>
      </c>
      <c r="F450">
        <v>823</v>
      </c>
      <c r="G450" t="s">
        <v>2962</v>
      </c>
      <c r="H450">
        <v>7</v>
      </c>
      <c r="I450" t="s">
        <v>3144</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4">
        <v>467</v>
      </c>
      <c r="B451">
        <v>43</v>
      </c>
      <c r="C451">
        <v>1887</v>
      </c>
      <c r="D451" t="s">
        <v>3135</v>
      </c>
      <c r="E451">
        <v>835</v>
      </c>
      <c r="F451">
        <v>1261</v>
      </c>
      <c r="G451" t="s">
        <v>3135</v>
      </c>
      <c r="H451">
        <v>1</v>
      </c>
      <c r="I451" t="s">
        <v>3145</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3135</v>
      </c>
      <c r="E452">
        <v>835</v>
      </c>
      <c r="F452">
        <v>1261</v>
      </c>
      <c r="G452" t="s">
        <v>3135</v>
      </c>
      <c r="H452">
        <v>3</v>
      </c>
      <c r="I452" t="s">
        <v>3146</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4">
        <v>469</v>
      </c>
      <c r="B453">
        <v>43</v>
      </c>
      <c r="C453">
        <v>1887</v>
      </c>
      <c r="D453" t="s">
        <v>3135</v>
      </c>
      <c r="E453">
        <v>835</v>
      </c>
      <c r="F453">
        <v>1261</v>
      </c>
      <c r="G453" t="s">
        <v>3135</v>
      </c>
      <c r="H453">
        <v>6</v>
      </c>
      <c r="I453" t="s">
        <v>3147</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3148</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4">
        <v>471</v>
      </c>
      <c r="B455">
        <v>43</v>
      </c>
      <c r="C455">
        <v>1887</v>
      </c>
      <c r="D455" t="s">
        <v>3135</v>
      </c>
      <c r="E455">
        <v>835</v>
      </c>
      <c r="F455">
        <v>1261</v>
      </c>
      <c r="G455" t="s">
        <v>3135</v>
      </c>
      <c r="H455">
        <v>7</v>
      </c>
      <c r="I455" t="s">
        <v>3149</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4">
        <v>472</v>
      </c>
      <c r="B456">
        <v>43</v>
      </c>
      <c r="C456">
        <v>1887</v>
      </c>
      <c r="D456" t="s">
        <v>3135</v>
      </c>
      <c r="E456">
        <v>835</v>
      </c>
      <c r="F456">
        <v>1261</v>
      </c>
      <c r="G456" t="s">
        <v>3135</v>
      </c>
      <c r="H456">
        <v>7</v>
      </c>
      <c r="I456" t="s">
        <v>3150</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4">
        <v>473</v>
      </c>
      <c r="B457">
        <v>43</v>
      </c>
      <c r="C457">
        <v>1887</v>
      </c>
      <c r="D457" t="s">
        <v>3135</v>
      </c>
      <c r="E457">
        <v>835</v>
      </c>
      <c r="F457">
        <v>1261</v>
      </c>
      <c r="G457" t="s">
        <v>3135</v>
      </c>
      <c r="H457">
        <v>7</v>
      </c>
      <c r="I457" t="s">
        <v>3151</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4">
        <v>476</v>
      </c>
      <c r="B458">
        <v>45</v>
      </c>
      <c r="C458">
        <v>2021</v>
      </c>
      <c r="D458" t="s">
        <v>3152</v>
      </c>
      <c r="E458">
        <v>858</v>
      </c>
      <c r="F458">
        <v>1286</v>
      </c>
      <c r="G458" t="s">
        <v>3152</v>
      </c>
      <c r="H458">
        <v>1</v>
      </c>
      <c r="I458" t="s">
        <v>3153</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3152</v>
      </c>
      <c r="E459">
        <v>858</v>
      </c>
      <c r="F459">
        <v>1286</v>
      </c>
      <c r="G459" t="s">
        <v>3152</v>
      </c>
      <c r="H459">
        <v>1</v>
      </c>
      <c r="I459" t="s">
        <v>3154</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4">
        <v>478</v>
      </c>
      <c r="B460">
        <v>45</v>
      </c>
      <c r="C460">
        <v>2021</v>
      </c>
      <c r="D460" t="s">
        <v>3152</v>
      </c>
      <c r="E460">
        <v>858</v>
      </c>
      <c r="F460">
        <v>1286</v>
      </c>
      <c r="G460" t="s">
        <v>3152</v>
      </c>
      <c r="H460">
        <v>1</v>
      </c>
      <c r="I460" t="s">
        <v>3155</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3152</v>
      </c>
      <c r="E461">
        <v>858</v>
      </c>
      <c r="F461">
        <v>1286</v>
      </c>
      <c r="G461" t="s">
        <v>3152</v>
      </c>
      <c r="H461">
        <v>1</v>
      </c>
      <c r="I461" t="s">
        <v>3156</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3152</v>
      </c>
      <c r="E462">
        <v>858</v>
      </c>
      <c r="F462">
        <v>1286</v>
      </c>
      <c r="G462" t="s">
        <v>3152</v>
      </c>
      <c r="H462">
        <v>1</v>
      </c>
      <c r="I462" t="s">
        <v>3157</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3135</v>
      </c>
      <c r="E463">
        <v>835</v>
      </c>
      <c r="F463">
        <v>1261</v>
      </c>
      <c r="G463" t="s">
        <v>3135</v>
      </c>
      <c r="H463">
        <v>1</v>
      </c>
      <c r="I463" t="s">
        <v>3158</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3135</v>
      </c>
      <c r="E464">
        <v>835</v>
      </c>
      <c r="F464">
        <v>1261</v>
      </c>
      <c r="G464" t="s">
        <v>3135</v>
      </c>
      <c r="H464">
        <v>1</v>
      </c>
      <c r="I464" t="s">
        <v>3159</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3135</v>
      </c>
      <c r="E465">
        <v>835</v>
      </c>
      <c r="F465">
        <v>1261</v>
      </c>
      <c r="G465" t="s">
        <v>3135</v>
      </c>
      <c r="H465">
        <v>1</v>
      </c>
      <c r="I465" t="s">
        <v>3160</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4">
        <v>484</v>
      </c>
      <c r="B466">
        <v>43</v>
      </c>
      <c r="C466">
        <v>1887</v>
      </c>
      <c r="D466" t="s">
        <v>3135</v>
      </c>
      <c r="E466">
        <v>835</v>
      </c>
      <c r="F466">
        <v>1261</v>
      </c>
      <c r="G466" t="s">
        <v>3135</v>
      </c>
      <c r="H466">
        <v>1</v>
      </c>
      <c r="I466" t="s">
        <v>3161</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3162</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4">
        <v>486</v>
      </c>
      <c r="B468">
        <v>43</v>
      </c>
      <c r="C468">
        <v>1887</v>
      </c>
      <c r="D468" t="s">
        <v>3135</v>
      </c>
      <c r="E468">
        <v>835</v>
      </c>
      <c r="F468">
        <v>1261</v>
      </c>
      <c r="G468" t="s">
        <v>3135</v>
      </c>
      <c r="H468">
        <v>7</v>
      </c>
      <c r="I468" t="s">
        <v>3163</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4">
        <v>487</v>
      </c>
      <c r="B469">
        <v>44</v>
      </c>
      <c r="C469">
        <v>2119</v>
      </c>
      <c r="D469" t="s">
        <v>2694</v>
      </c>
      <c r="E469">
        <v>855</v>
      </c>
      <c r="F469">
        <v>1283</v>
      </c>
      <c r="G469" t="s">
        <v>2695</v>
      </c>
      <c r="H469">
        <v>1</v>
      </c>
      <c r="I469" t="s">
        <v>2697</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3416</v>
      </c>
      <c r="E470">
        <v>884</v>
      </c>
      <c r="F470">
        <v>1318</v>
      </c>
      <c r="G470" t="s">
        <v>3307</v>
      </c>
      <c r="H470">
        <v>3</v>
      </c>
      <c r="I470" t="s">
        <v>3313</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4">
        <v>489</v>
      </c>
      <c r="B471">
        <v>44</v>
      </c>
      <c r="C471">
        <v>2119</v>
      </c>
      <c r="D471" t="s">
        <v>2694</v>
      </c>
      <c r="E471">
        <v>855</v>
      </c>
      <c r="F471">
        <v>1283</v>
      </c>
      <c r="G471" t="s">
        <v>2695</v>
      </c>
      <c r="H471">
        <v>1</v>
      </c>
      <c r="I471" t="s">
        <v>3164</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4">
        <v>490</v>
      </c>
      <c r="B472">
        <v>45</v>
      </c>
      <c r="C472">
        <v>2021</v>
      </c>
      <c r="D472" t="s">
        <v>3152</v>
      </c>
      <c r="E472">
        <v>858</v>
      </c>
      <c r="F472">
        <v>1286</v>
      </c>
      <c r="G472" t="s">
        <v>3152</v>
      </c>
      <c r="H472">
        <v>1</v>
      </c>
      <c r="I472" t="s">
        <v>3165</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3152</v>
      </c>
      <c r="E473">
        <v>858</v>
      </c>
      <c r="F473">
        <v>1286</v>
      </c>
      <c r="G473" t="s">
        <v>3152</v>
      </c>
      <c r="H473">
        <v>1</v>
      </c>
      <c r="I473" t="s">
        <v>3166</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2694</v>
      </c>
      <c r="E474">
        <v>855</v>
      </c>
      <c r="F474">
        <v>1283</v>
      </c>
      <c r="G474" t="s">
        <v>2695</v>
      </c>
      <c r="H474">
        <v>1</v>
      </c>
      <c r="I474" t="s">
        <v>2696</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4">
        <v>494</v>
      </c>
      <c r="B475">
        <v>45</v>
      </c>
      <c r="C475">
        <v>2021</v>
      </c>
      <c r="D475" t="s">
        <v>3152</v>
      </c>
      <c r="E475">
        <v>858</v>
      </c>
      <c r="F475">
        <v>1286</v>
      </c>
      <c r="G475" t="s">
        <v>3152</v>
      </c>
      <c r="H475">
        <v>1</v>
      </c>
      <c r="I475" t="s">
        <v>3167</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2694</v>
      </c>
      <c r="E476">
        <v>855</v>
      </c>
      <c r="F476">
        <v>1283</v>
      </c>
      <c r="G476" t="s">
        <v>2695</v>
      </c>
      <c r="H476">
        <v>7</v>
      </c>
      <c r="I476" t="s">
        <v>2698</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4">
        <v>496</v>
      </c>
      <c r="B477">
        <v>45</v>
      </c>
      <c r="C477">
        <v>2021</v>
      </c>
      <c r="D477" t="s">
        <v>3152</v>
      </c>
      <c r="E477">
        <v>858</v>
      </c>
      <c r="F477">
        <v>1286</v>
      </c>
      <c r="G477" t="s">
        <v>3152</v>
      </c>
      <c r="H477">
        <v>7</v>
      </c>
      <c r="I477" t="s">
        <v>3168</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4">
        <v>497</v>
      </c>
      <c r="B478">
        <v>32</v>
      </c>
      <c r="C478">
        <v>1349</v>
      </c>
      <c r="D478" t="s">
        <v>2314</v>
      </c>
      <c r="E478">
        <v>617</v>
      </c>
      <c r="F478">
        <v>1011</v>
      </c>
      <c r="G478" t="s">
        <v>2314</v>
      </c>
      <c r="H478">
        <v>6</v>
      </c>
      <c r="I478" t="s">
        <v>3169</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4">
        <v>498</v>
      </c>
      <c r="B479">
        <v>3</v>
      </c>
      <c r="C479">
        <v>10</v>
      </c>
      <c r="D479" t="s">
        <v>2305</v>
      </c>
      <c r="E479">
        <v>5</v>
      </c>
      <c r="F479">
        <v>20</v>
      </c>
      <c r="G479" t="s">
        <v>2305</v>
      </c>
      <c r="H479">
        <v>6</v>
      </c>
      <c r="I479" t="s">
        <v>3170</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3171</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4">
        <v>501</v>
      </c>
      <c r="B481">
        <v>46</v>
      </c>
      <c r="C481">
        <v>2114</v>
      </c>
      <c r="D481" t="s">
        <v>3416</v>
      </c>
      <c r="E481">
        <v>884</v>
      </c>
      <c r="F481">
        <v>1318</v>
      </c>
      <c r="G481" t="s">
        <v>3307</v>
      </c>
      <c r="H481">
        <v>1</v>
      </c>
      <c r="I481" t="s">
        <v>3316</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3416</v>
      </c>
      <c r="E482">
        <v>884</v>
      </c>
      <c r="F482">
        <v>1318</v>
      </c>
      <c r="G482" t="s">
        <v>3307</v>
      </c>
      <c r="H482">
        <v>1</v>
      </c>
      <c r="I482" t="s">
        <v>3317</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4">
        <v>503</v>
      </c>
      <c r="B483">
        <v>46</v>
      </c>
      <c r="C483">
        <v>2114</v>
      </c>
      <c r="D483" t="s">
        <v>3416</v>
      </c>
      <c r="E483">
        <v>884</v>
      </c>
      <c r="F483">
        <v>1318</v>
      </c>
      <c r="G483" t="s">
        <v>3307</v>
      </c>
      <c r="H483">
        <v>1</v>
      </c>
      <c r="I483" t="s">
        <v>3318</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4">
        <v>504</v>
      </c>
      <c r="B484">
        <v>46</v>
      </c>
      <c r="C484">
        <v>2114</v>
      </c>
      <c r="D484" t="s">
        <v>3416</v>
      </c>
      <c r="E484">
        <v>884</v>
      </c>
      <c r="F484">
        <v>1318</v>
      </c>
      <c r="G484" t="s">
        <v>3307</v>
      </c>
      <c r="H484">
        <v>1</v>
      </c>
      <c r="I484" t="s">
        <v>3319</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4">
        <v>505</v>
      </c>
      <c r="B485">
        <v>46</v>
      </c>
      <c r="C485">
        <v>2114</v>
      </c>
      <c r="D485" t="s">
        <v>3416</v>
      </c>
      <c r="E485">
        <v>884</v>
      </c>
      <c r="F485">
        <v>1318</v>
      </c>
      <c r="G485" t="s">
        <v>3307</v>
      </c>
      <c r="H485">
        <v>1</v>
      </c>
      <c r="I485" t="s">
        <v>3320</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4">
        <v>506</v>
      </c>
      <c r="B486">
        <v>46</v>
      </c>
      <c r="C486">
        <v>2114</v>
      </c>
      <c r="D486" t="s">
        <v>3416</v>
      </c>
      <c r="E486">
        <v>884</v>
      </c>
      <c r="F486">
        <v>1318</v>
      </c>
      <c r="G486" t="s">
        <v>3307</v>
      </c>
      <c r="H486">
        <v>1</v>
      </c>
      <c r="I486" t="s">
        <v>3321</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4">
        <v>507</v>
      </c>
      <c r="B487">
        <v>46</v>
      </c>
      <c r="C487">
        <v>2114</v>
      </c>
      <c r="D487" t="s">
        <v>3416</v>
      </c>
      <c r="E487">
        <v>884</v>
      </c>
      <c r="F487">
        <v>1318</v>
      </c>
      <c r="G487" t="s">
        <v>3307</v>
      </c>
      <c r="H487">
        <v>1</v>
      </c>
      <c r="I487" t="s">
        <v>3322</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3416</v>
      </c>
      <c r="E488">
        <v>884</v>
      </c>
      <c r="F488">
        <v>1318</v>
      </c>
      <c r="G488" t="s">
        <v>3307</v>
      </c>
      <c r="H488">
        <v>1</v>
      </c>
      <c r="I488" t="s">
        <v>3323</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4">
        <v>509</v>
      </c>
      <c r="B489">
        <v>46</v>
      </c>
      <c r="C489">
        <v>2114</v>
      </c>
      <c r="D489" t="s">
        <v>3416</v>
      </c>
      <c r="E489">
        <v>884</v>
      </c>
      <c r="F489">
        <v>1318</v>
      </c>
      <c r="G489" t="s">
        <v>3307</v>
      </c>
      <c r="H489">
        <v>1</v>
      </c>
      <c r="I489" t="s">
        <v>3324</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4">
        <v>510</v>
      </c>
      <c r="B490">
        <v>46</v>
      </c>
      <c r="C490">
        <v>2114</v>
      </c>
      <c r="D490" t="s">
        <v>3416</v>
      </c>
      <c r="E490">
        <v>884</v>
      </c>
      <c r="F490">
        <v>1318</v>
      </c>
      <c r="G490" t="s">
        <v>3307</v>
      </c>
      <c r="H490">
        <v>1</v>
      </c>
      <c r="I490" t="s">
        <v>3325</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4">
        <v>511</v>
      </c>
      <c r="B491">
        <v>46</v>
      </c>
      <c r="C491">
        <v>2114</v>
      </c>
      <c r="D491" t="s">
        <v>3416</v>
      </c>
      <c r="E491">
        <v>884</v>
      </c>
      <c r="F491">
        <v>1318</v>
      </c>
      <c r="G491" t="s">
        <v>3307</v>
      </c>
      <c r="H491">
        <v>1</v>
      </c>
      <c r="I491" t="s">
        <v>3326</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4">
        <v>512</v>
      </c>
      <c r="B492">
        <v>46</v>
      </c>
      <c r="C492">
        <v>2114</v>
      </c>
      <c r="D492" t="s">
        <v>3416</v>
      </c>
      <c r="E492">
        <v>884</v>
      </c>
      <c r="F492">
        <v>1318</v>
      </c>
      <c r="G492" t="s">
        <v>3307</v>
      </c>
      <c r="H492">
        <v>1</v>
      </c>
      <c r="I492" t="s">
        <v>3308</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4">
        <v>513</v>
      </c>
      <c r="B493">
        <v>46</v>
      </c>
      <c r="C493">
        <v>2114</v>
      </c>
      <c r="D493" t="s">
        <v>3416</v>
      </c>
      <c r="E493">
        <v>884</v>
      </c>
      <c r="F493">
        <v>1318</v>
      </c>
      <c r="G493" t="s">
        <v>3307</v>
      </c>
      <c r="H493">
        <v>1</v>
      </c>
      <c r="I493" t="s">
        <v>3309</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4">
        <v>517</v>
      </c>
      <c r="B494">
        <v>46</v>
      </c>
      <c r="C494">
        <v>2114</v>
      </c>
      <c r="D494" t="s">
        <v>3416</v>
      </c>
      <c r="E494">
        <v>884</v>
      </c>
      <c r="F494">
        <v>1318</v>
      </c>
      <c r="G494" t="s">
        <v>3307</v>
      </c>
      <c r="H494">
        <v>0</v>
      </c>
      <c r="I494" t="s">
        <v>3310</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4">
        <v>518</v>
      </c>
      <c r="B495">
        <v>46</v>
      </c>
      <c r="C495">
        <v>2114</v>
      </c>
      <c r="D495" t="s">
        <v>3416</v>
      </c>
      <c r="E495">
        <v>884</v>
      </c>
      <c r="F495">
        <v>1318</v>
      </c>
      <c r="G495" t="s">
        <v>3307</v>
      </c>
      <c r="H495">
        <v>1</v>
      </c>
      <c r="I495" t="s">
        <v>3311</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4">
        <v>519</v>
      </c>
      <c r="B496">
        <v>46</v>
      </c>
      <c r="C496">
        <v>2114</v>
      </c>
      <c r="D496" t="s">
        <v>3416</v>
      </c>
      <c r="E496">
        <v>884</v>
      </c>
      <c r="F496">
        <v>1318</v>
      </c>
      <c r="G496" t="s">
        <v>3307</v>
      </c>
      <c r="H496">
        <v>1</v>
      </c>
      <c r="I496" t="s">
        <v>3312</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4">
        <v>520</v>
      </c>
      <c r="B497">
        <v>46</v>
      </c>
      <c r="C497">
        <v>2114</v>
      </c>
      <c r="D497" t="s">
        <v>3416</v>
      </c>
      <c r="E497">
        <v>884</v>
      </c>
      <c r="F497">
        <v>1318</v>
      </c>
      <c r="G497" t="s">
        <v>3307</v>
      </c>
      <c r="H497">
        <v>6</v>
      </c>
      <c r="I497" t="s">
        <v>3417</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3416</v>
      </c>
      <c r="E498">
        <v>884</v>
      </c>
      <c r="F498">
        <v>1318</v>
      </c>
      <c r="G498" t="s">
        <v>3307</v>
      </c>
      <c r="H498">
        <v>6</v>
      </c>
      <c r="I498" t="s">
        <v>3410</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4">
        <v>522</v>
      </c>
      <c r="B499">
        <v>46</v>
      </c>
      <c r="C499">
        <v>2114</v>
      </c>
      <c r="D499" t="s">
        <v>3416</v>
      </c>
      <c r="E499">
        <v>884</v>
      </c>
      <c r="F499">
        <v>1318</v>
      </c>
      <c r="G499" t="s">
        <v>3307</v>
      </c>
      <c r="H499">
        <v>7</v>
      </c>
      <c r="I499" t="s">
        <v>3314</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4">
        <v>523</v>
      </c>
      <c r="B500">
        <v>46</v>
      </c>
      <c r="C500">
        <v>2114</v>
      </c>
      <c r="D500" t="s">
        <v>3416</v>
      </c>
      <c r="E500">
        <v>884</v>
      </c>
      <c r="F500">
        <v>1318</v>
      </c>
      <c r="G500" t="s">
        <v>3307</v>
      </c>
      <c r="H500">
        <v>7</v>
      </c>
      <c r="I500" t="s">
        <v>3315</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4">
        <v>524</v>
      </c>
      <c r="B501">
        <v>48</v>
      </c>
      <c r="C501">
        <v>2212</v>
      </c>
      <c r="D501" t="s">
        <v>3482</v>
      </c>
      <c r="E501">
        <v>929</v>
      </c>
      <c r="F501">
        <v>1383</v>
      </c>
      <c r="G501" t="s">
        <v>3470</v>
      </c>
      <c r="H501">
        <v>1</v>
      </c>
      <c r="I501" t="s">
        <v>3486</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4">
        <v>525</v>
      </c>
      <c r="B502">
        <v>48</v>
      </c>
      <c r="C502">
        <v>2212</v>
      </c>
      <c r="D502" t="s">
        <v>3482</v>
      </c>
      <c r="E502">
        <v>929</v>
      </c>
      <c r="F502">
        <v>1383</v>
      </c>
      <c r="G502" t="s">
        <v>3470</v>
      </c>
      <c r="H502">
        <v>1</v>
      </c>
      <c r="I502" t="s">
        <v>3487</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4">
        <v>526</v>
      </c>
      <c r="B503">
        <v>48</v>
      </c>
      <c r="C503">
        <v>2212</v>
      </c>
      <c r="D503" t="s">
        <v>3482</v>
      </c>
      <c r="E503">
        <v>929</v>
      </c>
      <c r="F503">
        <v>1383</v>
      </c>
      <c r="G503" t="s">
        <v>3470</v>
      </c>
      <c r="H503">
        <v>1</v>
      </c>
      <c r="I503" t="s">
        <v>3488</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4">
        <v>527</v>
      </c>
      <c r="B504">
        <v>48</v>
      </c>
      <c r="C504">
        <v>2212</v>
      </c>
      <c r="D504" t="s">
        <v>3482</v>
      </c>
      <c r="E504">
        <v>929</v>
      </c>
      <c r="F504">
        <v>1383</v>
      </c>
      <c r="G504" t="s">
        <v>3470</v>
      </c>
      <c r="H504">
        <v>1</v>
      </c>
      <c r="I504" t="s">
        <v>3489</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4">
        <v>528</v>
      </c>
      <c r="B505">
        <v>48</v>
      </c>
      <c r="C505">
        <v>2212</v>
      </c>
      <c r="D505" t="s">
        <v>3482</v>
      </c>
      <c r="E505">
        <v>929</v>
      </c>
      <c r="F505">
        <v>1383</v>
      </c>
      <c r="G505" t="s">
        <v>3470</v>
      </c>
      <c r="H505">
        <v>1</v>
      </c>
      <c r="I505" t="s">
        <v>3483</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4">
        <v>529</v>
      </c>
      <c r="B506">
        <v>48</v>
      </c>
      <c r="C506">
        <v>2212</v>
      </c>
      <c r="D506" t="s">
        <v>3482</v>
      </c>
      <c r="E506">
        <v>929</v>
      </c>
      <c r="F506">
        <v>1383</v>
      </c>
      <c r="G506" t="s">
        <v>3470</v>
      </c>
      <c r="H506">
        <v>1</v>
      </c>
      <c r="I506" t="s">
        <v>3484</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4">
        <v>530</v>
      </c>
      <c r="B507">
        <v>48</v>
      </c>
      <c r="C507">
        <v>2212</v>
      </c>
      <c r="D507" t="s">
        <v>3482</v>
      </c>
      <c r="E507">
        <v>929</v>
      </c>
      <c r="F507">
        <v>1383</v>
      </c>
      <c r="G507" t="s">
        <v>3470</v>
      </c>
      <c r="H507">
        <v>1</v>
      </c>
      <c r="I507" t="s">
        <v>3485</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4">
        <v>531</v>
      </c>
      <c r="B508">
        <v>11</v>
      </c>
      <c r="C508">
        <v>7</v>
      </c>
      <c r="D508" t="s">
        <v>2310</v>
      </c>
      <c r="E508">
        <v>9</v>
      </c>
      <c r="F508">
        <v>41</v>
      </c>
      <c r="G508" t="s">
        <v>2310</v>
      </c>
      <c r="H508">
        <v>6</v>
      </c>
      <c r="I508" t="s">
        <v>3585</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4">
        <v>532</v>
      </c>
      <c r="B509">
        <v>12</v>
      </c>
      <c r="C509">
        <v>125</v>
      </c>
      <c r="D509" t="s">
        <v>2308</v>
      </c>
      <c r="E509">
        <v>16</v>
      </c>
      <c r="F509">
        <v>103</v>
      </c>
      <c r="G509" t="s">
        <v>2308</v>
      </c>
      <c r="H509">
        <v>6</v>
      </c>
      <c r="I509" t="s">
        <v>3586</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4">
        <v>533</v>
      </c>
      <c r="B510">
        <v>46</v>
      </c>
      <c r="C510">
        <v>2114</v>
      </c>
      <c r="D510" t="s">
        <v>3416</v>
      </c>
      <c r="E510">
        <v>884</v>
      </c>
      <c r="F510">
        <v>1318</v>
      </c>
      <c r="G510" t="s">
        <v>3307</v>
      </c>
      <c r="H510">
        <v>7</v>
      </c>
      <c r="I510" t="s">
        <v>3826</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4">
        <v>534</v>
      </c>
      <c r="B511">
        <v>49</v>
      </c>
      <c r="C511">
        <v>2274</v>
      </c>
      <c r="D511" t="s">
        <v>3634</v>
      </c>
      <c r="E511">
        <v>958</v>
      </c>
      <c r="F511">
        <v>1414</v>
      </c>
      <c r="G511" t="s">
        <v>3634</v>
      </c>
      <c r="H511">
        <v>3</v>
      </c>
      <c r="I511" t="s">
        <v>3639</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3634</v>
      </c>
      <c r="E512">
        <v>958</v>
      </c>
      <c r="F512">
        <v>1414</v>
      </c>
      <c r="G512" t="s">
        <v>3634</v>
      </c>
      <c r="H512">
        <v>1</v>
      </c>
      <c r="I512" t="s">
        <v>3640</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3634</v>
      </c>
      <c r="E513">
        <v>958</v>
      </c>
      <c r="F513">
        <v>1414</v>
      </c>
      <c r="G513" t="s">
        <v>3634</v>
      </c>
      <c r="H513">
        <v>1</v>
      </c>
      <c r="I513" t="s">
        <v>3641</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4">
        <v>537</v>
      </c>
      <c r="B514">
        <v>49</v>
      </c>
      <c r="C514">
        <v>2274</v>
      </c>
      <c r="D514" t="s">
        <v>3634</v>
      </c>
      <c r="E514">
        <v>958</v>
      </c>
      <c r="F514">
        <v>1414</v>
      </c>
      <c r="G514" t="s">
        <v>3634</v>
      </c>
      <c r="H514">
        <v>1</v>
      </c>
      <c r="I514" t="s">
        <v>3827</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3634</v>
      </c>
      <c r="E515">
        <v>958</v>
      </c>
      <c r="F515">
        <v>1414</v>
      </c>
      <c r="G515" t="s">
        <v>3634</v>
      </c>
      <c r="H515">
        <v>1</v>
      </c>
      <c r="I515" t="s">
        <v>3642</v>
      </c>
      <c r="J515" s="30" t="str">
        <f t="shared" ref="J515:J537"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3634</v>
      </c>
      <c r="E516">
        <v>958</v>
      </c>
      <c r="F516">
        <v>1414</v>
      </c>
      <c r="G516" t="s">
        <v>3634</v>
      </c>
      <c r="H516">
        <v>1</v>
      </c>
      <c r="I516" t="s">
        <v>3643</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3628</v>
      </c>
      <c r="E517">
        <v>957</v>
      </c>
      <c r="F517">
        <v>1413</v>
      </c>
      <c r="G517" t="s">
        <v>3628</v>
      </c>
      <c r="H517">
        <v>1</v>
      </c>
      <c r="I517" t="s">
        <v>3644</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4">
        <v>541</v>
      </c>
      <c r="B518">
        <v>50</v>
      </c>
      <c r="C518">
        <v>2275</v>
      </c>
      <c r="D518" t="s">
        <v>3628</v>
      </c>
      <c r="E518">
        <v>957</v>
      </c>
      <c r="F518">
        <v>1413</v>
      </c>
      <c r="G518" t="s">
        <v>3628</v>
      </c>
      <c r="H518">
        <v>1</v>
      </c>
      <c r="I518" t="s">
        <v>3645</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3628</v>
      </c>
      <c r="E519">
        <v>957</v>
      </c>
      <c r="F519">
        <v>1413</v>
      </c>
      <c r="G519" t="s">
        <v>3628</v>
      </c>
      <c r="H519">
        <v>1</v>
      </c>
      <c r="I519" t="s">
        <v>3646</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4">
        <v>543</v>
      </c>
      <c r="B520">
        <v>50</v>
      </c>
      <c r="C520">
        <v>2275</v>
      </c>
      <c r="D520" t="s">
        <v>3628</v>
      </c>
      <c r="E520">
        <v>957</v>
      </c>
      <c r="F520">
        <v>1413</v>
      </c>
      <c r="G520" t="s">
        <v>3628</v>
      </c>
      <c r="H520">
        <v>1</v>
      </c>
      <c r="I520" t="s">
        <v>3647</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4">
        <v>544</v>
      </c>
      <c r="B521">
        <v>50</v>
      </c>
      <c r="C521">
        <v>2275</v>
      </c>
      <c r="D521" t="s">
        <v>3628</v>
      </c>
      <c r="E521">
        <v>957</v>
      </c>
      <c r="F521">
        <v>1413</v>
      </c>
      <c r="G521" t="s">
        <v>3628</v>
      </c>
      <c r="H521">
        <v>1</v>
      </c>
      <c r="I521" t="s">
        <v>3629</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4">
        <v>545</v>
      </c>
      <c r="B522">
        <v>50</v>
      </c>
      <c r="C522">
        <v>2275</v>
      </c>
      <c r="D522" t="s">
        <v>3628</v>
      </c>
      <c r="E522">
        <v>957</v>
      </c>
      <c r="F522">
        <v>1413</v>
      </c>
      <c r="G522" t="s">
        <v>3628</v>
      </c>
      <c r="H522">
        <v>1</v>
      </c>
      <c r="I522" t="s">
        <v>3630</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3628</v>
      </c>
      <c r="E523">
        <v>957</v>
      </c>
      <c r="F523">
        <v>1413</v>
      </c>
      <c r="G523" t="s">
        <v>3628</v>
      </c>
      <c r="H523">
        <v>1</v>
      </c>
      <c r="I523" t="s">
        <v>3631</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4">
        <v>547</v>
      </c>
      <c r="B524">
        <v>50</v>
      </c>
      <c r="C524">
        <v>2275</v>
      </c>
      <c r="D524" t="s">
        <v>3628</v>
      </c>
      <c r="E524">
        <v>957</v>
      </c>
      <c r="F524">
        <v>1413</v>
      </c>
      <c r="G524" t="s">
        <v>3628</v>
      </c>
      <c r="H524">
        <v>1</v>
      </c>
      <c r="I524" t="s">
        <v>3632</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3628</v>
      </c>
      <c r="E525">
        <v>957</v>
      </c>
      <c r="F525">
        <v>1413</v>
      </c>
      <c r="G525" t="s">
        <v>3628</v>
      </c>
      <c r="H525">
        <v>1</v>
      </c>
      <c r="I525" t="s">
        <v>3633</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4">
        <v>549</v>
      </c>
      <c r="B526">
        <v>49</v>
      </c>
      <c r="C526">
        <v>2274</v>
      </c>
      <c r="D526" t="s">
        <v>3634</v>
      </c>
      <c r="E526">
        <v>958</v>
      </c>
      <c r="F526">
        <v>1414</v>
      </c>
      <c r="G526" t="s">
        <v>3634</v>
      </c>
      <c r="H526">
        <v>1</v>
      </c>
      <c r="I526" t="s">
        <v>3635</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3628</v>
      </c>
      <c r="E527">
        <v>957</v>
      </c>
      <c r="F527">
        <v>1413</v>
      </c>
      <c r="G527" t="s">
        <v>3628</v>
      </c>
      <c r="H527">
        <v>6</v>
      </c>
      <c r="I527" t="s">
        <v>3756</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4">
        <v>551</v>
      </c>
      <c r="B528">
        <v>48</v>
      </c>
      <c r="C528">
        <v>2212</v>
      </c>
      <c r="D528" t="s">
        <v>3482</v>
      </c>
      <c r="E528">
        <v>929</v>
      </c>
      <c r="F528">
        <v>1383</v>
      </c>
      <c r="G528" t="s">
        <v>3470</v>
      </c>
      <c r="H528">
        <v>7</v>
      </c>
      <c r="I528" t="s">
        <v>3828</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4">
        <v>552</v>
      </c>
      <c r="B529">
        <v>49</v>
      </c>
      <c r="C529">
        <v>2274</v>
      </c>
      <c r="D529" t="s">
        <v>3634</v>
      </c>
      <c r="E529">
        <v>958</v>
      </c>
      <c r="F529">
        <v>1414</v>
      </c>
      <c r="G529" t="s">
        <v>3634</v>
      </c>
      <c r="H529">
        <v>7</v>
      </c>
      <c r="I529" t="s">
        <v>3636</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3634</v>
      </c>
      <c r="E530">
        <v>958</v>
      </c>
      <c r="F530">
        <v>1414</v>
      </c>
      <c r="G530" t="s">
        <v>3634</v>
      </c>
      <c r="H530">
        <v>7</v>
      </c>
      <c r="I530" t="s">
        <v>3637</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3634</v>
      </c>
      <c r="E531">
        <v>958</v>
      </c>
      <c r="F531">
        <v>1414</v>
      </c>
      <c r="G531" t="s">
        <v>3634</v>
      </c>
      <c r="H531">
        <v>1</v>
      </c>
      <c r="I531" t="s">
        <v>3638</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3634</v>
      </c>
      <c r="E532">
        <v>958</v>
      </c>
      <c r="F532">
        <v>1414</v>
      </c>
      <c r="G532" t="s">
        <v>3634</v>
      </c>
      <c r="H532">
        <v>7</v>
      </c>
      <c r="I532" t="s">
        <v>3779</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2210</v>
      </c>
      <c r="E533">
        <v>784</v>
      </c>
      <c r="F533">
        <v>1207</v>
      </c>
      <c r="G533" t="s">
        <v>2210</v>
      </c>
      <c r="H533">
        <v>6</v>
      </c>
      <c r="I533" t="s">
        <v>3925</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4">
        <v>557</v>
      </c>
      <c r="B534">
        <v>31</v>
      </c>
      <c r="C534">
        <v>1313</v>
      </c>
      <c r="D534" t="s">
        <v>2315</v>
      </c>
      <c r="E534">
        <v>590</v>
      </c>
      <c r="F534">
        <v>980</v>
      </c>
      <c r="G534" t="s">
        <v>3032</v>
      </c>
      <c r="H534">
        <v>7</v>
      </c>
      <c r="I534" t="s">
        <v>3829</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3926</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4">
        <v>566</v>
      </c>
      <c r="B536">
        <v>48</v>
      </c>
      <c r="C536">
        <v>2212</v>
      </c>
      <c r="D536" t="s">
        <v>3482</v>
      </c>
      <c r="E536">
        <v>929</v>
      </c>
      <c r="F536">
        <v>1383</v>
      </c>
      <c r="G536" t="s">
        <v>3470</v>
      </c>
      <c r="H536">
        <v>7</v>
      </c>
      <c r="I536" t="s">
        <v>3830</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4">
        <v>567</v>
      </c>
      <c r="B537">
        <v>50</v>
      </c>
      <c r="C537">
        <v>2275</v>
      </c>
      <c r="D537" t="s">
        <v>3628</v>
      </c>
      <c r="E537">
        <v>957</v>
      </c>
      <c r="F537">
        <v>1413</v>
      </c>
      <c r="G537" t="s">
        <v>3628</v>
      </c>
      <c r="H537">
        <v>7</v>
      </c>
      <c r="I537" t="s">
        <v>3831</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3784</v>
      </c>
      <c r="C1" s="51"/>
      <c r="D1" s="51" t="s">
        <v>3667</v>
      </c>
      <c r="E1" s="51"/>
      <c r="F1" s="51"/>
      <c r="G1" s="51"/>
      <c r="H1" s="51"/>
      <c r="I1" s="51"/>
      <c r="J1" s="51"/>
      <c r="K1" s="51"/>
      <c r="L1" s="51"/>
    </row>
    <row r="2" spans="1:12" s="1" customFormat="1" x14ac:dyDescent="0.25">
      <c r="A2" s="5" t="s">
        <v>1385</v>
      </c>
      <c r="B2" s="1" t="s">
        <v>82</v>
      </c>
    </row>
    <row r="3" spans="1:12" x14ac:dyDescent="0.25">
      <c r="A3">
        <v>1</v>
      </c>
      <c r="B3" t="s">
        <v>1806</v>
      </c>
    </row>
    <row r="4" spans="1:12" x14ac:dyDescent="0.25">
      <c r="A4">
        <v>2</v>
      </c>
      <c r="B4" t="s">
        <v>1807</v>
      </c>
    </row>
    <row r="5" spans="1:12" x14ac:dyDescent="0.25">
      <c r="A5">
        <v>3</v>
      </c>
      <c r="B5" t="s">
        <v>1808</v>
      </c>
    </row>
    <row r="6" spans="1:12" x14ac:dyDescent="0.25">
      <c r="A6">
        <v>4</v>
      </c>
      <c r="B6" t="s">
        <v>1809</v>
      </c>
    </row>
    <row r="7" spans="1:12" x14ac:dyDescent="0.25">
      <c r="A7">
        <v>5</v>
      </c>
      <c r="B7" t="s">
        <v>1810</v>
      </c>
    </row>
    <row r="8" spans="1:12" x14ac:dyDescent="0.25">
      <c r="A8">
        <v>6</v>
      </c>
      <c r="B8" t="s">
        <v>1811</v>
      </c>
    </row>
    <row r="9" spans="1:12" x14ac:dyDescent="0.25">
      <c r="A9">
        <v>7</v>
      </c>
      <c r="B9" t="s">
        <v>1812</v>
      </c>
    </row>
    <row r="10" spans="1:12" x14ac:dyDescent="0.25">
      <c r="A10">
        <v>8</v>
      </c>
      <c r="B10" t="s">
        <v>1813</v>
      </c>
    </row>
    <row r="11" spans="1:12" x14ac:dyDescent="0.25">
      <c r="A11">
        <v>9</v>
      </c>
      <c r="B11" t="s">
        <v>1814</v>
      </c>
    </row>
    <row r="12" spans="1:12" x14ac:dyDescent="0.25">
      <c r="A12">
        <v>10</v>
      </c>
      <c r="B12" t="s">
        <v>1815</v>
      </c>
    </row>
    <row r="13" spans="1:12" x14ac:dyDescent="0.25">
      <c r="A13">
        <v>11</v>
      </c>
      <c r="B13" t="s">
        <v>1816</v>
      </c>
    </row>
    <row r="14" spans="1:12" x14ac:dyDescent="0.25">
      <c r="A14">
        <v>12</v>
      </c>
      <c r="B14" t="s">
        <v>1817</v>
      </c>
    </row>
    <row r="15" spans="1:12" x14ac:dyDescent="0.25">
      <c r="A15">
        <v>13</v>
      </c>
      <c r="B15" t="s">
        <v>1818</v>
      </c>
    </row>
    <row r="16" spans="1:12" x14ac:dyDescent="0.25">
      <c r="A16">
        <v>14</v>
      </c>
      <c r="B16" t="s">
        <v>1819</v>
      </c>
    </row>
    <row r="17" spans="1:2" x14ac:dyDescent="0.25">
      <c r="A17">
        <v>15</v>
      </c>
      <c r="B17" t="s">
        <v>1820</v>
      </c>
    </row>
    <row r="18" spans="1:2" x14ac:dyDescent="0.25">
      <c r="A18">
        <v>16</v>
      </c>
      <c r="B18" t="s">
        <v>1821</v>
      </c>
    </row>
    <row r="19" spans="1:2" x14ac:dyDescent="0.25">
      <c r="A19">
        <v>17</v>
      </c>
      <c r="B19" t="s">
        <v>1822</v>
      </c>
    </row>
    <row r="20" spans="1:2" x14ac:dyDescent="0.25">
      <c r="A20">
        <v>18</v>
      </c>
      <c r="B20" t="s">
        <v>1823</v>
      </c>
    </row>
    <row r="21" spans="1:2" x14ac:dyDescent="0.25">
      <c r="A21">
        <v>19</v>
      </c>
      <c r="B21" t="s">
        <v>1824</v>
      </c>
    </row>
    <row r="22" spans="1:2" x14ac:dyDescent="0.25">
      <c r="A22">
        <v>20</v>
      </c>
      <c r="B22" t="s">
        <v>1825</v>
      </c>
    </row>
    <row r="23" spans="1:2" x14ac:dyDescent="0.25">
      <c r="A23">
        <v>21</v>
      </c>
      <c r="B23" t="s">
        <v>1826</v>
      </c>
    </row>
    <row r="24" spans="1:2" x14ac:dyDescent="0.25">
      <c r="A24">
        <v>22</v>
      </c>
      <c r="B24" t="s">
        <v>1827</v>
      </c>
    </row>
    <row r="25" spans="1:2" x14ac:dyDescent="0.25">
      <c r="A25">
        <v>23</v>
      </c>
      <c r="B25" t="s">
        <v>1828</v>
      </c>
    </row>
    <row r="26" spans="1:2" x14ac:dyDescent="0.25">
      <c r="A26">
        <v>24</v>
      </c>
      <c r="B26" t="s">
        <v>1829</v>
      </c>
    </row>
    <row r="27" spans="1:2" x14ac:dyDescent="0.25">
      <c r="A27">
        <v>25</v>
      </c>
      <c r="B27" t="s">
        <v>1830</v>
      </c>
    </row>
    <row r="28" spans="1:2" x14ac:dyDescent="0.25">
      <c r="A28">
        <v>26</v>
      </c>
      <c r="B28" t="s">
        <v>1831</v>
      </c>
    </row>
    <row r="29" spans="1:2" x14ac:dyDescent="0.25">
      <c r="A29">
        <v>27</v>
      </c>
      <c r="B29" t="s">
        <v>1832</v>
      </c>
    </row>
    <row r="30" spans="1:2" x14ac:dyDescent="0.25">
      <c r="A30">
        <v>28</v>
      </c>
      <c r="B30" t="s">
        <v>1833</v>
      </c>
    </row>
    <row r="31" spans="1:2" x14ac:dyDescent="0.25">
      <c r="A31">
        <v>29</v>
      </c>
      <c r="B31" t="s">
        <v>1834</v>
      </c>
    </row>
    <row r="32" spans="1:2" x14ac:dyDescent="0.25">
      <c r="A32">
        <v>30</v>
      </c>
      <c r="B32" t="s">
        <v>1835</v>
      </c>
    </row>
    <row r="33" spans="1:2" x14ac:dyDescent="0.25">
      <c r="A33">
        <v>31</v>
      </c>
      <c r="B33" t="s">
        <v>1836</v>
      </c>
    </row>
    <row r="34" spans="1:2" x14ac:dyDescent="0.25">
      <c r="A34">
        <v>32</v>
      </c>
      <c r="B34" t="s">
        <v>1837</v>
      </c>
    </row>
    <row r="35" spans="1:2" x14ac:dyDescent="0.25">
      <c r="A35">
        <v>33</v>
      </c>
      <c r="B35" t="s">
        <v>1838</v>
      </c>
    </row>
    <row r="36" spans="1:2" x14ac:dyDescent="0.25">
      <c r="A36">
        <v>34</v>
      </c>
      <c r="B36" t="s">
        <v>1839</v>
      </c>
    </row>
    <row r="37" spans="1:2" x14ac:dyDescent="0.25">
      <c r="A37">
        <v>35</v>
      </c>
      <c r="B37" t="s">
        <v>1840</v>
      </c>
    </row>
    <row r="38" spans="1:2" x14ac:dyDescent="0.25">
      <c r="A38">
        <v>36</v>
      </c>
      <c r="B38" t="s">
        <v>1841</v>
      </c>
    </row>
    <row r="39" spans="1:2" x14ac:dyDescent="0.25">
      <c r="A39">
        <v>37</v>
      </c>
      <c r="B39" t="s">
        <v>1842</v>
      </c>
    </row>
    <row r="40" spans="1:2" x14ac:dyDescent="0.25">
      <c r="A40">
        <v>38</v>
      </c>
      <c r="B40" t="s">
        <v>1843</v>
      </c>
    </row>
    <row r="41" spans="1:2" x14ac:dyDescent="0.25">
      <c r="A41">
        <v>39</v>
      </c>
      <c r="B41" t="s">
        <v>1844</v>
      </c>
    </row>
    <row r="42" spans="1:2" x14ac:dyDescent="0.25">
      <c r="A42">
        <v>40</v>
      </c>
      <c r="B42" t="s">
        <v>1845</v>
      </c>
    </row>
    <row r="43" spans="1:2" x14ac:dyDescent="0.25">
      <c r="A43">
        <v>41</v>
      </c>
      <c r="B43" t="s">
        <v>1846</v>
      </c>
    </row>
    <row r="44" spans="1:2" x14ac:dyDescent="0.25">
      <c r="A44">
        <v>42</v>
      </c>
      <c r="B44" t="s">
        <v>1847</v>
      </c>
    </row>
    <row r="45" spans="1:2" x14ac:dyDescent="0.25">
      <c r="A45">
        <v>43</v>
      </c>
      <c r="B45" t="s">
        <v>1848</v>
      </c>
    </row>
    <row r="46" spans="1:2" x14ac:dyDescent="0.25">
      <c r="A46">
        <v>44</v>
      </c>
      <c r="B46" t="s">
        <v>1849</v>
      </c>
    </row>
    <row r="47" spans="1:2" x14ac:dyDescent="0.25">
      <c r="A47">
        <v>45</v>
      </c>
      <c r="B47" t="s">
        <v>1850</v>
      </c>
    </row>
    <row r="48" spans="1:2" x14ac:dyDescent="0.25">
      <c r="A48">
        <v>46</v>
      </c>
      <c r="B48" t="s">
        <v>1851</v>
      </c>
    </row>
    <row r="49" spans="1:2" x14ac:dyDescent="0.25">
      <c r="A49">
        <v>47</v>
      </c>
      <c r="B49" t="s">
        <v>1852</v>
      </c>
    </row>
    <row r="50" spans="1:2" x14ac:dyDescent="0.25">
      <c r="A50">
        <v>48</v>
      </c>
      <c r="B50" t="s">
        <v>1853</v>
      </c>
    </row>
    <row r="51" spans="1:2" x14ac:dyDescent="0.25">
      <c r="A51">
        <v>49</v>
      </c>
      <c r="B51" t="s">
        <v>1854</v>
      </c>
    </row>
    <row r="52" spans="1:2" x14ac:dyDescent="0.25">
      <c r="A52">
        <v>50</v>
      </c>
      <c r="B52" t="s">
        <v>1855</v>
      </c>
    </row>
    <row r="53" spans="1:2" x14ac:dyDescent="0.25">
      <c r="A53">
        <v>51</v>
      </c>
      <c r="B53" t="s">
        <v>1856</v>
      </c>
    </row>
    <row r="54" spans="1:2" x14ac:dyDescent="0.25">
      <c r="A54">
        <v>52</v>
      </c>
      <c r="B54" t="s">
        <v>1857</v>
      </c>
    </row>
    <row r="55" spans="1:2" x14ac:dyDescent="0.25">
      <c r="A55">
        <v>53</v>
      </c>
      <c r="B55" t="s">
        <v>1858</v>
      </c>
    </row>
    <row r="56" spans="1:2" x14ac:dyDescent="0.25">
      <c r="A56">
        <v>54</v>
      </c>
    </row>
    <row r="57" spans="1:2" x14ac:dyDescent="0.25">
      <c r="A57">
        <v>55</v>
      </c>
      <c r="B57" t="s">
        <v>1859</v>
      </c>
    </row>
    <row r="58" spans="1:2" x14ac:dyDescent="0.25">
      <c r="A58">
        <v>56</v>
      </c>
      <c r="B58" t="s">
        <v>1860</v>
      </c>
    </row>
    <row r="59" spans="1:2" x14ac:dyDescent="0.25">
      <c r="A59">
        <v>57</v>
      </c>
      <c r="B59" t="s">
        <v>1861</v>
      </c>
    </row>
    <row r="60" spans="1:2" x14ac:dyDescent="0.25">
      <c r="A60">
        <v>58</v>
      </c>
      <c r="B60" t="s">
        <v>1862</v>
      </c>
    </row>
    <row r="61" spans="1:2" x14ac:dyDescent="0.25">
      <c r="A61">
        <v>59</v>
      </c>
      <c r="B61" t="s">
        <v>1863</v>
      </c>
    </row>
    <row r="62" spans="1:2" x14ac:dyDescent="0.25">
      <c r="A62">
        <v>60</v>
      </c>
      <c r="B62" t="s">
        <v>1864</v>
      </c>
    </row>
    <row r="63" spans="1:2" x14ac:dyDescent="0.25">
      <c r="A63">
        <v>61</v>
      </c>
      <c r="B63" t="s">
        <v>1865</v>
      </c>
    </row>
    <row r="64" spans="1:2" x14ac:dyDescent="0.25">
      <c r="A64">
        <v>62</v>
      </c>
      <c r="B64" t="s">
        <v>1866</v>
      </c>
    </row>
    <row r="65" spans="1:2" x14ac:dyDescent="0.25">
      <c r="A65">
        <v>63</v>
      </c>
      <c r="B65" t="s">
        <v>1867</v>
      </c>
    </row>
    <row r="66" spans="1:2" x14ac:dyDescent="0.25">
      <c r="A66">
        <v>64</v>
      </c>
      <c r="B66" t="s">
        <v>1868</v>
      </c>
    </row>
    <row r="67" spans="1:2" x14ac:dyDescent="0.25">
      <c r="A67">
        <v>65</v>
      </c>
      <c r="B67" t="s">
        <v>1869</v>
      </c>
    </row>
    <row r="68" spans="1:2" x14ac:dyDescent="0.25">
      <c r="A68">
        <v>66</v>
      </c>
      <c r="B68" t="s">
        <v>1870</v>
      </c>
    </row>
    <row r="69" spans="1:2" x14ac:dyDescent="0.25">
      <c r="A69">
        <v>67</v>
      </c>
      <c r="B69" t="s">
        <v>1871</v>
      </c>
    </row>
    <row r="70" spans="1:2" x14ac:dyDescent="0.25">
      <c r="A70">
        <v>68</v>
      </c>
      <c r="B70" t="s">
        <v>1872</v>
      </c>
    </row>
    <row r="71" spans="1:2" x14ac:dyDescent="0.25">
      <c r="A71">
        <v>69</v>
      </c>
      <c r="B71" t="s">
        <v>1873</v>
      </c>
    </row>
    <row r="72" spans="1:2" x14ac:dyDescent="0.25">
      <c r="A72">
        <v>70</v>
      </c>
    </row>
    <row r="73" spans="1:2" x14ac:dyDescent="0.25">
      <c r="A73">
        <v>71</v>
      </c>
      <c r="B73" t="s">
        <v>1874</v>
      </c>
    </row>
    <row r="74" spans="1:2" x14ac:dyDescent="0.25">
      <c r="A74">
        <v>72</v>
      </c>
      <c r="B74" t="s">
        <v>1875</v>
      </c>
    </row>
    <row r="75" spans="1:2" x14ac:dyDescent="0.25">
      <c r="A75">
        <v>73</v>
      </c>
      <c r="B75" t="s">
        <v>1876</v>
      </c>
    </row>
    <row r="76" spans="1:2" x14ac:dyDescent="0.25">
      <c r="A76">
        <v>74</v>
      </c>
      <c r="B76" t="s">
        <v>1877</v>
      </c>
    </row>
    <row r="77" spans="1:2" x14ac:dyDescent="0.25">
      <c r="A77">
        <v>75</v>
      </c>
      <c r="B77" t="s">
        <v>1878</v>
      </c>
    </row>
    <row r="78" spans="1:2" x14ac:dyDescent="0.25">
      <c r="A78">
        <v>76</v>
      </c>
      <c r="B78" t="s">
        <v>1879</v>
      </c>
    </row>
    <row r="79" spans="1:2" x14ac:dyDescent="0.25">
      <c r="A79">
        <v>77</v>
      </c>
      <c r="B79" t="s">
        <v>1880</v>
      </c>
    </row>
    <row r="80" spans="1:2" x14ac:dyDescent="0.25">
      <c r="A80">
        <v>78</v>
      </c>
      <c r="B80" t="s">
        <v>1881</v>
      </c>
    </row>
    <row r="81" spans="1:2" x14ac:dyDescent="0.25">
      <c r="A81">
        <v>79</v>
      </c>
      <c r="B81" t="s">
        <v>1882</v>
      </c>
    </row>
    <row r="82" spans="1:2" x14ac:dyDescent="0.25">
      <c r="A82">
        <v>80</v>
      </c>
      <c r="B82" t="s">
        <v>1883</v>
      </c>
    </row>
    <row r="83" spans="1:2" x14ac:dyDescent="0.25">
      <c r="A83">
        <v>81</v>
      </c>
      <c r="B83" t="s">
        <v>1884</v>
      </c>
    </row>
    <row r="84" spans="1:2" x14ac:dyDescent="0.25">
      <c r="A84">
        <v>82</v>
      </c>
      <c r="B84" t="s">
        <v>1885</v>
      </c>
    </row>
    <row r="85" spans="1:2" x14ac:dyDescent="0.25">
      <c r="A85">
        <v>83</v>
      </c>
      <c r="B85" t="s">
        <v>1886</v>
      </c>
    </row>
    <row r="86" spans="1:2" x14ac:dyDescent="0.25">
      <c r="A86">
        <v>84</v>
      </c>
      <c r="B86" t="s">
        <v>1887</v>
      </c>
    </row>
    <row r="87" spans="1:2" x14ac:dyDescent="0.25">
      <c r="A87">
        <v>85</v>
      </c>
      <c r="B87" t="s">
        <v>1888</v>
      </c>
    </row>
    <row r="88" spans="1:2" x14ac:dyDescent="0.25">
      <c r="A88">
        <v>86</v>
      </c>
      <c r="B88" t="s">
        <v>1889</v>
      </c>
    </row>
    <row r="89" spans="1:2" x14ac:dyDescent="0.25">
      <c r="A89">
        <v>87</v>
      </c>
      <c r="B89" t="s">
        <v>1890</v>
      </c>
    </row>
    <row r="90" spans="1:2" x14ac:dyDescent="0.25">
      <c r="A90">
        <v>88</v>
      </c>
      <c r="B90" t="s">
        <v>1891</v>
      </c>
    </row>
    <row r="91" spans="1:2" x14ac:dyDescent="0.25">
      <c r="A91">
        <v>89</v>
      </c>
      <c r="B91" t="s">
        <v>1892</v>
      </c>
    </row>
    <row r="92" spans="1:2" x14ac:dyDescent="0.25">
      <c r="A92">
        <v>90</v>
      </c>
      <c r="B92" t="s">
        <v>1893</v>
      </c>
    </row>
    <row r="93" spans="1:2" x14ac:dyDescent="0.25">
      <c r="A93">
        <v>91</v>
      </c>
      <c r="B93" t="s">
        <v>1894</v>
      </c>
    </row>
    <row r="94" spans="1:2" x14ac:dyDescent="0.25">
      <c r="A94">
        <v>92</v>
      </c>
      <c r="B94" t="s">
        <v>1895</v>
      </c>
    </row>
    <row r="95" spans="1:2" x14ac:dyDescent="0.25">
      <c r="A95">
        <v>93</v>
      </c>
      <c r="B95" t="s">
        <v>1896</v>
      </c>
    </row>
    <row r="96" spans="1:2" x14ac:dyDescent="0.25">
      <c r="A96">
        <v>94</v>
      </c>
      <c r="B96" t="s">
        <v>1897</v>
      </c>
    </row>
    <row r="97" spans="1:2" x14ac:dyDescent="0.25">
      <c r="A97">
        <v>95</v>
      </c>
      <c r="B97" t="s">
        <v>1898</v>
      </c>
    </row>
    <row r="98" spans="1:2" x14ac:dyDescent="0.25">
      <c r="A98">
        <v>96</v>
      </c>
      <c r="B98" t="s">
        <v>1899</v>
      </c>
    </row>
    <row r="99" spans="1:2" x14ac:dyDescent="0.25">
      <c r="A99">
        <v>97</v>
      </c>
      <c r="B99" t="s">
        <v>1900</v>
      </c>
    </row>
    <row r="100" spans="1:2" x14ac:dyDescent="0.25">
      <c r="A100">
        <v>98</v>
      </c>
      <c r="B100" t="s">
        <v>1901</v>
      </c>
    </row>
    <row r="101" spans="1:2" x14ac:dyDescent="0.25">
      <c r="A101">
        <v>99</v>
      </c>
      <c r="B101" t="s">
        <v>1902</v>
      </c>
    </row>
    <row r="102" spans="1:2" x14ac:dyDescent="0.25">
      <c r="A102">
        <v>100</v>
      </c>
      <c r="B102" t="s">
        <v>1903</v>
      </c>
    </row>
    <row r="103" spans="1:2" x14ac:dyDescent="0.25">
      <c r="A103">
        <v>101</v>
      </c>
      <c r="B103" t="s">
        <v>1904</v>
      </c>
    </row>
    <row r="104" spans="1:2" x14ac:dyDescent="0.25">
      <c r="A104">
        <v>102</v>
      </c>
      <c r="B104" t="s">
        <v>1905</v>
      </c>
    </row>
    <row r="105" spans="1:2" x14ac:dyDescent="0.25">
      <c r="A105">
        <v>103</v>
      </c>
      <c r="B105" t="s">
        <v>1906</v>
      </c>
    </row>
    <row r="106" spans="1:2" x14ac:dyDescent="0.25">
      <c r="A106">
        <v>104</v>
      </c>
      <c r="B106" t="s">
        <v>1907</v>
      </c>
    </row>
    <row r="107" spans="1:2" x14ac:dyDescent="0.25">
      <c r="A107">
        <v>105</v>
      </c>
      <c r="B107" t="s">
        <v>1908</v>
      </c>
    </row>
    <row r="108" spans="1:2" x14ac:dyDescent="0.25">
      <c r="A108">
        <v>106</v>
      </c>
      <c r="B108" t="s">
        <v>3924</v>
      </c>
    </row>
    <row r="109" spans="1:2" x14ac:dyDescent="0.25">
      <c r="A109">
        <v>107</v>
      </c>
      <c r="B109" t="s">
        <v>1909</v>
      </c>
    </row>
    <row r="110" spans="1:2" x14ac:dyDescent="0.25">
      <c r="A110">
        <v>108</v>
      </c>
      <c r="B110" t="s">
        <v>1910</v>
      </c>
    </row>
    <row r="111" spans="1:2" x14ac:dyDescent="0.25">
      <c r="A111">
        <v>109</v>
      </c>
      <c r="B111" t="s">
        <v>1911</v>
      </c>
    </row>
    <row r="112" spans="1:2" x14ac:dyDescent="0.25">
      <c r="A112">
        <v>110</v>
      </c>
      <c r="B112" t="s">
        <v>1912</v>
      </c>
    </row>
    <row r="113" spans="1:2" x14ac:dyDescent="0.25">
      <c r="A113">
        <v>111</v>
      </c>
      <c r="B113" t="s">
        <v>1913</v>
      </c>
    </row>
    <row r="114" spans="1:2" x14ac:dyDescent="0.25">
      <c r="A114">
        <v>112</v>
      </c>
      <c r="B114" t="s">
        <v>1914</v>
      </c>
    </row>
    <row r="115" spans="1:2" x14ac:dyDescent="0.25">
      <c r="A115">
        <v>113</v>
      </c>
      <c r="B115" t="s">
        <v>1915</v>
      </c>
    </row>
    <row r="116" spans="1:2" x14ac:dyDescent="0.25">
      <c r="A116">
        <v>114</v>
      </c>
      <c r="B116" t="s">
        <v>1916</v>
      </c>
    </row>
    <row r="117" spans="1:2" x14ac:dyDescent="0.25">
      <c r="A117">
        <v>115</v>
      </c>
      <c r="B117" t="s">
        <v>1917</v>
      </c>
    </row>
    <row r="118" spans="1:2" x14ac:dyDescent="0.25">
      <c r="A118">
        <v>116</v>
      </c>
      <c r="B118" t="s">
        <v>1918</v>
      </c>
    </row>
    <row r="119" spans="1:2" x14ac:dyDescent="0.25">
      <c r="A119">
        <v>117</v>
      </c>
      <c r="B119" t="s">
        <v>1919</v>
      </c>
    </row>
    <row r="120" spans="1:2" x14ac:dyDescent="0.25">
      <c r="A120">
        <v>118</v>
      </c>
      <c r="B120" t="s">
        <v>1920</v>
      </c>
    </row>
    <row r="121" spans="1:2" x14ac:dyDescent="0.25">
      <c r="A121">
        <v>119</v>
      </c>
      <c r="B121" t="s">
        <v>1921</v>
      </c>
    </row>
    <row r="122" spans="1:2" x14ac:dyDescent="0.25">
      <c r="A122">
        <v>120</v>
      </c>
      <c r="B122" t="s">
        <v>1922</v>
      </c>
    </row>
    <row r="123" spans="1:2" x14ac:dyDescent="0.25">
      <c r="A123">
        <v>121</v>
      </c>
      <c r="B123" t="s">
        <v>1923</v>
      </c>
    </row>
    <row r="124" spans="1:2" x14ac:dyDescent="0.25">
      <c r="A124">
        <v>122</v>
      </c>
      <c r="B124" t="s">
        <v>1924</v>
      </c>
    </row>
    <row r="125" spans="1:2" x14ac:dyDescent="0.25">
      <c r="A125">
        <v>123</v>
      </c>
      <c r="B125" t="s">
        <v>1925</v>
      </c>
    </row>
    <row r="126" spans="1:2" x14ac:dyDescent="0.25">
      <c r="A126">
        <v>124</v>
      </c>
      <c r="B126" t="s">
        <v>1926</v>
      </c>
    </row>
    <row r="127" spans="1:2" x14ac:dyDescent="0.25">
      <c r="A127">
        <v>125</v>
      </c>
      <c r="B127" t="s">
        <v>1927</v>
      </c>
    </row>
    <row r="128" spans="1:2" x14ac:dyDescent="0.25">
      <c r="A128">
        <v>126</v>
      </c>
      <c r="B128" t="s">
        <v>1928</v>
      </c>
    </row>
    <row r="129" spans="1:2" x14ac:dyDescent="0.25">
      <c r="A129">
        <v>127</v>
      </c>
      <c r="B129" t="s">
        <v>1929</v>
      </c>
    </row>
    <row r="130" spans="1:2" x14ac:dyDescent="0.25">
      <c r="A130">
        <v>128</v>
      </c>
      <c r="B130" t="s">
        <v>1930</v>
      </c>
    </row>
    <row r="131" spans="1:2" x14ac:dyDescent="0.25">
      <c r="A131">
        <v>129</v>
      </c>
      <c r="B131" t="s">
        <v>1931</v>
      </c>
    </row>
    <row r="132" spans="1:2" x14ac:dyDescent="0.25">
      <c r="A132">
        <v>130</v>
      </c>
      <c r="B132" t="s">
        <v>1932</v>
      </c>
    </row>
    <row r="133" spans="1:2" x14ac:dyDescent="0.25">
      <c r="A133">
        <v>131</v>
      </c>
      <c r="B133" t="s">
        <v>1933</v>
      </c>
    </row>
    <row r="134" spans="1:2" x14ac:dyDescent="0.25">
      <c r="A134">
        <v>132</v>
      </c>
      <c r="B134" t="s">
        <v>1934</v>
      </c>
    </row>
    <row r="135" spans="1:2" x14ac:dyDescent="0.25">
      <c r="A135">
        <v>133</v>
      </c>
      <c r="B135" t="s">
        <v>1935</v>
      </c>
    </row>
    <row r="136" spans="1:2" x14ac:dyDescent="0.25">
      <c r="A136">
        <v>134</v>
      </c>
      <c r="B136" t="s">
        <v>1936</v>
      </c>
    </row>
    <row r="137" spans="1:2" x14ac:dyDescent="0.25">
      <c r="A137">
        <v>135</v>
      </c>
      <c r="B137" t="s">
        <v>1937</v>
      </c>
    </row>
    <row r="138" spans="1:2" x14ac:dyDescent="0.25">
      <c r="A138">
        <v>136</v>
      </c>
      <c r="B138" t="s">
        <v>1938</v>
      </c>
    </row>
    <row r="139" spans="1:2" x14ac:dyDescent="0.25">
      <c r="A139">
        <v>137</v>
      </c>
      <c r="B139" t="s">
        <v>1939</v>
      </c>
    </row>
    <row r="140" spans="1:2" x14ac:dyDescent="0.25">
      <c r="A140">
        <v>138</v>
      </c>
      <c r="B140" t="s">
        <v>1940</v>
      </c>
    </row>
    <row r="141" spans="1:2" x14ac:dyDescent="0.25">
      <c r="A141">
        <v>139</v>
      </c>
      <c r="B141" t="s">
        <v>1941</v>
      </c>
    </row>
    <row r="142" spans="1:2" x14ac:dyDescent="0.25">
      <c r="A142">
        <v>140</v>
      </c>
      <c r="B142" t="s">
        <v>1942</v>
      </c>
    </row>
    <row r="143" spans="1:2" x14ac:dyDescent="0.25">
      <c r="A143">
        <v>141</v>
      </c>
      <c r="B143" t="s">
        <v>1943</v>
      </c>
    </row>
    <row r="144" spans="1:2" x14ac:dyDescent="0.25">
      <c r="A144">
        <v>142</v>
      </c>
      <c r="B144" t="s">
        <v>1944</v>
      </c>
    </row>
    <row r="145" spans="1:2" x14ac:dyDescent="0.25">
      <c r="A145">
        <v>143</v>
      </c>
      <c r="B145" t="s">
        <v>1945</v>
      </c>
    </row>
    <row r="146" spans="1:2" x14ac:dyDescent="0.25">
      <c r="A146">
        <v>144</v>
      </c>
      <c r="B146" t="s">
        <v>1946</v>
      </c>
    </row>
    <row r="147" spans="1:2" x14ac:dyDescent="0.25">
      <c r="A147">
        <v>145</v>
      </c>
      <c r="B147" t="s">
        <v>1947</v>
      </c>
    </row>
    <row r="148" spans="1:2" x14ac:dyDescent="0.25">
      <c r="A148">
        <v>146</v>
      </c>
      <c r="B148" t="s">
        <v>1948</v>
      </c>
    </row>
    <row r="149" spans="1:2" x14ac:dyDescent="0.25">
      <c r="A149">
        <v>147</v>
      </c>
      <c r="B149" t="s">
        <v>1949</v>
      </c>
    </row>
    <row r="150" spans="1:2" x14ac:dyDescent="0.25">
      <c r="A150">
        <v>148</v>
      </c>
      <c r="B150" t="s">
        <v>1950</v>
      </c>
    </row>
    <row r="151" spans="1:2" x14ac:dyDescent="0.25">
      <c r="A151">
        <v>149</v>
      </c>
      <c r="B151" t="s">
        <v>1951</v>
      </c>
    </row>
    <row r="152" spans="1:2" x14ac:dyDescent="0.25">
      <c r="A152">
        <v>150</v>
      </c>
      <c r="B152" t="s">
        <v>1952</v>
      </c>
    </row>
    <row r="153" spans="1:2" x14ac:dyDescent="0.25">
      <c r="A153">
        <v>151</v>
      </c>
      <c r="B153" t="s">
        <v>1953</v>
      </c>
    </row>
    <row r="154" spans="1:2" x14ac:dyDescent="0.25">
      <c r="A154">
        <v>152</v>
      </c>
      <c r="B154" t="s">
        <v>1954</v>
      </c>
    </row>
    <row r="155" spans="1:2" x14ac:dyDescent="0.25">
      <c r="A155">
        <v>153</v>
      </c>
      <c r="B155" t="s">
        <v>1955</v>
      </c>
    </row>
    <row r="156" spans="1:2" x14ac:dyDescent="0.25">
      <c r="A156">
        <v>154</v>
      </c>
      <c r="B156" t="s">
        <v>1956</v>
      </c>
    </row>
    <row r="157" spans="1:2" x14ac:dyDescent="0.25">
      <c r="A157">
        <v>155</v>
      </c>
      <c r="B157" t="s">
        <v>1957</v>
      </c>
    </row>
    <row r="158" spans="1:2" x14ac:dyDescent="0.25">
      <c r="A158">
        <v>156</v>
      </c>
      <c r="B158" t="s">
        <v>1958</v>
      </c>
    </row>
    <row r="159" spans="1:2" x14ac:dyDescent="0.25">
      <c r="A159">
        <v>157</v>
      </c>
      <c r="B159" t="s">
        <v>1959</v>
      </c>
    </row>
    <row r="160" spans="1:2" x14ac:dyDescent="0.25">
      <c r="A160">
        <v>158</v>
      </c>
      <c r="B160" t="s">
        <v>1960</v>
      </c>
    </row>
    <row r="161" spans="1:2" x14ac:dyDescent="0.25">
      <c r="A161">
        <v>159</v>
      </c>
      <c r="B161" t="s">
        <v>1961</v>
      </c>
    </row>
    <row r="162" spans="1:2" x14ac:dyDescent="0.25">
      <c r="A162">
        <v>160</v>
      </c>
      <c r="B162" t="s">
        <v>1962</v>
      </c>
    </row>
    <row r="163" spans="1:2" x14ac:dyDescent="0.25">
      <c r="A163">
        <v>161</v>
      </c>
      <c r="B163" t="s">
        <v>1963</v>
      </c>
    </row>
    <row r="164" spans="1:2" x14ac:dyDescent="0.25">
      <c r="A164">
        <v>162</v>
      </c>
      <c r="B164" t="s">
        <v>1964</v>
      </c>
    </row>
    <row r="165" spans="1:2" x14ac:dyDescent="0.25">
      <c r="A165">
        <v>163</v>
      </c>
      <c r="B165" t="s">
        <v>1965</v>
      </c>
    </row>
    <row r="166" spans="1:2" x14ac:dyDescent="0.25">
      <c r="A166">
        <v>164</v>
      </c>
      <c r="B166" t="s">
        <v>1966</v>
      </c>
    </row>
    <row r="167" spans="1:2" x14ac:dyDescent="0.25">
      <c r="A167">
        <v>165</v>
      </c>
      <c r="B167" t="s">
        <v>1967</v>
      </c>
    </row>
    <row r="168" spans="1:2" x14ac:dyDescent="0.25">
      <c r="A168">
        <v>166</v>
      </c>
      <c r="B168" t="s">
        <v>1968</v>
      </c>
    </row>
    <row r="169" spans="1:2" x14ac:dyDescent="0.25">
      <c r="A169">
        <v>167</v>
      </c>
      <c r="B169" t="s">
        <v>1969</v>
      </c>
    </row>
    <row r="170" spans="1:2" x14ac:dyDescent="0.25">
      <c r="A170">
        <v>168</v>
      </c>
      <c r="B170" t="s">
        <v>1970</v>
      </c>
    </row>
    <row r="171" spans="1:2" x14ac:dyDescent="0.25">
      <c r="A171">
        <v>169</v>
      </c>
      <c r="B171" t="s">
        <v>1971</v>
      </c>
    </row>
    <row r="172" spans="1:2" x14ac:dyDescent="0.25">
      <c r="A172">
        <v>170</v>
      </c>
      <c r="B172" t="s">
        <v>1972</v>
      </c>
    </row>
    <row r="173" spans="1:2" x14ac:dyDescent="0.25">
      <c r="A173">
        <v>171</v>
      </c>
      <c r="B173" t="s">
        <v>1973</v>
      </c>
    </row>
    <row r="174" spans="1:2" x14ac:dyDescent="0.25">
      <c r="A174">
        <v>172</v>
      </c>
      <c r="B174" t="s">
        <v>1974</v>
      </c>
    </row>
    <row r="175" spans="1:2" x14ac:dyDescent="0.25">
      <c r="A175">
        <v>173</v>
      </c>
      <c r="B175" t="s">
        <v>1975</v>
      </c>
    </row>
    <row r="176" spans="1:2" x14ac:dyDescent="0.25">
      <c r="A176">
        <v>174</v>
      </c>
      <c r="B176" t="s">
        <v>1976</v>
      </c>
    </row>
    <row r="177" spans="1:2" x14ac:dyDescent="0.25">
      <c r="A177">
        <v>175</v>
      </c>
      <c r="B177" t="s">
        <v>1977</v>
      </c>
    </row>
    <row r="178" spans="1:2" x14ac:dyDescent="0.25">
      <c r="A178">
        <v>176</v>
      </c>
      <c r="B178" t="s">
        <v>1978</v>
      </c>
    </row>
    <row r="179" spans="1:2" x14ac:dyDescent="0.25">
      <c r="A179">
        <v>177</v>
      </c>
      <c r="B179" t="s">
        <v>1979</v>
      </c>
    </row>
    <row r="180" spans="1:2" x14ac:dyDescent="0.25">
      <c r="A180">
        <v>178</v>
      </c>
      <c r="B180" t="s">
        <v>1980</v>
      </c>
    </row>
    <row r="181" spans="1:2" x14ac:dyDescent="0.25">
      <c r="A181">
        <v>179</v>
      </c>
      <c r="B181" t="s">
        <v>1981</v>
      </c>
    </row>
    <row r="182" spans="1:2" x14ac:dyDescent="0.25">
      <c r="A182">
        <v>180</v>
      </c>
      <c r="B182" t="s">
        <v>1982</v>
      </c>
    </row>
    <row r="183" spans="1:2" x14ac:dyDescent="0.25">
      <c r="A183">
        <v>181</v>
      </c>
      <c r="B183" t="s">
        <v>1983</v>
      </c>
    </row>
    <row r="184" spans="1:2" x14ac:dyDescent="0.25">
      <c r="A184">
        <v>182</v>
      </c>
      <c r="B184" t="s">
        <v>1984</v>
      </c>
    </row>
    <row r="185" spans="1:2" x14ac:dyDescent="0.25">
      <c r="A185">
        <v>183</v>
      </c>
      <c r="B185" t="s">
        <v>1985</v>
      </c>
    </row>
    <row r="186" spans="1:2" x14ac:dyDescent="0.25">
      <c r="A186">
        <v>184</v>
      </c>
      <c r="B186" t="s">
        <v>1986</v>
      </c>
    </row>
    <row r="187" spans="1:2" x14ac:dyDescent="0.25">
      <c r="A187">
        <v>185</v>
      </c>
      <c r="B187" t="s">
        <v>1987</v>
      </c>
    </row>
    <row r="188" spans="1:2" x14ac:dyDescent="0.25">
      <c r="A188">
        <v>186</v>
      </c>
      <c r="B188" t="s">
        <v>1988</v>
      </c>
    </row>
    <row r="189" spans="1:2" x14ac:dyDescent="0.25">
      <c r="A189">
        <v>187</v>
      </c>
      <c r="B189" t="s">
        <v>1989</v>
      </c>
    </row>
    <row r="190" spans="1:2" x14ac:dyDescent="0.25">
      <c r="A190">
        <v>188</v>
      </c>
      <c r="B190" t="s">
        <v>1990</v>
      </c>
    </row>
    <row r="191" spans="1:2" x14ac:dyDescent="0.25">
      <c r="A191">
        <v>189</v>
      </c>
      <c r="B191" t="s">
        <v>1991</v>
      </c>
    </row>
    <row r="192" spans="1:2" x14ac:dyDescent="0.25">
      <c r="A192">
        <v>190</v>
      </c>
      <c r="B192" t="s">
        <v>1992</v>
      </c>
    </row>
    <row r="193" spans="1:2" x14ac:dyDescent="0.25">
      <c r="A193">
        <v>191</v>
      </c>
      <c r="B193" t="s">
        <v>1993</v>
      </c>
    </row>
    <row r="194" spans="1:2" x14ac:dyDescent="0.25">
      <c r="A194">
        <v>192</v>
      </c>
      <c r="B194" t="s">
        <v>1994</v>
      </c>
    </row>
    <row r="195" spans="1:2" x14ac:dyDescent="0.25">
      <c r="A195">
        <v>193</v>
      </c>
      <c r="B195" t="s">
        <v>1995</v>
      </c>
    </row>
    <row r="196" spans="1:2" x14ac:dyDescent="0.25">
      <c r="A196">
        <v>194</v>
      </c>
      <c r="B196" t="s">
        <v>1996</v>
      </c>
    </row>
    <row r="197" spans="1:2" x14ac:dyDescent="0.25">
      <c r="A197">
        <v>195</v>
      </c>
      <c r="B197" t="s">
        <v>1997</v>
      </c>
    </row>
    <row r="198" spans="1:2" x14ac:dyDescent="0.25">
      <c r="A198">
        <v>196</v>
      </c>
      <c r="B198" t="s">
        <v>1998</v>
      </c>
    </row>
    <row r="199" spans="1:2" x14ac:dyDescent="0.25">
      <c r="A199">
        <v>197</v>
      </c>
      <c r="B199" t="s">
        <v>1999</v>
      </c>
    </row>
    <row r="200" spans="1:2" x14ac:dyDescent="0.25">
      <c r="A200">
        <v>198</v>
      </c>
      <c r="B200" t="s">
        <v>2000</v>
      </c>
    </row>
    <row r="201" spans="1:2" x14ac:dyDescent="0.25">
      <c r="A201">
        <v>199</v>
      </c>
      <c r="B201" t="s">
        <v>2001</v>
      </c>
    </row>
    <row r="202" spans="1:2" x14ac:dyDescent="0.25">
      <c r="A202">
        <v>200</v>
      </c>
      <c r="B202" t="s">
        <v>2002</v>
      </c>
    </row>
    <row r="203" spans="1:2" x14ac:dyDescent="0.25">
      <c r="A203">
        <v>201</v>
      </c>
      <c r="B203" t="s">
        <v>2003</v>
      </c>
    </row>
    <row r="204" spans="1:2" x14ac:dyDescent="0.25">
      <c r="A204">
        <v>202</v>
      </c>
      <c r="B204" t="s">
        <v>2004</v>
      </c>
    </row>
    <row r="205" spans="1:2" x14ac:dyDescent="0.25">
      <c r="A205">
        <v>203</v>
      </c>
      <c r="B205" t="s">
        <v>2005</v>
      </c>
    </row>
    <row r="206" spans="1:2" x14ac:dyDescent="0.25">
      <c r="A206">
        <v>204</v>
      </c>
      <c r="B206" t="s">
        <v>2006</v>
      </c>
    </row>
    <row r="207" spans="1:2" x14ac:dyDescent="0.25">
      <c r="A207">
        <v>205</v>
      </c>
      <c r="B207" t="s">
        <v>2007</v>
      </c>
    </row>
    <row r="208" spans="1:2" x14ac:dyDescent="0.25">
      <c r="A208">
        <v>206</v>
      </c>
      <c r="B208" t="s">
        <v>2008</v>
      </c>
    </row>
    <row r="209" spans="1:2" x14ac:dyDescent="0.25">
      <c r="A209">
        <v>207</v>
      </c>
      <c r="B209" t="s">
        <v>2009</v>
      </c>
    </row>
    <row r="210" spans="1:2" x14ac:dyDescent="0.25">
      <c r="A210">
        <v>208</v>
      </c>
      <c r="B210" t="s">
        <v>2010</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2011</v>
      </c>
    </row>
    <row r="216" spans="1:2" x14ac:dyDescent="0.25">
      <c r="A216">
        <v>214</v>
      </c>
      <c r="B216" t="s">
        <v>2012</v>
      </c>
    </row>
    <row r="217" spans="1:2" x14ac:dyDescent="0.25">
      <c r="A217">
        <v>215</v>
      </c>
      <c r="B217" t="s">
        <v>186</v>
      </c>
    </row>
    <row r="218" spans="1:2" x14ac:dyDescent="0.25">
      <c r="A218">
        <v>216</v>
      </c>
      <c r="B218" t="s">
        <v>2013</v>
      </c>
    </row>
    <row r="219" spans="1:2" x14ac:dyDescent="0.25">
      <c r="A219">
        <v>217</v>
      </c>
      <c r="B219" t="s">
        <v>2014</v>
      </c>
    </row>
    <row r="220" spans="1:2" x14ac:dyDescent="0.25">
      <c r="A220">
        <v>218</v>
      </c>
      <c r="B220" t="s">
        <v>2015</v>
      </c>
    </row>
    <row r="221" spans="1:2" x14ac:dyDescent="0.25">
      <c r="A221">
        <v>219</v>
      </c>
      <c r="B221" t="s">
        <v>2016</v>
      </c>
    </row>
    <row r="222" spans="1:2" x14ac:dyDescent="0.25">
      <c r="A222">
        <v>220</v>
      </c>
      <c r="B222" t="s">
        <v>2017</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2018</v>
      </c>
    </row>
    <row r="228" spans="1:2" x14ac:dyDescent="0.25">
      <c r="A228">
        <v>226</v>
      </c>
      <c r="B228" t="s">
        <v>2019</v>
      </c>
    </row>
    <row r="229" spans="1:2" x14ac:dyDescent="0.25">
      <c r="A229">
        <v>227</v>
      </c>
      <c r="B229" t="s">
        <v>2020</v>
      </c>
    </row>
    <row r="230" spans="1:2" x14ac:dyDescent="0.25">
      <c r="A230">
        <v>228</v>
      </c>
    </row>
    <row r="231" spans="1:2" x14ac:dyDescent="0.25">
      <c r="A231">
        <v>229</v>
      </c>
      <c r="B231" t="s">
        <v>2021</v>
      </c>
    </row>
    <row r="232" spans="1:2" x14ac:dyDescent="0.25">
      <c r="A232">
        <v>230</v>
      </c>
      <c r="B232" t="s">
        <v>2022</v>
      </c>
    </row>
    <row r="233" spans="1:2" x14ac:dyDescent="0.25">
      <c r="A233">
        <v>231</v>
      </c>
      <c r="B233" t="s">
        <v>2023</v>
      </c>
    </row>
    <row r="234" spans="1:2" x14ac:dyDescent="0.25">
      <c r="A234">
        <v>232</v>
      </c>
      <c r="B234" t="s">
        <v>2024</v>
      </c>
    </row>
    <row r="235" spans="1:2" x14ac:dyDescent="0.25">
      <c r="A235">
        <v>233</v>
      </c>
      <c r="B235" t="s">
        <v>2025</v>
      </c>
    </row>
    <row r="236" spans="1:2" x14ac:dyDescent="0.25">
      <c r="A236">
        <v>234</v>
      </c>
      <c r="B236" t="s">
        <v>2026</v>
      </c>
    </row>
    <row r="237" spans="1:2" x14ac:dyDescent="0.25">
      <c r="A237">
        <v>235</v>
      </c>
      <c r="B237" t="s">
        <v>2027</v>
      </c>
    </row>
    <row r="238" spans="1:2" x14ac:dyDescent="0.25">
      <c r="A238">
        <v>236</v>
      </c>
      <c r="B238" t="s">
        <v>2028</v>
      </c>
    </row>
    <row r="239" spans="1:2" x14ac:dyDescent="0.25">
      <c r="A239">
        <v>237</v>
      </c>
      <c r="B239" t="s">
        <v>2029</v>
      </c>
    </row>
    <row r="240" spans="1:2" x14ac:dyDescent="0.25">
      <c r="A240">
        <v>238</v>
      </c>
      <c r="B240" t="s">
        <v>2030</v>
      </c>
    </row>
    <row r="241" spans="1:2" x14ac:dyDescent="0.25">
      <c r="A241">
        <v>239</v>
      </c>
      <c r="B241" t="s">
        <v>2031</v>
      </c>
    </row>
    <row r="242" spans="1:2" x14ac:dyDescent="0.25">
      <c r="A242">
        <v>240</v>
      </c>
      <c r="B242" t="s">
        <v>2032</v>
      </c>
    </row>
    <row r="243" spans="1:2" x14ac:dyDescent="0.25">
      <c r="A243">
        <v>241</v>
      </c>
      <c r="B243" t="s">
        <v>2033</v>
      </c>
    </row>
    <row r="244" spans="1:2" x14ac:dyDescent="0.25">
      <c r="A244">
        <v>242</v>
      </c>
      <c r="B244" t="s">
        <v>2034</v>
      </c>
    </row>
    <row r="245" spans="1:2" x14ac:dyDescent="0.25">
      <c r="A245">
        <v>243</v>
      </c>
      <c r="B245" t="s">
        <v>2035</v>
      </c>
    </row>
    <row r="246" spans="1:2" x14ac:dyDescent="0.25">
      <c r="A246">
        <v>244</v>
      </c>
      <c r="B246" t="s">
        <v>2036</v>
      </c>
    </row>
    <row r="247" spans="1:2" x14ac:dyDescent="0.25">
      <c r="A247">
        <v>245</v>
      </c>
      <c r="B247" t="s">
        <v>2037</v>
      </c>
    </row>
    <row r="248" spans="1:2" x14ac:dyDescent="0.25">
      <c r="A248">
        <v>246</v>
      </c>
      <c r="B248" t="s">
        <v>2038</v>
      </c>
    </row>
    <row r="249" spans="1:2" x14ac:dyDescent="0.25">
      <c r="A249">
        <v>247</v>
      </c>
      <c r="B249" t="s">
        <v>2039</v>
      </c>
    </row>
    <row r="250" spans="1:2" x14ac:dyDescent="0.25">
      <c r="A250">
        <v>248</v>
      </c>
    </row>
    <row r="251" spans="1:2" x14ac:dyDescent="0.25">
      <c r="A251">
        <v>249</v>
      </c>
      <c r="B251" t="s">
        <v>449</v>
      </c>
    </row>
    <row r="252" spans="1:2" x14ac:dyDescent="0.25">
      <c r="A252">
        <v>250</v>
      </c>
      <c r="B252" t="s">
        <v>449</v>
      </c>
    </row>
    <row r="253" spans="1:2" x14ac:dyDescent="0.25">
      <c r="A253">
        <v>251</v>
      </c>
      <c r="B253" t="s">
        <v>2040</v>
      </c>
    </row>
    <row r="254" spans="1:2" x14ac:dyDescent="0.25">
      <c r="A254">
        <v>252</v>
      </c>
      <c r="B254" t="s">
        <v>2041</v>
      </c>
    </row>
    <row r="255" spans="1:2" x14ac:dyDescent="0.25">
      <c r="A255">
        <v>253</v>
      </c>
      <c r="B255" t="s">
        <v>2042</v>
      </c>
    </row>
    <row r="256" spans="1:2" x14ac:dyDescent="0.25">
      <c r="A256">
        <v>254</v>
      </c>
      <c r="B256" t="s">
        <v>2043</v>
      </c>
    </row>
    <row r="257" spans="1:2" x14ac:dyDescent="0.25">
      <c r="A257">
        <v>255</v>
      </c>
      <c r="B257" t="s">
        <v>2044</v>
      </c>
    </row>
    <row r="258" spans="1:2" x14ac:dyDescent="0.25">
      <c r="A258">
        <v>256</v>
      </c>
      <c r="B258" t="s">
        <v>2045</v>
      </c>
    </row>
    <row r="259" spans="1:2" x14ac:dyDescent="0.25">
      <c r="A259">
        <v>257</v>
      </c>
      <c r="B259" t="s">
        <v>2046</v>
      </c>
    </row>
    <row r="260" spans="1:2" x14ac:dyDescent="0.25">
      <c r="A260">
        <v>258</v>
      </c>
      <c r="B260" t="s">
        <v>2047</v>
      </c>
    </row>
    <row r="261" spans="1:2" x14ac:dyDescent="0.25">
      <c r="A261">
        <v>259</v>
      </c>
    </row>
    <row r="262" spans="1:2" x14ac:dyDescent="0.25">
      <c r="A262">
        <v>260</v>
      </c>
      <c r="B262" t="s">
        <v>2048</v>
      </c>
    </row>
    <row r="263" spans="1:2" x14ac:dyDescent="0.25">
      <c r="A263">
        <v>261</v>
      </c>
      <c r="B263" t="s">
        <v>2049</v>
      </c>
    </row>
    <row r="264" spans="1:2" x14ac:dyDescent="0.25">
      <c r="A264">
        <v>262</v>
      </c>
      <c r="B264" t="s">
        <v>2050</v>
      </c>
    </row>
    <row r="265" spans="1:2" x14ac:dyDescent="0.25">
      <c r="A265">
        <v>263</v>
      </c>
      <c r="B265" t="s">
        <v>2051</v>
      </c>
    </row>
    <row r="266" spans="1:2" x14ac:dyDescent="0.25">
      <c r="A266">
        <v>264</v>
      </c>
      <c r="B266" t="s">
        <v>2052</v>
      </c>
    </row>
    <row r="267" spans="1:2" x14ac:dyDescent="0.25">
      <c r="A267">
        <v>265</v>
      </c>
      <c r="B267" t="s">
        <v>2053</v>
      </c>
    </row>
    <row r="268" spans="1:2" x14ac:dyDescent="0.25">
      <c r="A268">
        <v>266</v>
      </c>
      <c r="B268" t="s">
        <v>2054</v>
      </c>
    </row>
    <row r="269" spans="1:2" x14ac:dyDescent="0.25">
      <c r="A269">
        <v>267</v>
      </c>
      <c r="B269" t="s">
        <v>2055</v>
      </c>
    </row>
    <row r="270" spans="1:2" x14ac:dyDescent="0.25">
      <c r="A270">
        <v>268</v>
      </c>
      <c r="B270" t="s">
        <v>2056</v>
      </c>
    </row>
    <row r="271" spans="1:2" x14ac:dyDescent="0.25">
      <c r="A271">
        <v>269</v>
      </c>
      <c r="B271" t="s">
        <v>2057</v>
      </c>
    </row>
    <row r="272" spans="1:2" x14ac:dyDescent="0.25">
      <c r="A272">
        <v>270</v>
      </c>
      <c r="B272" t="s">
        <v>439</v>
      </c>
    </row>
    <row r="273" spans="1:2" x14ac:dyDescent="0.25">
      <c r="A273">
        <v>271</v>
      </c>
    </row>
    <row r="274" spans="1:2" x14ac:dyDescent="0.25">
      <c r="A274">
        <v>272</v>
      </c>
      <c r="B274" t="s">
        <v>2058</v>
      </c>
    </row>
    <row r="275" spans="1:2" x14ac:dyDescent="0.25">
      <c r="A275">
        <v>273</v>
      </c>
      <c r="B275" t="s">
        <v>2059</v>
      </c>
    </row>
    <row r="276" spans="1:2" x14ac:dyDescent="0.25">
      <c r="A276">
        <v>274</v>
      </c>
      <c r="B276" t="s">
        <v>2060</v>
      </c>
    </row>
    <row r="277" spans="1:2" x14ac:dyDescent="0.25">
      <c r="A277">
        <v>275</v>
      </c>
      <c r="B277" t="s">
        <v>2061</v>
      </c>
    </row>
    <row r="278" spans="1:2" x14ac:dyDescent="0.25">
      <c r="A278">
        <v>276</v>
      </c>
      <c r="B278" t="s">
        <v>2062</v>
      </c>
    </row>
    <row r="279" spans="1:2" x14ac:dyDescent="0.25">
      <c r="A279">
        <v>277</v>
      </c>
      <c r="B279" t="s">
        <v>2063</v>
      </c>
    </row>
    <row r="280" spans="1:2" x14ac:dyDescent="0.25">
      <c r="A280">
        <v>278</v>
      </c>
      <c r="B280" t="s">
        <v>2064</v>
      </c>
    </row>
    <row r="281" spans="1:2" x14ac:dyDescent="0.25">
      <c r="A281">
        <v>279</v>
      </c>
      <c r="B281" t="s">
        <v>2065</v>
      </c>
    </row>
    <row r="282" spans="1:2" x14ac:dyDescent="0.25">
      <c r="A282">
        <v>280</v>
      </c>
      <c r="B282" t="s">
        <v>2066</v>
      </c>
    </row>
    <row r="283" spans="1:2" x14ac:dyDescent="0.25">
      <c r="A283">
        <v>281</v>
      </c>
      <c r="B283" t="s">
        <v>2067</v>
      </c>
    </row>
    <row r="284" spans="1:2" x14ac:dyDescent="0.25">
      <c r="A284">
        <v>282</v>
      </c>
      <c r="B284" t="s">
        <v>2068</v>
      </c>
    </row>
    <row r="285" spans="1:2" x14ac:dyDescent="0.25">
      <c r="A285">
        <v>283</v>
      </c>
    </row>
    <row r="286" spans="1:2" x14ac:dyDescent="0.25">
      <c r="A286">
        <v>284</v>
      </c>
      <c r="B286" t="s">
        <v>2069</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2070</v>
      </c>
    </row>
    <row r="329" spans="1:2" x14ac:dyDescent="0.25">
      <c r="A329">
        <v>327</v>
      </c>
      <c r="B329" t="s">
        <v>562</v>
      </c>
    </row>
    <row r="330" spans="1:2" x14ac:dyDescent="0.25">
      <c r="A330">
        <v>328</v>
      </c>
      <c r="B330" t="s">
        <v>2071</v>
      </c>
    </row>
    <row r="331" spans="1:2" x14ac:dyDescent="0.25">
      <c r="A331">
        <v>329</v>
      </c>
      <c r="B331" t="s">
        <v>2072</v>
      </c>
    </row>
    <row r="332" spans="1:2" x14ac:dyDescent="0.25">
      <c r="A332">
        <v>330</v>
      </c>
      <c r="B332" t="s">
        <v>2073</v>
      </c>
    </row>
    <row r="333" spans="1:2" x14ac:dyDescent="0.25">
      <c r="A333">
        <v>331</v>
      </c>
      <c r="B333" t="s">
        <v>2074</v>
      </c>
    </row>
    <row r="334" spans="1:2" x14ac:dyDescent="0.25">
      <c r="A334">
        <v>332</v>
      </c>
      <c r="B334" t="s">
        <v>2075</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2076</v>
      </c>
    </row>
    <row r="340" spans="1:2" x14ac:dyDescent="0.25">
      <c r="A340">
        <v>338</v>
      </c>
      <c r="B340" t="s">
        <v>2077</v>
      </c>
    </row>
    <row r="341" spans="1:2" x14ac:dyDescent="0.25">
      <c r="A341">
        <v>339</v>
      </c>
      <c r="B341" t="s">
        <v>2078</v>
      </c>
    </row>
    <row r="342" spans="1:2" x14ac:dyDescent="0.25">
      <c r="A342">
        <v>340</v>
      </c>
      <c r="B342" t="s">
        <v>2079</v>
      </c>
    </row>
    <row r="343" spans="1:2" x14ac:dyDescent="0.25">
      <c r="A343">
        <v>341</v>
      </c>
      <c r="B343" t="s">
        <v>2080</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2081</v>
      </c>
    </row>
    <row r="349" spans="1:2" x14ac:dyDescent="0.25">
      <c r="A349">
        <v>347</v>
      </c>
      <c r="B349" t="s">
        <v>692</v>
      </c>
    </row>
    <row r="350" spans="1:2" x14ac:dyDescent="0.25">
      <c r="A350">
        <v>348</v>
      </c>
      <c r="B350" t="s">
        <v>691</v>
      </c>
    </row>
    <row r="351" spans="1:2" x14ac:dyDescent="0.25">
      <c r="A351">
        <v>349</v>
      </c>
      <c r="B351" t="s">
        <v>2082</v>
      </c>
    </row>
    <row r="352" spans="1:2" x14ac:dyDescent="0.25">
      <c r="A352">
        <v>350</v>
      </c>
      <c r="B352" t="s">
        <v>2083</v>
      </c>
    </row>
    <row r="353" spans="1:2" x14ac:dyDescent="0.25">
      <c r="A353">
        <v>351</v>
      </c>
      <c r="B353" t="s">
        <v>2084</v>
      </c>
    </row>
    <row r="354" spans="1:2" x14ac:dyDescent="0.25">
      <c r="A354">
        <v>352</v>
      </c>
      <c r="B354" t="s">
        <v>2085</v>
      </c>
    </row>
    <row r="355" spans="1:2" x14ac:dyDescent="0.25">
      <c r="A355">
        <v>353</v>
      </c>
      <c r="B355" t="s">
        <v>2086</v>
      </c>
    </row>
    <row r="356" spans="1:2" x14ac:dyDescent="0.25">
      <c r="A356">
        <v>354</v>
      </c>
      <c r="B356" t="s">
        <v>2087</v>
      </c>
    </row>
    <row r="357" spans="1:2" x14ac:dyDescent="0.25">
      <c r="A357">
        <v>355</v>
      </c>
      <c r="B357" t="s">
        <v>2088</v>
      </c>
    </row>
    <row r="358" spans="1:2" x14ac:dyDescent="0.25">
      <c r="A358">
        <v>356</v>
      </c>
      <c r="B358" t="s">
        <v>2089</v>
      </c>
    </row>
    <row r="359" spans="1:2" x14ac:dyDescent="0.25">
      <c r="A359">
        <v>357</v>
      </c>
      <c r="B359" t="s">
        <v>2090</v>
      </c>
    </row>
    <row r="360" spans="1:2" x14ac:dyDescent="0.25">
      <c r="A360">
        <v>358</v>
      </c>
      <c r="B360" t="s">
        <v>2091</v>
      </c>
    </row>
    <row r="361" spans="1:2" x14ac:dyDescent="0.25">
      <c r="A361">
        <v>359</v>
      </c>
      <c r="B361" t="s">
        <v>2092</v>
      </c>
    </row>
    <row r="362" spans="1:2" x14ac:dyDescent="0.25">
      <c r="A362">
        <v>360</v>
      </c>
      <c r="B362" t="s">
        <v>2093</v>
      </c>
    </row>
    <row r="363" spans="1:2" x14ac:dyDescent="0.25">
      <c r="A363">
        <v>361</v>
      </c>
      <c r="B363" t="s">
        <v>694</v>
      </c>
    </row>
    <row r="364" spans="1:2" x14ac:dyDescent="0.25">
      <c r="A364">
        <v>362</v>
      </c>
      <c r="B364" t="s">
        <v>693</v>
      </c>
    </row>
    <row r="365" spans="1:2" x14ac:dyDescent="0.25">
      <c r="A365">
        <v>363</v>
      </c>
      <c r="B365" t="s">
        <v>2094</v>
      </c>
    </row>
    <row r="366" spans="1:2" x14ac:dyDescent="0.25">
      <c r="A366">
        <v>364</v>
      </c>
      <c r="B366" t="s">
        <v>2095</v>
      </c>
    </row>
    <row r="367" spans="1:2" x14ac:dyDescent="0.25">
      <c r="A367">
        <v>365</v>
      </c>
      <c r="B367" t="s">
        <v>2096</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2097</v>
      </c>
    </row>
    <row r="372" spans="1:2" x14ac:dyDescent="0.25">
      <c r="A372">
        <v>370</v>
      </c>
      <c r="B372" t="s">
        <v>2098</v>
      </c>
    </row>
    <row r="373" spans="1:2" x14ac:dyDescent="0.25">
      <c r="A373">
        <v>371</v>
      </c>
      <c r="B373" t="s">
        <v>2099</v>
      </c>
    </row>
    <row r="374" spans="1:2" x14ac:dyDescent="0.25">
      <c r="A374">
        <v>372</v>
      </c>
      <c r="B374" t="s">
        <v>705</v>
      </c>
    </row>
    <row r="375" spans="1:2" x14ac:dyDescent="0.25">
      <c r="A375">
        <v>373</v>
      </c>
      <c r="B375" t="s">
        <v>704</v>
      </c>
    </row>
    <row r="376" spans="1:2" x14ac:dyDescent="0.25">
      <c r="A376">
        <v>374</v>
      </c>
      <c r="B376" t="s">
        <v>2100</v>
      </c>
    </row>
    <row r="377" spans="1:2" x14ac:dyDescent="0.25">
      <c r="A377">
        <v>375</v>
      </c>
      <c r="B377" t="s">
        <v>2101</v>
      </c>
    </row>
    <row r="378" spans="1:2" x14ac:dyDescent="0.25">
      <c r="A378">
        <v>376</v>
      </c>
      <c r="B378" t="s">
        <v>2102</v>
      </c>
    </row>
    <row r="379" spans="1:2" x14ac:dyDescent="0.25">
      <c r="A379">
        <v>377</v>
      </c>
      <c r="B379" t="s">
        <v>2103</v>
      </c>
    </row>
    <row r="380" spans="1:2" x14ac:dyDescent="0.25">
      <c r="A380">
        <v>378</v>
      </c>
      <c r="B380" t="s">
        <v>719</v>
      </c>
    </row>
    <row r="381" spans="1:2" x14ac:dyDescent="0.25">
      <c r="A381">
        <v>379</v>
      </c>
      <c r="B381" t="s">
        <v>2104</v>
      </c>
    </row>
    <row r="382" spans="1:2" x14ac:dyDescent="0.25">
      <c r="A382">
        <v>380</v>
      </c>
      <c r="B382" t="s">
        <v>721</v>
      </c>
    </row>
    <row r="383" spans="1:2" x14ac:dyDescent="0.25">
      <c r="A383">
        <v>381</v>
      </c>
      <c r="B383" t="s">
        <v>2105</v>
      </c>
    </row>
    <row r="384" spans="1:2" x14ac:dyDescent="0.25">
      <c r="A384">
        <v>382</v>
      </c>
      <c r="B384" t="s">
        <v>2106</v>
      </c>
    </row>
    <row r="385" spans="1:2" x14ac:dyDescent="0.25">
      <c r="A385">
        <v>383</v>
      </c>
      <c r="B385" t="s">
        <v>2107</v>
      </c>
    </row>
    <row r="386" spans="1:2" x14ac:dyDescent="0.25">
      <c r="A386">
        <v>384</v>
      </c>
      <c r="B386" t="s">
        <v>2108</v>
      </c>
    </row>
    <row r="387" spans="1:2" x14ac:dyDescent="0.25">
      <c r="A387">
        <v>385</v>
      </c>
    </row>
    <row r="388" spans="1:2" x14ac:dyDescent="0.25">
      <c r="A388">
        <v>386</v>
      </c>
      <c r="B388" t="s">
        <v>2109</v>
      </c>
    </row>
    <row r="389" spans="1:2" x14ac:dyDescent="0.25">
      <c r="A389">
        <v>387</v>
      </c>
      <c r="B389" t="s">
        <v>2110</v>
      </c>
    </row>
    <row r="390" spans="1:2" x14ac:dyDescent="0.25">
      <c r="A390">
        <v>388</v>
      </c>
      <c r="B390" t="s">
        <v>723</v>
      </c>
    </row>
    <row r="391" spans="1:2" x14ac:dyDescent="0.25">
      <c r="A391">
        <v>389</v>
      </c>
      <c r="B391" t="s">
        <v>2111</v>
      </c>
    </row>
    <row r="392" spans="1:2" x14ac:dyDescent="0.25">
      <c r="A392">
        <v>390</v>
      </c>
      <c r="B392" t="s">
        <v>2112</v>
      </c>
    </row>
    <row r="393" spans="1:2" x14ac:dyDescent="0.25">
      <c r="A393">
        <v>391</v>
      </c>
      <c r="B393" t="s">
        <v>2113</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2114</v>
      </c>
    </row>
    <row r="400" spans="1:2" x14ac:dyDescent="0.25">
      <c r="A400">
        <v>398</v>
      </c>
      <c r="B400" t="s">
        <v>2115</v>
      </c>
    </row>
    <row r="401" spans="1:2" x14ac:dyDescent="0.25">
      <c r="A401">
        <v>399</v>
      </c>
      <c r="B401" t="s">
        <v>2116</v>
      </c>
    </row>
    <row r="402" spans="1:2" x14ac:dyDescent="0.25">
      <c r="A402">
        <v>400</v>
      </c>
      <c r="B402" t="s">
        <v>1383</v>
      </c>
    </row>
    <row r="403" spans="1:2" x14ac:dyDescent="0.25">
      <c r="A403">
        <v>401</v>
      </c>
      <c r="B403" t="s">
        <v>1384</v>
      </c>
    </row>
    <row r="404" spans="1:2" x14ac:dyDescent="0.25">
      <c r="A404">
        <v>402</v>
      </c>
      <c r="B404" t="s">
        <v>2117</v>
      </c>
    </row>
    <row r="405" spans="1:2" x14ac:dyDescent="0.25">
      <c r="A405">
        <v>403</v>
      </c>
      <c r="B405" t="s">
        <v>2118</v>
      </c>
    </row>
    <row r="406" spans="1:2" x14ac:dyDescent="0.25">
      <c r="A406">
        <v>404</v>
      </c>
      <c r="B406" t="s">
        <v>2119</v>
      </c>
    </row>
    <row r="407" spans="1:2" x14ac:dyDescent="0.25">
      <c r="A407">
        <v>405</v>
      </c>
      <c r="B407" t="s">
        <v>2120</v>
      </c>
    </row>
    <row r="408" spans="1:2" x14ac:dyDescent="0.25">
      <c r="A408">
        <v>406</v>
      </c>
      <c r="B408" t="s">
        <v>2121</v>
      </c>
    </row>
    <row r="409" spans="1:2" x14ac:dyDescent="0.25">
      <c r="A409">
        <v>407</v>
      </c>
      <c r="B409" t="s">
        <v>2122</v>
      </c>
    </row>
    <row r="410" spans="1:2" x14ac:dyDescent="0.25">
      <c r="A410">
        <v>408</v>
      </c>
    </row>
    <row r="411" spans="1:2" x14ac:dyDescent="0.25">
      <c r="A411">
        <v>409</v>
      </c>
      <c r="B411" t="s">
        <v>1493</v>
      </c>
    </row>
    <row r="412" spans="1:2" x14ac:dyDescent="0.25">
      <c r="A412">
        <v>410</v>
      </c>
      <c r="B412" t="s">
        <v>1492</v>
      </c>
    </row>
    <row r="413" spans="1:2" x14ac:dyDescent="0.25">
      <c r="A413">
        <v>411</v>
      </c>
      <c r="B413" t="s">
        <v>2123</v>
      </c>
    </row>
    <row r="414" spans="1:2" x14ac:dyDescent="0.25">
      <c r="A414">
        <v>412</v>
      </c>
      <c r="B414" t="s">
        <v>2124</v>
      </c>
    </row>
    <row r="415" spans="1:2" x14ac:dyDescent="0.25">
      <c r="A415">
        <v>413</v>
      </c>
      <c r="B415" t="s">
        <v>2125</v>
      </c>
    </row>
    <row r="416" spans="1:2" x14ac:dyDescent="0.25">
      <c r="A416">
        <v>414</v>
      </c>
      <c r="B416" t="s">
        <v>2126</v>
      </c>
    </row>
    <row r="417" spans="1:2" x14ac:dyDescent="0.25">
      <c r="A417">
        <v>415</v>
      </c>
      <c r="B417" t="s">
        <v>2127</v>
      </c>
    </row>
    <row r="418" spans="1:2" x14ac:dyDescent="0.25">
      <c r="A418">
        <v>416</v>
      </c>
      <c r="B418" t="s">
        <v>2128</v>
      </c>
    </row>
    <row r="419" spans="1:2" x14ac:dyDescent="0.25">
      <c r="A419">
        <v>417</v>
      </c>
      <c r="B419" t="s">
        <v>2129</v>
      </c>
    </row>
    <row r="420" spans="1:2" x14ac:dyDescent="0.25">
      <c r="A420">
        <v>418</v>
      </c>
      <c r="B420" t="s">
        <v>2130</v>
      </c>
    </row>
    <row r="421" spans="1:2" x14ac:dyDescent="0.25">
      <c r="A421">
        <v>419</v>
      </c>
      <c r="B421" t="s">
        <v>2131</v>
      </c>
    </row>
    <row r="422" spans="1:2" x14ac:dyDescent="0.25">
      <c r="A422">
        <v>420</v>
      </c>
      <c r="B422" t="s">
        <v>2132</v>
      </c>
    </row>
    <row r="423" spans="1:2" x14ac:dyDescent="0.25">
      <c r="A423">
        <v>421</v>
      </c>
      <c r="B423" t="s">
        <v>2133</v>
      </c>
    </row>
    <row r="424" spans="1:2" x14ac:dyDescent="0.25">
      <c r="A424">
        <v>422</v>
      </c>
      <c r="B424" t="s">
        <v>1593</v>
      </c>
    </row>
    <row r="425" spans="1:2" x14ac:dyDescent="0.25">
      <c r="A425">
        <v>423</v>
      </c>
      <c r="B425" t="s">
        <v>1594</v>
      </c>
    </row>
    <row r="426" spans="1:2" x14ac:dyDescent="0.25">
      <c r="A426">
        <v>424</v>
      </c>
      <c r="B426" t="s">
        <v>2134</v>
      </c>
    </row>
    <row r="427" spans="1:2" x14ac:dyDescent="0.25">
      <c r="A427">
        <v>425</v>
      </c>
      <c r="B427" t="s">
        <v>2135</v>
      </c>
    </row>
    <row r="428" spans="1:2" x14ac:dyDescent="0.25">
      <c r="A428">
        <v>426</v>
      </c>
      <c r="B428" t="s">
        <v>2136</v>
      </c>
    </row>
    <row r="429" spans="1:2" x14ac:dyDescent="0.25">
      <c r="A429">
        <v>427</v>
      </c>
      <c r="B429" t="s">
        <v>1654</v>
      </c>
    </row>
    <row r="430" spans="1:2" x14ac:dyDescent="0.25">
      <c r="A430">
        <v>428</v>
      </c>
      <c r="B430" t="s">
        <v>1655</v>
      </c>
    </row>
    <row r="431" spans="1:2" x14ac:dyDescent="0.25">
      <c r="A431">
        <v>429</v>
      </c>
      <c r="B431" t="s">
        <v>2137</v>
      </c>
    </row>
    <row r="432" spans="1:2" x14ac:dyDescent="0.25">
      <c r="A432">
        <v>430</v>
      </c>
      <c r="B432" t="s">
        <v>2138</v>
      </c>
    </row>
    <row r="433" spans="1:2" x14ac:dyDescent="0.25">
      <c r="A433">
        <v>431</v>
      </c>
      <c r="B433" t="s">
        <v>2139</v>
      </c>
    </row>
    <row r="434" spans="1:2" x14ac:dyDescent="0.25">
      <c r="A434">
        <v>432</v>
      </c>
      <c r="B434" t="s">
        <v>2140</v>
      </c>
    </row>
    <row r="435" spans="1:2" x14ac:dyDescent="0.25">
      <c r="A435">
        <v>433</v>
      </c>
      <c r="B435" t="s">
        <v>2141</v>
      </c>
    </row>
    <row r="436" spans="1:2" x14ac:dyDescent="0.25">
      <c r="A436">
        <v>434</v>
      </c>
      <c r="B436" t="s">
        <v>2142</v>
      </c>
    </row>
    <row r="437" spans="1:2" x14ac:dyDescent="0.25">
      <c r="A437">
        <v>435</v>
      </c>
      <c r="B437" t="s">
        <v>2143</v>
      </c>
    </row>
    <row r="438" spans="1:2" x14ac:dyDescent="0.25">
      <c r="A438">
        <v>436</v>
      </c>
      <c r="B438" t="s">
        <v>2144</v>
      </c>
    </row>
    <row r="439" spans="1:2" x14ac:dyDescent="0.25">
      <c r="A439">
        <v>437</v>
      </c>
      <c r="B439" t="s">
        <v>2401</v>
      </c>
    </row>
    <row r="440" spans="1:2" x14ac:dyDescent="0.25">
      <c r="A440">
        <v>438</v>
      </c>
      <c r="B440" t="s">
        <v>1704</v>
      </c>
    </row>
    <row r="441" spans="1:2" x14ac:dyDescent="0.25">
      <c r="A441">
        <v>439</v>
      </c>
      <c r="B441" t="s">
        <v>1705</v>
      </c>
    </row>
    <row r="442" spans="1:2" x14ac:dyDescent="0.25">
      <c r="A442">
        <v>440</v>
      </c>
      <c r="B442" t="s">
        <v>1706</v>
      </c>
    </row>
    <row r="443" spans="1:2" x14ac:dyDescent="0.25">
      <c r="A443">
        <v>441</v>
      </c>
      <c r="B443" t="s">
        <v>2198</v>
      </c>
    </row>
    <row r="444" spans="1:2" x14ac:dyDescent="0.25">
      <c r="A444">
        <v>442</v>
      </c>
      <c r="B444" t="s">
        <v>2199</v>
      </c>
    </row>
    <row r="445" spans="1:2" x14ac:dyDescent="0.25">
      <c r="A445">
        <v>443</v>
      </c>
      <c r="B445" t="s">
        <v>2200</v>
      </c>
    </row>
    <row r="446" spans="1:2" x14ac:dyDescent="0.25">
      <c r="A446">
        <v>444</v>
      </c>
      <c r="B446" t="s">
        <v>2201</v>
      </c>
    </row>
    <row r="447" spans="1:2" x14ac:dyDescent="0.25">
      <c r="A447">
        <v>445</v>
      </c>
      <c r="B447" t="s">
        <v>2202</v>
      </c>
    </row>
    <row r="448" spans="1:2" x14ac:dyDescent="0.25">
      <c r="A448">
        <v>446</v>
      </c>
      <c r="B448" t="s">
        <v>2203</v>
      </c>
    </row>
    <row r="449" spans="1:2" x14ac:dyDescent="0.25">
      <c r="A449">
        <v>447</v>
      </c>
      <c r="B449" t="s">
        <v>2204</v>
      </c>
    </row>
    <row r="450" spans="1:2" x14ac:dyDescent="0.25">
      <c r="A450">
        <v>448</v>
      </c>
      <c r="B450" t="s">
        <v>2205</v>
      </c>
    </row>
    <row r="451" spans="1:2" x14ac:dyDescent="0.25">
      <c r="A451">
        <v>449</v>
      </c>
      <c r="B451" t="s">
        <v>2206</v>
      </c>
    </row>
    <row r="452" spans="1:2" x14ac:dyDescent="0.25">
      <c r="A452">
        <v>450</v>
      </c>
      <c r="B452" t="s">
        <v>2145</v>
      </c>
    </row>
    <row r="453" spans="1:2" x14ac:dyDescent="0.25">
      <c r="A453">
        <v>451</v>
      </c>
      <c r="B453" t="s">
        <v>2146</v>
      </c>
    </row>
    <row r="454" spans="1:2" x14ac:dyDescent="0.25">
      <c r="A454">
        <v>452</v>
      </c>
      <c r="B454" t="s">
        <v>2147</v>
      </c>
    </row>
    <row r="455" spans="1:2" x14ac:dyDescent="0.25">
      <c r="A455">
        <v>453</v>
      </c>
      <c r="B455" t="s">
        <v>2148</v>
      </c>
    </row>
    <row r="456" spans="1:2" x14ac:dyDescent="0.25">
      <c r="A456">
        <v>454</v>
      </c>
      <c r="B456" t="s">
        <v>2400</v>
      </c>
    </row>
    <row r="457" spans="1:2" x14ac:dyDescent="0.25">
      <c r="A457">
        <v>455</v>
      </c>
      <c r="B457" t="s">
        <v>2207</v>
      </c>
    </row>
    <row r="458" spans="1:2" x14ac:dyDescent="0.25">
      <c r="A458">
        <v>456</v>
      </c>
      <c r="B458" t="s">
        <v>2208</v>
      </c>
    </row>
    <row r="459" spans="1:2" x14ac:dyDescent="0.25">
      <c r="A459">
        <v>457</v>
      </c>
      <c r="B459" t="s">
        <v>2209</v>
      </c>
    </row>
    <row r="460" spans="1:2" x14ac:dyDescent="0.25">
      <c r="A460">
        <v>458</v>
      </c>
      <c r="B460" t="s">
        <v>2448</v>
      </c>
    </row>
    <row r="461" spans="1:2" x14ac:dyDescent="0.25">
      <c r="A461">
        <v>459</v>
      </c>
      <c r="B461" t="s">
        <v>2449</v>
      </c>
    </row>
    <row r="462" spans="1:2" x14ac:dyDescent="0.25">
      <c r="A462">
        <v>460</v>
      </c>
      <c r="B462" t="s">
        <v>2450</v>
      </c>
    </row>
    <row r="463" spans="1:2" x14ac:dyDescent="0.25">
      <c r="A463">
        <v>461</v>
      </c>
      <c r="B463" t="s">
        <v>2451</v>
      </c>
    </row>
    <row r="464" spans="1:2" x14ac:dyDescent="0.25">
      <c r="A464">
        <v>462</v>
      </c>
      <c r="B464" t="s">
        <v>2452</v>
      </c>
    </row>
    <row r="465" spans="1:3" x14ac:dyDescent="0.25">
      <c r="A465">
        <v>463</v>
      </c>
      <c r="B465" t="s">
        <v>2453</v>
      </c>
    </row>
    <row r="466" spans="1:3" x14ac:dyDescent="0.25">
      <c r="A466">
        <v>464</v>
      </c>
      <c r="B466" t="s">
        <v>2445</v>
      </c>
    </row>
    <row r="467" spans="1:3" x14ac:dyDescent="0.25">
      <c r="A467">
        <v>465</v>
      </c>
      <c r="B467" t="s">
        <v>2396</v>
      </c>
    </row>
    <row r="468" spans="1:3" x14ac:dyDescent="0.25">
      <c r="A468">
        <v>466</v>
      </c>
      <c r="B468" t="s">
        <v>2395</v>
      </c>
    </row>
    <row r="469" spans="1:3" x14ac:dyDescent="0.25">
      <c r="A469">
        <v>467</v>
      </c>
      <c r="B469" t="s">
        <v>2446</v>
      </c>
    </row>
    <row r="470" spans="1:3" x14ac:dyDescent="0.25">
      <c r="A470">
        <v>468</v>
      </c>
      <c r="B470" t="s">
        <v>2447</v>
      </c>
    </row>
    <row r="471" spans="1:3" x14ac:dyDescent="0.25">
      <c r="A471">
        <v>469</v>
      </c>
      <c r="B471" t="s">
        <v>2506</v>
      </c>
    </row>
    <row r="472" spans="1:3" x14ac:dyDescent="0.25">
      <c r="A472">
        <v>470</v>
      </c>
      <c r="B472" t="s">
        <v>2507</v>
      </c>
    </row>
    <row r="473" spans="1:3" x14ac:dyDescent="0.25">
      <c r="A473">
        <v>471</v>
      </c>
      <c r="B473" t="s">
        <v>2443</v>
      </c>
    </row>
    <row r="474" spans="1:3" x14ac:dyDescent="0.25">
      <c r="A474">
        <v>472</v>
      </c>
      <c r="B474" t="s">
        <v>2444</v>
      </c>
      <c r="C474" s="72"/>
    </row>
    <row r="475" spans="1:3" x14ac:dyDescent="0.25">
      <c r="A475">
        <v>473</v>
      </c>
      <c r="B475" t="s">
        <v>2415</v>
      </c>
      <c r="C475" s="72"/>
    </row>
    <row r="476" spans="1:3" x14ac:dyDescent="0.25">
      <c r="A476">
        <v>474</v>
      </c>
      <c r="C476" s="72"/>
    </row>
    <row r="477" spans="1:3" x14ac:dyDescent="0.25">
      <c r="A477">
        <v>475</v>
      </c>
      <c r="C477" s="72"/>
    </row>
    <row r="478" spans="1:3" x14ac:dyDescent="0.25">
      <c r="A478">
        <v>476</v>
      </c>
      <c r="B478" t="s">
        <v>2665</v>
      </c>
      <c r="C478" s="73"/>
    </row>
    <row r="479" spans="1:3" x14ac:dyDescent="0.25">
      <c r="A479">
        <v>477</v>
      </c>
      <c r="B479" t="s">
        <v>2666</v>
      </c>
      <c r="C479" s="74"/>
    </row>
    <row r="480" spans="1:3" x14ac:dyDescent="0.25">
      <c r="A480">
        <v>478</v>
      </c>
      <c r="B480" t="s">
        <v>2667</v>
      </c>
      <c r="C480" s="74"/>
    </row>
    <row r="481" spans="1:3" x14ac:dyDescent="0.25">
      <c r="A481">
        <v>479</v>
      </c>
      <c r="B481" t="s">
        <v>2668</v>
      </c>
      <c r="C481" s="74"/>
    </row>
    <row r="482" spans="1:3" x14ac:dyDescent="0.25">
      <c r="A482">
        <v>480</v>
      </c>
      <c r="B482" t="s">
        <v>2669</v>
      </c>
      <c r="C482" s="74"/>
    </row>
    <row r="483" spans="1:3" x14ac:dyDescent="0.25">
      <c r="A483">
        <v>481</v>
      </c>
      <c r="B483" t="s">
        <v>2508</v>
      </c>
      <c r="C483" s="74"/>
    </row>
    <row r="484" spans="1:3" x14ac:dyDescent="0.25">
      <c r="A484">
        <v>482</v>
      </c>
      <c r="B484" t="s">
        <v>2509</v>
      </c>
      <c r="C484" s="74"/>
    </row>
    <row r="485" spans="1:3" x14ac:dyDescent="0.25">
      <c r="A485">
        <v>483</v>
      </c>
      <c r="B485" t="s">
        <v>2510</v>
      </c>
      <c r="C485" s="74"/>
    </row>
    <row r="486" spans="1:3" x14ac:dyDescent="0.25">
      <c r="A486">
        <v>484</v>
      </c>
      <c r="B486" t="s">
        <v>2511</v>
      </c>
    </row>
    <row r="487" spans="1:3" x14ac:dyDescent="0.25">
      <c r="A487">
        <v>485</v>
      </c>
      <c r="B487" t="s">
        <v>2500</v>
      </c>
    </row>
    <row r="488" spans="1:3" x14ac:dyDescent="0.25">
      <c r="A488">
        <v>486</v>
      </c>
      <c r="B488" t="s">
        <v>2505</v>
      </c>
    </row>
    <row r="489" spans="1:3" x14ac:dyDescent="0.25">
      <c r="A489">
        <v>487</v>
      </c>
      <c r="B489" t="s">
        <v>2670</v>
      </c>
    </row>
    <row r="490" spans="1:3" x14ac:dyDescent="0.25">
      <c r="A490">
        <v>488</v>
      </c>
      <c r="B490" t="s">
        <v>3330</v>
      </c>
    </row>
    <row r="491" spans="1:3" x14ac:dyDescent="0.25">
      <c r="A491">
        <v>489</v>
      </c>
      <c r="B491" t="s">
        <v>2671</v>
      </c>
    </row>
    <row r="492" spans="1:3" x14ac:dyDescent="0.25">
      <c r="A492">
        <v>490</v>
      </c>
      <c r="B492" t="s">
        <v>2672</v>
      </c>
    </row>
    <row r="493" spans="1:3" x14ac:dyDescent="0.25">
      <c r="A493">
        <v>491</v>
      </c>
      <c r="B493" t="s">
        <v>2673</v>
      </c>
    </row>
    <row r="494" spans="1:3" x14ac:dyDescent="0.25">
      <c r="A494">
        <v>492</v>
      </c>
    </row>
    <row r="495" spans="1:3" x14ac:dyDescent="0.25">
      <c r="A495">
        <v>493</v>
      </c>
      <c r="B495" t="s">
        <v>2674</v>
      </c>
    </row>
    <row r="496" spans="1:3" x14ac:dyDescent="0.25">
      <c r="A496">
        <v>494</v>
      </c>
      <c r="B496" t="s">
        <v>2675</v>
      </c>
    </row>
    <row r="497" spans="1:2" x14ac:dyDescent="0.25">
      <c r="A497">
        <v>495</v>
      </c>
      <c r="B497" t="s">
        <v>2676</v>
      </c>
    </row>
    <row r="498" spans="1:2" x14ac:dyDescent="0.25">
      <c r="A498">
        <v>496</v>
      </c>
      <c r="B498" t="s">
        <v>2677</v>
      </c>
    </row>
    <row r="499" spans="1:2" x14ac:dyDescent="0.25">
      <c r="A499">
        <v>497</v>
      </c>
      <c r="B499" t="s">
        <v>2729</v>
      </c>
    </row>
    <row r="500" spans="1:2" x14ac:dyDescent="0.25">
      <c r="A500">
        <v>498</v>
      </c>
      <c r="B500" t="s">
        <v>2730</v>
      </c>
    </row>
    <row r="501" spans="1:2" x14ac:dyDescent="0.25">
      <c r="A501">
        <v>499</v>
      </c>
      <c r="B501" t="s">
        <v>2726</v>
      </c>
    </row>
    <row r="502" spans="1:2" x14ac:dyDescent="0.25">
      <c r="A502">
        <v>500</v>
      </c>
    </row>
    <row r="503" spans="1:2" x14ac:dyDescent="0.25">
      <c r="A503">
        <v>501</v>
      </c>
      <c r="B503" t="s">
        <v>3331</v>
      </c>
    </row>
    <row r="504" spans="1:2" x14ac:dyDescent="0.25">
      <c r="A504">
        <v>502</v>
      </c>
      <c r="B504" t="s">
        <v>3332</v>
      </c>
    </row>
    <row r="505" spans="1:2" x14ac:dyDescent="0.25">
      <c r="A505">
        <v>503</v>
      </c>
      <c r="B505" t="s">
        <v>3333</v>
      </c>
    </row>
    <row r="506" spans="1:2" x14ac:dyDescent="0.25">
      <c r="A506">
        <v>504</v>
      </c>
      <c r="B506" t="s">
        <v>3334</v>
      </c>
    </row>
    <row r="507" spans="1:2" x14ac:dyDescent="0.25">
      <c r="A507">
        <v>505</v>
      </c>
      <c r="B507" t="s">
        <v>3335</v>
      </c>
    </row>
    <row r="508" spans="1:2" x14ac:dyDescent="0.25">
      <c r="A508">
        <v>506</v>
      </c>
      <c r="B508" t="s">
        <v>3336</v>
      </c>
    </row>
    <row r="509" spans="1:2" x14ac:dyDescent="0.25">
      <c r="A509">
        <v>507</v>
      </c>
      <c r="B509" t="s">
        <v>3337</v>
      </c>
    </row>
    <row r="510" spans="1:2" x14ac:dyDescent="0.25">
      <c r="A510">
        <v>508</v>
      </c>
      <c r="B510" t="s">
        <v>3338</v>
      </c>
    </row>
    <row r="511" spans="1:2" x14ac:dyDescent="0.25">
      <c r="A511">
        <v>509</v>
      </c>
      <c r="B511" t="s">
        <v>3339</v>
      </c>
    </row>
    <row r="512" spans="1:2" x14ac:dyDescent="0.25">
      <c r="A512">
        <v>510</v>
      </c>
      <c r="B512" t="s">
        <v>3340</v>
      </c>
    </row>
    <row r="513" spans="1:2" x14ac:dyDescent="0.25">
      <c r="A513">
        <v>511</v>
      </c>
      <c r="B513" t="s">
        <v>3341</v>
      </c>
    </row>
    <row r="514" spans="1:2" x14ac:dyDescent="0.25">
      <c r="A514">
        <v>512</v>
      </c>
      <c r="B514" t="s">
        <v>3342</v>
      </c>
    </row>
    <row r="515" spans="1:2" x14ac:dyDescent="0.25">
      <c r="A515">
        <v>513</v>
      </c>
      <c r="B515" t="s">
        <v>3343</v>
      </c>
    </row>
    <row r="516" spans="1:2" x14ac:dyDescent="0.25">
      <c r="A516">
        <v>514</v>
      </c>
    </row>
    <row r="517" spans="1:2" x14ac:dyDescent="0.25">
      <c r="A517">
        <v>515</v>
      </c>
    </row>
    <row r="518" spans="1:2" x14ac:dyDescent="0.25">
      <c r="A518">
        <v>516</v>
      </c>
    </row>
    <row r="519" spans="1:2" x14ac:dyDescent="0.25">
      <c r="A519">
        <v>517</v>
      </c>
      <c r="B519" t="s">
        <v>3344</v>
      </c>
    </row>
    <row r="520" spans="1:2" x14ac:dyDescent="0.25">
      <c r="A520">
        <v>518</v>
      </c>
      <c r="B520" t="s">
        <v>3345</v>
      </c>
    </row>
    <row r="521" spans="1:2" x14ac:dyDescent="0.25">
      <c r="A521">
        <v>519</v>
      </c>
      <c r="B521" t="s">
        <v>3346</v>
      </c>
    </row>
    <row r="522" spans="1:2" x14ac:dyDescent="0.25">
      <c r="A522">
        <v>520</v>
      </c>
      <c r="B522" t="s">
        <v>3414</v>
      </c>
    </row>
    <row r="523" spans="1:2" x14ac:dyDescent="0.25">
      <c r="A523">
        <v>521</v>
      </c>
      <c r="B523" t="s">
        <v>3415</v>
      </c>
    </row>
    <row r="524" spans="1:2" x14ac:dyDescent="0.25">
      <c r="A524">
        <v>522</v>
      </c>
      <c r="B524" t="s">
        <v>3347</v>
      </c>
    </row>
    <row r="525" spans="1:2" x14ac:dyDescent="0.25">
      <c r="A525">
        <v>523</v>
      </c>
      <c r="B525" t="s">
        <v>3348</v>
      </c>
    </row>
    <row r="526" spans="1:2" x14ac:dyDescent="0.25">
      <c r="A526">
        <v>524</v>
      </c>
      <c r="B526" t="s">
        <v>3476</v>
      </c>
    </row>
    <row r="527" spans="1:2" x14ac:dyDescent="0.25">
      <c r="A527">
        <v>525</v>
      </c>
      <c r="B527" t="s">
        <v>3477</v>
      </c>
    </row>
    <row r="528" spans="1:2" x14ac:dyDescent="0.25">
      <c r="A528">
        <v>526</v>
      </c>
      <c r="B528" t="s">
        <v>3478</v>
      </c>
    </row>
    <row r="529" spans="1:2" x14ac:dyDescent="0.25">
      <c r="A529">
        <v>527</v>
      </c>
      <c r="B529" t="s">
        <v>3479</v>
      </c>
    </row>
    <row r="530" spans="1:2" x14ac:dyDescent="0.25">
      <c r="A530">
        <v>528</v>
      </c>
      <c r="B530" t="s">
        <v>3567</v>
      </c>
    </row>
    <row r="531" spans="1:2" x14ac:dyDescent="0.25">
      <c r="A531">
        <v>529</v>
      </c>
      <c r="B531" t="s">
        <v>3480</v>
      </c>
    </row>
    <row r="532" spans="1:2" x14ac:dyDescent="0.25">
      <c r="A532">
        <v>530</v>
      </c>
      <c r="B532" t="s">
        <v>3481</v>
      </c>
    </row>
    <row r="533" spans="1:2" x14ac:dyDescent="0.25">
      <c r="A533">
        <v>531</v>
      </c>
      <c r="B533" t="s">
        <v>3568</v>
      </c>
    </row>
    <row r="534" spans="1:2" x14ac:dyDescent="0.25">
      <c r="A534">
        <v>532</v>
      </c>
      <c r="B534" t="s">
        <v>3569</v>
      </c>
    </row>
    <row r="535" spans="1:2" x14ac:dyDescent="0.25">
      <c r="A535">
        <v>533</v>
      </c>
      <c r="B535" t="s">
        <v>3570</v>
      </c>
    </row>
    <row r="536" spans="1:2" x14ac:dyDescent="0.25">
      <c r="A536">
        <v>534</v>
      </c>
      <c r="B536" t="s">
        <v>3668</v>
      </c>
    </row>
    <row r="537" spans="1:2" x14ac:dyDescent="0.25">
      <c r="A537">
        <v>535</v>
      </c>
      <c r="B537" t="s">
        <v>3669</v>
      </c>
    </row>
    <row r="538" spans="1:2" x14ac:dyDescent="0.25">
      <c r="A538">
        <v>536</v>
      </c>
      <c r="B538" t="s">
        <v>3670</v>
      </c>
    </row>
    <row r="539" spans="1:2" x14ac:dyDescent="0.25">
      <c r="A539">
        <v>537</v>
      </c>
      <c r="B539" t="s">
        <v>3671</v>
      </c>
    </row>
    <row r="540" spans="1:2" x14ac:dyDescent="0.25">
      <c r="A540">
        <v>538</v>
      </c>
      <c r="B540" t="s">
        <v>3672</v>
      </c>
    </row>
    <row r="541" spans="1:2" x14ac:dyDescent="0.25">
      <c r="A541">
        <v>539</v>
      </c>
      <c r="B541" t="s">
        <v>3673</v>
      </c>
    </row>
    <row r="542" spans="1:2" x14ac:dyDescent="0.25">
      <c r="A542">
        <v>540</v>
      </c>
      <c r="B542" t="s">
        <v>3674</v>
      </c>
    </row>
    <row r="543" spans="1:2" x14ac:dyDescent="0.25">
      <c r="A543">
        <v>541</v>
      </c>
      <c r="B543" t="s">
        <v>3675</v>
      </c>
    </row>
    <row r="544" spans="1:2" x14ac:dyDescent="0.25">
      <c r="A544">
        <v>542</v>
      </c>
      <c r="B544" t="s">
        <v>3676</v>
      </c>
    </row>
    <row r="545" spans="1:2" x14ac:dyDescent="0.25">
      <c r="A545">
        <v>543</v>
      </c>
      <c r="B545" t="s">
        <v>3677</v>
      </c>
    </row>
    <row r="546" spans="1:2" x14ac:dyDescent="0.25">
      <c r="A546">
        <v>544</v>
      </c>
      <c r="B546" t="s">
        <v>3678</v>
      </c>
    </row>
    <row r="547" spans="1:2" x14ac:dyDescent="0.25">
      <c r="A547">
        <v>545</v>
      </c>
      <c r="B547" t="s">
        <v>3679</v>
      </c>
    </row>
    <row r="548" spans="1:2" x14ac:dyDescent="0.25">
      <c r="A548">
        <v>546</v>
      </c>
      <c r="B548" t="s">
        <v>3680</v>
      </c>
    </row>
    <row r="549" spans="1:2" x14ac:dyDescent="0.25">
      <c r="A549">
        <v>547</v>
      </c>
      <c r="B549" t="s">
        <v>3681</v>
      </c>
    </row>
    <row r="550" spans="1:2" x14ac:dyDescent="0.25">
      <c r="A550">
        <v>548</v>
      </c>
      <c r="B550" t="s">
        <v>3682</v>
      </c>
    </row>
    <row r="551" spans="1:2" x14ac:dyDescent="0.25">
      <c r="A551">
        <v>549</v>
      </c>
      <c r="B551" t="s">
        <v>3683</v>
      </c>
    </row>
    <row r="552" spans="1:2" x14ac:dyDescent="0.25">
      <c r="A552">
        <v>550</v>
      </c>
      <c r="B552" t="s">
        <v>3921</v>
      </c>
    </row>
    <row r="553" spans="1:2" x14ac:dyDescent="0.25">
      <c r="A553">
        <v>551</v>
      </c>
      <c r="B553" t="s">
        <v>3684</v>
      </c>
    </row>
    <row r="554" spans="1:2" x14ac:dyDescent="0.25">
      <c r="A554">
        <v>552</v>
      </c>
      <c r="B554" t="s">
        <v>3685</v>
      </c>
    </row>
    <row r="555" spans="1:2" x14ac:dyDescent="0.25">
      <c r="A555">
        <v>553</v>
      </c>
      <c r="B555" t="s">
        <v>3686</v>
      </c>
    </row>
    <row r="556" spans="1:2" x14ac:dyDescent="0.25">
      <c r="A556">
        <v>554</v>
      </c>
      <c r="B556" t="s">
        <v>3687</v>
      </c>
    </row>
    <row r="557" spans="1:2" x14ac:dyDescent="0.25">
      <c r="A557">
        <v>555</v>
      </c>
      <c r="B557" t="s">
        <v>3779</v>
      </c>
    </row>
    <row r="558" spans="1:2" x14ac:dyDescent="0.25">
      <c r="A558">
        <v>556</v>
      </c>
      <c r="B558" t="s">
        <v>3925</v>
      </c>
    </row>
    <row r="559" spans="1:2" x14ac:dyDescent="0.25">
      <c r="A559">
        <v>557</v>
      </c>
      <c r="B559" t="s">
        <v>3780</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3926</v>
      </c>
    </row>
    <row r="568" spans="1:2" x14ac:dyDescent="0.25">
      <c r="A568">
        <v>566</v>
      </c>
      <c r="B568" t="s">
        <v>3781</v>
      </c>
    </row>
    <row r="569" spans="1:2" x14ac:dyDescent="0.25">
      <c r="A569">
        <v>567</v>
      </c>
      <c r="B569" t="s">
        <v>3782</v>
      </c>
    </row>
    <row r="570" spans="1:2" x14ac:dyDescent="0.25">
      <c r="A570">
        <v>568</v>
      </c>
    </row>
    <row r="571" spans="1:2" x14ac:dyDescent="0.25">
      <c r="A571">
        <v>569</v>
      </c>
      <c r="B571" t="s">
        <v>3920</v>
      </c>
    </row>
    <row r="572" spans="1:2" x14ac:dyDescent="0.25">
      <c r="A572">
        <v>570</v>
      </c>
      <c r="B572" t="s">
        <v>3918</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1"/>
  <sheetViews>
    <sheetView workbookViewId="0">
      <pane ySplit="2" topLeftCell="A63" activePane="bottomLeft" state="frozen"/>
      <selection pane="bottomLeft" activeCell="A94" sqref="A9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0" t="s">
        <v>3785</v>
      </c>
      <c r="B1" s="120"/>
      <c r="C1" s="120"/>
      <c r="D1" s="120"/>
      <c r="E1" s="120"/>
      <c r="F1" s="120"/>
      <c r="G1" s="120"/>
      <c r="H1" s="120"/>
      <c r="I1" s="120"/>
    </row>
    <row r="2" spans="1:10" ht="75" x14ac:dyDescent="0.25">
      <c r="A2" s="1" t="s">
        <v>2286</v>
      </c>
      <c r="B2" s="1" t="s">
        <v>2287</v>
      </c>
      <c r="C2" s="1" t="s">
        <v>2288</v>
      </c>
      <c r="D2" s="97" t="s">
        <v>2383</v>
      </c>
      <c r="E2" s="1" t="s">
        <v>2293</v>
      </c>
      <c r="F2" s="1" t="s">
        <v>2294</v>
      </c>
      <c r="G2" s="1" t="s">
        <v>2320</v>
      </c>
      <c r="H2" s="1" t="s">
        <v>2370</v>
      </c>
      <c r="I2" s="1" t="s">
        <v>2371</v>
      </c>
      <c r="J2" s="69" t="s">
        <v>2373</v>
      </c>
    </row>
    <row r="3" spans="1:10" x14ac:dyDescent="0.25">
      <c r="A3">
        <v>1</v>
      </c>
      <c r="B3">
        <v>1</v>
      </c>
      <c r="C3" t="str">
        <f t="shared" ref="C3:C21" si="0">IF(A3=B3,"X","")</f>
        <v>X</v>
      </c>
      <c r="D3" s="98"/>
      <c r="E3" t="s">
        <v>2290</v>
      </c>
      <c r="F3" t="s">
        <v>2290</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2289</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2291</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2292</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2374</v>
      </c>
      <c r="F9" t="s">
        <v>2295</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2304</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2305</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2306</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2375</v>
      </c>
      <c r="F15" t="s">
        <v>2296</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2307</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2308</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2309</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2310</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2376</v>
      </c>
      <c r="F21" t="s">
        <v>2297</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2312</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2311</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3302</v>
      </c>
      <c r="F26" t="s">
        <v>3301</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3295</v>
      </c>
      <c r="F27" t="s">
        <v>3296</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2317</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2313</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2316</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3303</v>
      </c>
      <c r="F31" t="s">
        <v>3304</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3305</v>
      </c>
      <c r="F32" t="s">
        <v>3306</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2385</v>
      </c>
      <c r="F33" t="s">
        <v>3135</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3297</v>
      </c>
      <c r="E34" t="s">
        <v>3298</v>
      </c>
      <c r="F34" t="s">
        <v>3299</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3626</v>
      </c>
      <c r="E35" t="s">
        <v>3327</v>
      </c>
      <c r="F35" t="s">
        <v>3307</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3470</v>
      </c>
      <c r="F36" t="s">
        <v>3470</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3749</v>
      </c>
      <c r="E37" t="s">
        <v>3750</v>
      </c>
      <c r="F37" t="s">
        <v>3751</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2377</v>
      </c>
      <c r="F38" t="s">
        <v>2298</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2332</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2328</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2322</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2331</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2325</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3625</v>
      </c>
      <c r="E45" t="s">
        <v>61</v>
      </c>
      <c r="F45" t="s">
        <v>2319</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2318</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2321</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2327</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2329</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2330</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2326</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2323</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2324</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2378</v>
      </c>
      <c r="F55" t="s">
        <v>2299</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2337</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2349</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2350</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2345</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2333</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2335</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2341</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2338</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2342</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2344</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2347</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2336</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2339</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2343</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1643</v>
      </c>
      <c r="F70" t="s">
        <v>2334</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1642</v>
      </c>
      <c r="F71" t="s">
        <v>2348</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1799</v>
      </c>
      <c r="F72" t="s">
        <v>2340</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1804</v>
      </c>
      <c r="F73" t="s">
        <v>2346</v>
      </c>
      <c r="G73" t="str">
        <f t="shared" ref="G73:G111" si="17">IF(OR(A73=5,A73=6,),"X","")</f>
        <v>X</v>
      </c>
      <c r="H73" t="str">
        <f t="shared" ref="H73:H111" si="18">IF(OR(A73=7,),"X","")</f>
        <v/>
      </c>
      <c r="I73" t="str">
        <f t="shared" ref="I73:I111" si="19">IF(OR(A73=8,),"X","")</f>
        <v/>
      </c>
      <c r="J73" s="30" t="str">
        <f t="shared" ref="J73:J111"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2391</v>
      </c>
      <c r="F74" t="s">
        <v>2409</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2392</v>
      </c>
      <c r="F75" t="s">
        <v>2410</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2491</v>
      </c>
      <c r="F76" t="s">
        <v>2491</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2494</v>
      </c>
      <c r="F77" t="s">
        <v>3300</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2712</v>
      </c>
      <c r="F78" t="s">
        <v>2712</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2724</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3386</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3387</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3555</v>
      </c>
      <c r="F82" s="36" t="s">
        <v>3555</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3584</v>
      </c>
      <c r="F83" s="36" t="s">
        <v>3587</v>
      </c>
      <c r="G83" t="str">
        <f t="shared" si="25"/>
        <v>X</v>
      </c>
      <c r="H83" t="str">
        <f t="shared" si="28"/>
        <v/>
      </c>
      <c r="I83" t="str">
        <f t="shared" si="29"/>
        <v/>
      </c>
      <c r="J83" s="30" t="str">
        <f t="shared" si="20"/>
        <v>{ parentCategory=6, category=106, zoneIds={1390}, isDungeon=true},--Scrivener's Hall</v>
      </c>
    </row>
    <row r="84" spans="1:10" x14ac:dyDescent="0.25">
      <c r="A84" s="36">
        <v>6</v>
      </c>
      <c r="B84" s="36">
        <v>110</v>
      </c>
      <c r="C84" s="36"/>
      <c r="D84" s="81">
        <f>VLOOKUP(E84,'ESO zone constants'!$D$5:$H$10003,5,FALSE)</f>
        <v>1470</v>
      </c>
      <c r="E84" s="36" t="s">
        <v>3895</v>
      </c>
      <c r="F84" s="36" t="s">
        <v>3895</v>
      </c>
      <c r="G84" t="str">
        <f t="shared" ref="G84:G85" si="30">IF(OR(A84=5,A84=6,),"X","")</f>
        <v>X</v>
      </c>
      <c r="H84" t="str">
        <f t="shared" ref="H84:H85" si="31">IF(OR(A84=7,),"X","")</f>
        <v/>
      </c>
      <c r="I84" t="str">
        <f t="shared" ref="I84:I85" si="32">IF(OR(A84=8,),"X","")</f>
        <v/>
      </c>
      <c r="J84" s="30" t="str">
        <f t="shared" ref="J84:J85" si="33">IF(C84="X","","{ parentCategory="&amp;A84&amp;", category="&amp;B84&amp;IF(AND(NOT(ISNA(D84)),D84&lt;&gt;"",NOT(ISERROR(D84))),", zoneIds={"&amp;D84&amp;"}","")&amp;IF(G84&lt;&gt;"",", isDungeon=true","")&amp;IF(H84&lt;&gt;"",", isTrial=true","")&amp;IF(I84&lt;&gt;"",", isArena=true","")&amp;"},") &amp;"--"&amp;E84</f>
        <v>{ parentCategory=6, category=110, zoneIds={1470}, isDungeon=true},--Oathsworn Pit</v>
      </c>
    </row>
    <row r="85" spans="1:10" x14ac:dyDescent="0.25">
      <c r="A85" s="36">
        <v>6</v>
      </c>
      <c r="B85" s="36">
        <v>111</v>
      </c>
      <c r="C85" s="36"/>
      <c r="D85" s="81">
        <f>VLOOKUP(E85,'ESO zone constants'!$D$5:$H$10003,5,FALSE)</f>
        <v>1471</v>
      </c>
      <c r="E85" s="36" t="s">
        <v>3896</v>
      </c>
      <c r="F85" s="36" t="s">
        <v>3896</v>
      </c>
      <c r="G85" t="str">
        <f t="shared" si="30"/>
        <v>X</v>
      </c>
      <c r="H85" t="str">
        <f t="shared" si="31"/>
        <v/>
      </c>
      <c r="I85" t="str">
        <f t="shared" si="32"/>
        <v/>
      </c>
      <c r="J85" s="30" t="str">
        <f t="shared" si="33"/>
        <v>{ parentCategory=6, category=111, zoneIds={1471}, isDungeon=true},--Bedlam Veil</v>
      </c>
    </row>
    <row r="86" spans="1:10" x14ac:dyDescent="0.25">
      <c r="A86">
        <v>7</v>
      </c>
      <c r="B86">
        <v>7</v>
      </c>
      <c r="C86" t="str">
        <f>IF(A86=B86,"X","")</f>
        <v>X</v>
      </c>
      <c r="D86" s="98" t="e">
        <f>VLOOKUP(E86,'ESO zone constants'!$D$5:$H$10003,5,FALSE)</f>
        <v>#N/A</v>
      </c>
      <c r="E86" t="s">
        <v>2379</v>
      </c>
      <c r="F86" t="s">
        <v>2300</v>
      </c>
      <c r="G86" t="str">
        <f t="shared" si="17"/>
        <v/>
      </c>
      <c r="H86" t="str">
        <f t="shared" si="18"/>
        <v>X</v>
      </c>
      <c r="I86" t="str">
        <f t="shared" si="19"/>
        <v/>
      </c>
      <c r="J86" s="30" t="str">
        <f t="shared" si="20"/>
        <v>--Trials</v>
      </c>
    </row>
    <row r="87" spans="1:10" x14ac:dyDescent="0.25">
      <c r="A87">
        <v>7</v>
      </c>
      <c r="B87">
        <v>71</v>
      </c>
      <c r="D87" s="2">
        <f>VLOOKUP(E87,'ESO zone constants'!$D$5:$H$10003,5,FALSE)</f>
        <v>638</v>
      </c>
      <c r="E87" t="s">
        <v>442</v>
      </c>
      <c r="F87" t="s">
        <v>2352</v>
      </c>
      <c r="G87" t="str">
        <f t="shared" si="17"/>
        <v/>
      </c>
      <c r="H87" t="str">
        <f t="shared" si="18"/>
        <v>X</v>
      </c>
      <c r="I87" t="str">
        <f t="shared" si="19"/>
        <v/>
      </c>
      <c r="J87" s="30" t="str">
        <f t="shared" si="20"/>
        <v>{ parentCategory=7, category=71, zoneIds={638}, isTrial=true},--Aetherian Archive</v>
      </c>
    </row>
    <row r="88" spans="1:10" x14ac:dyDescent="0.25">
      <c r="A88">
        <v>7</v>
      </c>
      <c r="B88">
        <v>72</v>
      </c>
      <c r="D88" s="2">
        <f>VLOOKUP(E88,'ESO zone constants'!$D$5:$H$10003,5,FALSE)</f>
        <v>636</v>
      </c>
      <c r="E88" t="s">
        <v>440</v>
      </c>
      <c r="F88" t="s">
        <v>2358</v>
      </c>
      <c r="G88" t="str">
        <f t="shared" si="17"/>
        <v/>
      </c>
      <c r="H88" t="str">
        <f t="shared" si="18"/>
        <v>X</v>
      </c>
      <c r="I88" t="str">
        <f t="shared" si="19"/>
        <v/>
      </c>
      <c r="J88" s="30" t="str">
        <f t="shared" si="20"/>
        <v>{ parentCategory=7, category=72, zoneIds={636}, isTrial=true},--Hel Ra Citadel</v>
      </c>
    </row>
    <row r="89" spans="1:10" x14ac:dyDescent="0.25">
      <c r="A89">
        <v>7</v>
      </c>
      <c r="B89">
        <v>73</v>
      </c>
      <c r="D89" s="2">
        <f>VLOOKUP(E89,'ESO zone constants'!$D$5:$H$10003,5,FALSE)</f>
        <v>639</v>
      </c>
      <c r="E89" t="s">
        <v>443</v>
      </c>
      <c r="F89" t="s">
        <v>443</v>
      </c>
      <c r="G89" t="str">
        <f t="shared" si="17"/>
        <v/>
      </c>
      <c r="H89" t="str">
        <f t="shared" si="18"/>
        <v>X</v>
      </c>
      <c r="I89" t="str">
        <f t="shared" si="19"/>
        <v/>
      </c>
      <c r="J89" s="30" t="str">
        <f t="shared" si="20"/>
        <v>{ parentCategory=7, category=73, zoneIds={639}, isTrial=true},--Sanctum Ophidia</v>
      </c>
    </row>
    <row r="90" spans="1:10" x14ac:dyDescent="0.25">
      <c r="A90">
        <v>7</v>
      </c>
      <c r="B90">
        <v>74</v>
      </c>
      <c r="D90" s="2">
        <f>VLOOKUP(E90,'ESO zone constants'!$D$5:$H$10003,5,FALSE)</f>
        <v>725</v>
      </c>
      <c r="E90" t="s">
        <v>475</v>
      </c>
      <c r="F90" t="s">
        <v>2355</v>
      </c>
      <c r="G90" t="str">
        <f t="shared" si="17"/>
        <v/>
      </c>
      <c r="H90" t="str">
        <f t="shared" si="18"/>
        <v>X</v>
      </c>
      <c r="I90" t="str">
        <f t="shared" si="19"/>
        <v/>
      </c>
      <c r="J90" s="30" t="str">
        <f t="shared" si="20"/>
        <v>{ parentCategory=7, category=74, zoneIds={725}, isTrial=true},--Maw of Lorkhaj</v>
      </c>
    </row>
    <row r="91" spans="1:10" x14ac:dyDescent="0.25">
      <c r="A91">
        <v>7</v>
      </c>
      <c r="B91">
        <v>75</v>
      </c>
      <c r="D91" s="2">
        <f>VLOOKUP(E91,'ESO zone constants'!$D$5:$H$10003,5,FALSE)</f>
        <v>975</v>
      </c>
      <c r="E91" t="s">
        <v>638</v>
      </c>
      <c r="F91" t="s">
        <v>2353</v>
      </c>
      <c r="G91" t="str">
        <f t="shared" si="17"/>
        <v/>
      </c>
      <c r="H91" t="str">
        <f t="shared" si="18"/>
        <v>X</v>
      </c>
      <c r="I91" t="str">
        <f t="shared" si="19"/>
        <v/>
      </c>
      <c r="J91" s="30" t="str">
        <f t="shared" si="20"/>
        <v>{ parentCategory=7, category=75, zoneIds={975}, isTrial=true},--Halls of Fabrication</v>
      </c>
    </row>
    <row r="92" spans="1:10" x14ac:dyDescent="0.25">
      <c r="A92">
        <v>7</v>
      </c>
      <c r="B92">
        <v>76</v>
      </c>
      <c r="D92" s="2">
        <f>VLOOKUP(E92,'ESO zone constants'!$D$5:$H$10003,5,FALSE)</f>
        <v>1000</v>
      </c>
      <c r="E92" t="s">
        <v>658</v>
      </c>
      <c r="F92" t="s">
        <v>2351</v>
      </c>
      <c r="G92" t="str">
        <f t="shared" si="17"/>
        <v/>
      </c>
      <c r="H92" t="str">
        <f t="shared" si="18"/>
        <v>X</v>
      </c>
      <c r="I92" t="str">
        <f t="shared" si="19"/>
        <v/>
      </c>
      <c r="J92" s="30" t="str">
        <f t="shared" si="20"/>
        <v>{ parentCategory=7, category=76, zoneIds={1000}, isTrial=true},--Asylum Sanctorium</v>
      </c>
    </row>
    <row r="93" spans="1:10" x14ac:dyDescent="0.25">
      <c r="A93">
        <v>7</v>
      </c>
      <c r="B93">
        <v>77</v>
      </c>
      <c r="D93" s="2">
        <f>VLOOKUP(E93,'ESO zone constants'!$D$5:$H$10003,5,FALSE)</f>
        <v>1051</v>
      </c>
      <c r="E93" t="s">
        <v>698</v>
      </c>
      <c r="F93" t="s">
        <v>2357</v>
      </c>
      <c r="G93" t="str">
        <f t="shared" si="17"/>
        <v/>
      </c>
      <c r="H93" t="str">
        <f t="shared" si="18"/>
        <v>X</v>
      </c>
      <c r="I93" t="str">
        <f t="shared" si="19"/>
        <v/>
      </c>
      <c r="J93" s="30" t="str">
        <f t="shared" si="20"/>
        <v>{ parentCategory=7, category=77, zoneIds={1051}, isTrial=true},--Cloudrest</v>
      </c>
    </row>
    <row r="94" spans="1:10" x14ac:dyDescent="0.25">
      <c r="A94">
        <v>7</v>
      </c>
      <c r="B94">
        <v>78</v>
      </c>
      <c r="D94" s="2">
        <f>VLOOKUP(E94,'ESO zone constants'!$D$5:$H$10003,5,FALSE)</f>
        <v>1121</v>
      </c>
      <c r="E94" t="s">
        <v>1343</v>
      </c>
      <c r="F94" t="s">
        <v>2356</v>
      </c>
      <c r="G94" t="str">
        <f t="shared" si="17"/>
        <v/>
      </c>
      <c r="H94" t="str">
        <f t="shared" si="18"/>
        <v>X</v>
      </c>
      <c r="I94" t="str">
        <f t="shared" si="19"/>
        <v/>
      </c>
      <c r="J94" s="30" t="str">
        <f t="shared" si="20"/>
        <v>{ parentCategory=7, category=78, zoneIds={1121}, isTrial=true},--Sunspire</v>
      </c>
    </row>
    <row r="95" spans="1:10" x14ac:dyDescent="0.25">
      <c r="A95">
        <v>7</v>
      </c>
      <c r="B95">
        <v>79</v>
      </c>
      <c r="D95" s="2">
        <f>VLOOKUP(E95,'ESO zone constants'!$D$5:$H$10003,5,FALSE)</f>
        <v>1196</v>
      </c>
      <c r="E95" t="s">
        <v>1703</v>
      </c>
      <c r="F95" t="s">
        <v>2354</v>
      </c>
      <c r="G95" t="str">
        <f t="shared" si="17"/>
        <v/>
      </c>
      <c r="H95" t="str">
        <f t="shared" si="18"/>
        <v>X</v>
      </c>
      <c r="I95" t="str">
        <f t="shared" si="19"/>
        <v/>
      </c>
      <c r="J95" s="30" t="str">
        <f t="shared" si="20"/>
        <v>{ parentCategory=7, category=79, zoneIds={1196}, isTrial=true},--Kyne's Aegis</v>
      </c>
    </row>
    <row r="96" spans="1:10" x14ac:dyDescent="0.25">
      <c r="A96">
        <v>7</v>
      </c>
      <c r="B96">
        <v>101</v>
      </c>
      <c r="D96" s="2">
        <f>VLOOKUP(E96,'ESO zone constants'!$D$5:$H$10003,5,FALSE)</f>
        <v>1344</v>
      </c>
      <c r="E96" t="s">
        <v>3349</v>
      </c>
      <c r="F96" t="s">
        <v>3329</v>
      </c>
      <c r="H96" t="str">
        <f t="shared" si="18"/>
        <v>X</v>
      </c>
      <c r="J96" s="30" t="str">
        <f t="shared" si="20"/>
        <v>{ parentCategory=7, category=101, zoneIds={1344}, isTrial=true},--Dreadsail Reef</v>
      </c>
    </row>
    <row r="97" spans="1:10" x14ac:dyDescent="0.25">
      <c r="A97">
        <v>7</v>
      </c>
      <c r="B97">
        <v>108</v>
      </c>
      <c r="D97" s="2">
        <f>VLOOKUP(E97,'ESO zone constants'!$D$5:$H$10003,5,FALSE)</f>
        <v>1427</v>
      </c>
      <c r="E97" t="s">
        <v>3691</v>
      </c>
      <c r="H97" t="str">
        <f t="shared" si="18"/>
        <v>X</v>
      </c>
      <c r="J97" s="30" t="str">
        <f t="shared" si="20"/>
        <v>{ parentCategory=7, category=108, zoneIds={1427}, isTrial=true},--Sanity's Edge</v>
      </c>
    </row>
    <row r="98" spans="1:10" x14ac:dyDescent="0.25">
      <c r="A98">
        <v>8</v>
      </c>
      <c r="B98">
        <v>8</v>
      </c>
      <c r="C98" t="str">
        <f>IF(A98=B98,"X","")</f>
        <v>X</v>
      </c>
      <c r="D98" s="98" t="e">
        <f>VLOOKUP(E98,'ESO zone constants'!$D$5:$H$10003,5,FALSE)</f>
        <v>#N/A</v>
      </c>
      <c r="E98" t="s">
        <v>2380</v>
      </c>
      <c r="F98" t="s">
        <v>2301</v>
      </c>
      <c r="G98" t="str">
        <f t="shared" si="17"/>
        <v/>
      </c>
      <c r="H98" t="str">
        <f t="shared" si="18"/>
        <v/>
      </c>
      <c r="I98" t="str">
        <f t="shared" si="19"/>
        <v>X</v>
      </c>
      <c r="J98" s="30" t="str">
        <f t="shared" si="20"/>
        <v>--Arenas</v>
      </c>
    </row>
    <row r="99" spans="1:10" x14ac:dyDescent="0.25">
      <c r="A99">
        <v>8</v>
      </c>
      <c r="B99">
        <v>80</v>
      </c>
      <c r="D99" s="2">
        <f>VLOOKUP(E99,'ESO zone constants'!$D$5:$H$10003,5,FALSE)</f>
        <v>635</v>
      </c>
      <c r="E99" t="s">
        <v>439</v>
      </c>
      <c r="F99" t="s">
        <v>2359</v>
      </c>
      <c r="G99" t="str">
        <f t="shared" si="17"/>
        <v/>
      </c>
      <c r="H99" t="str">
        <f t="shared" si="18"/>
        <v/>
      </c>
      <c r="I99" t="str">
        <f t="shared" si="19"/>
        <v>X</v>
      </c>
      <c r="J99" s="30" t="str">
        <f t="shared" si="20"/>
        <v>{ parentCategory=8, category=80, zoneIds={635}, isArena=true},--Dragonstar Arena</v>
      </c>
    </row>
    <row r="100" spans="1:10" x14ac:dyDescent="0.25">
      <c r="A100">
        <v>8</v>
      </c>
      <c r="B100">
        <v>81</v>
      </c>
      <c r="D100" s="2">
        <f>VLOOKUP(E100,'ESO zone constants'!$D$5:$H$10003,5,FALSE)</f>
        <v>677</v>
      </c>
      <c r="E100" t="s">
        <v>449</v>
      </c>
      <c r="F100" t="s">
        <v>2361</v>
      </c>
      <c r="G100" t="str">
        <f t="shared" si="17"/>
        <v/>
      </c>
      <c r="H100" t="str">
        <f t="shared" si="18"/>
        <v/>
      </c>
      <c r="I100" t="str">
        <f t="shared" si="19"/>
        <v>X</v>
      </c>
      <c r="J100" s="30" t="str">
        <f t="shared" si="20"/>
        <v>{ parentCategory=8, category=81, zoneIds={677}, isArena=true},--Maelstrom Arena</v>
      </c>
    </row>
    <row r="101" spans="1:10" x14ac:dyDescent="0.25">
      <c r="A101">
        <v>8</v>
      </c>
      <c r="B101">
        <v>82</v>
      </c>
      <c r="D101" s="2">
        <f>VLOOKUP(E101,'ESO zone constants'!$D$5:$H$10003,5,FALSE)</f>
        <v>1082</v>
      </c>
      <c r="E101" t="s">
        <v>719</v>
      </c>
      <c r="F101" t="s">
        <v>2362</v>
      </c>
      <c r="G101" t="str">
        <f t="shared" si="17"/>
        <v/>
      </c>
      <c r="H101" t="str">
        <f t="shared" si="18"/>
        <v/>
      </c>
      <c r="I101" t="str">
        <f t="shared" si="19"/>
        <v>X</v>
      </c>
      <c r="J101" s="30" t="str">
        <f t="shared" si="20"/>
        <v>{ parentCategory=8, category=82, zoneIds={1082}, isArena=true},--Blackrose Prison</v>
      </c>
    </row>
    <row r="102" spans="1:10" x14ac:dyDescent="0.25">
      <c r="A102">
        <v>8</v>
      </c>
      <c r="B102">
        <v>90</v>
      </c>
      <c r="D102" s="2">
        <f>VLOOKUP(E102,'ESO zone constants'!$D$5:$H$10003,5,FALSE)</f>
        <v>1227</v>
      </c>
      <c r="E102" t="s">
        <v>2209</v>
      </c>
      <c r="F102" t="s">
        <v>2360</v>
      </c>
      <c r="G102" t="str">
        <f t="shared" si="17"/>
        <v/>
      </c>
      <c r="H102" t="str">
        <f t="shared" si="18"/>
        <v/>
      </c>
      <c r="I102" t="str">
        <f t="shared" si="19"/>
        <v>X</v>
      </c>
      <c r="J102" s="30" t="str">
        <f t="shared" si="20"/>
        <v>{ parentCategory=8, category=90, zoneIds={1227}, isArena=true},--Vateshran Hollows</v>
      </c>
    </row>
    <row r="103" spans="1:10" x14ac:dyDescent="0.25">
      <c r="A103">
        <v>9</v>
      </c>
      <c r="B103">
        <v>9</v>
      </c>
      <c r="C103" t="str">
        <f>IF(A103=B103,"X","")</f>
        <v>X</v>
      </c>
      <c r="D103" s="98" t="e">
        <f>VLOOKUP(E103,'ESO zone constants'!$D$5:$H$10003,5,FALSE)</f>
        <v>#N/A</v>
      </c>
      <c r="E103" t="s">
        <v>2302</v>
      </c>
      <c r="F103" t="s">
        <v>2302</v>
      </c>
      <c r="G103" t="str">
        <f t="shared" si="17"/>
        <v/>
      </c>
      <c r="H103" t="str">
        <f t="shared" si="18"/>
        <v/>
      </c>
      <c r="I103" t="str">
        <f t="shared" si="19"/>
        <v/>
      </c>
      <c r="J103" s="30" t="str">
        <f t="shared" si="20"/>
        <v>--PVP</v>
      </c>
    </row>
    <row r="104" spans="1:10" x14ac:dyDescent="0.25">
      <c r="A104">
        <v>9</v>
      </c>
      <c r="B104">
        <v>83</v>
      </c>
      <c r="D104" s="2">
        <f>VLOOKUP(E104,'ESO zone constants'!$D$5:$H$10003,5,FALSE)</f>
        <v>181</v>
      </c>
      <c r="E104" t="s">
        <v>125</v>
      </c>
      <c r="F104" t="s">
        <v>125</v>
      </c>
      <c r="G104" t="str">
        <f t="shared" si="17"/>
        <v/>
      </c>
      <c r="H104" t="str">
        <f t="shared" si="18"/>
        <v/>
      </c>
      <c r="I104" t="str">
        <f t="shared" si="19"/>
        <v/>
      </c>
      <c r="J104" s="30" t="str">
        <f t="shared" si="20"/>
        <v>{ parentCategory=9, category=83, zoneIds={181}},--Cyrodiil</v>
      </c>
    </row>
    <row r="105" spans="1:10" x14ac:dyDescent="0.25">
      <c r="A105">
        <v>9</v>
      </c>
      <c r="B105">
        <v>84</v>
      </c>
      <c r="D105" s="2">
        <f>VLOOKUP(E105,'ESO zone constants'!$D$5:$H$10003,5,FALSE)</f>
        <v>584</v>
      </c>
      <c r="E105" t="s">
        <v>39</v>
      </c>
      <c r="F105" t="s">
        <v>2363</v>
      </c>
      <c r="G105" t="str">
        <f t="shared" si="17"/>
        <v/>
      </c>
      <c r="H105" t="str">
        <f t="shared" si="18"/>
        <v/>
      </c>
      <c r="I105" t="str">
        <f t="shared" si="19"/>
        <v/>
      </c>
      <c r="J105" s="30" t="str">
        <f t="shared" si="20"/>
        <v>{ parentCategory=9, category=84, zoneIds={584}},--Imperial City</v>
      </c>
    </row>
    <row r="106" spans="1:10" x14ac:dyDescent="0.25">
      <c r="A106">
        <v>9</v>
      </c>
      <c r="B106">
        <v>85</v>
      </c>
      <c r="E106" t="s">
        <v>2372</v>
      </c>
      <c r="F106" t="s">
        <v>2364</v>
      </c>
      <c r="G106" t="str">
        <f t="shared" si="17"/>
        <v/>
      </c>
      <c r="H106" t="str">
        <f t="shared" si="18"/>
        <v/>
      </c>
      <c r="I106" t="str">
        <f t="shared" si="19"/>
        <v/>
      </c>
      <c r="J106" s="30" t="str">
        <f t="shared" si="20"/>
        <v>{ parentCategory=9, category=85},--Battlegrounds</v>
      </c>
    </row>
    <row r="107" spans="1:10" x14ac:dyDescent="0.25">
      <c r="A107">
        <v>10</v>
      </c>
      <c r="B107">
        <v>10</v>
      </c>
      <c r="C107" t="str">
        <f>IF(A107=B107,"X","")</f>
        <v>X</v>
      </c>
      <c r="D107" s="98" t="e">
        <f>VLOOKUP(E107,'ESO zone constants'!$D$5:$H$10003,5,FALSE)</f>
        <v>#N/A</v>
      </c>
      <c r="E107" t="s">
        <v>2381</v>
      </c>
      <c r="F107" t="s">
        <v>2303</v>
      </c>
      <c r="G107" t="str">
        <f t="shared" si="17"/>
        <v/>
      </c>
      <c r="H107" t="str">
        <f t="shared" si="18"/>
        <v/>
      </c>
      <c r="I107" t="str">
        <f t="shared" si="19"/>
        <v/>
      </c>
      <c r="J107" s="30" t="str">
        <f t="shared" si="20"/>
        <v>--Miscellaneous</v>
      </c>
    </row>
    <row r="108" spans="1:10" x14ac:dyDescent="0.25">
      <c r="A108">
        <v>10</v>
      </c>
      <c r="B108">
        <v>26</v>
      </c>
      <c r="D108" s="2" t="s">
        <v>3627</v>
      </c>
      <c r="E108" t="s">
        <v>2382</v>
      </c>
      <c r="F108" t="s">
        <v>2368</v>
      </c>
      <c r="G108" t="str">
        <f t="shared" si="17"/>
        <v/>
      </c>
      <c r="H108" t="str">
        <f t="shared" si="18"/>
        <v/>
      </c>
      <c r="I108" t="str">
        <f t="shared" si="19"/>
        <v/>
      </c>
      <c r="J108" s="30" t="str">
        <f t="shared" si="20"/>
        <v>{ parentCategory=10, category=26, zoneIds={280,281,534,535,537}},--Beginner zones</v>
      </c>
    </row>
    <row r="109" spans="1:10" x14ac:dyDescent="0.25">
      <c r="A109">
        <v>10</v>
      </c>
      <c r="B109">
        <v>27</v>
      </c>
      <c r="D109" s="2">
        <f>VLOOKUP(E109,'ESO zone constants'!$D$5:$H$10003,5,FALSE)</f>
        <v>347</v>
      </c>
      <c r="E109" t="s">
        <v>239</v>
      </c>
      <c r="F109" t="s">
        <v>2366</v>
      </c>
      <c r="G109" t="str">
        <f t="shared" si="17"/>
        <v/>
      </c>
      <c r="H109" t="str">
        <f t="shared" si="18"/>
        <v/>
      </c>
      <c r="I109" t="str">
        <f t="shared" si="19"/>
        <v/>
      </c>
      <c r="J109" s="30" t="str">
        <f t="shared" si="20"/>
        <v>{ parentCategory=10, category=27, zoneIds={347}},--Coldharbour</v>
      </c>
    </row>
    <row r="110" spans="1:10" x14ac:dyDescent="0.25">
      <c r="A110">
        <v>10</v>
      </c>
      <c r="B110">
        <v>28</v>
      </c>
      <c r="D110" s="2">
        <f>VLOOKUP(E110,'ESO zone constants'!$D$5:$H$10003,5,FALSE)</f>
        <v>888</v>
      </c>
      <c r="E110" t="s">
        <v>563</v>
      </c>
      <c r="F110" t="s">
        <v>2367</v>
      </c>
      <c r="G110" t="str">
        <f t="shared" si="17"/>
        <v/>
      </c>
      <c r="H110" t="str">
        <f t="shared" si="18"/>
        <v/>
      </c>
      <c r="I110" t="str">
        <f t="shared" si="19"/>
        <v/>
      </c>
      <c r="J110" s="30" t="str">
        <f t="shared" si="20"/>
        <v>{ parentCategory=10, category=28, zoneIds={888}},--Craglorn</v>
      </c>
    </row>
    <row r="111" spans="1:10" x14ac:dyDescent="0.25">
      <c r="A111">
        <v>10</v>
      </c>
      <c r="B111">
        <v>86</v>
      </c>
      <c r="E111" t="s">
        <v>1792</v>
      </c>
      <c r="F111" t="s">
        <v>2365</v>
      </c>
      <c r="G111" t="str">
        <f t="shared" si="17"/>
        <v/>
      </c>
      <c r="H111" t="str">
        <f t="shared" si="18"/>
        <v/>
      </c>
      <c r="I111" t="str">
        <f t="shared" si="19"/>
        <v/>
      </c>
      <c r="J111" s="30" t="str">
        <f t="shared" si="20"/>
        <v>{ parentCategory=10, category=86},--Antiquities</v>
      </c>
    </row>
  </sheetData>
  <autoFilter ref="A2:F2" xr:uid="{F87FCCB0-B4BF-449A-9B99-12262D434E94}"/>
  <sortState xmlns:xlrd2="http://schemas.microsoft.com/office/spreadsheetml/2017/richdata2" ref="A3:H111">
    <sortCondition ref="A3:A111"/>
    <sortCondition ref="B3:B111"/>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3931</v>
      </c>
      <c r="B1">
        <v>348</v>
      </c>
      <c r="C1">
        <v>27</v>
      </c>
      <c r="D1" s="45">
        <v>667</v>
      </c>
      <c r="E1" t="s">
        <v>450</v>
      </c>
      <c r="F1">
        <v>380</v>
      </c>
      <c r="G1">
        <v>684</v>
      </c>
      <c r="H1" t="s">
        <v>450</v>
      </c>
      <c r="I1">
        <v>7</v>
      </c>
      <c r="J1" t="s">
        <v>691</v>
      </c>
    </row>
    <row r="2" spans="1:10" ht="15.75" customHeight="1" x14ac:dyDescent="0.25">
      <c r="A2" s="94" t="s">
        <v>3932</v>
      </c>
      <c r="B2">
        <v>565</v>
      </c>
      <c r="C2">
        <v>27</v>
      </c>
      <c r="D2" s="45">
        <v>667</v>
      </c>
      <c r="E2" t="s">
        <v>450</v>
      </c>
      <c r="F2">
        <v>380</v>
      </c>
      <c r="G2">
        <v>684</v>
      </c>
      <c r="H2" t="s">
        <v>450</v>
      </c>
      <c r="I2">
        <v>6</v>
      </c>
      <c r="J2" t="s">
        <v>3926</v>
      </c>
    </row>
    <row r="3" spans="1:10" x14ac:dyDescent="0.25">
      <c r="A3" s="94" t="s">
        <v>3933</v>
      </c>
      <c r="B3">
        <v>457</v>
      </c>
      <c r="C3">
        <v>42</v>
      </c>
      <c r="D3" s="45">
        <v>1814</v>
      </c>
      <c r="E3" t="s">
        <v>2210</v>
      </c>
      <c r="F3">
        <v>784</v>
      </c>
      <c r="G3">
        <v>1207</v>
      </c>
      <c r="H3" t="s">
        <v>2210</v>
      </c>
      <c r="I3">
        <v>0</v>
      </c>
      <c r="J3" t="s">
        <v>2209</v>
      </c>
    </row>
    <row r="4" spans="1:10" x14ac:dyDescent="0.25">
      <c r="A4" s="94" t="s">
        <v>3934</v>
      </c>
      <c r="B4">
        <v>428</v>
      </c>
      <c r="C4">
        <v>27</v>
      </c>
      <c r="D4" s="45">
        <v>667</v>
      </c>
      <c r="E4" t="s">
        <v>450</v>
      </c>
      <c r="F4">
        <v>380</v>
      </c>
      <c r="G4">
        <v>684</v>
      </c>
      <c r="H4" t="s">
        <v>450</v>
      </c>
      <c r="I4">
        <v>7</v>
      </c>
      <c r="J4" t="s">
        <v>1655</v>
      </c>
    </row>
    <row r="5" spans="1:10" x14ac:dyDescent="0.25">
      <c r="A5" s="94" t="s">
        <v>3935</v>
      </c>
      <c r="B5">
        <v>449</v>
      </c>
      <c r="C5">
        <v>42</v>
      </c>
      <c r="D5" s="45">
        <v>1814</v>
      </c>
      <c r="E5" t="s">
        <v>2210</v>
      </c>
      <c r="F5">
        <v>784</v>
      </c>
      <c r="G5">
        <v>1207</v>
      </c>
      <c r="H5" t="s">
        <v>2210</v>
      </c>
      <c r="I5">
        <v>1</v>
      </c>
      <c r="J5" t="s">
        <v>2206</v>
      </c>
    </row>
    <row r="6" spans="1:10" x14ac:dyDescent="0.25">
      <c r="A6" s="94" t="s">
        <v>3936</v>
      </c>
      <c r="B6">
        <v>442</v>
      </c>
      <c r="C6">
        <v>42</v>
      </c>
      <c r="D6" s="45">
        <v>1814</v>
      </c>
      <c r="E6" t="s">
        <v>2210</v>
      </c>
      <c r="F6">
        <v>784</v>
      </c>
      <c r="G6">
        <v>1207</v>
      </c>
      <c r="H6" t="s">
        <v>2210</v>
      </c>
      <c r="I6">
        <v>1</v>
      </c>
      <c r="J6" t="s">
        <v>2199</v>
      </c>
    </row>
    <row r="7" spans="1:10" x14ac:dyDescent="0.25">
      <c r="A7" s="94" t="s">
        <v>3937</v>
      </c>
      <c r="B7">
        <v>424</v>
      </c>
      <c r="C7">
        <v>27</v>
      </c>
      <c r="D7" s="45">
        <v>667</v>
      </c>
      <c r="E7" t="s">
        <v>450</v>
      </c>
      <c r="F7">
        <v>380</v>
      </c>
      <c r="G7">
        <v>684</v>
      </c>
      <c r="H7" t="s">
        <v>450</v>
      </c>
      <c r="I7">
        <v>6</v>
      </c>
      <c r="J7" t="s">
        <v>2134</v>
      </c>
    </row>
    <row r="8" spans="1:10" x14ac:dyDescent="0.25">
      <c r="A8" s="94" t="s">
        <v>3938</v>
      </c>
      <c r="B8">
        <v>441</v>
      </c>
      <c r="C8">
        <v>42</v>
      </c>
      <c r="D8" s="45">
        <v>1814</v>
      </c>
      <c r="E8" t="s">
        <v>2210</v>
      </c>
      <c r="F8">
        <v>784</v>
      </c>
      <c r="G8">
        <v>1207</v>
      </c>
      <c r="H8" t="s">
        <v>2210</v>
      </c>
      <c r="I8">
        <v>1</v>
      </c>
      <c r="J8" t="s">
        <v>2198</v>
      </c>
    </row>
    <row r="9" spans="1:10" x14ac:dyDescent="0.25">
      <c r="A9" s="94" t="s">
        <v>3939</v>
      </c>
      <c r="B9">
        <v>237</v>
      </c>
      <c r="C9">
        <v>27</v>
      </c>
      <c r="D9" s="45">
        <v>667</v>
      </c>
      <c r="E9" t="s">
        <v>450</v>
      </c>
      <c r="F9">
        <v>380</v>
      </c>
      <c r="G9">
        <v>684</v>
      </c>
      <c r="H9" t="s">
        <v>450</v>
      </c>
      <c r="I9">
        <v>1</v>
      </c>
      <c r="J9" t="s">
        <v>2029</v>
      </c>
    </row>
    <row r="10" spans="1:10" x14ac:dyDescent="0.25">
      <c r="A10" s="94" t="s">
        <v>3940</v>
      </c>
      <c r="B10">
        <v>238</v>
      </c>
      <c r="C10">
        <v>27</v>
      </c>
      <c r="D10" s="45">
        <v>667</v>
      </c>
      <c r="E10" t="s">
        <v>450</v>
      </c>
      <c r="F10">
        <v>380</v>
      </c>
      <c r="G10">
        <v>684</v>
      </c>
      <c r="H10" t="s">
        <v>450</v>
      </c>
      <c r="I10">
        <v>1</v>
      </c>
      <c r="J10" t="s">
        <v>2030</v>
      </c>
    </row>
    <row r="11" spans="1:10" x14ac:dyDescent="0.25">
      <c r="A11" s="94" t="s">
        <v>3941</v>
      </c>
      <c r="B11">
        <v>239</v>
      </c>
      <c r="C11">
        <v>27</v>
      </c>
      <c r="D11" s="45">
        <v>667</v>
      </c>
      <c r="E11" t="s">
        <v>450</v>
      </c>
      <c r="F11">
        <v>380</v>
      </c>
      <c r="G11">
        <v>684</v>
      </c>
      <c r="H11" t="s">
        <v>450</v>
      </c>
      <c r="I11">
        <v>1</v>
      </c>
      <c r="J11" t="s">
        <v>2031</v>
      </c>
    </row>
    <row r="12" spans="1:10" x14ac:dyDescent="0.25">
      <c r="A12" s="94" t="s">
        <v>3942</v>
      </c>
      <c r="B12">
        <v>240</v>
      </c>
      <c r="C12">
        <v>27</v>
      </c>
      <c r="D12" s="45">
        <v>667</v>
      </c>
      <c r="E12" t="s">
        <v>450</v>
      </c>
      <c r="F12">
        <v>380</v>
      </c>
      <c r="G12">
        <v>684</v>
      </c>
      <c r="H12" t="s">
        <v>450</v>
      </c>
      <c r="I12">
        <v>1</v>
      </c>
      <c r="J12" t="s">
        <v>2032</v>
      </c>
    </row>
    <row r="13" spans="1:10" x14ac:dyDescent="0.25">
      <c r="A13" s="94" t="s">
        <v>3943</v>
      </c>
      <c r="B13">
        <v>241</v>
      </c>
      <c r="C13">
        <v>27</v>
      </c>
      <c r="D13" s="45">
        <v>667</v>
      </c>
      <c r="E13" t="s">
        <v>450</v>
      </c>
      <c r="F13">
        <v>380</v>
      </c>
      <c r="G13">
        <v>684</v>
      </c>
      <c r="H13" t="s">
        <v>450</v>
      </c>
      <c r="I13">
        <v>1</v>
      </c>
      <c r="J13" t="s">
        <v>2033</v>
      </c>
    </row>
    <row r="14" spans="1:10" x14ac:dyDescent="0.25">
      <c r="A14" s="94" t="s">
        <v>3944</v>
      </c>
      <c r="B14">
        <v>242</v>
      </c>
      <c r="C14">
        <v>27</v>
      </c>
      <c r="D14" s="45">
        <v>667</v>
      </c>
      <c r="E14" t="s">
        <v>450</v>
      </c>
      <c r="F14">
        <v>380</v>
      </c>
      <c r="G14">
        <v>684</v>
      </c>
      <c r="H14" t="s">
        <v>450</v>
      </c>
      <c r="I14">
        <v>1</v>
      </c>
      <c r="J14" t="s">
        <v>2034</v>
      </c>
    </row>
    <row r="15" spans="1:10" x14ac:dyDescent="0.25">
      <c r="A15" s="94" t="s">
        <v>3945</v>
      </c>
      <c r="B15">
        <v>243</v>
      </c>
      <c r="C15">
        <v>27</v>
      </c>
      <c r="D15" s="45">
        <v>667</v>
      </c>
      <c r="E15" t="s">
        <v>450</v>
      </c>
      <c r="F15">
        <v>380</v>
      </c>
      <c r="G15">
        <v>684</v>
      </c>
      <c r="H15" t="s">
        <v>450</v>
      </c>
      <c r="I15">
        <v>1</v>
      </c>
      <c r="J15" t="s">
        <v>2035</v>
      </c>
    </row>
    <row r="16" spans="1:10" x14ac:dyDescent="0.25">
      <c r="A16" s="94" t="s">
        <v>3946</v>
      </c>
      <c r="B16">
        <v>244</v>
      </c>
      <c r="C16">
        <v>27</v>
      </c>
      <c r="D16" s="45">
        <v>667</v>
      </c>
      <c r="E16" t="s">
        <v>450</v>
      </c>
      <c r="F16">
        <v>380</v>
      </c>
      <c r="G16">
        <v>684</v>
      </c>
      <c r="H16" t="s">
        <v>450</v>
      </c>
      <c r="I16">
        <v>1</v>
      </c>
      <c r="J16" t="s">
        <v>2036</v>
      </c>
    </row>
    <row r="17" spans="1:10" x14ac:dyDescent="0.25">
      <c r="A17" s="94" t="s">
        <v>3947</v>
      </c>
      <c r="B17">
        <v>245</v>
      </c>
      <c r="C17">
        <v>27</v>
      </c>
      <c r="D17" s="45">
        <v>667</v>
      </c>
      <c r="E17" t="s">
        <v>450</v>
      </c>
      <c r="F17">
        <v>380</v>
      </c>
      <c r="G17">
        <v>684</v>
      </c>
      <c r="H17" t="s">
        <v>450</v>
      </c>
      <c r="I17">
        <v>1</v>
      </c>
      <c r="J17" t="s">
        <v>2037</v>
      </c>
    </row>
    <row r="18" spans="1:10" x14ac:dyDescent="0.25">
      <c r="A18" s="94" t="s">
        <v>3948</v>
      </c>
      <c r="B18">
        <v>246</v>
      </c>
      <c r="C18">
        <v>27</v>
      </c>
      <c r="D18" s="45">
        <v>667</v>
      </c>
      <c r="E18" t="s">
        <v>450</v>
      </c>
      <c r="F18">
        <v>380</v>
      </c>
      <c r="G18">
        <v>684</v>
      </c>
      <c r="H18" t="s">
        <v>450</v>
      </c>
      <c r="I18">
        <v>1</v>
      </c>
      <c r="J18" t="s">
        <v>2038</v>
      </c>
    </row>
    <row r="19" spans="1:10" x14ac:dyDescent="0.25">
      <c r="A19" s="94" t="s">
        <v>3949</v>
      </c>
      <c r="B19">
        <v>456</v>
      </c>
      <c r="C19">
        <v>42</v>
      </c>
      <c r="D19" s="45">
        <v>1814</v>
      </c>
      <c r="E19" t="s">
        <v>2210</v>
      </c>
      <c r="F19">
        <v>784</v>
      </c>
      <c r="G19">
        <v>1207</v>
      </c>
      <c r="H19" t="s">
        <v>2210</v>
      </c>
      <c r="I19">
        <v>7</v>
      </c>
      <c r="J19" t="s">
        <v>2208</v>
      </c>
    </row>
    <row r="20" spans="1:10" x14ac:dyDescent="0.25">
      <c r="A20" s="94" t="s">
        <v>3950</v>
      </c>
      <c r="B20">
        <v>556</v>
      </c>
      <c r="C20">
        <v>42</v>
      </c>
      <c r="D20" s="45">
        <v>1814</v>
      </c>
      <c r="E20" t="s">
        <v>2210</v>
      </c>
      <c r="F20">
        <v>784</v>
      </c>
      <c r="G20">
        <v>1207</v>
      </c>
      <c r="H20" t="s">
        <v>2210</v>
      </c>
      <c r="I20">
        <v>6</v>
      </c>
      <c r="J20" t="s">
        <v>3925</v>
      </c>
    </row>
    <row r="21" spans="1:10" x14ac:dyDescent="0.25">
      <c r="A21" s="94" t="s">
        <v>3951</v>
      </c>
      <c r="B21">
        <v>249</v>
      </c>
      <c r="C21">
        <v>27</v>
      </c>
      <c r="D21" s="45">
        <v>667</v>
      </c>
      <c r="E21" t="s">
        <v>450</v>
      </c>
      <c r="F21">
        <v>380</v>
      </c>
      <c r="G21">
        <v>684</v>
      </c>
      <c r="H21" t="s">
        <v>450</v>
      </c>
      <c r="I21">
        <v>0</v>
      </c>
      <c r="J21" t="s">
        <v>449</v>
      </c>
    </row>
    <row r="22" spans="1:10" x14ac:dyDescent="0.25">
      <c r="A22" s="94" t="s">
        <v>3952</v>
      </c>
      <c r="B22">
        <v>250</v>
      </c>
      <c r="C22">
        <v>27</v>
      </c>
      <c r="D22" s="45">
        <v>667</v>
      </c>
      <c r="E22" t="s">
        <v>450</v>
      </c>
      <c r="F22">
        <v>380</v>
      </c>
      <c r="G22">
        <v>684</v>
      </c>
      <c r="H22" t="s">
        <v>450</v>
      </c>
      <c r="I22">
        <v>0</v>
      </c>
      <c r="J22" t="s">
        <v>449</v>
      </c>
    </row>
    <row r="23" spans="1:10" x14ac:dyDescent="0.25">
      <c r="A23" s="94" t="s">
        <v>3953</v>
      </c>
      <c r="B23">
        <v>443</v>
      </c>
      <c r="C23">
        <v>42</v>
      </c>
      <c r="D23" s="45">
        <v>1814</v>
      </c>
      <c r="E23" t="s">
        <v>2210</v>
      </c>
      <c r="F23">
        <v>784</v>
      </c>
      <c r="G23">
        <v>1207</v>
      </c>
      <c r="H23" t="s">
        <v>2210</v>
      </c>
      <c r="I23">
        <v>1</v>
      </c>
      <c r="J23" t="s">
        <v>2200</v>
      </c>
    </row>
    <row r="24" spans="1:10" x14ac:dyDescent="0.25">
      <c r="A24" s="94" t="s">
        <v>3954</v>
      </c>
      <c r="B24">
        <v>444</v>
      </c>
      <c r="C24">
        <v>42</v>
      </c>
      <c r="D24" s="45">
        <v>1814</v>
      </c>
      <c r="E24" t="s">
        <v>2210</v>
      </c>
      <c r="F24">
        <v>784</v>
      </c>
      <c r="G24">
        <v>1207</v>
      </c>
      <c r="H24" t="s">
        <v>2210</v>
      </c>
      <c r="I24">
        <v>1</v>
      </c>
      <c r="J24" t="s">
        <v>2201</v>
      </c>
    </row>
    <row r="25" spans="1:10" x14ac:dyDescent="0.25">
      <c r="A25" s="94" t="s">
        <v>3955</v>
      </c>
      <c r="B25">
        <v>445</v>
      </c>
      <c r="C25">
        <v>42</v>
      </c>
      <c r="D25" s="45">
        <v>1814</v>
      </c>
      <c r="E25" t="s">
        <v>2210</v>
      </c>
      <c r="F25">
        <v>784</v>
      </c>
      <c r="G25">
        <v>1207</v>
      </c>
      <c r="H25" t="s">
        <v>2210</v>
      </c>
      <c r="I25">
        <v>1</v>
      </c>
      <c r="J25" t="s">
        <v>2202</v>
      </c>
    </row>
    <row r="26" spans="1:10" x14ac:dyDescent="0.25">
      <c r="A26" s="94" t="s">
        <v>3956</v>
      </c>
      <c r="B26">
        <v>447</v>
      </c>
      <c r="C26">
        <v>42</v>
      </c>
      <c r="D26" s="45">
        <v>1814</v>
      </c>
      <c r="E26" t="s">
        <v>2210</v>
      </c>
      <c r="F26">
        <v>784</v>
      </c>
      <c r="G26">
        <v>1207</v>
      </c>
      <c r="H26" t="s">
        <v>2210</v>
      </c>
      <c r="I26">
        <v>1</v>
      </c>
      <c r="J26" t="s">
        <v>2204</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3" customFormat="1" x14ac:dyDescent="0.25">
      <c r="A1" s="121" t="s">
        <v>3786</v>
      </c>
      <c r="B1" s="122"/>
      <c r="C1" s="122"/>
      <c r="D1" s="122"/>
      <c r="E1" s="122"/>
      <c r="F1" s="122"/>
      <c r="G1" s="122"/>
      <c r="H1" s="122"/>
      <c r="I1" s="122"/>
      <c r="J1" s="122"/>
      <c r="K1" s="122"/>
      <c r="L1" s="122"/>
    </row>
    <row r="2" spans="1:15" ht="30" x14ac:dyDescent="0.25">
      <c r="A2" s="3" t="s">
        <v>85</v>
      </c>
      <c r="B2" s="1" t="s">
        <v>1454</v>
      </c>
      <c r="C2" s="1" t="s">
        <v>75</v>
      </c>
      <c r="F2" s="3" t="s">
        <v>1464</v>
      </c>
      <c r="G2" s="26" t="s">
        <v>1465</v>
      </c>
      <c r="H2" s="26" t="s">
        <v>1466</v>
      </c>
      <c r="I2" s="3" t="s">
        <v>1523</v>
      </c>
      <c r="J2" s="31" t="s">
        <v>1528</v>
      </c>
      <c r="K2" s="26" t="s">
        <v>1524</v>
      </c>
      <c r="L2" s="26" t="s">
        <v>1525</v>
      </c>
      <c r="M2" s="26" t="s">
        <v>2164</v>
      </c>
      <c r="N2" s="26" t="s">
        <v>2168</v>
      </c>
      <c r="O2" s="26" t="s">
        <v>2169</v>
      </c>
    </row>
    <row r="3" spans="1:15" x14ac:dyDescent="0.25">
      <c r="A3" s="3">
        <v>0</v>
      </c>
      <c r="B3" s="46" t="s">
        <v>3545</v>
      </c>
      <c r="C3" s="46" t="s">
        <v>1681</v>
      </c>
      <c r="F3" s="47" t="s">
        <v>1467</v>
      </c>
      <c r="G3" t="s">
        <v>1680</v>
      </c>
      <c r="H3">
        <v>1</v>
      </c>
      <c r="I3" s="48" t="s">
        <v>1578</v>
      </c>
      <c r="J3">
        <v>1</v>
      </c>
      <c r="K3" t="s">
        <v>1674</v>
      </c>
      <c r="L3" t="s">
        <v>1682</v>
      </c>
      <c r="M3">
        <v>1</v>
      </c>
      <c r="N3" t="s">
        <v>2167</v>
      </c>
      <c r="O3" t="s">
        <v>2178</v>
      </c>
    </row>
    <row r="4" spans="1:15" x14ac:dyDescent="0.25">
      <c r="A4" s="3">
        <v>0</v>
      </c>
      <c r="B4" t="s">
        <v>1439</v>
      </c>
      <c r="C4" s="1" t="s">
        <v>84</v>
      </c>
      <c r="F4" s="8" t="s">
        <v>1468</v>
      </c>
      <c r="G4" t="s">
        <v>1337</v>
      </c>
      <c r="H4">
        <v>1</v>
      </c>
      <c r="I4" s="3" t="s">
        <v>1535</v>
      </c>
      <c r="J4">
        <v>1</v>
      </c>
      <c r="K4" t="s">
        <v>1536</v>
      </c>
      <c r="L4" t="s">
        <v>1537</v>
      </c>
      <c r="M4">
        <v>2</v>
      </c>
      <c r="N4" t="s">
        <v>2170</v>
      </c>
      <c r="O4" t="s">
        <v>2177</v>
      </c>
    </row>
    <row r="5" spans="1:15" x14ac:dyDescent="0.25">
      <c r="A5" s="3">
        <v>1</v>
      </c>
      <c r="B5" t="s">
        <v>1440</v>
      </c>
      <c r="C5" s="2" t="s">
        <v>39</v>
      </c>
      <c r="F5" s="8" t="s">
        <v>1469</v>
      </c>
      <c r="G5" t="s">
        <v>1420</v>
      </c>
      <c r="H5">
        <v>2</v>
      </c>
      <c r="I5" s="3" t="s">
        <v>1527</v>
      </c>
      <c r="J5">
        <v>2</v>
      </c>
      <c r="K5" t="s">
        <v>1531</v>
      </c>
      <c r="L5" t="s">
        <v>1534</v>
      </c>
      <c r="M5">
        <v>4</v>
      </c>
      <c r="N5" t="s">
        <v>2179</v>
      </c>
      <c r="O5" t="s">
        <v>2180</v>
      </c>
    </row>
    <row r="6" spans="1:15" x14ac:dyDescent="0.25">
      <c r="A6" s="3">
        <v>2</v>
      </c>
      <c r="B6" t="s">
        <v>1441</v>
      </c>
      <c r="C6" t="s">
        <v>726</v>
      </c>
      <c r="F6" s="8" t="s">
        <v>1470</v>
      </c>
      <c r="G6" t="s">
        <v>1348</v>
      </c>
      <c r="H6">
        <v>3</v>
      </c>
      <c r="I6" s="3" t="s">
        <v>2770</v>
      </c>
      <c r="J6">
        <v>3</v>
      </c>
      <c r="K6" t="s">
        <v>2771</v>
      </c>
      <c r="L6" t="s">
        <v>1532</v>
      </c>
      <c r="M6">
        <v>5</v>
      </c>
      <c r="N6" t="s">
        <v>2181</v>
      </c>
      <c r="O6" t="s">
        <v>2182</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2759</v>
      </c>
      <c r="L9" t="s">
        <v>2760</v>
      </c>
      <c r="M9">
        <v>99</v>
      </c>
      <c r="N9" t="s">
        <v>2175</v>
      </c>
      <c r="O9" t="s">
        <v>2176</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1678</v>
      </c>
      <c r="G15" t="s">
        <v>1679</v>
      </c>
      <c r="H15">
        <v>12</v>
      </c>
      <c r="I15" s="3" t="s">
        <v>1571</v>
      </c>
      <c r="J15">
        <v>12</v>
      </c>
      <c r="K15" s="34" t="s">
        <v>1572</v>
      </c>
      <c r="L15" t="s">
        <v>1573</v>
      </c>
    </row>
    <row r="16" spans="1:15" x14ac:dyDescent="0.25">
      <c r="A16" s="3">
        <v>12</v>
      </c>
      <c r="B16" t="s">
        <v>1451</v>
      </c>
      <c r="C16" t="s">
        <v>80</v>
      </c>
      <c r="F16" s="8" t="s">
        <v>2757</v>
      </c>
      <c r="G16" t="s">
        <v>2758</v>
      </c>
      <c r="H16">
        <v>13</v>
      </c>
      <c r="I16" s="3" t="s">
        <v>1574</v>
      </c>
      <c r="J16">
        <v>13</v>
      </c>
      <c r="K16" s="34" t="s">
        <v>1575</v>
      </c>
      <c r="L16" t="s">
        <v>1576</v>
      </c>
    </row>
    <row r="17" spans="1:12" x14ac:dyDescent="0.25">
      <c r="A17" s="3">
        <v>13</v>
      </c>
      <c r="B17" t="s">
        <v>1452</v>
      </c>
      <c r="C17" t="s">
        <v>40</v>
      </c>
      <c r="F17" s="8" t="s">
        <v>3722</v>
      </c>
      <c r="G17" t="s">
        <v>3723</v>
      </c>
      <c r="H17">
        <v>14</v>
      </c>
      <c r="I17" s="3" t="s">
        <v>1608</v>
      </c>
      <c r="J17">
        <v>14</v>
      </c>
      <c r="K17" s="34" t="s">
        <v>1609</v>
      </c>
      <c r="L17" t="s">
        <v>1610</v>
      </c>
    </row>
    <row r="18" spans="1:12" x14ac:dyDescent="0.25">
      <c r="A18" s="3">
        <v>14</v>
      </c>
      <c r="B18" t="s">
        <v>1453</v>
      </c>
      <c r="C18" t="s">
        <v>728</v>
      </c>
      <c r="F18" s="3" t="s">
        <v>3757</v>
      </c>
      <c r="G18" t="s">
        <v>3758</v>
      </c>
      <c r="I18" s="3" t="s">
        <v>1675</v>
      </c>
      <c r="J18">
        <v>15</v>
      </c>
      <c r="K18" s="34" t="s">
        <v>1676</v>
      </c>
      <c r="L18" s="34" t="s">
        <v>1677</v>
      </c>
    </row>
    <row r="19" spans="1:12" x14ac:dyDescent="0.25">
      <c r="A19" s="3">
        <v>15</v>
      </c>
      <c r="B19" t="s">
        <v>1505</v>
      </c>
      <c r="C19" t="s">
        <v>1485</v>
      </c>
      <c r="I19" s="3" t="s">
        <v>2524</v>
      </c>
      <c r="J19">
        <v>16</v>
      </c>
      <c r="K19" s="34" t="s">
        <v>2525</v>
      </c>
      <c r="L19" s="34" t="s">
        <v>2526</v>
      </c>
    </row>
    <row r="20" spans="1:12" x14ac:dyDescent="0.25">
      <c r="A20" s="3">
        <v>16</v>
      </c>
      <c r="B20" t="s">
        <v>1484</v>
      </c>
      <c r="C20" t="s">
        <v>1486</v>
      </c>
      <c r="F20" s="50" t="s">
        <v>1479</v>
      </c>
      <c r="G20" t="s">
        <v>3598</v>
      </c>
      <c r="I20" s="3" t="s">
        <v>2761</v>
      </c>
      <c r="J20">
        <v>17</v>
      </c>
      <c r="K20" s="34" t="s">
        <v>2762</v>
      </c>
      <c r="L20" s="34" t="s">
        <v>2763</v>
      </c>
    </row>
    <row r="21" spans="1:12" x14ac:dyDescent="0.25">
      <c r="A21" s="3">
        <v>17</v>
      </c>
      <c r="B21" t="s">
        <v>1640</v>
      </c>
      <c r="C21" t="s">
        <v>1641</v>
      </c>
      <c r="I21" s="3" t="s">
        <v>2765</v>
      </c>
      <c r="J21">
        <v>18</v>
      </c>
      <c r="K21" s="34" t="s">
        <v>2766</v>
      </c>
      <c r="L21" s="34" t="s">
        <v>2767</v>
      </c>
    </row>
    <row r="22" spans="1:12" x14ac:dyDescent="0.25">
      <c r="A22" s="3">
        <v>18</v>
      </c>
      <c r="B22" t="s">
        <v>1606</v>
      </c>
      <c r="C22" t="s">
        <v>1607</v>
      </c>
      <c r="I22" s="3" t="s">
        <v>3195</v>
      </c>
      <c r="J22">
        <v>19</v>
      </c>
      <c r="K22" s="34" t="s">
        <v>3194</v>
      </c>
      <c r="L22" s="34" t="s">
        <v>3196</v>
      </c>
    </row>
    <row r="23" spans="1:12" x14ac:dyDescent="0.25">
      <c r="A23" s="3">
        <v>19</v>
      </c>
      <c r="B23" t="s">
        <v>1796</v>
      </c>
      <c r="C23" t="s">
        <v>1797</v>
      </c>
      <c r="I23" s="3" t="s">
        <v>3199</v>
      </c>
      <c r="J23">
        <v>20</v>
      </c>
      <c r="K23" s="34" t="s">
        <v>3201</v>
      </c>
      <c r="L23" s="34" t="s">
        <v>3200</v>
      </c>
    </row>
    <row r="24" spans="1:12" x14ac:dyDescent="0.25">
      <c r="A24" s="3">
        <v>20</v>
      </c>
      <c r="B24" t="s">
        <v>2162</v>
      </c>
      <c r="C24" t="s">
        <v>2163</v>
      </c>
      <c r="I24" s="3" t="s">
        <v>3236</v>
      </c>
      <c r="J24">
        <v>21</v>
      </c>
      <c r="K24" t="s">
        <v>3237</v>
      </c>
      <c r="L24" s="34" t="s">
        <v>3277</v>
      </c>
    </row>
    <row r="25" spans="1:12" x14ac:dyDescent="0.25">
      <c r="A25" s="3">
        <v>21</v>
      </c>
      <c r="B25" t="s">
        <v>2386</v>
      </c>
      <c r="C25" t="s">
        <v>2387</v>
      </c>
      <c r="I25" s="3" t="s">
        <v>3209</v>
      </c>
      <c r="J25">
        <v>22</v>
      </c>
      <c r="K25" s="34" t="s">
        <v>3210</v>
      </c>
      <c r="L25" s="34" t="s">
        <v>3211</v>
      </c>
    </row>
    <row r="26" spans="1:12" x14ac:dyDescent="0.25">
      <c r="A26" s="3">
        <v>22</v>
      </c>
      <c r="B26" t="s">
        <v>2384</v>
      </c>
      <c r="C26" t="s">
        <v>2385</v>
      </c>
      <c r="I26" s="3" t="s">
        <v>3212</v>
      </c>
      <c r="J26">
        <v>23</v>
      </c>
      <c r="K26" s="34" t="s">
        <v>3213</v>
      </c>
      <c r="L26" s="34" t="s">
        <v>3214</v>
      </c>
    </row>
    <row r="27" spans="1:12" x14ac:dyDescent="0.25">
      <c r="A27" s="3">
        <v>23</v>
      </c>
      <c r="B27" t="s">
        <v>2527</v>
      </c>
      <c r="C27" t="s">
        <v>2528</v>
      </c>
      <c r="I27" s="3" t="s">
        <v>3217</v>
      </c>
      <c r="J27">
        <v>24</v>
      </c>
      <c r="K27" s="34" t="s">
        <v>3218</v>
      </c>
      <c r="L27" s="34" t="s">
        <v>3219</v>
      </c>
    </row>
    <row r="28" spans="1:12" x14ac:dyDescent="0.25">
      <c r="A28" s="3">
        <v>24</v>
      </c>
      <c r="B28" t="s">
        <v>2656</v>
      </c>
      <c r="C28" t="s">
        <v>2442</v>
      </c>
      <c r="I28" s="3" t="s">
        <v>3223</v>
      </c>
      <c r="J28">
        <v>25</v>
      </c>
      <c r="K28" s="34" t="s">
        <v>3224</v>
      </c>
      <c r="L28" s="34" t="s">
        <v>3225</v>
      </c>
    </row>
    <row r="29" spans="1:12" x14ac:dyDescent="0.25">
      <c r="A29" s="3">
        <v>25</v>
      </c>
      <c r="B29" t="s">
        <v>2710</v>
      </c>
      <c r="C29" t="s">
        <v>2711</v>
      </c>
      <c r="I29" s="3" t="s">
        <v>3266</v>
      </c>
      <c r="J29">
        <v>26</v>
      </c>
      <c r="K29" t="s">
        <v>3267</v>
      </c>
      <c r="L29" s="34" t="s">
        <v>3268</v>
      </c>
    </row>
    <row r="30" spans="1:12" x14ac:dyDescent="0.25">
      <c r="A30" s="3">
        <v>26</v>
      </c>
      <c r="B30" t="s">
        <v>3328</v>
      </c>
      <c r="C30" t="s">
        <v>3327</v>
      </c>
      <c r="I30" s="3" t="s">
        <v>3269</v>
      </c>
      <c r="J30">
        <v>27</v>
      </c>
      <c r="K30" s="34" t="s">
        <v>3270</v>
      </c>
      <c r="L30" s="34" t="s">
        <v>3271</v>
      </c>
    </row>
    <row r="31" spans="1:12" x14ac:dyDescent="0.25">
      <c r="A31" s="3">
        <v>27</v>
      </c>
      <c r="B31" t="s">
        <v>3384</v>
      </c>
      <c r="C31" t="s">
        <v>3385</v>
      </c>
      <c r="I31" s="3" t="s">
        <v>3285</v>
      </c>
      <c r="J31">
        <v>28</v>
      </c>
      <c r="K31" t="s">
        <v>3286</v>
      </c>
      <c r="L31" t="s">
        <v>3287</v>
      </c>
    </row>
    <row r="32" spans="1:12" x14ac:dyDescent="0.25">
      <c r="A32" s="3">
        <v>28</v>
      </c>
      <c r="B32" t="s">
        <v>3421</v>
      </c>
      <c r="C32" t="s">
        <v>3422</v>
      </c>
      <c r="I32" s="3" t="s">
        <v>3288</v>
      </c>
      <c r="J32">
        <v>29</v>
      </c>
      <c r="K32" s="34" t="s">
        <v>1348</v>
      </c>
      <c r="L32" s="34" t="s">
        <v>3289</v>
      </c>
    </row>
    <row r="33" spans="1:12" x14ac:dyDescent="0.25">
      <c r="A33" s="3">
        <v>29</v>
      </c>
      <c r="B33" t="s">
        <v>3565</v>
      </c>
      <c r="C33" t="s">
        <v>3566</v>
      </c>
      <c r="I33" s="3" t="s">
        <v>3494</v>
      </c>
      <c r="J33">
        <v>30</v>
      </c>
      <c r="K33" t="s">
        <v>3495</v>
      </c>
      <c r="L33" s="34" t="s">
        <v>3496</v>
      </c>
    </row>
    <row r="34" spans="1:12" x14ac:dyDescent="0.25">
      <c r="A34" s="3">
        <v>30</v>
      </c>
      <c r="B34" t="s">
        <v>3648</v>
      </c>
      <c r="C34" t="s">
        <v>3649</v>
      </c>
      <c r="I34" s="3" t="s">
        <v>3597</v>
      </c>
      <c r="J34">
        <v>31</v>
      </c>
      <c r="K34" s="34" t="s">
        <v>3599</v>
      </c>
      <c r="L34" s="34" t="s">
        <v>3600</v>
      </c>
    </row>
    <row r="35" spans="1:12" x14ac:dyDescent="0.25">
      <c r="A35" s="3">
        <v>31</v>
      </c>
      <c r="B35" t="s">
        <v>3728</v>
      </c>
      <c r="C35" t="s">
        <v>3724</v>
      </c>
      <c r="I35" s="3" t="s">
        <v>3742</v>
      </c>
      <c r="J35">
        <v>32</v>
      </c>
      <c r="K35" t="s">
        <v>3743</v>
      </c>
      <c r="L35" t="s">
        <v>3730</v>
      </c>
    </row>
    <row r="36" spans="1:12" x14ac:dyDescent="0.25">
      <c r="A36" s="3">
        <v>32</v>
      </c>
      <c r="B36" t="s">
        <v>3752</v>
      </c>
      <c r="C36" t="s">
        <v>3753</v>
      </c>
      <c r="I36" s="3" t="s">
        <v>3731</v>
      </c>
      <c r="J36">
        <v>33</v>
      </c>
      <c r="K36" t="s">
        <v>3732</v>
      </c>
      <c r="L36" s="34" t="s">
        <v>3733</v>
      </c>
    </row>
    <row r="37" spans="1:12" x14ac:dyDescent="0.25">
      <c r="A37" s="3">
        <v>33</v>
      </c>
      <c r="B37" t="s">
        <v>3897</v>
      </c>
      <c r="C37" t="s">
        <v>3898</v>
      </c>
      <c r="I37" s="3" t="s">
        <v>3734</v>
      </c>
      <c r="J37">
        <v>34</v>
      </c>
      <c r="K37" t="s">
        <v>3735</v>
      </c>
      <c r="L37" s="34" t="s">
        <v>3736</v>
      </c>
    </row>
    <row r="38" spans="1:12" x14ac:dyDescent="0.25">
      <c r="B38" s="45" t="s">
        <v>1668</v>
      </c>
      <c r="C38" s="45" t="s">
        <v>2414</v>
      </c>
      <c r="I38" s="3" t="s">
        <v>3740</v>
      </c>
      <c r="J38">
        <v>35</v>
      </c>
      <c r="K38" t="s">
        <v>3744</v>
      </c>
      <c r="L38" s="34" t="s">
        <v>3741</v>
      </c>
    </row>
    <row r="39" spans="1:12" x14ac:dyDescent="0.25">
      <c r="I39" s="3" t="s">
        <v>3737</v>
      </c>
      <c r="J39">
        <v>36</v>
      </c>
      <c r="K39" t="s">
        <v>3738</v>
      </c>
      <c r="L39" s="34" t="s">
        <v>3739</v>
      </c>
    </row>
    <row r="40" spans="1:12" x14ac:dyDescent="0.25">
      <c r="I40" s="3" t="s">
        <v>3754</v>
      </c>
      <c r="J40">
        <v>37</v>
      </c>
      <c r="K40" t="s">
        <v>3755</v>
      </c>
      <c r="L40" s="34" t="s">
        <v>3756</v>
      </c>
    </row>
    <row r="43" spans="1:12" x14ac:dyDescent="0.25">
      <c r="I43" s="49" t="s">
        <v>1577</v>
      </c>
      <c r="K43" t="s">
        <v>1798</v>
      </c>
      <c r="L43" t="s">
        <v>1683</v>
      </c>
    </row>
    <row r="47" spans="1:12" x14ac:dyDescent="0.25">
      <c r="A47" s="7" t="s">
        <v>3538</v>
      </c>
      <c r="B47" s="1" t="s">
        <v>3543</v>
      </c>
      <c r="C47" s="1" t="s">
        <v>3544</v>
      </c>
      <c r="F47" s="3" t="s">
        <v>86</v>
      </c>
      <c r="G47" s="1" t="s">
        <v>87</v>
      </c>
    </row>
    <row r="48" spans="1:12" x14ac:dyDescent="0.25">
      <c r="A48" s="7">
        <v>0</v>
      </c>
      <c r="B48" s="45" t="s">
        <v>3547</v>
      </c>
      <c r="C48" s="1" t="s">
        <v>3548</v>
      </c>
      <c r="F48" s="8">
        <v>1</v>
      </c>
      <c r="G48" t="s">
        <v>90</v>
      </c>
    </row>
    <row r="49" spans="1:7" x14ac:dyDescent="0.25">
      <c r="A49" s="3">
        <v>0</v>
      </c>
      <c r="B49" s="88" t="s">
        <v>3539</v>
      </c>
      <c r="C49" t="s">
        <v>3550</v>
      </c>
      <c r="F49" s="8">
        <v>2</v>
      </c>
      <c r="G49" t="s">
        <v>89</v>
      </c>
    </row>
    <row r="50" spans="1:7" x14ac:dyDescent="0.25">
      <c r="A50" s="3">
        <v>1</v>
      </c>
      <c r="B50" s="88" t="s">
        <v>3540</v>
      </c>
      <c r="C50" t="s">
        <v>3551</v>
      </c>
      <c r="F50" s="8">
        <v>3</v>
      </c>
      <c r="G50" t="s">
        <v>88</v>
      </c>
    </row>
    <row r="51" spans="1:7" x14ac:dyDescent="0.25">
      <c r="A51" s="3">
        <v>2</v>
      </c>
      <c r="B51" s="88" t="s">
        <v>3541</v>
      </c>
      <c r="C51" t="s">
        <v>3552</v>
      </c>
    </row>
    <row r="52" spans="1:7" x14ac:dyDescent="0.25">
      <c r="A52" s="3">
        <v>3</v>
      </c>
      <c r="B52" s="88" t="s">
        <v>3542</v>
      </c>
      <c r="C52" t="s">
        <v>3553</v>
      </c>
    </row>
    <row r="53" spans="1:7" x14ac:dyDescent="0.25">
      <c r="A53" s="3">
        <v>4</v>
      </c>
      <c r="B53" t="s">
        <v>3726</v>
      </c>
      <c r="C53" t="s">
        <v>3727</v>
      </c>
    </row>
    <row r="55" spans="1:7" x14ac:dyDescent="0.25">
      <c r="B55" s="45" t="s">
        <v>3546</v>
      </c>
      <c r="C55" s="1" t="s">
        <v>3549</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4" t="s">
        <v>2413</v>
      </c>
      <c r="B1" s="114"/>
      <c r="C1" s="114"/>
      <c r="D1" s="23" t="s">
        <v>2369</v>
      </c>
      <c r="G1" s="67" t="s">
        <v>2197</v>
      </c>
    </row>
    <row r="2" spans="1:7" x14ac:dyDescent="0.25">
      <c r="A2" s="6" t="s">
        <v>83</v>
      </c>
      <c r="B2" s="7" t="s">
        <v>1670</v>
      </c>
      <c r="C2" s="7" t="s">
        <v>1671</v>
      </c>
      <c r="D2" s="1" t="s">
        <v>2173</v>
      </c>
      <c r="E2" s="1" t="s">
        <v>2165</v>
      </c>
      <c r="F2" s="1" t="s">
        <v>2166</v>
      </c>
      <c r="G2" s="66" t="s">
        <v>2171</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2194</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2192</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2193</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2195</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2196</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2280</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2276</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2279</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2183</v>
      </c>
      <c r="E193" t="s">
        <v>2174</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2184</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2274</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2272</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2185</v>
      </c>
      <c r="E236" t="s">
        <v>2172</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2186</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2187</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2188</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2189</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2275</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2275</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2285</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2284</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2283</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2277</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2278</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2190</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2191</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2282</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2281</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2273</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2271</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2270</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2269</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2271</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2270</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2269</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2024-02-12T16:17:04Z</dcterms:modified>
</cp:coreProperties>
</file>